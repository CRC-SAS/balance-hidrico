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37b0086a3e04d4/Documents/I^MD/Claude - I^MD/ENANDES^M/"/>
    </mc:Choice>
  </mc:AlternateContent>
  <xr:revisionPtr revIDLastSave="3" documentId="11_86A8C900980B064E8CD49F8179E8BBC7548315C3" xr6:coauthVersionLast="47" xr6:coauthVersionMax="47" xr10:uidLastSave="{962FE23E-33A7-DA48-B6B4-36A829BEA88D}"/>
  <bookViews>
    <workbookView xWindow="25760" yWindow="660" windowWidth="38080" windowHeight="20780" activeTab="4" xr2:uid="{00000000-000D-0000-FFFF-FFFF00000000}"/>
  </bookViews>
  <sheets>
    <sheet name="clima" sheetId="1" r:id="rId1"/>
    <sheet name="suelos" sheetId="2" r:id="rId2"/>
    <sheet name="cultivo" sheetId="3" r:id="rId3"/>
    <sheet name="condiciones iniciales" sheetId="4" r:id="rId4"/>
    <sheet name="fenologia" sheetId="5" r:id="rId5"/>
    <sheet name="Balance Hidrico" sheetId="6" r:id="rId6"/>
  </sheets>
  <definedNames>
    <definedName name="_xlnm._FilterDatabase" localSheetId="5" hidden="1">'Balance Hidrico'!$L$4:$P$551</definedName>
    <definedName name="_xlnm._FilterDatabase" localSheetId="1" hidden="1">suelos!$A$1:$N$313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51" i="6" l="1"/>
  <c r="V551" i="6"/>
  <c r="U551" i="6"/>
  <c r="AD550" i="6"/>
  <c r="V550" i="6"/>
  <c r="U550" i="6"/>
  <c r="AD549" i="6"/>
  <c r="V549" i="6"/>
  <c r="U549" i="6"/>
  <c r="AD548" i="6"/>
  <c r="V548" i="6"/>
  <c r="U548" i="6"/>
  <c r="AD547" i="6"/>
  <c r="V547" i="6"/>
  <c r="U547" i="6"/>
  <c r="AD546" i="6"/>
  <c r="V546" i="6"/>
  <c r="U546" i="6"/>
  <c r="AD545" i="6"/>
  <c r="V545" i="6"/>
  <c r="U545" i="6"/>
  <c r="AD544" i="6"/>
  <c r="V544" i="6"/>
  <c r="U544" i="6"/>
  <c r="AD543" i="6"/>
  <c r="V543" i="6"/>
  <c r="U543" i="6"/>
  <c r="AD542" i="6"/>
  <c r="V542" i="6"/>
  <c r="U542" i="6"/>
  <c r="AD541" i="6"/>
  <c r="V541" i="6"/>
  <c r="U541" i="6"/>
  <c r="AD540" i="6"/>
  <c r="V540" i="6"/>
  <c r="U540" i="6"/>
  <c r="AD539" i="6"/>
  <c r="V539" i="6"/>
  <c r="U539" i="6"/>
  <c r="AD538" i="6"/>
  <c r="V538" i="6"/>
  <c r="U538" i="6"/>
  <c r="AD537" i="6"/>
  <c r="V537" i="6"/>
  <c r="U537" i="6"/>
  <c r="AD536" i="6"/>
  <c r="V536" i="6"/>
  <c r="U536" i="6"/>
  <c r="AD535" i="6"/>
  <c r="V535" i="6"/>
  <c r="U535" i="6"/>
  <c r="AD534" i="6"/>
  <c r="V534" i="6"/>
  <c r="U534" i="6"/>
  <c r="AD533" i="6"/>
  <c r="V533" i="6"/>
  <c r="U533" i="6"/>
  <c r="AD532" i="6"/>
  <c r="V532" i="6"/>
  <c r="U532" i="6"/>
  <c r="AD531" i="6"/>
  <c r="V531" i="6"/>
  <c r="U531" i="6"/>
  <c r="AD530" i="6"/>
  <c r="V530" i="6"/>
  <c r="U530" i="6"/>
  <c r="AD529" i="6"/>
  <c r="V529" i="6"/>
  <c r="U529" i="6"/>
  <c r="AD528" i="6"/>
  <c r="V528" i="6"/>
  <c r="U528" i="6"/>
  <c r="AD527" i="6"/>
  <c r="V527" i="6"/>
  <c r="U527" i="6"/>
  <c r="AD526" i="6"/>
  <c r="V526" i="6"/>
  <c r="U526" i="6"/>
  <c r="AD525" i="6"/>
  <c r="V525" i="6"/>
  <c r="U525" i="6"/>
  <c r="AD524" i="6"/>
  <c r="V524" i="6"/>
  <c r="U524" i="6"/>
  <c r="AD523" i="6"/>
  <c r="V523" i="6"/>
  <c r="U523" i="6"/>
  <c r="AD522" i="6"/>
  <c r="V522" i="6"/>
  <c r="U522" i="6"/>
  <c r="AD521" i="6"/>
  <c r="V521" i="6"/>
  <c r="U521" i="6"/>
  <c r="AD520" i="6"/>
  <c r="V520" i="6"/>
  <c r="U520" i="6"/>
  <c r="AD519" i="6"/>
  <c r="V519" i="6"/>
  <c r="U519" i="6"/>
  <c r="AD518" i="6"/>
  <c r="V518" i="6"/>
  <c r="U518" i="6"/>
  <c r="AD517" i="6"/>
  <c r="V517" i="6"/>
  <c r="U517" i="6"/>
  <c r="AD516" i="6"/>
  <c r="V516" i="6"/>
  <c r="U516" i="6"/>
  <c r="AD515" i="6"/>
  <c r="V515" i="6"/>
  <c r="U515" i="6"/>
  <c r="AD514" i="6"/>
  <c r="V514" i="6"/>
  <c r="U514" i="6"/>
  <c r="AD513" i="6"/>
  <c r="V513" i="6"/>
  <c r="U513" i="6"/>
  <c r="AD512" i="6"/>
  <c r="V512" i="6"/>
  <c r="U512" i="6"/>
  <c r="AD511" i="6"/>
  <c r="V511" i="6"/>
  <c r="U511" i="6"/>
  <c r="AD510" i="6"/>
  <c r="V510" i="6"/>
  <c r="U510" i="6"/>
  <c r="AD509" i="6"/>
  <c r="V509" i="6"/>
  <c r="U509" i="6"/>
  <c r="AD508" i="6"/>
  <c r="V508" i="6"/>
  <c r="U508" i="6"/>
  <c r="AD507" i="6"/>
  <c r="V507" i="6"/>
  <c r="U507" i="6"/>
  <c r="AD506" i="6"/>
  <c r="V506" i="6"/>
  <c r="U506" i="6"/>
  <c r="AD505" i="6"/>
  <c r="V505" i="6"/>
  <c r="U505" i="6"/>
  <c r="AD504" i="6"/>
  <c r="V504" i="6"/>
  <c r="U504" i="6"/>
  <c r="AD503" i="6"/>
  <c r="V503" i="6"/>
  <c r="U503" i="6"/>
  <c r="AD502" i="6"/>
  <c r="V502" i="6"/>
  <c r="U502" i="6"/>
  <c r="AD501" i="6"/>
  <c r="V501" i="6"/>
  <c r="U501" i="6"/>
  <c r="AD500" i="6"/>
  <c r="V500" i="6"/>
  <c r="U500" i="6"/>
  <c r="AD499" i="6"/>
  <c r="V499" i="6"/>
  <c r="U499" i="6"/>
  <c r="AD498" i="6"/>
  <c r="V498" i="6"/>
  <c r="U498" i="6"/>
  <c r="AD497" i="6"/>
  <c r="V497" i="6"/>
  <c r="U497" i="6"/>
  <c r="AD496" i="6"/>
  <c r="V496" i="6"/>
  <c r="U496" i="6"/>
  <c r="AD495" i="6"/>
  <c r="V495" i="6"/>
  <c r="U495" i="6"/>
  <c r="AD494" i="6"/>
  <c r="V494" i="6"/>
  <c r="U494" i="6"/>
  <c r="AD493" i="6"/>
  <c r="V493" i="6"/>
  <c r="U493" i="6"/>
  <c r="AD492" i="6"/>
  <c r="V492" i="6"/>
  <c r="U492" i="6"/>
  <c r="AD491" i="6"/>
  <c r="V491" i="6"/>
  <c r="U491" i="6"/>
  <c r="AD490" i="6"/>
  <c r="V490" i="6"/>
  <c r="U490" i="6"/>
  <c r="AD489" i="6"/>
  <c r="V489" i="6"/>
  <c r="U489" i="6"/>
  <c r="AD488" i="6"/>
  <c r="V488" i="6"/>
  <c r="U488" i="6"/>
  <c r="AD487" i="6"/>
  <c r="V487" i="6"/>
  <c r="U487" i="6"/>
  <c r="AD486" i="6"/>
  <c r="V486" i="6"/>
  <c r="U486" i="6"/>
  <c r="AD485" i="6"/>
  <c r="V485" i="6"/>
  <c r="U485" i="6"/>
  <c r="AD484" i="6"/>
  <c r="V484" i="6"/>
  <c r="U484" i="6"/>
  <c r="AD483" i="6"/>
  <c r="V483" i="6"/>
  <c r="U483" i="6"/>
  <c r="AD482" i="6"/>
  <c r="V482" i="6"/>
  <c r="U482" i="6"/>
  <c r="AD481" i="6"/>
  <c r="V481" i="6"/>
  <c r="U481" i="6"/>
  <c r="AD480" i="6"/>
  <c r="V480" i="6"/>
  <c r="U480" i="6"/>
  <c r="AD479" i="6"/>
  <c r="V479" i="6"/>
  <c r="U479" i="6"/>
  <c r="AD478" i="6"/>
  <c r="V478" i="6"/>
  <c r="U478" i="6"/>
  <c r="AD477" i="6"/>
  <c r="V477" i="6"/>
  <c r="U477" i="6"/>
  <c r="AD476" i="6"/>
  <c r="V476" i="6"/>
  <c r="U476" i="6"/>
  <c r="AD475" i="6"/>
  <c r="V475" i="6"/>
  <c r="U475" i="6"/>
  <c r="AD474" i="6"/>
  <c r="V474" i="6"/>
  <c r="U474" i="6"/>
  <c r="AD473" i="6"/>
  <c r="V473" i="6"/>
  <c r="U473" i="6"/>
  <c r="AD472" i="6"/>
  <c r="V472" i="6"/>
  <c r="U472" i="6"/>
  <c r="AD471" i="6"/>
  <c r="V471" i="6"/>
  <c r="U471" i="6"/>
  <c r="AD470" i="6"/>
  <c r="V470" i="6"/>
  <c r="U470" i="6"/>
  <c r="AD469" i="6"/>
  <c r="V469" i="6"/>
  <c r="U469" i="6"/>
  <c r="AD468" i="6"/>
  <c r="V468" i="6"/>
  <c r="U468" i="6"/>
  <c r="AD467" i="6"/>
  <c r="V467" i="6"/>
  <c r="U467" i="6"/>
  <c r="AD466" i="6"/>
  <c r="V466" i="6"/>
  <c r="U466" i="6"/>
  <c r="AD465" i="6"/>
  <c r="V465" i="6"/>
  <c r="U465" i="6"/>
  <c r="AD464" i="6"/>
  <c r="V464" i="6"/>
  <c r="U464" i="6"/>
  <c r="AD463" i="6"/>
  <c r="V463" i="6"/>
  <c r="U463" i="6"/>
  <c r="AD462" i="6"/>
  <c r="V462" i="6"/>
  <c r="U462" i="6"/>
  <c r="AD461" i="6"/>
  <c r="V461" i="6"/>
  <c r="U461" i="6"/>
  <c r="AD460" i="6"/>
  <c r="V460" i="6"/>
  <c r="U460" i="6"/>
  <c r="AD459" i="6"/>
  <c r="V459" i="6"/>
  <c r="U459" i="6"/>
  <c r="AD458" i="6"/>
  <c r="V458" i="6"/>
  <c r="U458" i="6"/>
  <c r="AD457" i="6"/>
  <c r="V457" i="6"/>
  <c r="U457" i="6"/>
  <c r="AD456" i="6"/>
  <c r="V456" i="6"/>
  <c r="U456" i="6"/>
  <c r="AD455" i="6"/>
  <c r="V455" i="6"/>
  <c r="U455" i="6"/>
  <c r="AD454" i="6"/>
  <c r="V454" i="6"/>
  <c r="U454" i="6"/>
  <c r="AD453" i="6"/>
  <c r="V453" i="6"/>
  <c r="U453" i="6"/>
  <c r="AD452" i="6"/>
  <c r="V452" i="6"/>
  <c r="U452" i="6"/>
  <c r="AD451" i="6"/>
  <c r="V451" i="6"/>
  <c r="U451" i="6"/>
  <c r="AD450" i="6"/>
  <c r="V450" i="6"/>
  <c r="U450" i="6"/>
  <c r="AD449" i="6"/>
  <c r="V449" i="6"/>
  <c r="U449" i="6"/>
  <c r="AD448" i="6"/>
  <c r="V448" i="6"/>
  <c r="U448" i="6"/>
  <c r="AD447" i="6"/>
  <c r="V447" i="6"/>
  <c r="U447" i="6"/>
  <c r="AD446" i="6"/>
  <c r="V446" i="6"/>
  <c r="U446" i="6"/>
  <c r="AD445" i="6"/>
  <c r="V445" i="6"/>
  <c r="U445" i="6"/>
  <c r="AD444" i="6"/>
  <c r="V444" i="6"/>
  <c r="U444" i="6"/>
  <c r="AD443" i="6"/>
  <c r="V443" i="6"/>
  <c r="U443" i="6"/>
  <c r="AD442" i="6"/>
  <c r="V442" i="6"/>
  <c r="U442" i="6"/>
  <c r="AD441" i="6"/>
  <c r="V441" i="6"/>
  <c r="U441" i="6"/>
  <c r="AD440" i="6"/>
  <c r="V440" i="6"/>
  <c r="U440" i="6"/>
  <c r="AD439" i="6"/>
  <c r="V439" i="6"/>
  <c r="U439" i="6"/>
  <c r="AD438" i="6"/>
  <c r="V438" i="6"/>
  <c r="U438" i="6"/>
  <c r="AD437" i="6"/>
  <c r="V437" i="6"/>
  <c r="U437" i="6"/>
  <c r="AD436" i="6"/>
  <c r="V436" i="6"/>
  <c r="U436" i="6"/>
  <c r="AD435" i="6"/>
  <c r="V435" i="6"/>
  <c r="U435" i="6"/>
  <c r="AD434" i="6"/>
  <c r="V434" i="6"/>
  <c r="U434" i="6"/>
  <c r="AD433" i="6"/>
  <c r="V433" i="6"/>
  <c r="U433" i="6"/>
  <c r="AD432" i="6"/>
  <c r="V432" i="6"/>
  <c r="U432" i="6"/>
  <c r="AD431" i="6"/>
  <c r="V431" i="6"/>
  <c r="U431" i="6"/>
  <c r="AD430" i="6"/>
  <c r="V430" i="6"/>
  <c r="U430" i="6"/>
  <c r="AD429" i="6"/>
  <c r="V429" i="6"/>
  <c r="U429" i="6"/>
  <c r="AD428" i="6"/>
  <c r="V428" i="6"/>
  <c r="U428" i="6"/>
  <c r="AD427" i="6"/>
  <c r="V427" i="6"/>
  <c r="U427" i="6"/>
  <c r="AD426" i="6"/>
  <c r="V426" i="6"/>
  <c r="U426" i="6"/>
  <c r="AD425" i="6"/>
  <c r="V425" i="6"/>
  <c r="U425" i="6"/>
  <c r="AD424" i="6"/>
  <c r="V424" i="6"/>
  <c r="U424" i="6"/>
  <c r="AD423" i="6"/>
  <c r="V423" i="6"/>
  <c r="U423" i="6"/>
  <c r="AD422" i="6"/>
  <c r="V422" i="6"/>
  <c r="U422" i="6"/>
  <c r="AD421" i="6"/>
  <c r="V421" i="6"/>
  <c r="U421" i="6"/>
  <c r="AD420" i="6"/>
  <c r="V420" i="6"/>
  <c r="U420" i="6"/>
  <c r="AD419" i="6"/>
  <c r="V419" i="6"/>
  <c r="U419" i="6"/>
  <c r="AD418" i="6"/>
  <c r="V418" i="6"/>
  <c r="U418" i="6"/>
  <c r="AD417" i="6"/>
  <c r="V417" i="6"/>
  <c r="U417" i="6"/>
  <c r="AD416" i="6"/>
  <c r="V416" i="6"/>
  <c r="U416" i="6"/>
  <c r="AD415" i="6"/>
  <c r="V415" i="6"/>
  <c r="U415" i="6"/>
  <c r="AD414" i="6"/>
  <c r="V414" i="6"/>
  <c r="U414" i="6"/>
  <c r="AD413" i="6"/>
  <c r="V413" i="6"/>
  <c r="U413" i="6"/>
  <c r="AD412" i="6"/>
  <c r="V412" i="6"/>
  <c r="U412" i="6"/>
  <c r="AD411" i="6"/>
  <c r="V411" i="6"/>
  <c r="U411" i="6"/>
  <c r="AD410" i="6"/>
  <c r="V410" i="6"/>
  <c r="U410" i="6"/>
  <c r="AD409" i="6"/>
  <c r="V409" i="6"/>
  <c r="U409" i="6"/>
  <c r="AD408" i="6"/>
  <c r="V408" i="6"/>
  <c r="U408" i="6"/>
  <c r="AD407" i="6"/>
  <c r="V407" i="6"/>
  <c r="U407" i="6"/>
  <c r="AD406" i="6"/>
  <c r="V406" i="6"/>
  <c r="U406" i="6"/>
  <c r="AD405" i="6"/>
  <c r="V405" i="6"/>
  <c r="U405" i="6"/>
  <c r="AD404" i="6"/>
  <c r="V404" i="6"/>
  <c r="U404" i="6"/>
  <c r="AD403" i="6"/>
  <c r="V403" i="6"/>
  <c r="U403" i="6"/>
  <c r="AD402" i="6"/>
  <c r="V402" i="6"/>
  <c r="U402" i="6"/>
  <c r="AD401" i="6"/>
  <c r="V401" i="6"/>
  <c r="U401" i="6"/>
  <c r="AD400" i="6"/>
  <c r="V400" i="6"/>
  <c r="U400" i="6"/>
  <c r="AD399" i="6"/>
  <c r="V399" i="6"/>
  <c r="U399" i="6"/>
  <c r="AD398" i="6"/>
  <c r="V398" i="6"/>
  <c r="U398" i="6"/>
  <c r="AD397" i="6"/>
  <c r="V397" i="6"/>
  <c r="U397" i="6"/>
  <c r="AD396" i="6"/>
  <c r="V396" i="6"/>
  <c r="U396" i="6"/>
  <c r="AD395" i="6"/>
  <c r="V395" i="6"/>
  <c r="U395" i="6"/>
  <c r="AD394" i="6"/>
  <c r="V394" i="6"/>
  <c r="U394" i="6"/>
  <c r="AD393" i="6"/>
  <c r="V393" i="6"/>
  <c r="U393" i="6"/>
  <c r="AD392" i="6"/>
  <c r="V392" i="6"/>
  <c r="U392" i="6"/>
  <c r="AD391" i="6"/>
  <c r="V391" i="6"/>
  <c r="U391" i="6"/>
  <c r="AD390" i="6"/>
  <c r="V390" i="6"/>
  <c r="U390" i="6"/>
  <c r="AD389" i="6"/>
  <c r="V389" i="6"/>
  <c r="U389" i="6"/>
  <c r="AD388" i="6"/>
  <c r="V388" i="6"/>
  <c r="U388" i="6"/>
  <c r="AD387" i="6"/>
  <c r="V387" i="6"/>
  <c r="U387" i="6"/>
  <c r="AD386" i="6"/>
  <c r="V386" i="6"/>
  <c r="U386" i="6"/>
  <c r="AD385" i="6"/>
  <c r="V385" i="6"/>
  <c r="U385" i="6"/>
  <c r="AD384" i="6"/>
  <c r="V384" i="6"/>
  <c r="U384" i="6"/>
  <c r="AD383" i="6"/>
  <c r="V383" i="6"/>
  <c r="U383" i="6"/>
  <c r="AD382" i="6"/>
  <c r="V382" i="6"/>
  <c r="U382" i="6"/>
  <c r="AD381" i="6"/>
  <c r="V381" i="6"/>
  <c r="U381" i="6"/>
  <c r="AD380" i="6"/>
  <c r="V380" i="6"/>
  <c r="U380" i="6"/>
  <c r="AD379" i="6"/>
  <c r="V379" i="6"/>
  <c r="U379" i="6"/>
  <c r="AD378" i="6"/>
  <c r="V378" i="6"/>
  <c r="U378" i="6"/>
  <c r="AD377" i="6"/>
  <c r="V377" i="6"/>
  <c r="U377" i="6"/>
  <c r="AD376" i="6"/>
  <c r="V376" i="6"/>
  <c r="U376" i="6"/>
  <c r="AD375" i="6"/>
  <c r="V375" i="6"/>
  <c r="U375" i="6"/>
  <c r="AD374" i="6"/>
  <c r="V374" i="6"/>
  <c r="U374" i="6"/>
  <c r="AD373" i="6"/>
  <c r="V373" i="6"/>
  <c r="U373" i="6"/>
  <c r="AD372" i="6"/>
  <c r="V372" i="6"/>
  <c r="U372" i="6"/>
  <c r="AD371" i="6"/>
  <c r="V371" i="6"/>
  <c r="U371" i="6"/>
  <c r="AD370" i="6"/>
  <c r="V370" i="6"/>
  <c r="U370" i="6"/>
  <c r="AD369" i="6"/>
  <c r="V369" i="6"/>
  <c r="U369" i="6"/>
  <c r="AD368" i="6"/>
  <c r="V368" i="6"/>
  <c r="U368" i="6"/>
  <c r="AD367" i="6"/>
  <c r="V367" i="6"/>
  <c r="U367" i="6"/>
  <c r="AD366" i="6"/>
  <c r="V366" i="6"/>
  <c r="U366" i="6"/>
  <c r="AD365" i="6"/>
  <c r="V365" i="6"/>
  <c r="U365" i="6"/>
  <c r="AD364" i="6"/>
  <c r="V364" i="6"/>
  <c r="U364" i="6"/>
  <c r="AD363" i="6"/>
  <c r="V363" i="6"/>
  <c r="U363" i="6"/>
  <c r="AD362" i="6"/>
  <c r="V362" i="6"/>
  <c r="U362" i="6"/>
  <c r="AD361" i="6"/>
  <c r="V361" i="6"/>
  <c r="U361" i="6"/>
  <c r="AD360" i="6"/>
  <c r="V360" i="6"/>
  <c r="U360" i="6"/>
  <c r="AD359" i="6"/>
  <c r="V359" i="6"/>
  <c r="U359" i="6"/>
  <c r="AD358" i="6"/>
  <c r="V358" i="6"/>
  <c r="U358" i="6"/>
  <c r="AD357" i="6"/>
  <c r="V357" i="6"/>
  <c r="U357" i="6"/>
  <c r="AD356" i="6"/>
  <c r="V356" i="6"/>
  <c r="U356" i="6"/>
  <c r="AD355" i="6"/>
  <c r="V355" i="6"/>
  <c r="U355" i="6"/>
  <c r="AD354" i="6"/>
  <c r="V354" i="6"/>
  <c r="U354" i="6"/>
  <c r="AD353" i="6"/>
  <c r="V353" i="6"/>
  <c r="U353" i="6"/>
  <c r="AD352" i="6"/>
  <c r="V352" i="6"/>
  <c r="U352" i="6"/>
  <c r="AD351" i="6"/>
  <c r="V351" i="6"/>
  <c r="U351" i="6"/>
  <c r="AD350" i="6"/>
  <c r="V350" i="6"/>
  <c r="U350" i="6"/>
  <c r="AD349" i="6"/>
  <c r="V349" i="6"/>
  <c r="U349" i="6"/>
  <c r="AD348" i="6"/>
  <c r="V348" i="6"/>
  <c r="U348" i="6"/>
  <c r="AD347" i="6"/>
  <c r="V347" i="6"/>
  <c r="U347" i="6"/>
  <c r="AD346" i="6"/>
  <c r="V346" i="6"/>
  <c r="U346" i="6"/>
  <c r="AD345" i="6"/>
  <c r="V345" i="6"/>
  <c r="U345" i="6"/>
  <c r="AD344" i="6"/>
  <c r="V344" i="6"/>
  <c r="U344" i="6"/>
  <c r="AD343" i="6"/>
  <c r="V343" i="6"/>
  <c r="U343" i="6"/>
  <c r="AD342" i="6"/>
  <c r="V342" i="6"/>
  <c r="U342" i="6"/>
  <c r="AD341" i="6"/>
  <c r="V341" i="6"/>
  <c r="U341" i="6"/>
  <c r="AD340" i="6"/>
  <c r="V340" i="6"/>
  <c r="U340" i="6"/>
  <c r="AD339" i="6"/>
  <c r="V339" i="6"/>
  <c r="U339" i="6"/>
  <c r="AD338" i="6"/>
  <c r="V338" i="6"/>
  <c r="U338" i="6"/>
  <c r="AD337" i="6"/>
  <c r="V337" i="6"/>
  <c r="U337" i="6"/>
  <c r="AD336" i="6"/>
  <c r="V336" i="6"/>
  <c r="U336" i="6"/>
  <c r="AD335" i="6"/>
  <c r="V335" i="6"/>
  <c r="U335" i="6"/>
  <c r="AD334" i="6"/>
  <c r="V334" i="6"/>
  <c r="U334" i="6"/>
  <c r="AD333" i="6"/>
  <c r="V333" i="6"/>
  <c r="U333" i="6"/>
  <c r="AD332" i="6"/>
  <c r="V332" i="6"/>
  <c r="U332" i="6"/>
  <c r="AD331" i="6"/>
  <c r="V331" i="6"/>
  <c r="U331" i="6"/>
  <c r="AD330" i="6"/>
  <c r="V330" i="6"/>
  <c r="U330" i="6"/>
  <c r="AD329" i="6"/>
  <c r="V329" i="6"/>
  <c r="U329" i="6"/>
  <c r="AD328" i="6"/>
  <c r="V328" i="6"/>
  <c r="U328" i="6"/>
  <c r="AD327" i="6"/>
  <c r="V327" i="6"/>
  <c r="U327" i="6"/>
  <c r="AD326" i="6"/>
  <c r="V326" i="6"/>
  <c r="U326" i="6"/>
  <c r="AD325" i="6"/>
  <c r="V325" i="6"/>
  <c r="U325" i="6"/>
  <c r="AD324" i="6"/>
  <c r="V324" i="6"/>
  <c r="U324" i="6"/>
  <c r="AD323" i="6"/>
  <c r="V323" i="6"/>
  <c r="U323" i="6"/>
  <c r="AD322" i="6"/>
  <c r="V322" i="6"/>
  <c r="U322" i="6"/>
  <c r="AD321" i="6"/>
  <c r="V321" i="6"/>
  <c r="U321" i="6"/>
  <c r="AD320" i="6"/>
  <c r="V320" i="6"/>
  <c r="U320" i="6"/>
  <c r="AD319" i="6"/>
  <c r="V319" i="6"/>
  <c r="U319" i="6"/>
  <c r="AD318" i="6"/>
  <c r="V318" i="6"/>
  <c r="U318" i="6"/>
  <c r="AD317" i="6"/>
  <c r="V317" i="6"/>
  <c r="U317" i="6"/>
  <c r="AD316" i="6"/>
  <c r="V316" i="6"/>
  <c r="U316" i="6"/>
  <c r="AD315" i="6"/>
  <c r="V315" i="6"/>
  <c r="U315" i="6"/>
  <c r="AD314" i="6"/>
  <c r="V314" i="6"/>
  <c r="U314" i="6"/>
  <c r="AF313" i="6"/>
  <c r="AD313" i="6"/>
  <c r="V313" i="6"/>
  <c r="U313" i="6"/>
  <c r="AF312" i="6"/>
  <c r="AD312" i="6"/>
  <c r="V312" i="6"/>
  <c r="U312" i="6"/>
  <c r="AF311" i="6"/>
  <c r="AD311" i="6"/>
  <c r="V311" i="6"/>
  <c r="U311" i="6"/>
  <c r="AF310" i="6"/>
  <c r="AD310" i="6"/>
  <c r="V310" i="6"/>
  <c r="U310" i="6"/>
  <c r="AF309" i="6"/>
  <c r="AD309" i="6"/>
  <c r="V309" i="6"/>
  <c r="U309" i="6"/>
  <c r="AF308" i="6"/>
  <c r="AD308" i="6"/>
  <c r="V308" i="6"/>
  <c r="U308" i="6"/>
  <c r="AF307" i="6"/>
  <c r="AD307" i="6"/>
  <c r="V307" i="6"/>
  <c r="U307" i="6"/>
  <c r="AF306" i="6"/>
  <c r="AD306" i="6"/>
  <c r="V306" i="6"/>
  <c r="U306" i="6"/>
  <c r="AF305" i="6"/>
  <c r="AD305" i="6"/>
  <c r="V305" i="6"/>
  <c r="U305" i="6"/>
  <c r="AF304" i="6"/>
  <c r="AD304" i="6"/>
  <c r="V304" i="6"/>
  <c r="U304" i="6"/>
  <c r="AF303" i="6"/>
  <c r="AE304" i="6" s="1"/>
  <c r="AD303" i="6"/>
  <c r="V303" i="6"/>
  <c r="U303" i="6"/>
  <c r="AF302" i="6"/>
  <c r="AE303" i="6" s="1"/>
  <c r="AD302" i="6"/>
  <c r="V302" i="6"/>
  <c r="U302" i="6"/>
  <c r="AF301" i="6"/>
  <c r="AE302" i="6" s="1"/>
  <c r="AD301" i="6"/>
  <c r="V301" i="6"/>
  <c r="U301" i="6"/>
  <c r="AF300" i="6"/>
  <c r="AE301" i="6" s="1"/>
  <c r="AD300" i="6"/>
  <c r="V300" i="6"/>
  <c r="U300" i="6"/>
  <c r="AF299" i="6"/>
  <c r="AE300" i="6" s="1"/>
  <c r="AD299" i="6"/>
  <c r="V299" i="6"/>
  <c r="U299" i="6"/>
  <c r="AF298" i="6"/>
  <c r="AE299" i="6" s="1"/>
  <c r="AD298" i="6"/>
  <c r="V298" i="6"/>
  <c r="U298" i="6"/>
  <c r="AF297" i="6"/>
  <c r="AE298" i="6" s="1"/>
  <c r="AD297" i="6"/>
  <c r="V297" i="6"/>
  <c r="U297" i="6"/>
  <c r="AF296" i="6"/>
  <c r="AE297" i="6" s="1"/>
  <c r="AD296" i="6"/>
  <c r="V296" i="6"/>
  <c r="U296" i="6"/>
  <c r="AF295" i="6"/>
  <c r="AE296" i="6" s="1"/>
  <c r="AD295" i="6"/>
  <c r="V295" i="6"/>
  <c r="U295" i="6"/>
  <c r="AF294" i="6"/>
  <c r="AE295" i="6" s="1"/>
  <c r="AD294" i="6"/>
  <c r="V294" i="6"/>
  <c r="U294" i="6"/>
  <c r="AF293" i="6"/>
  <c r="AE294" i="6" s="1"/>
  <c r="AD293" i="6"/>
  <c r="V293" i="6"/>
  <c r="U293" i="6"/>
  <c r="AF292" i="6"/>
  <c r="AE293" i="6" s="1"/>
  <c r="AD292" i="6"/>
  <c r="V292" i="6"/>
  <c r="U292" i="6"/>
  <c r="AF291" i="6"/>
  <c r="AE292" i="6" s="1"/>
  <c r="AD291" i="6"/>
  <c r="V291" i="6"/>
  <c r="U291" i="6"/>
  <c r="AF290" i="6"/>
  <c r="AE291" i="6" s="1"/>
  <c r="AD290" i="6"/>
  <c r="V290" i="6"/>
  <c r="U290" i="6"/>
  <c r="AF289" i="6"/>
  <c r="AE290" i="6" s="1"/>
  <c r="AD289" i="6"/>
  <c r="V289" i="6"/>
  <c r="U289" i="6"/>
  <c r="AF288" i="6"/>
  <c r="AE289" i="6" s="1"/>
  <c r="AD288" i="6"/>
  <c r="V288" i="6"/>
  <c r="U288" i="6"/>
  <c r="AF287" i="6"/>
  <c r="AE288" i="6" s="1"/>
  <c r="AD287" i="6"/>
  <c r="V287" i="6"/>
  <c r="U287" i="6"/>
  <c r="AF286" i="6"/>
  <c r="AE287" i="6" s="1"/>
  <c r="AD286" i="6"/>
  <c r="V286" i="6"/>
  <c r="U286" i="6"/>
  <c r="AF285" i="6"/>
  <c r="AE286" i="6" s="1"/>
  <c r="AD285" i="6"/>
  <c r="V285" i="6"/>
  <c r="U285" i="6"/>
  <c r="AF284" i="6"/>
  <c r="AE285" i="6" s="1"/>
  <c r="AD284" i="6"/>
  <c r="V284" i="6"/>
  <c r="U284" i="6"/>
  <c r="AF283" i="6"/>
  <c r="AE284" i="6" s="1"/>
  <c r="AD283" i="6"/>
  <c r="V283" i="6"/>
  <c r="U283" i="6"/>
  <c r="AF282" i="6"/>
  <c r="AE283" i="6" s="1"/>
  <c r="AD282" i="6"/>
  <c r="V282" i="6"/>
  <c r="U282" i="6"/>
  <c r="AF281" i="6"/>
  <c r="AE282" i="6" s="1"/>
  <c r="AD281" i="6"/>
  <c r="V281" i="6"/>
  <c r="U281" i="6"/>
  <c r="AF280" i="6"/>
  <c r="AE281" i="6" s="1"/>
  <c r="AD280" i="6"/>
  <c r="V280" i="6"/>
  <c r="U280" i="6"/>
  <c r="AF279" i="6"/>
  <c r="AE280" i="6" s="1"/>
  <c r="AD279" i="6"/>
  <c r="V279" i="6"/>
  <c r="U279" i="6"/>
  <c r="AF278" i="6"/>
  <c r="AE279" i="6" s="1"/>
  <c r="AD278" i="6"/>
  <c r="V278" i="6"/>
  <c r="U278" i="6"/>
  <c r="AF277" i="6"/>
  <c r="AE278" i="6" s="1"/>
  <c r="AD277" i="6"/>
  <c r="V277" i="6"/>
  <c r="U277" i="6"/>
  <c r="AF276" i="6"/>
  <c r="AE277" i="6" s="1"/>
  <c r="AD276" i="6"/>
  <c r="V276" i="6"/>
  <c r="U276" i="6"/>
  <c r="AF275" i="6"/>
  <c r="AE276" i="6" s="1"/>
  <c r="AD275" i="6"/>
  <c r="V275" i="6"/>
  <c r="U275" i="6"/>
  <c r="AF274" i="6"/>
  <c r="AE275" i="6" s="1"/>
  <c r="AD274" i="6"/>
  <c r="V274" i="6"/>
  <c r="U274" i="6"/>
  <c r="AF273" i="6"/>
  <c r="AE274" i="6" s="1"/>
  <c r="AD273" i="6"/>
  <c r="V273" i="6"/>
  <c r="U273" i="6"/>
  <c r="AF272" i="6"/>
  <c r="AE273" i="6" s="1"/>
  <c r="AD272" i="6"/>
  <c r="V272" i="6"/>
  <c r="U272" i="6"/>
  <c r="AF271" i="6"/>
  <c r="AE272" i="6" s="1"/>
  <c r="AD271" i="6"/>
  <c r="V271" i="6"/>
  <c r="U271" i="6"/>
  <c r="AF270" i="6"/>
  <c r="AE271" i="6" s="1"/>
  <c r="AD270" i="6"/>
  <c r="V270" i="6"/>
  <c r="U270" i="6"/>
  <c r="AF269" i="6"/>
  <c r="AE270" i="6" s="1"/>
  <c r="AD269" i="6"/>
  <c r="V269" i="6"/>
  <c r="U269" i="6"/>
  <c r="AF268" i="6"/>
  <c r="AE269" i="6" s="1"/>
  <c r="AD268" i="6"/>
  <c r="V268" i="6"/>
  <c r="U268" i="6"/>
  <c r="AF267" i="6"/>
  <c r="AE268" i="6" s="1"/>
  <c r="AD267" i="6"/>
  <c r="V267" i="6"/>
  <c r="U267" i="6"/>
  <c r="AF266" i="6"/>
  <c r="AE267" i="6" s="1"/>
  <c r="AD266" i="6"/>
  <c r="V266" i="6"/>
  <c r="U266" i="6"/>
  <c r="AF265" i="6"/>
  <c r="AE266" i="6" s="1"/>
  <c r="AD265" i="6"/>
  <c r="V265" i="6"/>
  <c r="U265" i="6"/>
  <c r="AF264" i="6"/>
  <c r="AE265" i="6" s="1"/>
  <c r="AD264" i="6"/>
  <c r="V264" i="6"/>
  <c r="U264" i="6"/>
  <c r="AF263" i="6"/>
  <c r="AE264" i="6" s="1"/>
  <c r="AD263" i="6"/>
  <c r="V263" i="6"/>
  <c r="U263" i="6"/>
  <c r="AF262" i="6"/>
  <c r="AE263" i="6" s="1"/>
  <c r="AD262" i="6"/>
  <c r="V262" i="6"/>
  <c r="U262" i="6"/>
  <c r="AF261" i="6"/>
  <c r="AE262" i="6" s="1"/>
  <c r="AD261" i="6"/>
  <c r="V261" i="6"/>
  <c r="U261" i="6"/>
  <c r="AF260" i="6"/>
  <c r="AE261" i="6" s="1"/>
  <c r="AD260" i="6"/>
  <c r="V260" i="6"/>
  <c r="U260" i="6"/>
  <c r="AF259" i="6"/>
  <c r="AE260" i="6" s="1"/>
  <c r="AD259" i="6"/>
  <c r="V259" i="6"/>
  <c r="U259" i="6"/>
  <c r="AF258" i="6"/>
  <c r="AE259" i="6" s="1"/>
  <c r="AD258" i="6"/>
  <c r="V258" i="6"/>
  <c r="U258" i="6"/>
  <c r="AF257" i="6"/>
  <c r="AE258" i="6" s="1"/>
  <c r="AD257" i="6"/>
  <c r="V257" i="6"/>
  <c r="U257" i="6"/>
  <c r="AF256" i="6"/>
  <c r="AE257" i="6" s="1"/>
  <c r="AD256" i="6"/>
  <c r="V256" i="6"/>
  <c r="U256" i="6"/>
  <c r="AF255" i="6"/>
  <c r="AE256" i="6" s="1"/>
  <c r="AD255" i="6"/>
  <c r="V255" i="6"/>
  <c r="U255" i="6"/>
  <c r="AF254" i="6"/>
  <c r="AE255" i="6" s="1"/>
  <c r="AD254" i="6"/>
  <c r="V254" i="6"/>
  <c r="U254" i="6"/>
  <c r="AF253" i="6"/>
  <c r="AE254" i="6" s="1"/>
  <c r="AD253" i="6"/>
  <c r="V253" i="6"/>
  <c r="U253" i="6"/>
  <c r="AF252" i="6"/>
  <c r="AE253" i="6" s="1"/>
  <c r="AD252" i="6"/>
  <c r="V252" i="6"/>
  <c r="U252" i="6"/>
  <c r="AF251" i="6"/>
  <c r="AE252" i="6" s="1"/>
  <c r="AD251" i="6"/>
  <c r="V251" i="6"/>
  <c r="U251" i="6"/>
  <c r="AF250" i="6"/>
  <c r="AE251" i="6" s="1"/>
  <c r="AD250" i="6"/>
  <c r="V250" i="6"/>
  <c r="U250" i="6"/>
  <c r="AF249" i="6"/>
  <c r="AE250" i="6" s="1"/>
  <c r="AD249" i="6"/>
  <c r="V249" i="6"/>
  <c r="U249" i="6"/>
  <c r="AF248" i="6"/>
  <c r="AE249" i="6" s="1"/>
  <c r="AD248" i="6"/>
  <c r="V248" i="6"/>
  <c r="U248" i="6"/>
  <c r="AF247" i="6"/>
  <c r="AE248" i="6" s="1"/>
  <c r="AD247" i="6"/>
  <c r="V247" i="6"/>
  <c r="U247" i="6"/>
  <c r="AF246" i="6"/>
  <c r="AE247" i="6" s="1"/>
  <c r="AD246" i="6"/>
  <c r="V246" i="6"/>
  <c r="U246" i="6"/>
  <c r="AF245" i="6"/>
  <c r="AE246" i="6" s="1"/>
  <c r="AD245" i="6"/>
  <c r="V245" i="6"/>
  <c r="U245" i="6"/>
  <c r="AF244" i="6"/>
  <c r="AE245" i="6" s="1"/>
  <c r="AD244" i="6"/>
  <c r="V244" i="6"/>
  <c r="U244" i="6"/>
  <c r="AF243" i="6"/>
  <c r="AE244" i="6" s="1"/>
  <c r="AD243" i="6"/>
  <c r="V243" i="6"/>
  <c r="U243" i="6"/>
  <c r="AF242" i="6"/>
  <c r="AE243" i="6" s="1"/>
  <c r="AD242" i="6"/>
  <c r="V242" i="6"/>
  <c r="U242" i="6"/>
  <c r="AF241" i="6"/>
  <c r="AE242" i="6" s="1"/>
  <c r="AD241" i="6"/>
  <c r="V241" i="6"/>
  <c r="U241" i="6"/>
  <c r="AF240" i="6"/>
  <c r="AE241" i="6" s="1"/>
  <c r="AD240" i="6"/>
  <c r="V240" i="6"/>
  <c r="U240" i="6"/>
  <c r="AF239" i="6"/>
  <c r="AE240" i="6" s="1"/>
  <c r="AE239" i="6"/>
  <c r="AD239" i="6"/>
  <c r="V239" i="6"/>
  <c r="U239" i="6"/>
  <c r="AF238" i="6"/>
  <c r="AD238" i="6"/>
  <c r="V238" i="6"/>
  <c r="U238" i="6"/>
  <c r="AF237" i="6"/>
  <c r="AE238" i="6" s="1"/>
  <c r="AD237" i="6"/>
  <c r="V237" i="6"/>
  <c r="U237" i="6"/>
  <c r="AF236" i="6"/>
  <c r="AE237" i="6" s="1"/>
  <c r="AD236" i="6"/>
  <c r="V236" i="6"/>
  <c r="U236" i="6"/>
  <c r="AF235" i="6"/>
  <c r="AE236" i="6" s="1"/>
  <c r="AD235" i="6"/>
  <c r="V235" i="6"/>
  <c r="U235" i="6"/>
  <c r="AF234" i="6"/>
  <c r="AE235" i="6" s="1"/>
  <c r="AD234" i="6"/>
  <c r="V234" i="6"/>
  <c r="U234" i="6"/>
  <c r="AF233" i="6"/>
  <c r="AE234" i="6" s="1"/>
  <c r="AD233" i="6"/>
  <c r="V233" i="6"/>
  <c r="U233" i="6"/>
  <c r="AF232" i="6"/>
  <c r="AE233" i="6" s="1"/>
  <c r="AD232" i="6"/>
  <c r="V232" i="6"/>
  <c r="U232" i="6"/>
  <c r="AF231" i="6"/>
  <c r="AE232" i="6" s="1"/>
  <c r="AD231" i="6"/>
  <c r="V231" i="6"/>
  <c r="U231" i="6"/>
  <c r="AF230" i="6"/>
  <c r="AE231" i="6" s="1"/>
  <c r="AD230" i="6"/>
  <c r="V230" i="6"/>
  <c r="U230" i="6"/>
  <c r="AF229" i="6"/>
  <c r="AE230" i="6" s="1"/>
  <c r="AD229" i="6"/>
  <c r="V229" i="6"/>
  <c r="U229" i="6"/>
  <c r="AF228" i="6"/>
  <c r="AE229" i="6" s="1"/>
  <c r="AD228" i="6"/>
  <c r="V228" i="6"/>
  <c r="U228" i="6"/>
  <c r="AF227" i="6"/>
  <c r="AE228" i="6" s="1"/>
  <c r="AD227" i="6"/>
  <c r="V227" i="6"/>
  <c r="U227" i="6"/>
  <c r="AF226" i="6"/>
  <c r="AE227" i="6" s="1"/>
  <c r="AD226" i="6"/>
  <c r="V226" i="6"/>
  <c r="U226" i="6"/>
  <c r="AF225" i="6"/>
  <c r="AE226" i="6" s="1"/>
  <c r="AD225" i="6"/>
  <c r="V225" i="6"/>
  <c r="U225" i="6"/>
  <c r="AF224" i="6"/>
  <c r="AE225" i="6" s="1"/>
  <c r="AD224" i="6"/>
  <c r="V224" i="6"/>
  <c r="U224" i="6"/>
  <c r="AF223" i="6"/>
  <c r="AE224" i="6" s="1"/>
  <c r="AD223" i="6"/>
  <c r="V223" i="6"/>
  <c r="U223" i="6"/>
  <c r="AF222" i="6"/>
  <c r="AE223" i="6" s="1"/>
  <c r="AD222" i="6"/>
  <c r="V222" i="6"/>
  <c r="U222" i="6"/>
  <c r="AF221" i="6"/>
  <c r="AE222" i="6" s="1"/>
  <c r="AD221" i="6"/>
  <c r="V221" i="6"/>
  <c r="U221" i="6"/>
  <c r="AF220" i="6"/>
  <c r="AE221" i="6" s="1"/>
  <c r="AD220" i="6"/>
  <c r="V220" i="6"/>
  <c r="U220" i="6"/>
  <c r="AF219" i="6"/>
  <c r="AE220" i="6" s="1"/>
  <c r="AD219" i="6"/>
  <c r="V219" i="6"/>
  <c r="U219" i="6"/>
  <c r="AF218" i="6"/>
  <c r="AE219" i="6" s="1"/>
  <c r="AD218" i="6"/>
  <c r="V218" i="6"/>
  <c r="U218" i="6"/>
  <c r="AF217" i="6"/>
  <c r="AE218" i="6" s="1"/>
  <c r="AD217" i="6"/>
  <c r="V217" i="6"/>
  <c r="U217" i="6"/>
  <c r="AF216" i="6"/>
  <c r="AE217" i="6" s="1"/>
  <c r="AD216" i="6"/>
  <c r="V216" i="6"/>
  <c r="U216" i="6"/>
  <c r="AF215" i="6"/>
  <c r="AE216" i="6" s="1"/>
  <c r="AD215" i="6"/>
  <c r="V215" i="6"/>
  <c r="U215" i="6"/>
  <c r="AF214" i="6"/>
  <c r="AE215" i="6" s="1"/>
  <c r="AD214" i="6"/>
  <c r="V214" i="6"/>
  <c r="U214" i="6"/>
  <c r="AF213" i="6"/>
  <c r="AE214" i="6" s="1"/>
  <c r="AD213" i="6"/>
  <c r="V213" i="6"/>
  <c r="U213" i="6"/>
  <c r="AF212" i="6"/>
  <c r="AE213" i="6" s="1"/>
  <c r="AD212" i="6"/>
  <c r="V212" i="6"/>
  <c r="U212" i="6"/>
  <c r="AF211" i="6"/>
  <c r="AE212" i="6" s="1"/>
  <c r="AD211" i="6"/>
  <c r="V211" i="6"/>
  <c r="U211" i="6"/>
  <c r="AF210" i="6"/>
  <c r="AE211" i="6" s="1"/>
  <c r="AD210" i="6"/>
  <c r="V210" i="6"/>
  <c r="U210" i="6"/>
  <c r="AF209" i="6"/>
  <c r="AE210" i="6" s="1"/>
  <c r="AD209" i="6"/>
  <c r="V209" i="6"/>
  <c r="U209" i="6"/>
  <c r="AF208" i="6"/>
  <c r="AE209" i="6" s="1"/>
  <c r="AD208" i="6"/>
  <c r="V208" i="6"/>
  <c r="U208" i="6"/>
  <c r="AF207" i="6"/>
  <c r="AE208" i="6" s="1"/>
  <c r="AD207" i="6"/>
  <c r="V207" i="6"/>
  <c r="U207" i="6"/>
  <c r="AF206" i="6"/>
  <c r="AE207" i="6" s="1"/>
  <c r="AD206" i="6"/>
  <c r="V206" i="6"/>
  <c r="U206" i="6"/>
  <c r="AF205" i="6"/>
  <c r="AE206" i="6" s="1"/>
  <c r="AD205" i="6"/>
  <c r="V205" i="6"/>
  <c r="U205" i="6"/>
  <c r="AF204" i="6"/>
  <c r="AE205" i="6" s="1"/>
  <c r="AD204" i="6"/>
  <c r="V204" i="6"/>
  <c r="U204" i="6"/>
  <c r="AF203" i="6"/>
  <c r="AE204" i="6" s="1"/>
  <c r="AD203" i="6"/>
  <c r="V203" i="6"/>
  <c r="U203" i="6"/>
  <c r="AF202" i="6"/>
  <c r="AE203" i="6" s="1"/>
  <c r="AD202" i="6"/>
  <c r="V202" i="6"/>
  <c r="U202" i="6"/>
  <c r="AF201" i="6"/>
  <c r="AE202" i="6" s="1"/>
  <c r="AD201" i="6"/>
  <c r="V201" i="6"/>
  <c r="U201" i="6"/>
  <c r="AF200" i="6"/>
  <c r="AE201" i="6" s="1"/>
  <c r="AD200" i="6"/>
  <c r="V200" i="6"/>
  <c r="U200" i="6"/>
  <c r="AF199" i="6"/>
  <c r="AE200" i="6" s="1"/>
  <c r="AD199" i="6"/>
  <c r="V199" i="6"/>
  <c r="U199" i="6"/>
  <c r="AF198" i="6"/>
  <c r="AE199" i="6" s="1"/>
  <c r="AD198" i="6"/>
  <c r="V198" i="6"/>
  <c r="U198" i="6"/>
  <c r="AF197" i="6"/>
  <c r="AE198" i="6" s="1"/>
  <c r="AD197" i="6"/>
  <c r="V197" i="6"/>
  <c r="U197" i="6"/>
  <c r="AF196" i="6"/>
  <c r="AE197" i="6" s="1"/>
  <c r="AD196" i="6"/>
  <c r="V196" i="6"/>
  <c r="U196" i="6"/>
  <c r="AF195" i="6"/>
  <c r="AE196" i="6" s="1"/>
  <c r="AD195" i="6"/>
  <c r="V195" i="6"/>
  <c r="U195" i="6"/>
  <c r="AF194" i="6"/>
  <c r="AE195" i="6" s="1"/>
  <c r="AD194" i="6"/>
  <c r="V194" i="6"/>
  <c r="U194" i="6"/>
  <c r="AF193" i="6"/>
  <c r="AE194" i="6" s="1"/>
  <c r="AD193" i="6"/>
  <c r="V193" i="6"/>
  <c r="U193" i="6"/>
  <c r="AF192" i="6"/>
  <c r="AE193" i="6" s="1"/>
  <c r="AD192" i="6"/>
  <c r="V192" i="6"/>
  <c r="U192" i="6"/>
  <c r="AF191" i="6"/>
  <c r="AE192" i="6" s="1"/>
  <c r="AD191" i="6"/>
  <c r="V191" i="6"/>
  <c r="U191" i="6"/>
  <c r="AF190" i="6"/>
  <c r="AE191" i="6" s="1"/>
  <c r="AD190" i="6"/>
  <c r="V190" i="6"/>
  <c r="U190" i="6"/>
  <c r="AF189" i="6"/>
  <c r="AE190" i="6" s="1"/>
  <c r="AD189" i="6"/>
  <c r="V189" i="6"/>
  <c r="U189" i="6"/>
  <c r="AF188" i="6"/>
  <c r="AE189" i="6" s="1"/>
  <c r="AD188" i="6"/>
  <c r="V188" i="6"/>
  <c r="U188" i="6"/>
  <c r="AF187" i="6"/>
  <c r="AE188" i="6" s="1"/>
  <c r="AD187" i="6"/>
  <c r="V187" i="6"/>
  <c r="U187" i="6"/>
  <c r="AF186" i="6"/>
  <c r="AE187" i="6" s="1"/>
  <c r="AD186" i="6"/>
  <c r="V186" i="6"/>
  <c r="U186" i="6"/>
  <c r="AF185" i="6"/>
  <c r="AE186" i="6" s="1"/>
  <c r="AD185" i="6"/>
  <c r="V185" i="6"/>
  <c r="U185" i="6"/>
  <c r="AF184" i="6"/>
  <c r="AE185" i="6" s="1"/>
  <c r="AD184" i="6"/>
  <c r="V184" i="6"/>
  <c r="U184" i="6"/>
  <c r="AF183" i="6"/>
  <c r="AE184" i="6" s="1"/>
  <c r="AD183" i="6"/>
  <c r="V183" i="6"/>
  <c r="U183" i="6"/>
  <c r="AF182" i="6"/>
  <c r="AE183" i="6" s="1"/>
  <c r="AD182" i="6"/>
  <c r="V182" i="6"/>
  <c r="U182" i="6"/>
  <c r="AF181" i="6"/>
  <c r="AE182" i="6" s="1"/>
  <c r="AD181" i="6"/>
  <c r="V181" i="6"/>
  <c r="U181" i="6"/>
  <c r="AF180" i="6"/>
  <c r="AE181" i="6" s="1"/>
  <c r="AD180" i="6"/>
  <c r="V180" i="6"/>
  <c r="U180" i="6"/>
  <c r="AF179" i="6"/>
  <c r="AE180" i="6" s="1"/>
  <c r="AD179" i="6"/>
  <c r="V179" i="6"/>
  <c r="U179" i="6"/>
  <c r="AF178" i="6"/>
  <c r="AE179" i="6" s="1"/>
  <c r="AD178" i="6"/>
  <c r="V178" i="6"/>
  <c r="U178" i="6"/>
  <c r="AF177" i="6"/>
  <c r="AE178" i="6" s="1"/>
  <c r="AD177" i="6"/>
  <c r="V177" i="6"/>
  <c r="U177" i="6"/>
  <c r="AF176" i="6"/>
  <c r="AE177" i="6" s="1"/>
  <c r="AD176" i="6"/>
  <c r="V176" i="6"/>
  <c r="U176" i="6"/>
  <c r="AF175" i="6"/>
  <c r="AE176" i="6" s="1"/>
  <c r="AD175" i="6"/>
  <c r="V175" i="6"/>
  <c r="U175" i="6"/>
  <c r="AF174" i="6"/>
  <c r="AE175" i="6" s="1"/>
  <c r="AD174" i="6"/>
  <c r="V174" i="6"/>
  <c r="U174" i="6"/>
  <c r="AF173" i="6"/>
  <c r="AE174" i="6" s="1"/>
  <c r="AD173" i="6"/>
  <c r="V173" i="6"/>
  <c r="U173" i="6"/>
  <c r="AF172" i="6"/>
  <c r="AE173" i="6" s="1"/>
  <c r="AD172" i="6"/>
  <c r="V172" i="6"/>
  <c r="U172" i="6"/>
  <c r="AF171" i="6"/>
  <c r="AE172" i="6" s="1"/>
  <c r="AD171" i="6"/>
  <c r="V171" i="6"/>
  <c r="U171" i="6"/>
  <c r="AF170" i="6"/>
  <c r="AE171" i="6" s="1"/>
  <c r="AD170" i="6"/>
  <c r="V170" i="6"/>
  <c r="U170" i="6"/>
  <c r="AF169" i="6"/>
  <c r="AE170" i="6" s="1"/>
  <c r="AD169" i="6"/>
  <c r="V169" i="6"/>
  <c r="U169" i="6"/>
  <c r="AF168" i="6"/>
  <c r="AE169" i="6" s="1"/>
  <c r="AD168" i="6"/>
  <c r="V168" i="6"/>
  <c r="U168" i="6"/>
  <c r="AF167" i="6"/>
  <c r="AE168" i="6" s="1"/>
  <c r="AD167" i="6"/>
  <c r="V167" i="6"/>
  <c r="U167" i="6"/>
  <c r="AF166" i="6"/>
  <c r="AE167" i="6" s="1"/>
  <c r="AD166" i="6"/>
  <c r="V166" i="6"/>
  <c r="U166" i="6"/>
  <c r="AF165" i="6"/>
  <c r="AE166" i="6" s="1"/>
  <c r="AD165" i="6"/>
  <c r="V165" i="6"/>
  <c r="U165" i="6"/>
  <c r="AF164" i="6"/>
  <c r="AE165" i="6" s="1"/>
  <c r="AD164" i="6"/>
  <c r="V164" i="6"/>
  <c r="U164" i="6"/>
  <c r="AF163" i="6"/>
  <c r="AE164" i="6" s="1"/>
  <c r="AD163" i="6"/>
  <c r="V163" i="6"/>
  <c r="U163" i="6"/>
  <c r="AF162" i="6"/>
  <c r="AE163" i="6" s="1"/>
  <c r="AD162" i="6"/>
  <c r="V162" i="6"/>
  <c r="U162" i="6"/>
  <c r="AF161" i="6"/>
  <c r="AE162" i="6" s="1"/>
  <c r="AE161" i="6"/>
  <c r="AD161" i="6"/>
  <c r="V161" i="6"/>
  <c r="U161" i="6"/>
  <c r="AF160" i="6"/>
  <c r="AD160" i="6"/>
  <c r="V160" i="6"/>
  <c r="U160" i="6"/>
  <c r="AF159" i="6"/>
  <c r="AE160" i="6" s="1"/>
  <c r="AD159" i="6"/>
  <c r="V159" i="6"/>
  <c r="U159" i="6"/>
  <c r="AF158" i="6"/>
  <c r="AE159" i="6" s="1"/>
  <c r="AD158" i="6"/>
  <c r="V158" i="6"/>
  <c r="U158" i="6"/>
  <c r="AF157" i="6"/>
  <c r="AE158" i="6" s="1"/>
  <c r="AD157" i="6"/>
  <c r="V157" i="6"/>
  <c r="U157" i="6"/>
  <c r="AF156" i="6"/>
  <c r="AE157" i="6" s="1"/>
  <c r="AD156" i="6"/>
  <c r="V156" i="6"/>
  <c r="U156" i="6"/>
  <c r="AF155" i="6"/>
  <c r="AE156" i="6" s="1"/>
  <c r="AD155" i="6"/>
  <c r="V155" i="6"/>
  <c r="U155" i="6"/>
  <c r="AF154" i="6"/>
  <c r="AE155" i="6" s="1"/>
  <c r="AD154" i="6"/>
  <c r="V154" i="6"/>
  <c r="U154" i="6"/>
  <c r="AF153" i="6"/>
  <c r="AE154" i="6" s="1"/>
  <c r="AD153" i="6"/>
  <c r="V153" i="6"/>
  <c r="U153" i="6"/>
  <c r="AF152" i="6"/>
  <c r="AE153" i="6" s="1"/>
  <c r="AD152" i="6"/>
  <c r="V152" i="6"/>
  <c r="U152" i="6"/>
  <c r="AF151" i="6"/>
  <c r="AE152" i="6" s="1"/>
  <c r="AD151" i="6"/>
  <c r="V151" i="6"/>
  <c r="U151" i="6"/>
  <c r="AF150" i="6"/>
  <c r="AE151" i="6" s="1"/>
  <c r="AD150" i="6"/>
  <c r="V150" i="6"/>
  <c r="U150" i="6"/>
  <c r="AF149" i="6"/>
  <c r="AE150" i="6" s="1"/>
  <c r="AD149" i="6"/>
  <c r="V149" i="6"/>
  <c r="U149" i="6"/>
  <c r="AF148" i="6"/>
  <c r="AE149" i="6" s="1"/>
  <c r="AD148" i="6"/>
  <c r="V148" i="6"/>
  <c r="U148" i="6"/>
  <c r="AF147" i="6"/>
  <c r="AE148" i="6" s="1"/>
  <c r="AD147" i="6"/>
  <c r="V147" i="6"/>
  <c r="U147" i="6"/>
  <c r="AF146" i="6"/>
  <c r="AE147" i="6" s="1"/>
  <c r="AD146" i="6"/>
  <c r="V146" i="6"/>
  <c r="U146" i="6"/>
  <c r="AF145" i="6"/>
  <c r="AE146" i="6" s="1"/>
  <c r="AD145" i="6"/>
  <c r="V145" i="6"/>
  <c r="U145" i="6"/>
  <c r="AF144" i="6"/>
  <c r="AE145" i="6" s="1"/>
  <c r="AD144" i="6"/>
  <c r="V144" i="6"/>
  <c r="U144" i="6"/>
  <c r="AF143" i="6"/>
  <c r="AE144" i="6" s="1"/>
  <c r="AD143" i="6"/>
  <c r="V143" i="6"/>
  <c r="U143" i="6"/>
  <c r="AF142" i="6"/>
  <c r="AE143" i="6" s="1"/>
  <c r="AD142" i="6"/>
  <c r="V142" i="6"/>
  <c r="U142" i="6"/>
  <c r="AF141" i="6"/>
  <c r="AE142" i="6" s="1"/>
  <c r="AD141" i="6"/>
  <c r="V141" i="6"/>
  <c r="U141" i="6"/>
  <c r="AF140" i="6"/>
  <c r="AE141" i="6" s="1"/>
  <c r="AD140" i="6"/>
  <c r="V140" i="6"/>
  <c r="U140" i="6"/>
  <c r="AF139" i="6"/>
  <c r="AE140" i="6" s="1"/>
  <c r="AD139" i="6"/>
  <c r="V139" i="6"/>
  <c r="U139" i="6"/>
  <c r="AF138" i="6"/>
  <c r="AE139" i="6" s="1"/>
  <c r="AD138" i="6"/>
  <c r="V138" i="6"/>
  <c r="U138" i="6"/>
  <c r="AF137" i="6"/>
  <c r="AE138" i="6" s="1"/>
  <c r="AD137" i="6"/>
  <c r="V137" i="6"/>
  <c r="U137" i="6"/>
  <c r="AF136" i="6"/>
  <c r="AE137" i="6" s="1"/>
  <c r="AD136" i="6"/>
  <c r="V136" i="6"/>
  <c r="U136" i="6"/>
  <c r="AF135" i="6"/>
  <c r="AE136" i="6" s="1"/>
  <c r="AD135" i="6"/>
  <c r="V135" i="6"/>
  <c r="U135" i="6"/>
  <c r="AF134" i="6"/>
  <c r="AE135" i="6" s="1"/>
  <c r="AD134" i="6"/>
  <c r="V134" i="6"/>
  <c r="U134" i="6"/>
  <c r="AF133" i="6"/>
  <c r="AE134" i="6" s="1"/>
  <c r="AD133" i="6"/>
  <c r="V133" i="6"/>
  <c r="U133" i="6"/>
  <c r="AF132" i="6"/>
  <c r="AE133" i="6" s="1"/>
  <c r="AD132" i="6"/>
  <c r="V132" i="6"/>
  <c r="U132" i="6"/>
  <c r="AF131" i="6"/>
  <c r="AE132" i="6" s="1"/>
  <c r="AD131" i="6"/>
  <c r="V131" i="6"/>
  <c r="U131" i="6"/>
  <c r="AF130" i="6"/>
  <c r="AE131" i="6" s="1"/>
  <c r="AD130" i="6"/>
  <c r="V130" i="6"/>
  <c r="U130" i="6"/>
  <c r="AF129" i="6"/>
  <c r="AE130" i="6" s="1"/>
  <c r="AD129" i="6"/>
  <c r="V129" i="6"/>
  <c r="U129" i="6"/>
  <c r="AF128" i="6"/>
  <c r="AE129" i="6" s="1"/>
  <c r="AD128" i="6"/>
  <c r="V128" i="6"/>
  <c r="U128" i="6"/>
  <c r="AF127" i="6"/>
  <c r="AE128" i="6" s="1"/>
  <c r="AD127" i="6"/>
  <c r="V127" i="6"/>
  <c r="U127" i="6"/>
  <c r="AF126" i="6"/>
  <c r="AE127" i="6" s="1"/>
  <c r="AD126" i="6"/>
  <c r="V126" i="6"/>
  <c r="U126" i="6"/>
  <c r="AF125" i="6"/>
  <c r="AE126" i="6" s="1"/>
  <c r="AD125" i="6"/>
  <c r="V125" i="6"/>
  <c r="U125" i="6"/>
  <c r="AF124" i="6"/>
  <c r="AE125" i="6" s="1"/>
  <c r="AD124" i="6"/>
  <c r="V124" i="6"/>
  <c r="U124" i="6"/>
  <c r="AF123" i="6"/>
  <c r="AE124" i="6" s="1"/>
  <c r="AD123" i="6"/>
  <c r="V123" i="6"/>
  <c r="U123" i="6"/>
  <c r="AF122" i="6"/>
  <c r="AE123" i="6" s="1"/>
  <c r="AD122" i="6"/>
  <c r="V122" i="6"/>
  <c r="U122" i="6"/>
  <c r="AF121" i="6"/>
  <c r="AE122" i="6" s="1"/>
  <c r="AD121" i="6"/>
  <c r="V121" i="6"/>
  <c r="U121" i="6"/>
  <c r="AF120" i="6"/>
  <c r="AE121" i="6" s="1"/>
  <c r="AD120" i="6"/>
  <c r="V120" i="6"/>
  <c r="U120" i="6"/>
  <c r="AF119" i="6"/>
  <c r="AE120" i="6" s="1"/>
  <c r="AD119" i="6"/>
  <c r="V119" i="6"/>
  <c r="U119" i="6"/>
  <c r="AF118" i="6"/>
  <c r="AE119" i="6" s="1"/>
  <c r="AD118" i="6"/>
  <c r="V118" i="6"/>
  <c r="U118" i="6"/>
  <c r="AF117" i="6"/>
  <c r="AE118" i="6" s="1"/>
  <c r="AD117" i="6"/>
  <c r="V117" i="6"/>
  <c r="U117" i="6"/>
  <c r="AF116" i="6"/>
  <c r="AE117" i="6" s="1"/>
  <c r="AD116" i="6"/>
  <c r="V116" i="6"/>
  <c r="U116" i="6"/>
  <c r="AF115" i="6"/>
  <c r="AE116" i="6" s="1"/>
  <c r="AD115" i="6"/>
  <c r="V115" i="6"/>
  <c r="U115" i="6"/>
  <c r="AF114" i="6"/>
  <c r="AE115" i="6" s="1"/>
  <c r="AD114" i="6"/>
  <c r="V114" i="6"/>
  <c r="U114" i="6"/>
  <c r="AF113" i="6"/>
  <c r="AE114" i="6" s="1"/>
  <c r="AD113" i="6"/>
  <c r="V113" i="6"/>
  <c r="U113" i="6"/>
  <c r="AF112" i="6"/>
  <c r="AE113" i="6" s="1"/>
  <c r="AD112" i="6"/>
  <c r="V112" i="6"/>
  <c r="U112" i="6"/>
  <c r="AF111" i="6"/>
  <c r="AE112" i="6" s="1"/>
  <c r="AD111" i="6"/>
  <c r="V111" i="6"/>
  <c r="U111" i="6"/>
  <c r="AF110" i="6"/>
  <c r="AE111" i="6" s="1"/>
  <c r="AD110" i="6"/>
  <c r="V110" i="6"/>
  <c r="U110" i="6"/>
  <c r="AF109" i="6"/>
  <c r="AE110" i="6" s="1"/>
  <c r="AD109" i="6"/>
  <c r="V109" i="6"/>
  <c r="U109" i="6"/>
  <c r="AF108" i="6"/>
  <c r="AE109" i="6" s="1"/>
  <c r="AD108" i="6"/>
  <c r="V108" i="6"/>
  <c r="U108" i="6"/>
  <c r="AF107" i="6"/>
  <c r="AE108" i="6" s="1"/>
  <c r="AD107" i="6"/>
  <c r="V107" i="6"/>
  <c r="U107" i="6"/>
  <c r="AF106" i="6"/>
  <c r="AE107" i="6" s="1"/>
  <c r="AD106" i="6"/>
  <c r="V106" i="6"/>
  <c r="U106" i="6"/>
  <c r="AF105" i="6"/>
  <c r="AE106" i="6" s="1"/>
  <c r="AD105" i="6"/>
  <c r="V105" i="6"/>
  <c r="U105" i="6"/>
  <c r="AF104" i="6"/>
  <c r="AE105" i="6" s="1"/>
  <c r="AD104" i="6"/>
  <c r="V104" i="6"/>
  <c r="U104" i="6"/>
  <c r="AF103" i="6"/>
  <c r="AE104" i="6" s="1"/>
  <c r="AD103" i="6"/>
  <c r="V103" i="6"/>
  <c r="U103" i="6"/>
  <c r="AF102" i="6"/>
  <c r="AE103" i="6" s="1"/>
  <c r="AD102" i="6"/>
  <c r="V102" i="6"/>
  <c r="U102" i="6"/>
  <c r="AF101" i="6"/>
  <c r="AE102" i="6" s="1"/>
  <c r="AD101" i="6"/>
  <c r="V101" i="6"/>
  <c r="U101" i="6"/>
  <c r="AF100" i="6"/>
  <c r="AE101" i="6" s="1"/>
  <c r="AD100" i="6"/>
  <c r="V100" i="6"/>
  <c r="U100" i="6"/>
  <c r="AF99" i="6"/>
  <c r="AE100" i="6" s="1"/>
  <c r="AD99" i="6"/>
  <c r="V99" i="6"/>
  <c r="U99" i="6"/>
  <c r="AF98" i="6"/>
  <c r="AE99" i="6" s="1"/>
  <c r="AD98" i="6"/>
  <c r="V98" i="6"/>
  <c r="U98" i="6"/>
  <c r="AF97" i="6"/>
  <c r="AE98" i="6" s="1"/>
  <c r="AD97" i="6"/>
  <c r="V97" i="6"/>
  <c r="U97" i="6"/>
  <c r="AF96" i="6"/>
  <c r="AE97" i="6" s="1"/>
  <c r="AD96" i="6"/>
  <c r="V96" i="6"/>
  <c r="U96" i="6"/>
  <c r="AF95" i="6"/>
  <c r="AE96" i="6" s="1"/>
  <c r="AD95" i="6"/>
  <c r="V95" i="6"/>
  <c r="U95" i="6"/>
  <c r="AF94" i="6"/>
  <c r="AE95" i="6" s="1"/>
  <c r="AD94" i="6"/>
  <c r="V94" i="6"/>
  <c r="U94" i="6"/>
  <c r="AF93" i="6"/>
  <c r="AE94" i="6" s="1"/>
  <c r="AD93" i="6"/>
  <c r="V93" i="6"/>
  <c r="U93" i="6"/>
  <c r="AF92" i="6"/>
  <c r="AE93" i="6" s="1"/>
  <c r="AD92" i="6"/>
  <c r="V92" i="6"/>
  <c r="U92" i="6"/>
  <c r="AF91" i="6"/>
  <c r="AE92" i="6" s="1"/>
  <c r="AD91" i="6"/>
  <c r="V91" i="6"/>
  <c r="U91" i="6"/>
  <c r="AF90" i="6"/>
  <c r="AE91" i="6" s="1"/>
  <c r="AD90" i="6"/>
  <c r="V90" i="6"/>
  <c r="U90" i="6"/>
  <c r="AF89" i="6"/>
  <c r="AE90" i="6" s="1"/>
  <c r="AD89" i="6"/>
  <c r="V89" i="6"/>
  <c r="U89" i="6"/>
  <c r="AF88" i="6"/>
  <c r="AE89" i="6" s="1"/>
  <c r="AD88" i="6"/>
  <c r="V88" i="6"/>
  <c r="U88" i="6"/>
  <c r="AF87" i="6"/>
  <c r="AE88" i="6" s="1"/>
  <c r="AD87" i="6"/>
  <c r="V87" i="6"/>
  <c r="U87" i="6"/>
  <c r="AF86" i="6"/>
  <c r="AE87" i="6" s="1"/>
  <c r="AD86" i="6"/>
  <c r="V86" i="6"/>
  <c r="U86" i="6"/>
  <c r="AF85" i="6"/>
  <c r="AE86" i="6" s="1"/>
  <c r="AD85" i="6"/>
  <c r="V85" i="6"/>
  <c r="U85" i="6"/>
  <c r="AF84" i="6"/>
  <c r="AE85" i="6" s="1"/>
  <c r="AD84" i="6"/>
  <c r="V84" i="6"/>
  <c r="U84" i="6"/>
  <c r="AF83" i="6"/>
  <c r="AE84" i="6" s="1"/>
  <c r="AE83" i="6"/>
  <c r="AD83" i="6"/>
  <c r="V83" i="6"/>
  <c r="U83" i="6"/>
  <c r="U2" i="6" s="1"/>
  <c r="AF82" i="6"/>
  <c r="AD82" i="6"/>
  <c r="V82" i="6"/>
  <c r="U82" i="6"/>
  <c r="AF81" i="6"/>
  <c r="AE82" i="6" s="1"/>
  <c r="AD81" i="6"/>
  <c r="V81" i="6"/>
  <c r="U81" i="6"/>
  <c r="AF80" i="6"/>
  <c r="AE81" i="6" s="1"/>
  <c r="AD80" i="6"/>
  <c r="V80" i="6"/>
  <c r="U80" i="6"/>
  <c r="AF79" i="6"/>
  <c r="AE80" i="6" s="1"/>
  <c r="AD79" i="6"/>
  <c r="V79" i="6"/>
  <c r="U79" i="6"/>
  <c r="AF78" i="6"/>
  <c r="AE79" i="6" s="1"/>
  <c r="AD78" i="6"/>
  <c r="V78" i="6"/>
  <c r="U78" i="6"/>
  <c r="AF77" i="6"/>
  <c r="AE78" i="6" s="1"/>
  <c r="AD77" i="6"/>
  <c r="V77" i="6"/>
  <c r="U77" i="6"/>
  <c r="AF76" i="6"/>
  <c r="AE77" i="6" s="1"/>
  <c r="AD76" i="6"/>
  <c r="V76" i="6"/>
  <c r="U76" i="6"/>
  <c r="AF75" i="6"/>
  <c r="AE76" i="6" s="1"/>
  <c r="AD75" i="6"/>
  <c r="V75" i="6"/>
  <c r="U75" i="6"/>
  <c r="AF74" i="6"/>
  <c r="AE75" i="6" s="1"/>
  <c r="AD74" i="6"/>
  <c r="V74" i="6"/>
  <c r="U74" i="6"/>
  <c r="AF73" i="6"/>
  <c r="AE74" i="6" s="1"/>
  <c r="AD73" i="6"/>
  <c r="V73" i="6"/>
  <c r="U73" i="6"/>
  <c r="AF72" i="6"/>
  <c r="AE73" i="6" s="1"/>
  <c r="AD72" i="6"/>
  <c r="V72" i="6"/>
  <c r="U72" i="6"/>
  <c r="AF71" i="6"/>
  <c r="AE72" i="6" s="1"/>
  <c r="AD71" i="6"/>
  <c r="V71" i="6"/>
  <c r="U71" i="6"/>
  <c r="AF70" i="6"/>
  <c r="AE71" i="6" s="1"/>
  <c r="AD70" i="6"/>
  <c r="V70" i="6"/>
  <c r="U70" i="6"/>
  <c r="AF69" i="6"/>
  <c r="AE70" i="6" s="1"/>
  <c r="AD69" i="6"/>
  <c r="V69" i="6"/>
  <c r="U69" i="6"/>
  <c r="AF68" i="6"/>
  <c r="AE69" i="6" s="1"/>
  <c r="AD68" i="6"/>
  <c r="V68" i="6"/>
  <c r="U68" i="6"/>
  <c r="AF67" i="6"/>
  <c r="AE68" i="6" s="1"/>
  <c r="AD67" i="6"/>
  <c r="V67" i="6"/>
  <c r="U67" i="6"/>
  <c r="AF66" i="6"/>
  <c r="AE67" i="6" s="1"/>
  <c r="AD66" i="6"/>
  <c r="V66" i="6"/>
  <c r="U66" i="6"/>
  <c r="AF65" i="6"/>
  <c r="AE66" i="6" s="1"/>
  <c r="AD65" i="6"/>
  <c r="V65" i="6"/>
  <c r="U65" i="6"/>
  <c r="AF64" i="6"/>
  <c r="AE65" i="6" s="1"/>
  <c r="AE64" i="6"/>
  <c r="AD64" i="6"/>
  <c r="V64" i="6"/>
  <c r="U64" i="6"/>
  <c r="K12" i="6"/>
  <c r="J12" i="6"/>
  <c r="I12" i="6"/>
  <c r="H12" i="6"/>
  <c r="G12" i="6"/>
  <c r="F12" i="6"/>
  <c r="E12" i="6"/>
  <c r="D12" i="6"/>
  <c r="K11" i="6"/>
  <c r="AN64" i="6" s="1"/>
  <c r="J11" i="6"/>
  <c r="AM64" i="6" s="1"/>
  <c r="I11" i="6"/>
  <c r="AL64" i="6" s="1"/>
  <c r="H11" i="6"/>
  <c r="AK64" i="6" s="1"/>
  <c r="G11" i="6"/>
  <c r="AJ64" i="6" s="1"/>
  <c r="F11" i="6"/>
  <c r="AI64" i="6" s="1"/>
  <c r="E11" i="6"/>
  <c r="AH64" i="6" s="1"/>
  <c r="D11" i="6"/>
  <c r="AG64" i="6" s="1"/>
  <c r="K10" i="6"/>
  <c r="J10" i="6"/>
  <c r="I10" i="6"/>
  <c r="H10" i="6"/>
  <c r="G10" i="6"/>
  <c r="F10" i="6"/>
  <c r="E10" i="6"/>
  <c r="D10" i="6"/>
  <c r="B10" i="6"/>
  <c r="C548" i="1"/>
  <c r="I548" i="1" s="1"/>
  <c r="J548" i="1" s="1"/>
  <c r="C547" i="1"/>
  <c r="I547" i="1" s="1"/>
  <c r="J547" i="1" s="1"/>
  <c r="C546" i="1"/>
  <c r="I546" i="1" s="1"/>
  <c r="J546" i="1" s="1"/>
  <c r="C545" i="1"/>
  <c r="I545" i="1" s="1"/>
  <c r="J545" i="1" s="1"/>
  <c r="C544" i="1"/>
  <c r="I544" i="1" s="1"/>
  <c r="J544" i="1" s="1"/>
  <c r="C543" i="1"/>
  <c r="I543" i="1" s="1"/>
  <c r="J543" i="1" s="1"/>
  <c r="C542" i="1"/>
  <c r="I542" i="1" s="1"/>
  <c r="J542" i="1" s="1"/>
  <c r="C541" i="1"/>
  <c r="I541" i="1" s="1"/>
  <c r="J541" i="1" s="1"/>
  <c r="C540" i="1"/>
  <c r="I540" i="1" s="1"/>
  <c r="J540" i="1" s="1"/>
  <c r="C539" i="1"/>
  <c r="I539" i="1" s="1"/>
  <c r="J539" i="1" s="1"/>
  <c r="C538" i="1"/>
  <c r="I538" i="1" s="1"/>
  <c r="J538" i="1" s="1"/>
  <c r="C537" i="1"/>
  <c r="I537" i="1" s="1"/>
  <c r="J537" i="1" s="1"/>
  <c r="C536" i="1"/>
  <c r="I536" i="1" s="1"/>
  <c r="J536" i="1" s="1"/>
  <c r="C535" i="1"/>
  <c r="I535" i="1" s="1"/>
  <c r="J535" i="1" s="1"/>
  <c r="C534" i="1"/>
  <c r="I534" i="1" s="1"/>
  <c r="J534" i="1" s="1"/>
  <c r="C533" i="1"/>
  <c r="I533" i="1" s="1"/>
  <c r="J533" i="1" s="1"/>
  <c r="C532" i="1"/>
  <c r="I532" i="1" s="1"/>
  <c r="J532" i="1" s="1"/>
  <c r="C531" i="1"/>
  <c r="I531" i="1" s="1"/>
  <c r="J531" i="1" s="1"/>
  <c r="C530" i="1"/>
  <c r="I530" i="1" s="1"/>
  <c r="J530" i="1" s="1"/>
  <c r="C529" i="1"/>
  <c r="I529" i="1" s="1"/>
  <c r="J529" i="1" s="1"/>
  <c r="C528" i="1"/>
  <c r="I528" i="1" s="1"/>
  <c r="J528" i="1" s="1"/>
  <c r="C527" i="1"/>
  <c r="I527" i="1" s="1"/>
  <c r="J527" i="1" s="1"/>
  <c r="C526" i="1"/>
  <c r="I526" i="1" s="1"/>
  <c r="J526" i="1" s="1"/>
  <c r="C525" i="1"/>
  <c r="I525" i="1" s="1"/>
  <c r="J525" i="1" s="1"/>
  <c r="C524" i="1"/>
  <c r="I524" i="1" s="1"/>
  <c r="J524" i="1" s="1"/>
  <c r="C523" i="1"/>
  <c r="I523" i="1" s="1"/>
  <c r="J523" i="1" s="1"/>
  <c r="C522" i="1"/>
  <c r="I522" i="1" s="1"/>
  <c r="J522" i="1" s="1"/>
  <c r="C521" i="1"/>
  <c r="I521" i="1" s="1"/>
  <c r="J521" i="1" s="1"/>
  <c r="C520" i="1"/>
  <c r="I520" i="1" s="1"/>
  <c r="J520" i="1" s="1"/>
  <c r="C519" i="1"/>
  <c r="I519" i="1" s="1"/>
  <c r="J519" i="1" s="1"/>
  <c r="C518" i="1"/>
  <c r="I518" i="1" s="1"/>
  <c r="J518" i="1" s="1"/>
  <c r="C517" i="1"/>
  <c r="I517" i="1" s="1"/>
  <c r="J517" i="1" s="1"/>
  <c r="C516" i="1"/>
  <c r="I516" i="1" s="1"/>
  <c r="J516" i="1" s="1"/>
  <c r="C515" i="1"/>
  <c r="I515" i="1" s="1"/>
  <c r="J515" i="1" s="1"/>
  <c r="C514" i="1"/>
  <c r="I514" i="1" s="1"/>
  <c r="J514" i="1" s="1"/>
  <c r="C513" i="1"/>
  <c r="I513" i="1" s="1"/>
  <c r="J513" i="1" s="1"/>
  <c r="C512" i="1"/>
  <c r="I512" i="1" s="1"/>
  <c r="J512" i="1" s="1"/>
  <c r="C511" i="1"/>
  <c r="I511" i="1" s="1"/>
  <c r="J511" i="1" s="1"/>
  <c r="C510" i="1"/>
  <c r="I510" i="1" s="1"/>
  <c r="J510" i="1" s="1"/>
  <c r="C509" i="1"/>
  <c r="I509" i="1" s="1"/>
  <c r="J509" i="1" s="1"/>
  <c r="C508" i="1"/>
  <c r="I508" i="1" s="1"/>
  <c r="J508" i="1" s="1"/>
  <c r="C507" i="1"/>
  <c r="I507" i="1" s="1"/>
  <c r="J507" i="1" s="1"/>
  <c r="C506" i="1"/>
  <c r="I506" i="1" s="1"/>
  <c r="J506" i="1" s="1"/>
  <c r="C505" i="1"/>
  <c r="I505" i="1" s="1"/>
  <c r="J505" i="1" s="1"/>
  <c r="C504" i="1"/>
  <c r="I504" i="1" s="1"/>
  <c r="J504" i="1" s="1"/>
  <c r="C503" i="1"/>
  <c r="I503" i="1" s="1"/>
  <c r="J503" i="1" s="1"/>
  <c r="C502" i="1"/>
  <c r="I502" i="1" s="1"/>
  <c r="J502" i="1" s="1"/>
  <c r="C501" i="1"/>
  <c r="I501" i="1" s="1"/>
  <c r="J501" i="1" s="1"/>
  <c r="C500" i="1"/>
  <c r="I500" i="1" s="1"/>
  <c r="J500" i="1" s="1"/>
  <c r="C499" i="1"/>
  <c r="I499" i="1" s="1"/>
  <c r="J499" i="1" s="1"/>
  <c r="C498" i="1"/>
  <c r="I498" i="1" s="1"/>
  <c r="J498" i="1" s="1"/>
  <c r="C497" i="1"/>
  <c r="I497" i="1" s="1"/>
  <c r="J497" i="1" s="1"/>
  <c r="C496" i="1"/>
  <c r="I496" i="1" s="1"/>
  <c r="J496" i="1" s="1"/>
  <c r="C495" i="1"/>
  <c r="I495" i="1" s="1"/>
  <c r="J495" i="1" s="1"/>
  <c r="C494" i="1"/>
  <c r="I494" i="1" s="1"/>
  <c r="J494" i="1" s="1"/>
  <c r="C493" i="1"/>
  <c r="I493" i="1" s="1"/>
  <c r="J493" i="1" s="1"/>
  <c r="C492" i="1"/>
  <c r="I492" i="1" s="1"/>
  <c r="J492" i="1" s="1"/>
  <c r="C491" i="1"/>
  <c r="I491" i="1" s="1"/>
  <c r="J491" i="1" s="1"/>
  <c r="C490" i="1"/>
  <c r="I490" i="1" s="1"/>
  <c r="J490" i="1" s="1"/>
  <c r="C489" i="1"/>
  <c r="I489" i="1" s="1"/>
  <c r="J489" i="1" s="1"/>
  <c r="C488" i="1"/>
  <c r="I488" i="1" s="1"/>
  <c r="J488" i="1" s="1"/>
  <c r="C487" i="1"/>
  <c r="I487" i="1" s="1"/>
  <c r="J487" i="1" s="1"/>
  <c r="C486" i="1"/>
  <c r="I486" i="1" s="1"/>
  <c r="J486" i="1" s="1"/>
  <c r="C485" i="1"/>
  <c r="I485" i="1" s="1"/>
  <c r="J485" i="1" s="1"/>
  <c r="C484" i="1"/>
  <c r="I484" i="1" s="1"/>
  <c r="J484" i="1" s="1"/>
  <c r="C483" i="1"/>
  <c r="I483" i="1" s="1"/>
  <c r="J483" i="1" s="1"/>
  <c r="C482" i="1"/>
  <c r="I482" i="1" s="1"/>
  <c r="J482" i="1" s="1"/>
  <c r="C481" i="1"/>
  <c r="I481" i="1" s="1"/>
  <c r="J481" i="1" s="1"/>
  <c r="C480" i="1"/>
  <c r="I480" i="1" s="1"/>
  <c r="J480" i="1" s="1"/>
  <c r="C479" i="1"/>
  <c r="I479" i="1" s="1"/>
  <c r="J479" i="1" s="1"/>
  <c r="C478" i="1"/>
  <c r="I478" i="1" s="1"/>
  <c r="J478" i="1" s="1"/>
  <c r="C477" i="1"/>
  <c r="I477" i="1" s="1"/>
  <c r="J477" i="1" s="1"/>
  <c r="C476" i="1"/>
  <c r="I476" i="1" s="1"/>
  <c r="J476" i="1" s="1"/>
  <c r="C475" i="1"/>
  <c r="I475" i="1" s="1"/>
  <c r="J475" i="1" s="1"/>
  <c r="C474" i="1"/>
  <c r="I474" i="1" s="1"/>
  <c r="J474" i="1" s="1"/>
  <c r="C473" i="1"/>
  <c r="I473" i="1" s="1"/>
  <c r="J473" i="1" s="1"/>
  <c r="C472" i="1"/>
  <c r="I472" i="1" s="1"/>
  <c r="J472" i="1" s="1"/>
  <c r="C471" i="1"/>
  <c r="I471" i="1" s="1"/>
  <c r="J471" i="1" s="1"/>
  <c r="C470" i="1"/>
  <c r="I470" i="1" s="1"/>
  <c r="J470" i="1" s="1"/>
  <c r="C469" i="1"/>
  <c r="I469" i="1" s="1"/>
  <c r="J469" i="1" s="1"/>
  <c r="C468" i="1"/>
  <c r="I468" i="1" s="1"/>
  <c r="J468" i="1" s="1"/>
  <c r="C467" i="1"/>
  <c r="I467" i="1" s="1"/>
  <c r="J467" i="1" s="1"/>
  <c r="C466" i="1"/>
  <c r="I466" i="1" s="1"/>
  <c r="J466" i="1" s="1"/>
  <c r="C465" i="1"/>
  <c r="I465" i="1" s="1"/>
  <c r="J465" i="1" s="1"/>
  <c r="C464" i="1"/>
  <c r="I464" i="1" s="1"/>
  <c r="J464" i="1" s="1"/>
  <c r="C463" i="1"/>
  <c r="I463" i="1" s="1"/>
  <c r="J463" i="1" s="1"/>
  <c r="C462" i="1"/>
  <c r="I462" i="1" s="1"/>
  <c r="J462" i="1" s="1"/>
  <c r="C461" i="1"/>
  <c r="I461" i="1" s="1"/>
  <c r="J461" i="1" s="1"/>
  <c r="C460" i="1"/>
  <c r="I460" i="1" s="1"/>
  <c r="J460" i="1" s="1"/>
  <c r="C459" i="1"/>
  <c r="I459" i="1" s="1"/>
  <c r="J459" i="1" s="1"/>
  <c r="C458" i="1"/>
  <c r="I458" i="1" s="1"/>
  <c r="J458" i="1" s="1"/>
  <c r="C457" i="1"/>
  <c r="I457" i="1" s="1"/>
  <c r="J457" i="1" s="1"/>
  <c r="C456" i="1"/>
  <c r="I456" i="1" s="1"/>
  <c r="J456" i="1" s="1"/>
  <c r="C455" i="1"/>
  <c r="I455" i="1" s="1"/>
  <c r="J455" i="1" s="1"/>
  <c r="C454" i="1"/>
  <c r="I454" i="1" s="1"/>
  <c r="J454" i="1" s="1"/>
  <c r="C453" i="1"/>
  <c r="I453" i="1" s="1"/>
  <c r="J453" i="1" s="1"/>
  <c r="C452" i="1"/>
  <c r="I452" i="1" s="1"/>
  <c r="J452" i="1" s="1"/>
  <c r="C451" i="1"/>
  <c r="I451" i="1" s="1"/>
  <c r="J451" i="1" s="1"/>
  <c r="C450" i="1"/>
  <c r="I450" i="1" s="1"/>
  <c r="J450" i="1" s="1"/>
  <c r="C449" i="1"/>
  <c r="I449" i="1" s="1"/>
  <c r="J449" i="1" s="1"/>
  <c r="C448" i="1"/>
  <c r="I448" i="1" s="1"/>
  <c r="J448" i="1" s="1"/>
  <c r="C447" i="1"/>
  <c r="I447" i="1" s="1"/>
  <c r="J447" i="1" s="1"/>
  <c r="C446" i="1"/>
  <c r="I446" i="1" s="1"/>
  <c r="J446" i="1" s="1"/>
  <c r="C445" i="1"/>
  <c r="I445" i="1" s="1"/>
  <c r="J445" i="1" s="1"/>
  <c r="C444" i="1"/>
  <c r="I444" i="1" s="1"/>
  <c r="J444" i="1" s="1"/>
  <c r="C443" i="1"/>
  <c r="I443" i="1" s="1"/>
  <c r="J443" i="1" s="1"/>
  <c r="C442" i="1"/>
  <c r="I442" i="1" s="1"/>
  <c r="J442" i="1" s="1"/>
  <c r="C441" i="1"/>
  <c r="I441" i="1" s="1"/>
  <c r="J441" i="1" s="1"/>
  <c r="C440" i="1"/>
  <c r="I440" i="1" s="1"/>
  <c r="J440" i="1" s="1"/>
  <c r="C439" i="1"/>
  <c r="I439" i="1" s="1"/>
  <c r="J439" i="1" s="1"/>
  <c r="C438" i="1"/>
  <c r="I438" i="1" s="1"/>
  <c r="J438" i="1" s="1"/>
  <c r="C437" i="1"/>
  <c r="I437" i="1" s="1"/>
  <c r="J437" i="1" s="1"/>
  <c r="C436" i="1"/>
  <c r="I436" i="1" s="1"/>
  <c r="J436" i="1" s="1"/>
  <c r="C435" i="1"/>
  <c r="I435" i="1" s="1"/>
  <c r="J435" i="1" s="1"/>
  <c r="C434" i="1"/>
  <c r="I434" i="1" s="1"/>
  <c r="J434" i="1" s="1"/>
  <c r="C433" i="1"/>
  <c r="I433" i="1" s="1"/>
  <c r="J433" i="1" s="1"/>
  <c r="C432" i="1"/>
  <c r="I432" i="1" s="1"/>
  <c r="J432" i="1" s="1"/>
  <c r="C431" i="1"/>
  <c r="I431" i="1" s="1"/>
  <c r="J431" i="1" s="1"/>
  <c r="C430" i="1"/>
  <c r="I430" i="1" s="1"/>
  <c r="J430" i="1" s="1"/>
  <c r="C429" i="1"/>
  <c r="I429" i="1" s="1"/>
  <c r="J429" i="1" s="1"/>
  <c r="C428" i="1"/>
  <c r="I428" i="1" s="1"/>
  <c r="J428" i="1" s="1"/>
  <c r="C427" i="1"/>
  <c r="I427" i="1" s="1"/>
  <c r="J427" i="1" s="1"/>
  <c r="C426" i="1"/>
  <c r="I426" i="1" s="1"/>
  <c r="J426" i="1" s="1"/>
  <c r="C425" i="1"/>
  <c r="I425" i="1" s="1"/>
  <c r="J425" i="1" s="1"/>
  <c r="C424" i="1"/>
  <c r="I424" i="1" s="1"/>
  <c r="J424" i="1" s="1"/>
  <c r="C423" i="1"/>
  <c r="I423" i="1" s="1"/>
  <c r="J423" i="1" s="1"/>
  <c r="C422" i="1"/>
  <c r="I422" i="1" s="1"/>
  <c r="J422" i="1" s="1"/>
  <c r="C421" i="1"/>
  <c r="I421" i="1" s="1"/>
  <c r="J421" i="1" s="1"/>
  <c r="C420" i="1"/>
  <c r="I420" i="1" s="1"/>
  <c r="J420" i="1" s="1"/>
  <c r="C419" i="1"/>
  <c r="I419" i="1" s="1"/>
  <c r="J419" i="1" s="1"/>
  <c r="C418" i="1"/>
  <c r="I418" i="1" s="1"/>
  <c r="J418" i="1" s="1"/>
  <c r="C417" i="1"/>
  <c r="I417" i="1" s="1"/>
  <c r="J417" i="1" s="1"/>
  <c r="C416" i="1"/>
  <c r="I416" i="1" s="1"/>
  <c r="J416" i="1" s="1"/>
  <c r="C415" i="1"/>
  <c r="I415" i="1" s="1"/>
  <c r="J415" i="1" s="1"/>
  <c r="C414" i="1"/>
  <c r="I414" i="1" s="1"/>
  <c r="J414" i="1" s="1"/>
  <c r="C413" i="1"/>
  <c r="I413" i="1" s="1"/>
  <c r="J413" i="1" s="1"/>
  <c r="C412" i="1"/>
  <c r="I412" i="1" s="1"/>
  <c r="J412" i="1" s="1"/>
  <c r="C411" i="1"/>
  <c r="I411" i="1" s="1"/>
  <c r="J411" i="1" s="1"/>
  <c r="C410" i="1"/>
  <c r="I410" i="1" s="1"/>
  <c r="J410" i="1" s="1"/>
  <c r="C409" i="1"/>
  <c r="I409" i="1" s="1"/>
  <c r="J409" i="1" s="1"/>
  <c r="C408" i="1"/>
  <c r="I408" i="1" s="1"/>
  <c r="J408" i="1" s="1"/>
  <c r="C407" i="1"/>
  <c r="I407" i="1" s="1"/>
  <c r="J407" i="1" s="1"/>
  <c r="C406" i="1"/>
  <c r="I406" i="1" s="1"/>
  <c r="J406" i="1" s="1"/>
  <c r="C405" i="1"/>
  <c r="I405" i="1" s="1"/>
  <c r="J405" i="1" s="1"/>
  <c r="C404" i="1"/>
  <c r="I404" i="1" s="1"/>
  <c r="J404" i="1" s="1"/>
  <c r="C403" i="1"/>
  <c r="I403" i="1" s="1"/>
  <c r="J403" i="1" s="1"/>
  <c r="C402" i="1"/>
  <c r="I402" i="1" s="1"/>
  <c r="J402" i="1" s="1"/>
  <c r="C401" i="1"/>
  <c r="I401" i="1" s="1"/>
  <c r="J401" i="1" s="1"/>
  <c r="C400" i="1"/>
  <c r="I400" i="1" s="1"/>
  <c r="J400" i="1" s="1"/>
  <c r="C399" i="1"/>
  <c r="I399" i="1" s="1"/>
  <c r="J399" i="1" s="1"/>
  <c r="C398" i="1"/>
  <c r="I398" i="1" s="1"/>
  <c r="J398" i="1" s="1"/>
  <c r="C397" i="1"/>
  <c r="I397" i="1" s="1"/>
  <c r="J397" i="1" s="1"/>
  <c r="C396" i="1"/>
  <c r="I396" i="1" s="1"/>
  <c r="J396" i="1" s="1"/>
  <c r="C395" i="1"/>
  <c r="I395" i="1" s="1"/>
  <c r="J395" i="1" s="1"/>
  <c r="C394" i="1"/>
  <c r="I394" i="1" s="1"/>
  <c r="J394" i="1" s="1"/>
  <c r="C393" i="1"/>
  <c r="I393" i="1" s="1"/>
  <c r="J393" i="1" s="1"/>
  <c r="C392" i="1"/>
  <c r="I392" i="1" s="1"/>
  <c r="J392" i="1" s="1"/>
  <c r="C391" i="1"/>
  <c r="I391" i="1" s="1"/>
  <c r="J391" i="1" s="1"/>
  <c r="C390" i="1"/>
  <c r="I390" i="1" s="1"/>
  <c r="J390" i="1" s="1"/>
  <c r="C389" i="1"/>
  <c r="I389" i="1" s="1"/>
  <c r="J389" i="1" s="1"/>
  <c r="C388" i="1"/>
  <c r="I388" i="1" s="1"/>
  <c r="J388" i="1" s="1"/>
  <c r="C387" i="1"/>
  <c r="I387" i="1" s="1"/>
  <c r="J387" i="1" s="1"/>
  <c r="C386" i="1"/>
  <c r="I386" i="1" s="1"/>
  <c r="J386" i="1" s="1"/>
  <c r="C385" i="1"/>
  <c r="I385" i="1" s="1"/>
  <c r="J385" i="1" s="1"/>
  <c r="C384" i="1"/>
  <c r="I384" i="1" s="1"/>
  <c r="J384" i="1" s="1"/>
  <c r="C383" i="1"/>
  <c r="I383" i="1" s="1"/>
  <c r="J383" i="1" s="1"/>
  <c r="C382" i="1"/>
  <c r="I382" i="1" s="1"/>
  <c r="J382" i="1" s="1"/>
  <c r="C381" i="1"/>
  <c r="I381" i="1" s="1"/>
  <c r="J381" i="1" s="1"/>
  <c r="C380" i="1"/>
  <c r="I380" i="1" s="1"/>
  <c r="J380" i="1" s="1"/>
  <c r="C379" i="1"/>
  <c r="I379" i="1" s="1"/>
  <c r="J379" i="1" s="1"/>
  <c r="C378" i="1"/>
  <c r="I378" i="1" s="1"/>
  <c r="J378" i="1" s="1"/>
  <c r="C377" i="1"/>
  <c r="I377" i="1" s="1"/>
  <c r="J377" i="1" s="1"/>
  <c r="C376" i="1"/>
  <c r="I376" i="1" s="1"/>
  <c r="J376" i="1" s="1"/>
  <c r="C375" i="1"/>
  <c r="I375" i="1" s="1"/>
  <c r="J375" i="1" s="1"/>
  <c r="C374" i="1"/>
  <c r="I374" i="1" s="1"/>
  <c r="J374" i="1" s="1"/>
  <c r="C373" i="1"/>
  <c r="I373" i="1" s="1"/>
  <c r="J373" i="1" s="1"/>
  <c r="C372" i="1"/>
  <c r="I372" i="1" s="1"/>
  <c r="J372" i="1" s="1"/>
  <c r="C371" i="1"/>
  <c r="I371" i="1" s="1"/>
  <c r="J371" i="1" s="1"/>
  <c r="C370" i="1"/>
  <c r="I370" i="1" s="1"/>
  <c r="J370" i="1" s="1"/>
  <c r="C369" i="1"/>
  <c r="I369" i="1" s="1"/>
  <c r="J369" i="1" s="1"/>
  <c r="C368" i="1"/>
  <c r="I368" i="1" s="1"/>
  <c r="J368" i="1" s="1"/>
  <c r="C367" i="1"/>
  <c r="I367" i="1" s="1"/>
  <c r="J367" i="1" s="1"/>
  <c r="C366" i="1"/>
  <c r="I366" i="1" s="1"/>
  <c r="J366" i="1" s="1"/>
  <c r="C365" i="1"/>
  <c r="I365" i="1" s="1"/>
  <c r="J365" i="1" s="1"/>
  <c r="C364" i="1"/>
  <c r="I364" i="1" s="1"/>
  <c r="J364" i="1" s="1"/>
  <c r="C363" i="1"/>
  <c r="I363" i="1" s="1"/>
  <c r="J363" i="1" s="1"/>
  <c r="C362" i="1"/>
  <c r="I362" i="1" s="1"/>
  <c r="J362" i="1" s="1"/>
  <c r="C361" i="1"/>
  <c r="I361" i="1" s="1"/>
  <c r="J361" i="1" s="1"/>
  <c r="C360" i="1"/>
  <c r="I360" i="1" s="1"/>
  <c r="J360" i="1" s="1"/>
  <c r="C359" i="1"/>
  <c r="I359" i="1" s="1"/>
  <c r="J359" i="1" s="1"/>
  <c r="C358" i="1"/>
  <c r="I358" i="1" s="1"/>
  <c r="J358" i="1" s="1"/>
  <c r="C357" i="1"/>
  <c r="I357" i="1" s="1"/>
  <c r="J357" i="1" s="1"/>
  <c r="C356" i="1"/>
  <c r="I356" i="1" s="1"/>
  <c r="J356" i="1" s="1"/>
  <c r="C355" i="1"/>
  <c r="I355" i="1" s="1"/>
  <c r="J355" i="1" s="1"/>
  <c r="C354" i="1"/>
  <c r="I354" i="1" s="1"/>
  <c r="J354" i="1" s="1"/>
  <c r="C353" i="1"/>
  <c r="I353" i="1" s="1"/>
  <c r="J353" i="1" s="1"/>
  <c r="C352" i="1"/>
  <c r="I352" i="1" s="1"/>
  <c r="J352" i="1" s="1"/>
  <c r="C351" i="1"/>
  <c r="I351" i="1" s="1"/>
  <c r="J351" i="1" s="1"/>
  <c r="C350" i="1"/>
  <c r="I350" i="1" s="1"/>
  <c r="J350" i="1" s="1"/>
  <c r="C349" i="1"/>
  <c r="I349" i="1" s="1"/>
  <c r="J349" i="1" s="1"/>
  <c r="C348" i="1"/>
  <c r="I348" i="1" s="1"/>
  <c r="J348" i="1" s="1"/>
  <c r="C347" i="1"/>
  <c r="I347" i="1" s="1"/>
  <c r="J347" i="1" s="1"/>
  <c r="C346" i="1"/>
  <c r="I346" i="1" s="1"/>
  <c r="J346" i="1" s="1"/>
  <c r="C345" i="1"/>
  <c r="I345" i="1" s="1"/>
  <c r="J345" i="1" s="1"/>
  <c r="C344" i="1"/>
  <c r="I344" i="1" s="1"/>
  <c r="J344" i="1" s="1"/>
  <c r="C343" i="1"/>
  <c r="I343" i="1" s="1"/>
  <c r="J343" i="1" s="1"/>
  <c r="C342" i="1"/>
  <c r="I342" i="1" s="1"/>
  <c r="J342" i="1" s="1"/>
  <c r="C341" i="1"/>
  <c r="I341" i="1" s="1"/>
  <c r="J341" i="1" s="1"/>
  <c r="C340" i="1"/>
  <c r="I340" i="1" s="1"/>
  <c r="J340" i="1" s="1"/>
  <c r="C339" i="1"/>
  <c r="I339" i="1" s="1"/>
  <c r="J339" i="1" s="1"/>
  <c r="C338" i="1"/>
  <c r="I338" i="1" s="1"/>
  <c r="J338" i="1" s="1"/>
  <c r="C337" i="1"/>
  <c r="I337" i="1" s="1"/>
  <c r="J337" i="1" s="1"/>
  <c r="C336" i="1"/>
  <c r="I336" i="1" s="1"/>
  <c r="J336" i="1" s="1"/>
  <c r="C335" i="1"/>
  <c r="I335" i="1" s="1"/>
  <c r="J335" i="1" s="1"/>
  <c r="C334" i="1"/>
  <c r="I334" i="1" s="1"/>
  <c r="J334" i="1" s="1"/>
  <c r="C333" i="1"/>
  <c r="I333" i="1" s="1"/>
  <c r="J333" i="1" s="1"/>
  <c r="C332" i="1"/>
  <c r="I332" i="1" s="1"/>
  <c r="J332" i="1" s="1"/>
  <c r="C331" i="1"/>
  <c r="I331" i="1" s="1"/>
  <c r="J331" i="1" s="1"/>
  <c r="C330" i="1"/>
  <c r="I330" i="1" s="1"/>
  <c r="J330" i="1" s="1"/>
  <c r="C329" i="1"/>
  <c r="I329" i="1" s="1"/>
  <c r="J329" i="1" s="1"/>
  <c r="C328" i="1"/>
  <c r="I328" i="1" s="1"/>
  <c r="J328" i="1" s="1"/>
  <c r="C327" i="1"/>
  <c r="I327" i="1" s="1"/>
  <c r="J327" i="1" s="1"/>
  <c r="C326" i="1"/>
  <c r="I326" i="1" s="1"/>
  <c r="J326" i="1" s="1"/>
  <c r="C325" i="1"/>
  <c r="I325" i="1" s="1"/>
  <c r="J325" i="1" s="1"/>
  <c r="C324" i="1"/>
  <c r="I324" i="1" s="1"/>
  <c r="J324" i="1" s="1"/>
  <c r="C323" i="1"/>
  <c r="I323" i="1" s="1"/>
  <c r="J323" i="1" s="1"/>
  <c r="C322" i="1"/>
  <c r="I322" i="1" s="1"/>
  <c r="J322" i="1" s="1"/>
  <c r="C321" i="1"/>
  <c r="I321" i="1" s="1"/>
  <c r="J321" i="1" s="1"/>
  <c r="C320" i="1"/>
  <c r="I320" i="1" s="1"/>
  <c r="J320" i="1" s="1"/>
  <c r="C319" i="1"/>
  <c r="I319" i="1" s="1"/>
  <c r="J319" i="1" s="1"/>
  <c r="C318" i="1"/>
  <c r="I318" i="1" s="1"/>
  <c r="J318" i="1" s="1"/>
  <c r="C317" i="1"/>
  <c r="I317" i="1" s="1"/>
  <c r="J317" i="1" s="1"/>
  <c r="C316" i="1"/>
  <c r="I316" i="1" s="1"/>
  <c r="J316" i="1" s="1"/>
  <c r="C315" i="1"/>
  <c r="I315" i="1" s="1"/>
  <c r="J315" i="1" s="1"/>
  <c r="C314" i="1"/>
  <c r="I314" i="1" s="1"/>
  <c r="J314" i="1" s="1"/>
  <c r="C313" i="1"/>
  <c r="I313" i="1" s="1"/>
  <c r="J313" i="1" s="1"/>
  <c r="C312" i="1"/>
  <c r="I312" i="1" s="1"/>
  <c r="J312" i="1" s="1"/>
  <c r="C311" i="1"/>
  <c r="I311" i="1" s="1"/>
  <c r="J311" i="1" s="1"/>
  <c r="C310" i="1"/>
  <c r="I310" i="1" s="1"/>
  <c r="J310" i="1" s="1"/>
  <c r="C309" i="1"/>
  <c r="I309" i="1" s="1"/>
  <c r="J309" i="1" s="1"/>
  <c r="C308" i="1"/>
  <c r="I308" i="1" s="1"/>
  <c r="J308" i="1" s="1"/>
  <c r="C307" i="1"/>
  <c r="I307" i="1" s="1"/>
  <c r="J307" i="1" s="1"/>
  <c r="C306" i="1"/>
  <c r="I306" i="1" s="1"/>
  <c r="J306" i="1" s="1"/>
  <c r="C305" i="1"/>
  <c r="I305" i="1" s="1"/>
  <c r="J305" i="1" s="1"/>
  <c r="C304" i="1"/>
  <c r="I304" i="1" s="1"/>
  <c r="J304" i="1" s="1"/>
  <c r="C303" i="1"/>
  <c r="I303" i="1" s="1"/>
  <c r="J303" i="1" s="1"/>
  <c r="C302" i="1"/>
  <c r="I302" i="1" s="1"/>
  <c r="J302" i="1" s="1"/>
  <c r="C301" i="1"/>
  <c r="I301" i="1" s="1"/>
  <c r="J301" i="1" s="1"/>
  <c r="C300" i="1"/>
  <c r="I300" i="1" s="1"/>
  <c r="J300" i="1" s="1"/>
  <c r="C299" i="1"/>
  <c r="I299" i="1" s="1"/>
  <c r="J299" i="1" s="1"/>
  <c r="C298" i="1"/>
  <c r="I298" i="1" s="1"/>
  <c r="J298" i="1" s="1"/>
  <c r="C297" i="1"/>
  <c r="I297" i="1" s="1"/>
  <c r="J297" i="1" s="1"/>
  <c r="C296" i="1"/>
  <c r="I296" i="1" s="1"/>
  <c r="J296" i="1" s="1"/>
  <c r="C295" i="1"/>
  <c r="I295" i="1" s="1"/>
  <c r="J295" i="1" s="1"/>
  <c r="C294" i="1"/>
  <c r="I294" i="1" s="1"/>
  <c r="J294" i="1" s="1"/>
  <c r="C293" i="1"/>
  <c r="I293" i="1" s="1"/>
  <c r="J293" i="1" s="1"/>
  <c r="C292" i="1"/>
  <c r="I292" i="1" s="1"/>
  <c r="J292" i="1" s="1"/>
  <c r="C291" i="1"/>
  <c r="I291" i="1" s="1"/>
  <c r="J291" i="1" s="1"/>
  <c r="C290" i="1"/>
  <c r="I290" i="1" s="1"/>
  <c r="J290" i="1" s="1"/>
  <c r="C289" i="1"/>
  <c r="I289" i="1" s="1"/>
  <c r="J289" i="1" s="1"/>
  <c r="C288" i="1"/>
  <c r="I288" i="1" s="1"/>
  <c r="J288" i="1" s="1"/>
  <c r="C287" i="1"/>
  <c r="I287" i="1" s="1"/>
  <c r="J287" i="1" s="1"/>
  <c r="C286" i="1"/>
  <c r="I286" i="1" s="1"/>
  <c r="J286" i="1" s="1"/>
  <c r="C285" i="1"/>
  <c r="I285" i="1" s="1"/>
  <c r="J285" i="1" s="1"/>
  <c r="C284" i="1"/>
  <c r="I284" i="1" s="1"/>
  <c r="J284" i="1" s="1"/>
  <c r="C283" i="1"/>
  <c r="I283" i="1" s="1"/>
  <c r="J283" i="1" s="1"/>
  <c r="C282" i="1"/>
  <c r="I282" i="1" s="1"/>
  <c r="J282" i="1" s="1"/>
  <c r="C281" i="1"/>
  <c r="I281" i="1" s="1"/>
  <c r="J281" i="1" s="1"/>
  <c r="C280" i="1"/>
  <c r="I280" i="1" s="1"/>
  <c r="J280" i="1" s="1"/>
  <c r="C279" i="1"/>
  <c r="I279" i="1" s="1"/>
  <c r="J279" i="1" s="1"/>
  <c r="C278" i="1"/>
  <c r="I278" i="1" s="1"/>
  <c r="J278" i="1" s="1"/>
  <c r="C277" i="1"/>
  <c r="I277" i="1" s="1"/>
  <c r="J277" i="1" s="1"/>
  <c r="C276" i="1"/>
  <c r="I276" i="1" s="1"/>
  <c r="J276" i="1" s="1"/>
  <c r="C275" i="1"/>
  <c r="I275" i="1" s="1"/>
  <c r="J275" i="1" s="1"/>
  <c r="C274" i="1"/>
  <c r="I274" i="1" s="1"/>
  <c r="J274" i="1" s="1"/>
  <c r="C273" i="1"/>
  <c r="I273" i="1" s="1"/>
  <c r="J273" i="1" s="1"/>
  <c r="C272" i="1"/>
  <c r="I272" i="1" s="1"/>
  <c r="J272" i="1" s="1"/>
  <c r="C271" i="1"/>
  <c r="I271" i="1" s="1"/>
  <c r="J271" i="1" s="1"/>
  <c r="C270" i="1"/>
  <c r="I270" i="1" s="1"/>
  <c r="J270" i="1" s="1"/>
  <c r="C269" i="1"/>
  <c r="I269" i="1" s="1"/>
  <c r="J269" i="1" s="1"/>
  <c r="C268" i="1"/>
  <c r="I268" i="1" s="1"/>
  <c r="J268" i="1" s="1"/>
  <c r="C267" i="1"/>
  <c r="I267" i="1" s="1"/>
  <c r="J267" i="1" s="1"/>
  <c r="C266" i="1"/>
  <c r="I266" i="1" s="1"/>
  <c r="J266" i="1" s="1"/>
  <c r="C265" i="1"/>
  <c r="I265" i="1" s="1"/>
  <c r="J265" i="1" s="1"/>
  <c r="C264" i="1"/>
  <c r="I264" i="1" s="1"/>
  <c r="J264" i="1" s="1"/>
  <c r="C263" i="1"/>
  <c r="I263" i="1" s="1"/>
  <c r="J263" i="1" s="1"/>
  <c r="C262" i="1"/>
  <c r="I262" i="1" s="1"/>
  <c r="J262" i="1" s="1"/>
  <c r="C261" i="1"/>
  <c r="I261" i="1" s="1"/>
  <c r="J261" i="1" s="1"/>
  <c r="C260" i="1"/>
  <c r="I260" i="1" s="1"/>
  <c r="J260" i="1" s="1"/>
  <c r="C259" i="1"/>
  <c r="I259" i="1" s="1"/>
  <c r="J259" i="1" s="1"/>
  <c r="C258" i="1"/>
  <c r="I258" i="1" s="1"/>
  <c r="J258" i="1" s="1"/>
  <c r="C257" i="1"/>
  <c r="I257" i="1" s="1"/>
  <c r="J257" i="1" s="1"/>
  <c r="C256" i="1"/>
  <c r="I256" i="1" s="1"/>
  <c r="J256" i="1" s="1"/>
  <c r="C255" i="1"/>
  <c r="I255" i="1" s="1"/>
  <c r="J255" i="1" s="1"/>
  <c r="C254" i="1"/>
  <c r="I254" i="1" s="1"/>
  <c r="J254" i="1" s="1"/>
  <c r="C253" i="1"/>
  <c r="I253" i="1" s="1"/>
  <c r="J253" i="1" s="1"/>
  <c r="C252" i="1"/>
  <c r="I252" i="1" s="1"/>
  <c r="J252" i="1" s="1"/>
  <c r="C251" i="1"/>
  <c r="I251" i="1" s="1"/>
  <c r="J251" i="1" s="1"/>
  <c r="C250" i="1"/>
  <c r="I250" i="1" s="1"/>
  <c r="J250" i="1" s="1"/>
  <c r="C249" i="1"/>
  <c r="I249" i="1" s="1"/>
  <c r="J249" i="1" s="1"/>
  <c r="C248" i="1"/>
  <c r="I248" i="1" s="1"/>
  <c r="J248" i="1" s="1"/>
  <c r="C247" i="1"/>
  <c r="I247" i="1" s="1"/>
  <c r="J247" i="1" s="1"/>
  <c r="C246" i="1"/>
  <c r="I246" i="1" s="1"/>
  <c r="J246" i="1" s="1"/>
  <c r="C245" i="1"/>
  <c r="I245" i="1" s="1"/>
  <c r="J245" i="1" s="1"/>
  <c r="C244" i="1"/>
  <c r="I244" i="1" s="1"/>
  <c r="J244" i="1" s="1"/>
  <c r="C243" i="1"/>
  <c r="I243" i="1" s="1"/>
  <c r="J243" i="1" s="1"/>
  <c r="C242" i="1"/>
  <c r="I242" i="1" s="1"/>
  <c r="J242" i="1" s="1"/>
  <c r="C241" i="1"/>
  <c r="I241" i="1" s="1"/>
  <c r="J241" i="1" s="1"/>
  <c r="C240" i="1"/>
  <c r="I240" i="1" s="1"/>
  <c r="J240" i="1" s="1"/>
  <c r="C239" i="1"/>
  <c r="I239" i="1" s="1"/>
  <c r="J239" i="1" s="1"/>
  <c r="C238" i="1"/>
  <c r="I238" i="1" s="1"/>
  <c r="J238" i="1" s="1"/>
  <c r="C237" i="1"/>
  <c r="I237" i="1" s="1"/>
  <c r="J237" i="1" s="1"/>
  <c r="C236" i="1"/>
  <c r="I236" i="1" s="1"/>
  <c r="J236" i="1" s="1"/>
  <c r="C235" i="1"/>
  <c r="I235" i="1" s="1"/>
  <c r="J235" i="1" s="1"/>
  <c r="C234" i="1"/>
  <c r="I234" i="1" s="1"/>
  <c r="J234" i="1" s="1"/>
  <c r="C233" i="1"/>
  <c r="I233" i="1" s="1"/>
  <c r="J233" i="1" s="1"/>
  <c r="C232" i="1"/>
  <c r="I232" i="1" s="1"/>
  <c r="J232" i="1" s="1"/>
  <c r="C231" i="1"/>
  <c r="I231" i="1" s="1"/>
  <c r="J231" i="1" s="1"/>
  <c r="C230" i="1"/>
  <c r="I230" i="1" s="1"/>
  <c r="J230" i="1" s="1"/>
  <c r="C229" i="1"/>
  <c r="I229" i="1" s="1"/>
  <c r="J229" i="1" s="1"/>
  <c r="C228" i="1"/>
  <c r="I228" i="1" s="1"/>
  <c r="J228" i="1" s="1"/>
  <c r="C227" i="1"/>
  <c r="I227" i="1" s="1"/>
  <c r="J227" i="1" s="1"/>
  <c r="C226" i="1"/>
  <c r="I226" i="1" s="1"/>
  <c r="J226" i="1" s="1"/>
  <c r="C225" i="1"/>
  <c r="I225" i="1" s="1"/>
  <c r="J225" i="1" s="1"/>
  <c r="C224" i="1"/>
  <c r="I224" i="1" s="1"/>
  <c r="J224" i="1" s="1"/>
  <c r="C223" i="1"/>
  <c r="I223" i="1" s="1"/>
  <c r="J223" i="1" s="1"/>
  <c r="C222" i="1"/>
  <c r="I222" i="1" s="1"/>
  <c r="J222" i="1" s="1"/>
  <c r="C221" i="1"/>
  <c r="I221" i="1" s="1"/>
  <c r="J221" i="1" s="1"/>
  <c r="C220" i="1"/>
  <c r="I220" i="1" s="1"/>
  <c r="J220" i="1" s="1"/>
  <c r="C219" i="1"/>
  <c r="I219" i="1" s="1"/>
  <c r="J219" i="1" s="1"/>
  <c r="C218" i="1"/>
  <c r="I218" i="1" s="1"/>
  <c r="J218" i="1" s="1"/>
  <c r="C217" i="1"/>
  <c r="I217" i="1" s="1"/>
  <c r="J217" i="1" s="1"/>
  <c r="C216" i="1"/>
  <c r="I216" i="1" s="1"/>
  <c r="J216" i="1" s="1"/>
  <c r="C215" i="1"/>
  <c r="I215" i="1" s="1"/>
  <c r="J215" i="1" s="1"/>
  <c r="C214" i="1"/>
  <c r="I214" i="1" s="1"/>
  <c r="J214" i="1" s="1"/>
  <c r="C213" i="1"/>
  <c r="I213" i="1" s="1"/>
  <c r="J213" i="1" s="1"/>
  <c r="C212" i="1"/>
  <c r="I212" i="1" s="1"/>
  <c r="J212" i="1" s="1"/>
  <c r="C211" i="1"/>
  <c r="I211" i="1" s="1"/>
  <c r="J211" i="1" s="1"/>
  <c r="C210" i="1"/>
  <c r="I210" i="1" s="1"/>
  <c r="J210" i="1" s="1"/>
  <c r="C209" i="1"/>
  <c r="I209" i="1" s="1"/>
  <c r="J209" i="1" s="1"/>
  <c r="C208" i="1"/>
  <c r="I208" i="1" s="1"/>
  <c r="J208" i="1" s="1"/>
  <c r="C207" i="1"/>
  <c r="I207" i="1" s="1"/>
  <c r="J207" i="1" s="1"/>
  <c r="C206" i="1"/>
  <c r="I206" i="1" s="1"/>
  <c r="J206" i="1" s="1"/>
  <c r="C205" i="1"/>
  <c r="I205" i="1" s="1"/>
  <c r="J205" i="1" s="1"/>
  <c r="C204" i="1"/>
  <c r="I204" i="1" s="1"/>
  <c r="J204" i="1" s="1"/>
  <c r="C203" i="1"/>
  <c r="I203" i="1" s="1"/>
  <c r="J203" i="1" s="1"/>
  <c r="C202" i="1"/>
  <c r="I202" i="1" s="1"/>
  <c r="J202" i="1" s="1"/>
  <c r="C201" i="1"/>
  <c r="I201" i="1" s="1"/>
  <c r="J201" i="1" s="1"/>
  <c r="C200" i="1"/>
  <c r="I200" i="1" s="1"/>
  <c r="J200" i="1" s="1"/>
  <c r="C199" i="1"/>
  <c r="I199" i="1" s="1"/>
  <c r="J199" i="1" s="1"/>
  <c r="C198" i="1"/>
  <c r="I198" i="1" s="1"/>
  <c r="J198" i="1" s="1"/>
  <c r="C197" i="1"/>
  <c r="I197" i="1" s="1"/>
  <c r="J197" i="1" s="1"/>
  <c r="C196" i="1"/>
  <c r="I196" i="1" s="1"/>
  <c r="J196" i="1" s="1"/>
  <c r="C195" i="1"/>
  <c r="I195" i="1" s="1"/>
  <c r="J195" i="1" s="1"/>
  <c r="C194" i="1"/>
  <c r="I194" i="1" s="1"/>
  <c r="J194" i="1" s="1"/>
  <c r="C193" i="1"/>
  <c r="I193" i="1" s="1"/>
  <c r="J193" i="1" s="1"/>
  <c r="C192" i="1"/>
  <c r="I192" i="1" s="1"/>
  <c r="J192" i="1" s="1"/>
  <c r="C191" i="1"/>
  <c r="I191" i="1" s="1"/>
  <c r="J191" i="1" s="1"/>
  <c r="C190" i="1"/>
  <c r="I190" i="1" s="1"/>
  <c r="J190" i="1" s="1"/>
  <c r="C189" i="1"/>
  <c r="I189" i="1" s="1"/>
  <c r="J189" i="1" s="1"/>
  <c r="C188" i="1"/>
  <c r="I188" i="1" s="1"/>
  <c r="J188" i="1" s="1"/>
  <c r="C187" i="1"/>
  <c r="I187" i="1" s="1"/>
  <c r="J187" i="1" s="1"/>
  <c r="C186" i="1"/>
  <c r="I186" i="1" s="1"/>
  <c r="J186" i="1" s="1"/>
  <c r="C185" i="1"/>
  <c r="I185" i="1" s="1"/>
  <c r="J185" i="1" s="1"/>
  <c r="C184" i="1"/>
  <c r="I184" i="1" s="1"/>
  <c r="J184" i="1" s="1"/>
  <c r="C183" i="1"/>
  <c r="I183" i="1" s="1"/>
  <c r="J183" i="1" s="1"/>
  <c r="C182" i="1"/>
  <c r="I182" i="1" s="1"/>
  <c r="J182" i="1" s="1"/>
  <c r="C181" i="1"/>
  <c r="I181" i="1" s="1"/>
  <c r="J181" i="1" s="1"/>
  <c r="C180" i="1"/>
  <c r="I180" i="1" s="1"/>
  <c r="J180" i="1" s="1"/>
  <c r="C179" i="1"/>
  <c r="I179" i="1" s="1"/>
  <c r="J179" i="1" s="1"/>
  <c r="C178" i="1"/>
  <c r="I178" i="1" s="1"/>
  <c r="J178" i="1" s="1"/>
  <c r="C177" i="1"/>
  <c r="I177" i="1" s="1"/>
  <c r="J177" i="1" s="1"/>
  <c r="C176" i="1"/>
  <c r="I176" i="1" s="1"/>
  <c r="J176" i="1" s="1"/>
  <c r="C175" i="1"/>
  <c r="I175" i="1" s="1"/>
  <c r="J175" i="1" s="1"/>
  <c r="C174" i="1"/>
  <c r="I174" i="1" s="1"/>
  <c r="J174" i="1" s="1"/>
  <c r="C173" i="1"/>
  <c r="I173" i="1" s="1"/>
  <c r="J173" i="1" s="1"/>
  <c r="C172" i="1"/>
  <c r="I172" i="1" s="1"/>
  <c r="J172" i="1" s="1"/>
  <c r="C171" i="1"/>
  <c r="I171" i="1" s="1"/>
  <c r="J171" i="1" s="1"/>
  <c r="C170" i="1"/>
  <c r="I170" i="1" s="1"/>
  <c r="J170" i="1" s="1"/>
  <c r="C169" i="1"/>
  <c r="I169" i="1" s="1"/>
  <c r="J169" i="1" s="1"/>
  <c r="C168" i="1"/>
  <c r="I168" i="1" s="1"/>
  <c r="J168" i="1" s="1"/>
  <c r="C167" i="1"/>
  <c r="I167" i="1" s="1"/>
  <c r="J167" i="1" s="1"/>
  <c r="C166" i="1"/>
  <c r="I166" i="1" s="1"/>
  <c r="J166" i="1" s="1"/>
  <c r="C165" i="1"/>
  <c r="I165" i="1" s="1"/>
  <c r="J165" i="1" s="1"/>
  <c r="C164" i="1"/>
  <c r="I164" i="1" s="1"/>
  <c r="J164" i="1" s="1"/>
  <c r="C163" i="1"/>
  <c r="I163" i="1" s="1"/>
  <c r="J163" i="1" s="1"/>
  <c r="C162" i="1"/>
  <c r="I162" i="1" s="1"/>
  <c r="J162" i="1" s="1"/>
  <c r="C161" i="1"/>
  <c r="I161" i="1" s="1"/>
  <c r="J161" i="1" s="1"/>
  <c r="C160" i="1"/>
  <c r="I160" i="1" s="1"/>
  <c r="J160" i="1" s="1"/>
  <c r="C159" i="1"/>
  <c r="I159" i="1" s="1"/>
  <c r="J159" i="1" s="1"/>
  <c r="C158" i="1"/>
  <c r="I158" i="1" s="1"/>
  <c r="J158" i="1" s="1"/>
  <c r="C157" i="1"/>
  <c r="I157" i="1" s="1"/>
  <c r="J157" i="1" s="1"/>
  <c r="C156" i="1"/>
  <c r="I156" i="1" s="1"/>
  <c r="J156" i="1" s="1"/>
  <c r="C155" i="1"/>
  <c r="I155" i="1" s="1"/>
  <c r="J155" i="1" s="1"/>
  <c r="C154" i="1"/>
  <c r="I154" i="1" s="1"/>
  <c r="J154" i="1" s="1"/>
  <c r="C153" i="1"/>
  <c r="I153" i="1" s="1"/>
  <c r="J153" i="1" s="1"/>
  <c r="C152" i="1"/>
  <c r="I152" i="1" s="1"/>
  <c r="J152" i="1" s="1"/>
  <c r="C151" i="1"/>
  <c r="I151" i="1" s="1"/>
  <c r="J151" i="1" s="1"/>
  <c r="C150" i="1"/>
  <c r="I150" i="1" s="1"/>
  <c r="J150" i="1" s="1"/>
  <c r="C149" i="1"/>
  <c r="I149" i="1" s="1"/>
  <c r="J149" i="1" s="1"/>
  <c r="C148" i="1"/>
  <c r="I148" i="1" s="1"/>
  <c r="J148" i="1" s="1"/>
  <c r="C147" i="1"/>
  <c r="I147" i="1" s="1"/>
  <c r="J147" i="1" s="1"/>
  <c r="C146" i="1"/>
  <c r="I146" i="1" s="1"/>
  <c r="J146" i="1" s="1"/>
  <c r="C145" i="1"/>
  <c r="I145" i="1" s="1"/>
  <c r="J145" i="1" s="1"/>
  <c r="C144" i="1"/>
  <c r="I144" i="1" s="1"/>
  <c r="J144" i="1" s="1"/>
  <c r="C143" i="1"/>
  <c r="I143" i="1" s="1"/>
  <c r="J143" i="1" s="1"/>
  <c r="C142" i="1"/>
  <c r="I142" i="1" s="1"/>
  <c r="J142" i="1" s="1"/>
  <c r="C141" i="1"/>
  <c r="I141" i="1" s="1"/>
  <c r="J141" i="1" s="1"/>
  <c r="C140" i="1"/>
  <c r="I140" i="1" s="1"/>
  <c r="J140" i="1" s="1"/>
  <c r="C139" i="1"/>
  <c r="I139" i="1" s="1"/>
  <c r="J139" i="1" s="1"/>
  <c r="C138" i="1"/>
  <c r="I138" i="1" s="1"/>
  <c r="J138" i="1" s="1"/>
  <c r="C137" i="1"/>
  <c r="I137" i="1" s="1"/>
  <c r="J137" i="1" s="1"/>
  <c r="C136" i="1"/>
  <c r="I136" i="1" s="1"/>
  <c r="J136" i="1" s="1"/>
  <c r="C135" i="1"/>
  <c r="I135" i="1" s="1"/>
  <c r="J135" i="1" s="1"/>
  <c r="C134" i="1"/>
  <c r="I134" i="1" s="1"/>
  <c r="J134" i="1" s="1"/>
  <c r="C133" i="1"/>
  <c r="I133" i="1" s="1"/>
  <c r="J133" i="1" s="1"/>
  <c r="C132" i="1"/>
  <c r="I132" i="1" s="1"/>
  <c r="J132" i="1" s="1"/>
  <c r="C131" i="1"/>
  <c r="I131" i="1" s="1"/>
  <c r="J131" i="1" s="1"/>
  <c r="C130" i="1"/>
  <c r="I130" i="1" s="1"/>
  <c r="J130" i="1" s="1"/>
  <c r="C129" i="1"/>
  <c r="I129" i="1" s="1"/>
  <c r="J129" i="1" s="1"/>
  <c r="C128" i="1"/>
  <c r="I128" i="1" s="1"/>
  <c r="J128" i="1" s="1"/>
  <c r="C127" i="1"/>
  <c r="I127" i="1" s="1"/>
  <c r="J127" i="1" s="1"/>
  <c r="C126" i="1"/>
  <c r="I126" i="1" s="1"/>
  <c r="J126" i="1" s="1"/>
  <c r="C125" i="1"/>
  <c r="I125" i="1" s="1"/>
  <c r="J125" i="1" s="1"/>
  <c r="C124" i="1"/>
  <c r="I124" i="1" s="1"/>
  <c r="J124" i="1" s="1"/>
  <c r="C123" i="1"/>
  <c r="I123" i="1" s="1"/>
  <c r="J123" i="1" s="1"/>
  <c r="C122" i="1"/>
  <c r="I122" i="1" s="1"/>
  <c r="J122" i="1" s="1"/>
  <c r="C121" i="1"/>
  <c r="I121" i="1" s="1"/>
  <c r="J121" i="1" s="1"/>
  <c r="C120" i="1"/>
  <c r="I120" i="1" s="1"/>
  <c r="J120" i="1" s="1"/>
  <c r="C119" i="1"/>
  <c r="I119" i="1" s="1"/>
  <c r="J119" i="1" s="1"/>
  <c r="C118" i="1"/>
  <c r="I118" i="1" s="1"/>
  <c r="J118" i="1" s="1"/>
  <c r="C117" i="1"/>
  <c r="I117" i="1" s="1"/>
  <c r="J117" i="1" s="1"/>
  <c r="C116" i="1"/>
  <c r="I116" i="1" s="1"/>
  <c r="J116" i="1" s="1"/>
  <c r="C115" i="1"/>
  <c r="I115" i="1" s="1"/>
  <c r="J115" i="1" s="1"/>
  <c r="C114" i="1"/>
  <c r="I114" i="1" s="1"/>
  <c r="J114" i="1" s="1"/>
  <c r="C113" i="1"/>
  <c r="I113" i="1" s="1"/>
  <c r="J113" i="1" s="1"/>
  <c r="C112" i="1"/>
  <c r="I112" i="1" s="1"/>
  <c r="J112" i="1" s="1"/>
  <c r="C111" i="1"/>
  <c r="I111" i="1" s="1"/>
  <c r="J111" i="1" s="1"/>
  <c r="C110" i="1"/>
  <c r="I110" i="1" s="1"/>
  <c r="J110" i="1" s="1"/>
  <c r="C109" i="1"/>
  <c r="I109" i="1" s="1"/>
  <c r="J109" i="1" s="1"/>
  <c r="C108" i="1"/>
  <c r="I108" i="1" s="1"/>
  <c r="J108" i="1" s="1"/>
  <c r="C107" i="1"/>
  <c r="I107" i="1" s="1"/>
  <c r="J107" i="1" s="1"/>
  <c r="C106" i="1"/>
  <c r="I106" i="1" s="1"/>
  <c r="J106" i="1" s="1"/>
  <c r="C105" i="1"/>
  <c r="I105" i="1" s="1"/>
  <c r="J105" i="1" s="1"/>
  <c r="C104" i="1"/>
  <c r="I104" i="1" s="1"/>
  <c r="J104" i="1" s="1"/>
  <c r="C103" i="1"/>
  <c r="I103" i="1" s="1"/>
  <c r="J103" i="1" s="1"/>
  <c r="C102" i="1"/>
  <c r="I102" i="1" s="1"/>
  <c r="J102" i="1" s="1"/>
  <c r="C101" i="1"/>
  <c r="I101" i="1" s="1"/>
  <c r="J101" i="1" s="1"/>
  <c r="C100" i="1"/>
  <c r="I100" i="1" s="1"/>
  <c r="J100" i="1" s="1"/>
  <c r="C99" i="1"/>
  <c r="I99" i="1" s="1"/>
  <c r="J99" i="1" s="1"/>
  <c r="C98" i="1"/>
  <c r="I98" i="1" s="1"/>
  <c r="J98" i="1" s="1"/>
  <c r="C97" i="1"/>
  <c r="I97" i="1" s="1"/>
  <c r="J97" i="1" s="1"/>
  <c r="C96" i="1"/>
  <c r="I96" i="1" s="1"/>
  <c r="J96" i="1" s="1"/>
  <c r="C95" i="1"/>
  <c r="I95" i="1" s="1"/>
  <c r="J95" i="1" s="1"/>
  <c r="C94" i="1"/>
  <c r="I94" i="1" s="1"/>
  <c r="J94" i="1" s="1"/>
  <c r="C93" i="1"/>
  <c r="I93" i="1" s="1"/>
  <c r="J93" i="1" s="1"/>
  <c r="C92" i="1"/>
  <c r="I92" i="1" s="1"/>
  <c r="J92" i="1" s="1"/>
  <c r="C91" i="1"/>
  <c r="I91" i="1" s="1"/>
  <c r="J91" i="1" s="1"/>
  <c r="C90" i="1"/>
  <c r="I90" i="1" s="1"/>
  <c r="J90" i="1" s="1"/>
  <c r="C89" i="1"/>
  <c r="I89" i="1" s="1"/>
  <c r="J89" i="1" s="1"/>
  <c r="C88" i="1"/>
  <c r="I88" i="1" s="1"/>
  <c r="J88" i="1" s="1"/>
  <c r="C87" i="1"/>
  <c r="I87" i="1" s="1"/>
  <c r="J87" i="1" s="1"/>
  <c r="C86" i="1"/>
  <c r="I86" i="1" s="1"/>
  <c r="J86" i="1" s="1"/>
  <c r="C85" i="1"/>
  <c r="I85" i="1" s="1"/>
  <c r="J85" i="1" s="1"/>
  <c r="C84" i="1"/>
  <c r="I84" i="1" s="1"/>
  <c r="J84" i="1" s="1"/>
  <c r="C83" i="1"/>
  <c r="I83" i="1" s="1"/>
  <c r="J83" i="1" s="1"/>
  <c r="C82" i="1"/>
  <c r="I82" i="1" s="1"/>
  <c r="J82" i="1" s="1"/>
  <c r="C81" i="1"/>
  <c r="I81" i="1" s="1"/>
  <c r="J81" i="1" s="1"/>
  <c r="C80" i="1"/>
  <c r="I80" i="1" s="1"/>
  <c r="J80" i="1" s="1"/>
  <c r="C79" i="1"/>
  <c r="I79" i="1" s="1"/>
  <c r="J79" i="1" s="1"/>
  <c r="C78" i="1"/>
  <c r="I78" i="1" s="1"/>
  <c r="J78" i="1" s="1"/>
  <c r="C77" i="1"/>
  <c r="I77" i="1" s="1"/>
  <c r="J77" i="1" s="1"/>
  <c r="C76" i="1"/>
  <c r="I76" i="1" s="1"/>
  <c r="J76" i="1" s="1"/>
  <c r="C75" i="1"/>
  <c r="I75" i="1" s="1"/>
  <c r="J75" i="1" s="1"/>
  <c r="C74" i="1"/>
  <c r="I74" i="1" s="1"/>
  <c r="J74" i="1" s="1"/>
  <c r="C73" i="1"/>
  <c r="I73" i="1" s="1"/>
  <c r="J73" i="1" s="1"/>
  <c r="C72" i="1"/>
  <c r="I72" i="1" s="1"/>
  <c r="J72" i="1" s="1"/>
  <c r="C71" i="1"/>
  <c r="I71" i="1" s="1"/>
  <c r="J71" i="1" s="1"/>
  <c r="C70" i="1"/>
  <c r="I70" i="1" s="1"/>
  <c r="J70" i="1" s="1"/>
  <c r="C69" i="1"/>
  <c r="I69" i="1" s="1"/>
  <c r="J69" i="1" s="1"/>
  <c r="C68" i="1"/>
  <c r="I68" i="1" s="1"/>
  <c r="J68" i="1" s="1"/>
  <c r="C67" i="1"/>
  <c r="I67" i="1" s="1"/>
  <c r="J67" i="1" s="1"/>
  <c r="C66" i="1"/>
  <c r="I66" i="1" s="1"/>
  <c r="J66" i="1" s="1"/>
  <c r="C65" i="1"/>
  <c r="I65" i="1" s="1"/>
  <c r="J65" i="1" s="1"/>
  <c r="C64" i="1"/>
  <c r="I64" i="1" s="1"/>
  <c r="J64" i="1" s="1"/>
  <c r="C63" i="1"/>
  <c r="I63" i="1" s="1"/>
  <c r="J63" i="1" s="1"/>
  <c r="C62" i="1"/>
  <c r="I62" i="1" s="1"/>
  <c r="J62" i="1" s="1"/>
  <c r="C61" i="1"/>
  <c r="I61" i="1" s="1"/>
  <c r="J61" i="1" s="1"/>
  <c r="C60" i="1"/>
  <c r="I60" i="1" s="1"/>
  <c r="J60" i="1" s="1"/>
  <c r="C59" i="1"/>
  <c r="I59" i="1" s="1"/>
  <c r="J59" i="1" s="1"/>
  <c r="C58" i="1"/>
  <c r="I58" i="1" s="1"/>
  <c r="J58" i="1" s="1"/>
  <c r="C57" i="1"/>
  <c r="I57" i="1" s="1"/>
  <c r="J57" i="1" s="1"/>
  <c r="C56" i="1"/>
  <c r="I56" i="1" s="1"/>
  <c r="J56" i="1" s="1"/>
  <c r="C55" i="1"/>
  <c r="I55" i="1" s="1"/>
  <c r="J55" i="1" s="1"/>
  <c r="C54" i="1"/>
  <c r="I54" i="1" s="1"/>
  <c r="J54" i="1" s="1"/>
  <c r="C53" i="1"/>
  <c r="I53" i="1" s="1"/>
  <c r="J53" i="1" s="1"/>
  <c r="C52" i="1"/>
  <c r="I52" i="1" s="1"/>
  <c r="J52" i="1" s="1"/>
  <c r="C51" i="1"/>
  <c r="I51" i="1" s="1"/>
  <c r="J51" i="1" s="1"/>
  <c r="C50" i="1"/>
  <c r="I50" i="1" s="1"/>
  <c r="J50" i="1" s="1"/>
  <c r="C49" i="1"/>
  <c r="I49" i="1" s="1"/>
  <c r="J49" i="1" s="1"/>
  <c r="C48" i="1"/>
  <c r="I48" i="1" s="1"/>
  <c r="J48" i="1" s="1"/>
  <c r="C47" i="1"/>
  <c r="I47" i="1" s="1"/>
  <c r="J47" i="1" s="1"/>
  <c r="C46" i="1"/>
  <c r="I46" i="1" s="1"/>
  <c r="J46" i="1" s="1"/>
  <c r="C45" i="1"/>
  <c r="I45" i="1" s="1"/>
  <c r="J45" i="1" s="1"/>
  <c r="C44" i="1"/>
  <c r="I44" i="1" s="1"/>
  <c r="J44" i="1" s="1"/>
  <c r="C43" i="1"/>
  <c r="I43" i="1" s="1"/>
  <c r="J43" i="1" s="1"/>
  <c r="C42" i="1"/>
  <c r="I42" i="1" s="1"/>
  <c r="J42" i="1" s="1"/>
  <c r="C41" i="1"/>
  <c r="I41" i="1" s="1"/>
  <c r="J41" i="1" s="1"/>
  <c r="C40" i="1"/>
  <c r="I40" i="1" s="1"/>
  <c r="J40" i="1" s="1"/>
  <c r="C39" i="1"/>
  <c r="I39" i="1" s="1"/>
  <c r="J39" i="1" s="1"/>
  <c r="C38" i="1"/>
  <c r="I38" i="1" s="1"/>
  <c r="J38" i="1" s="1"/>
  <c r="C37" i="1"/>
  <c r="I37" i="1" s="1"/>
  <c r="J37" i="1" s="1"/>
  <c r="C36" i="1"/>
  <c r="I36" i="1" s="1"/>
  <c r="J36" i="1" s="1"/>
  <c r="C35" i="1"/>
  <c r="I35" i="1" s="1"/>
  <c r="J35" i="1" s="1"/>
  <c r="C34" i="1"/>
  <c r="I34" i="1" s="1"/>
  <c r="J34" i="1" s="1"/>
  <c r="C33" i="1"/>
  <c r="I33" i="1" s="1"/>
  <c r="J33" i="1" s="1"/>
  <c r="C32" i="1"/>
  <c r="I32" i="1" s="1"/>
  <c r="J32" i="1" s="1"/>
  <c r="C31" i="1"/>
  <c r="I31" i="1" s="1"/>
  <c r="J31" i="1" s="1"/>
  <c r="C30" i="1"/>
  <c r="I30" i="1" s="1"/>
  <c r="J30" i="1" s="1"/>
  <c r="C29" i="1"/>
  <c r="I29" i="1" s="1"/>
  <c r="J29" i="1" s="1"/>
  <c r="C28" i="1"/>
  <c r="I28" i="1" s="1"/>
  <c r="J28" i="1" s="1"/>
  <c r="C27" i="1"/>
  <c r="I27" i="1" s="1"/>
  <c r="J27" i="1" s="1"/>
  <c r="C26" i="1"/>
  <c r="I26" i="1" s="1"/>
  <c r="J26" i="1" s="1"/>
  <c r="C25" i="1"/>
  <c r="I25" i="1" s="1"/>
  <c r="J25" i="1" s="1"/>
  <c r="C24" i="1"/>
  <c r="I24" i="1" s="1"/>
  <c r="J24" i="1" s="1"/>
  <c r="C23" i="1"/>
  <c r="I23" i="1" s="1"/>
  <c r="J23" i="1" s="1"/>
  <c r="C22" i="1"/>
  <c r="I22" i="1" s="1"/>
  <c r="J22" i="1" s="1"/>
  <c r="C21" i="1"/>
  <c r="I21" i="1" s="1"/>
  <c r="J21" i="1" s="1"/>
  <c r="C20" i="1"/>
  <c r="I20" i="1" s="1"/>
  <c r="J20" i="1" s="1"/>
  <c r="C19" i="1"/>
  <c r="I19" i="1" s="1"/>
  <c r="J19" i="1" s="1"/>
  <c r="C18" i="1"/>
  <c r="I18" i="1" s="1"/>
  <c r="J18" i="1" s="1"/>
  <c r="C17" i="1"/>
  <c r="I17" i="1" s="1"/>
  <c r="J17" i="1" s="1"/>
  <c r="C16" i="1"/>
  <c r="I16" i="1" s="1"/>
  <c r="J16" i="1" s="1"/>
  <c r="C15" i="1"/>
  <c r="I15" i="1" s="1"/>
  <c r="J15" i="1" s="1"/>
  <c r="C14" i="1"/>
  <c r="I14" i="1" s="1"/>
  <c r="J14" i="1" s="1"/>
  <c r="C13" i="1"/>
  <c r="I13" i="1" s="1"/>
  <c r="J13" i="1" s="1"/>
  <c r="C12" i="1"/>
  <c r="I12" i="1" s="1"/>
  <c r="J12" i="1" s="1"/>
  <c r="C11" i="1"/>
  <c r="I11" i="1" s="1"/>
  <c r="J11" i="1" s="1"/>
  <c r="C10" i="1"/>
  <c r="I10" i="1" s="1"/>
  <c r="J10" i="1" s="1"/>
  <c r="C9" i="1"/>
  <c r="I9" i="1" s="1"/>
  <c r="J9" i="1" s="1"/>
  <c r="C8" i="1"/>
  <c r="I8" i="1" s="1"/>
  <c r="J8" i="1" s="1"/>
  <c r="C7" i="1"/>
  <c r="I7" i="1" s="1"/>
  <c r="J7" i="1" s="1"/>
  <c r="C6" i="1"/>
  <c r="I6" i="1" s="1"/>
  <c r="J6" i="1" s="1"/>
  <c r="C5" i="1"/>
  <c r="I5" i="1" s="1"/>
  <c r="J5" i="1" s="1"/>
  <c r="C4" i="1"/>
  <c r="I4" i="1" s="1"/>
  <c r="J4" i="1" s="1"/>
  <c r="C3" i="1"/>
  <c r="I3" i="1" s="1"/>
  <c r="J3" i="1" s="1"/>
  <c r="C2" i="1"/>
  <c r="I2" i="1" s="1"/>
  <c r="J2" i="1" s="1"/>
  <c r="B4" i="5"/>
  <c r="F26" i="5" s="1"/>
  <c r="H3" i="5"/>
  <c r="B3" i="5"/>
  <c r="W2" i="5"/>
  <c r="B2" i="5"/>
  <c r="V2" i="6" l="1"/>
  <c r="Q64" i="6"/>
  <c r="R64" i="6" s="1"/>
  <c r="AV64" i="6"/>
  <c r="AU64" i="6"/>
  <c r="AT64" i="6"/>
  <c r="AS64" i="6"/>
  <c r="X64" i="6"/>
  <c r="AR64" i="6"/>
  <c r="AC64" i="6"/>
  <c r="AQ64" i="6"/>
  <c r="AP64" i="6"/>
  <c r="AO64" i="6"/>
  <c r="W64" i="6"/>
  <c r="Z64" i="6" s="1"/>
  <c r="I2" i="5"/>
  <c r="I3" i="5"/>
  <c r="W3" i="5"/>
  <c r="H4" i="5"/>
  <c r="I4" i="5" s="1"/>
  <c r="F13" i="5"/>
  <c r="F18" i="5"/>
  <c r="F20" i="5"/>
  <c r="F22" i="5"/>
  <c r="F23" i="5"/>
  <c r="F16" i="5"/>
  <c r="F38" i="5"/>
  <c r="F40" i="5"/>
  <c r="F43" i="5"/>
  <c r="F2" i="5"/>
  <c r="F3" i="5" s="1"/>
  <c r="F4" i="5"/>
  <c r="F5" i="5"/>
  <c r="F6" i="5"/>
  <c r="F9" i="5"/>
  <c r="B10" i="5"/>
  <c r="F10" i="5"/>
  <c r="F41" i="5"/>
  <c r="F39" i="5"/>
  <c r="F37" i="5"/>
  <c r="F21" i="5"/>
  <c r="F19" i="5"/>
  <c r="F8" i="5"/>
  <c r="F7" i="5"/>
  <c r="F11" i="5"/>
  <c r="F12" i="5"/>
  <c r="F15" i="5"/>
  <c r="F14" i="5"/>
  <c r="F17" i="5"/>
  <c r="S64" i="6" l="1"/>
  <c r="Y64" i="6"/>
  <c r="AB64" i="6" s="1"/>
  <c r="AA64" i="6"/>
  <c r="AW64" i="6"/>
  <c r="J2" i="5"/>
  <c r="K2" i="5"/>
  <c r="L2" i="5"/>
  <c r="J3" i="5"/>
  <c r="L3" i="5"/>
  <c r="K3" i="5"/>
  <c r="J4" i="5"/>
  <c r="K4" i="5"/>
  <c r="L4" i="5"/>
  <c r="H5" i="5"/>
  <c r="W4" i="5"/>
  <c r="AX64" i="6" l="1"/>
  <c r="BH64" i="6" s="1"/>
  <c r="AZ64" i="6"/>
  <c r="BA64" i="6"/>
  <c r="BB64" i="6"/>
  <c r="BC64" i="6"/>
  <c r="BD64" i="6"/>
  <c r="BE64" i="6"/>
  <c r="BF64" i="6"/>
  <c r="BG64" i="6"/>
  <c r="M2" i="5"/>
  <c r="N2" i="5" s="1"/>
  <c r="M3" i="5"/>
  <c r="M4" i="5"/>
  <c r="I5" i="5"/>
  <c r="H6" i="5"/>
  <c r="W5" i="5"/>
  <c r="BI64" i="6" l="1"/>
  <c r="BJ64" i="6" s="1"/>
  <c r="AY64" i="6"/>
  <c r="BL64" i="6"/>
  <c r="BM64" i="6"/>
  <c r="BN64" i="6"/>
  <c r="BO64" i="6"/>
  <c r="BP64" i="6"/>
  <c r="BQ64" i="6"/>
  <c r="BR64" i="6"/>
  <c r="L5" i="5"/>
  <c r="J5" i="5"/>
  <c r="K5" i="5"/>
  <c r="I6" i="5"/>
  <c r="W6" i="5"/>
  <c r="H7" i="5"/>
  <c r="N3" i="5"/>
  <c r="BT64" i="6" l="1"/>
  <c r="BU64" i="6"/>
  <c r="BV64" i="6"/>
  <c r="BW64" i="6"/>
  <c r="BX64" i="6"/>
  <c r="BY64" i="6"/>
  <c r="BZ64" i="6"/>
  <c r="M5" i="5"/>
  <c r="N5" i="5" s="1"/>
  <c r="K6" i="5"/>
  <c r="L6" i="5"/>
  <c r="J6" i="5"/>
  <c r="I7" i="5"/>
  <c r="W7" i="5"/>
  <c r="H8" i="5"/>
  <c r="BK64" i="6"/>
  <c r="N4" i="5"/>
  <c r="M6" i="5" l="1"/>
  <c r="N6" i="5" s="1"/>
  <c r="K7" i="5"/>
  <c r="L7" i="5"/>
  <c r="J7" i="5"/>
  <c r="I8" i="5"/>
  <c r="W8" i="5"/>
  <c r="H9" i="5"/>
  <c r="BS64" i="6"/>
  <c r="CA64" i="6"/>
  <c r="M7" i="5" l="1"/>
  <c r="N7" i="5" s="1"/>
  <c r="K8" i="5"/>
  <c r="L8" i="5"/>
  <c r="J8" i="5"/>
  <c r="I9" i="5"/>
  <c r="W9" i="5"/>
  <c r="H10" i="5"/>
  <c r="AG65" i="6"/>
  <c r="CI64" i="6"/>
  <c r="CB64" i="6" s="1"/>
  <c r="M8" i="5" l="1"/>
  <c r="N8" i="5" s="1"/>
  <c r="L9" i="5"/>
  <c r="K9" i="5"/>
  <c r="J9" i="5"/>
  <c r="I10" i="5"/>
  <c r="W10" i="5"/>
  <c r="H11" i="5"/>
  <c r="CJ64" i="6"/>
  <c r="AH65" i="6"/>
  <c r="AO65" i="6"/>
  <c r="Q65" i="6"/>
  <c r="R65" i="6" s="1"/>
  <c r="M9" i="5" l="1"/>
  <c r="N9" i="5" s="1"/>
  <c r="L10" i="5"/>
  <c r="K10" i="5"/>
  <c r="J10" i="5"/>
  <c r="I11" i="5"/>
  <c r="W11" i="5"/>
  <c r="H12" i="5"/>
  <c r="CC64" i="6"/>
  <c r="AP65" i="6"/>
  <c r="S65" i="6"/>
  <c r="M10" i="5" l="1"/>
  <c r="N10" i="5" s="1"/>
  <c r="L11" i="5"/>
  <c r="K11" i="5"/>
  <c r="J11" i="5"/>
  <c r="I12" i="5"/>
  <c r="W12" i="5"/>
  <c r="H13" i="5"/>
  <c r="CK64" i="6"/>
  <c r="AI65" i="6"/>
  <c r="M11" i="5" l="1"/>
  <c r="N11" i="5" s="1"/>
  <c r="L12" i="5"/>
  <c r="K12" i="5"/>
  <c r="J12" i="5"/>
  <c r="I13" i="5"/>
  <c r="W13" i="5"/>
  <c r="H14" i="5"/>
  <c r="CD64" i="6"/>
  <c r="AQ65" i="6"/>
  <c r="M12" i="5" l="1"/>
  <c r="N12" i="5" s="1"/>
  <c r="L13" i="5"/>
  <c r="K13" i="5"/>
  <c r="J13" i="5"/>
  <c r="I14" i="5"/>
  <c r="W14" i="5"/>
  <c r="H15" i="5"/>
  <c r="CL64" i="6"/>
  <c r="AJ65" i="6"/>
  <c r="M13" i="5" l="1"/>
  <c r="N13" i="5" s="1"/>
  <c r="L14" i="5"/>
  <c r="K14" i="5"/>
  <c r="J14" i="5"/>
  <c r="I15" i="5"/>
  <c r="W15" i="5"/>
  <c r="H16" i="5"/>
  <c r="CE64" i="6"/>
  <c r="W65" i="6"/>
  <c r="Z65" i="6" s="1"/>
  <c r="AC65" i="6"/>
  <c r="AR65" i="6"/>
  <c r="M14" i="5" l="1"/>
  <c r="N14" i="5" s="1"/>
  <c r="L15" i="5"/>
  <c r="K15" i="5"/>
  <c r="J15" i="5"/>
  <c r="I16" i="5"/>
  <c r="W16" i="5"/>
  <c r="H17" i="5"/>
  <c r="CM64" i="6"/>
  <c r="AK65" i="6"/>
  <c r="M15" i="5" l="1"/>
  <c r="N15" i="5" s="1"/>
  <c r="L16" i="5"/>
  <c r="K16" i="5"/>
  <c r="J16" i="5"/>
  <c r="I17" i="5"/>
  <c r="W17" i="5"/>
  <c r="H18" i="5"/>
  <c r="CF64" i="6"/>
  <c r="AS65" i="6"/>
  <c r="M16" i="5" l="1"/>
  <c r="N16" i="5" s="1"/>
  <c r="L17" i="5"/>
  <c r="K17" i="5"/>
  <c r="J17" i="5"/>
  <c r="I18" i="5"/>
  <c r="W18" i="5"/>
  <c r="H19" i="5"/>
  <c r="CN64" i="6"/>
  <c r="AL65" i="6"/>
  <c r="M17" i="5" l="1"/>
  <c r="N17" i="5" s="1"/>
  <c r="L18" i="5"/>
  <c r="K18" i="5"/>
  <c r="J18" i="5"/>
  <c r="I19" i="5"/>
  <c r="W19" i="5"/>
  <c r="H20" i="5"/>
  <c r="CG64" i="6"/>
  <c r="AT65" i="6"/>
  <c r="M18" i="5" l="1"/>
  <c r="N18" i="5" s="1"/>
  <c r="K19" i="5"/>
  <c r="L19" i="5"/>
  <c r="J19" i="5"/>
  <c r="I20" i="5"/>
  <c r="W20" i="5"/>
  <c r="H21" i="5"/>
  <c r="CO64" i="6"/>
  <c r="AM65" i="6"/>
  <c r="M19" i="5" l="1"/>
  <c r="N19" i="5" s="1"/>
  <c r="L20" i="5"/>
  <c r="K20" i="5"/>
  <c r="J20" i="5"/>
  <c r="I21" i="5"/>
  <c r="W21" i="5"/>
  <c r="H22" i="5"/>
  <c r="CH64" i="6"/>
  <c r="AU65" i="6"/>
  <c r="M20" i="5" l="1"/>
  <c r="N20" i="5" s="1"/>
  <c r="L21" i="5"/>
  <c r="J21" i="5"/>
  <c r="K21" i="5"/>
  <c r="I22" i="5"/>
  <c r="W22" i="5"/>
  <c r="H23" i="5"/>
  <c r="CP64" i="6"/>
  <c r="AN65" i="6"/>
  <c r="M21" i="5" l="1"/>
  <c r="N21" i="5" s="1"/>
  <c r="K22" i="5"/>
  <c r="L22" i="5"/>
  <c r="J22" i="5"/>
  <c r="I23" i="5"/>
  <c r="W23" i="5"/>
  <c r="H24" i="5"/>
  <c r="T64" i="6"/>
  <c r="X65" i="6"/>
  <c r="AV65" i="6"/>
  <c r="M22" i="5" l="1"/>
  <c r="N22" i="5" s="1"/>
  <c r="J23" i="5"/>
  <c r="L23" i="5"/>
  <c r="K23" i="5"/>
  <c r="I24" i="5"/>
  <c r="W24" i="5"/>
  <c r="H25" i="5"/>
  <c r="AA65" i="6"/>
  <c r="Y65" i="6"/>
  <c r="AB65" i="6" s="1"/>
  <c r="AW65" i="6"/>
  <c r="M23" i="5" l="1"/>
  <c r="N23" i="5" s="1"/>
  <c r="K24" i="5"/>
  <c r="L24" i="5"/>
  <c r="J24" i="5"/>
  <c r="I25" i="5"/>
  <c r="H26" i="5"/>
  <c r="W25" i="5"/>
  <c r="AX65" i="6"/>
  <c r="AZ65" i="6"/>
  <c r="BA65" i="6"/>
  <c r="BB65" i="6"/>
  <c r="BC65" i="6"/>
  <c r="BD65" i="6"/>
  <c r="BE65" i="6"/>
  <c r="BF65" i="6"/>
  <c r="BG65" i="6"/>
  <c r="M24" i="5" l="1"/>
  <c r="N24" i="5" s="1"/>
  <c r="L25" i="5"/>
  <c r="J25" i="5"/>
  <c r="K25" i="5"/>
  <c r="I26" i="5"/>
  <c r="W26" i="5"/>
  <c r="H27" i="5"/>
  <c r="BH65" i="6"/>
  <c r="AY65" i="6"/>
  <c r="BL65" i="6"/>
  <c r="BM65" i="6"/>
  <c r="BN65" i="6"/>
  <c r="BO65" i="6"/>
  <c r="BP65" i="6"/>
  <c r="BQ65" i="6"/>
  <c r="BR65" i="6"/>
  <c r="M25" i="5" l="1"/>
  <c r="N25" i="5" s="1"/>
  <c r="K26" i="5"/>
  <c r="L26" i="5"/>
  <c r="J26" i="5"/>
  <c r="I27" i="5"/>
  <c r="H28" i="5"/>
  <c r="W27" i="5"/>
  <c r="BI65" i="6"/>
  <c r="BJ65" i="6"/>
  <c r="BT65" i="6"/>
  <c r="BU65" i="6"/>
  <c r="BV65" i="6"/>
  <c r="BW65" i="6"/>
  <c r="BX65" i="6"/>
  <c r="BY65" i="6"/>
  <c r="BZ65" i="6"/>
  <c r="M26" i="5" l="1"/>
  <c r="N26" i="5" s="1"/>
  <c r="K27" i="5"/>
  <c r="L27" i="5"/>
  <c r="J27" i="5"/>
  <c r="I28" i="5"/>
  <c r="W28" i="5"/>
  <c r="H29" i="5"/>
  <c r="BK65" i="6"/>
  <c r="M27" i="5" l="1"/>
  <c r="N27" i="5" s="1"/>
  <c r="K28" i="5"/>
  <c r="L28" i="5"/>
  <c r="J28" i="5"/>
  <c r="I29" i="5"/>
  <c r="H30" i="5"/>
  <c r="W29" i="5"/>
  <c r="BS65" i="6"/>
  <c r="CA65" i="6" s="1"/>
  <c r="M28" i="5" l="1"/>
  <c r="N28" i="5" s="1"/>
  <c r="L29" i="5"/>
  <c r="J29" i="5"/>
  <c r="K29" i="5"/>
  <c r="I30" i="5"/>
  <c r="W30" i="5"/>
  <c r="H31" i="5"/>
  <c r="CB65" i="6"/>
  <c r="AG66" i="6"/>
  <c r="CI65" i="6"/>
  <c r="M29" i="5" l="1"/>
  <c r="N29" i="5" s="1"/>
  <c r="K30" i="5"/>
  <c r="J30" i="5"/>
  <c r="L30" i="5"/>
  <c r="I31" i="5"/>
  <c r="W31" i="5"/>
  <c r="H32" i="5"/>
  <c r="AH66" i="6"/>
  <c r="CJ65" i="6"/>
  <c r="AO66" i="6"/>
  <c r="Q66" i="6"/>
  <c r="R66" i="6" s="1"/>
  <c r="M30" i="5" l="1"/>
  <c r="N30" i="5" s="1"/>
  <c r="K31" i="5"/>
  <c r="L31" i="5"/>
  <c r="J31" i="5"/>
  <c r="I32" i="5"/>
  <c r="W32" i="5"/>
  <c r="H33" i="5"/>
  <c r="AP66" i="6"/>
  <c r="CC65" i="6"/>
  <c r="S66" i="6"/>
  <c r="M31" i="5" l="1"/>
  <c r="N31" i="5" s="1"/>
  <c r="L32" i="5"/>
  <c r="K32" i="5"/>
  <c r="J32" i="5"/>
  <c r="I33" i="5"/>
  <c r="W33" i="5"/>
  <c r="H34" i="5"/>
  <c r="AI66" i="6"/>
  <c r="CK65" i="6"/>
  <c r="M32" i="5" l="1"/>
  <c r="N32" i="5" s="1"/>
  <c r="K33" i="5"/>
  <c r="L33" i="5"/>
  <c r="J33" i="5"/>
  <c r="I34" i="5"/>
  <c r="W34" i="5"/>
  <c r="H35" i="5"/>
  <c r="AQ66" i="6"/>
  <c r="CD65" i="6"/>
  <c r="M33" i="5" l="1"/>
  <c r="N33" i="5" s="1"/>
  <c r="K34" i="5"/>
  <c r="L34" i="5"/>
  <c r="J34" i="5"/>
  <c r="I35" i="5"/>
  <c r="W35" i="5"/>
  <c r="H36" i="5"/>
  <c r="CL65" i="6"/>
  <c r="AJ66" i="6"/>
  <c r="M34" i="5" l="1"/>
  <c r="N34" i="5" s="1"/>
  <c r="L35" i="5"/>
  <c r="J35" i="5"/>
  <c r="K35" i="5"/>
  <c r="I36" i="5"/>
  <c r="W36" i="5"/>
  <c r="H37" i="5"/>
  <c r="CE65" i="6"/>
  <c r="W66" i="6"/>
  <c r="Z66" i="6" s="1"/>
  <c r="AC66" i="6"/>
  <c r="AR66" i="6"/>
  <c r="M35" i="5" l="1"/>
  <c r="N35" i="5" s="1"/>
  <c r="L36" i="5"/>
  <c r="J36" i="5"/>
  <c r="K36" i="5"/>
  <c r="I37" i="5"/>
  <c r="W37" i="5"/>
  <c r="H38" i="5"/>
  <c r="CM65" i="6"/>
  <c r="AK66" i="6"/>
  <c r="M36" i="5" l="1"/>
  <c r="N36" i="5" s="1"/>
  <c r="L37" i="5"/>
  <c r="J37" i="5"/>
  <c r="K37" i="5"/>
  <c r="I38" i="5"/>
  <c r="W38" i="5"/>
  <c r="H39" i="5"/>
  <c r="CF65" i="6"/>
  <c r="AS66" i="6"/>
  <c r="M37" i="5" l="1"/>
  <c r="N37" i="5" s="1"/>
  <c r="K38" i="5"/>
  <c r="L38" i="5"/>
  <c r="J38" i="5"/>
  <c r="I39" i="5"/>
  <c r="W39" i="5"/>
  <c r="H40" i="5"/>
  <c r="CN65" i="6"/>
  <c r="AL66" i="6"/>
  <c r="M38" i="5" l="1"/>
  <c r="N38" i="5" s="1"/>
  <c r="L39" i="5"/>
  <c r="K39" i="5"/>
  <c r="J39" i="5"/>
  <c r="I40" i="5"/>
  <c r="W40" i="5"/>
  <c r="H41" i="5"/>
  <c r="CG65" i="6"/>
  <c r="AT66" i="6"/>
  <c r="M39" i="5" l="1"/>
  <c r="N39" i="5" s="1"/>
  <c r="L40" i="5"/>
  <c r="K40" i="5"/>
  <c r="J40" i="5"/>
  <c r="I41" i="5"/>
  <c r="W41" i="5"/>
  <c r="H42" i="5"/>
  <c r="CO65" i="6"/>
  <c r="AM66" i="6"/>
  <c r="M40" i="5" l="1"/>
  <c r="N40" i="5" s="1"/>
  <c r="L41" i="5"/>
  <c r="J41" i="5"/>
  <c r="K41" i="5"/>
  <c r="I42" i="5"/>
  <c r="W42" i="5"/>
  <c r="H43" i="5"/>
  <c r="CH65" i="6"/>
  <c r="AU66" i="6"/>
  <c r="M41" i="5" l="1"/>
  <c r="N41" i="5" s="1"/>
  <c r="K42" i="5"/>
  <c r="L42" i="5"/>
  <c r="J42" i="5"/>
  <c r="I43" i="5"/>
  <c r="W43" i="5"/>
  <c r="H44" i="5"/>
  <c r="CP65" i="6"/>
  <c r="AN66" i="6"/>
  <c r="M42" i="5" l="1"/>
  <c r="N42" i="5" s="1"/>
  <c r="K43" i="5"/>
  <c r="L43" i="5"/>
  <c r="J43" i="5"/>
  <c r="I44" i="5"/>
  <c r="W44" i="5"/>
  <c r="H45" i="5"/>
  <c r="T65" i="6"/>
  <c r="X66" i="6"/>
  <c r="AV66" i="6"/>
  <c r="M43" i="5" l="1"/>
  <c r="N43" i="5" s="1"/>
  <c r="K44" i="5"/>
  <c r="L44" i="5"/>
  <c r="J44" i="5"/>
  <c r="I45" i="5"/>
  <c r="W45" i="5"/>
  <c r="H46" i="5"/>
  <c r="AA66" i="6"/>
  <c r="Y66" i="6"/>
  <c r="AB66" i="6" s="1"/>
  <c r="AW66" i="6"/>
  <c r="M44" i="5" l="1"/>
  <c r="N44" i="5" s="1"/>
  <c r="K45" i="5"/>
  <c r="J45" i="5"/>
  <c r="L45" i="5"/>
  <c r="I46" i="5"/>
  <c r="W46" i="5"/>
  <c r="H47" i="5"/>
  <c r="AX66" i="6"/>
  <c r="AZ66" i="6"/>
  <c r="BA66" i="6"/>
  <c r="BB66" i="6"/>
  <c r="BC66" i="6"/>
  <c r="BD66" i="6"/>
  <c r="BE66" i="6"/>
  <c r="BF66" i="6"/>
  <c r="BG66" i="6"/>
  <c r="M45" i="5" l="1"/>
  <c r="N45" i="5" s="1"/>
  <c r="L46" i="5"/>
  <c r="J46" i="5"/>
  <c r="K46" i="5"/>
  <c r="I47" i="5"/>
  <c r="H48" i="5"/>
  <c r="W47" i="5"/>
  <c r="BH66" i="6"/>
  <c r="AY66" i="6"/>
  <c r="BL66" i="6"/>
  <c r="BM66" i="6"/>
  <c r="BN66" i="6"/>
  <c r="BO66" i="6"/>
  <c r="BP66" i="6"/>
  <c r="BQ66" i="6"/>
  <c r="BR66" i="6"/>
  <c r="M46" i="5" l="1"/>
  <c r="N46" i="5" s="1"/>
  <c r="L47" i="5"/>
  <c r="J47" i="5"/>
  <c r="K47" i="5"/>
  <c r="I48" i="5"/>
  <c r="W48" i="5"/>
  <c r="H49" i="5"/>
  <c r="BI66" i="6"/>
  <c r="BJ66" i="6"/>
  <c r="BT66" i="6"/>
  <c r="BU66" i="6"/>
  <c r="BV66" i="6"/>
  <c r="BW66" i="6"/>
  <c r="BX66" i="6"/>
  <c r="BY66" i="6"/>
  <c r="BZ66" i="6"/>
  <c r="M47" i="5" l="1"/>
  <c r="N47" i="5" s="1"/>
  <c r="L48" i="5"/>
  <c r="K48" i="5"/>
  <c r="J48" i="5"/>
  <c r="I49" i="5"/>
  <c r="W49" i="5"/>
  <c r="H50" i="5"/>
  <c r="BK66" i="6"/>
  <c r="M48" i="5" l="1"/>
  <c r="N48" i="5" s="1"/>
  <c r="L49" i="5"/>
  <c r="K49" i="5"/>
  <c r="J49" i="5"/>
  <c r="I50" i="5"/>
  <c r="W50" i="5"/>
  <c r="H51" i="5"/>
  <c r="BS66" i="6"/>
  <c r="CA66" i="6" s="1"/>
  <c r="M49" i="5" l="1"/>
  <c r="N49" i="5" s="1"/>
  <c r="L50" i="5"/>
  <c r="K50" i="5"/>
  <c r="J50" i="5"/>
  <c r="I51" i="5"/>
  <c r="W51" i="5"/>
  <c r="H52" i="5"/>
  <c r="AG67" i="6"/>
  <c r="CI66" i="6"/>
  <c r="CB66" i="6" s="1"/>
  <c r="M50" i="5" l="1"/>
  <c r="N50" i="5" s="1"/>
  <c r="L51" i="5"/>
  <c r="K51" i="5"/>
  <c r="J51" i="5"/>
  <c r="I52" i="5"/>
  <c r="W52" i="5"/>
  <c r="H53" i="5"/>
  <c r="AH67" i="6"/>
  <c r="CJ66" i="6"/>
  <c r="AO67" i="6"/>
  <c r="Q67" i="6"/>
  <c r="R67" i="6" s="1"/>
  <c r="M51" i="5" l="1"/>
  <c r="N51" i="5" s="1"/>
  <c r="L52" i="5"/>
  <c r="K52" i="5"/>
  <c r="J52" i="5"/>
  <c r="I53" i="5"/>
  <c r="W53" i="5"/>
  <c r="H54" i="5"/>
  <c r="AP67" i="6"/>
  <c r="CC66" i="6"/>
  <c r="S67" i="6"/>
  <c r="M52" i="5" l="1"/>
  <c r="N52" i="5" s="1"/>
  <c r="K53" i="5"/>
  <c r="L53" i="5"/>
  <c r="J53" i="5"/>
  <c r="I54" i="5"/>
  <c r="W54" i="5"/>
  <c r="H55" i="5"/>
  <c r="AI67" i="6"/>
  <c r="CK66" i="6"/>
  <c r="M53" i="5" l="1"/>
  <c r="N53" i="5" s="1"/>
  <c r="L54" i="5"/>
  <c r="K54" i="5"/>
  <c r="J54" i="5"/>
  <c r="I55" i="5"/>
  <c r="W55" i="5"/>
  <c r="H56" i="5"/>
  <c r="AQ67" i="6"/>
  <c r="CD66" i="6"/>
  <c r="M54" i="5" l="1"/>
  <c r="N54" i="5" s="1"/>
  <c r="L55" i="5"/>
  <c r="K55" i="5"/>
  <c r="J55" i="5"/>
  <c r="I56" i="5"/>
  <c r="W56" i="5"/>
  <c r="H57" i="5"/>
  <c r="CL66" i="6"/>
  <c r="AJ67" i="6"/>
  <c r="M55" i="5" l="1"/>
  <c r="N55" i="5" s="1"/>
  <c r="L56" i="5"/>
  <c r="K56" i="5"/>
  <c r="J56" i="5"/>
  <c r="I57" i="5"/>
  <c r="W57" i="5"/>
  <c r="H58" i="5"/>
  <c r="CE66" i="6"/>
  <c r="W67" i="6"/>
  <c r="Z67" i="6" s="1"/>
  <c r="AC67" i="6"/>
  <c r="AR67" i="6"/>
  <c r="M56" i="5" l="1"/>
  <c r="N56" i="5" s="1"/>
  <c r="L57" i="5"/>
  <c r="K57" i="5"/>
  <c r="J57" i="5"/>
  <c r="I58" i="5"/>
  <c r="W58" i="5"/>
  <c r="H59" i="5"/>
  <c r="CM66" i="6"/>
  <c r="AK67" i="6"/>
  <c r="M57" i="5" l="1"/>
  <c r="N57" i="5" s="1"/>
  <c r="L58" i="5"/>
  <c r="K58" i="5"/>
  <c r="J58" i="5"/>
  <c r="I59" i="5"/>
  <c r="W59" i="5"/>
  <c r="H60" i="5"/>
  <c r="CF66" i="6"/>
  <c r="AS67" i="6"/>
  <c r="M58" i="5" l="1"/>
  <c r="N58" i="5" s="1"/>
  <c r="L59" i="5"/>
  <c r="K59" i="5"/>
  <c r="J59" i="5"/>
  <c r="I60" i="5"/>
  <c r="W60" i="5"/>
  <c r="H61" i="5"/>
  <c r="CN66" i="6"/>
  <c r="AL67" i="6"/>
  <c r="M59" i="5" l="1"/>
  <c r="N59" i="5" s="1"/>
  <c r="L60" i="5"/>
  <c r="K60" i="5"/>
  <c r="J60" i="5"/>
  <c r="I61" i="5"/>
  <c r="W61" i="5"/>
  <c r="H62" i="5"/>
  <c r="CG66" i="6"/>
  <c r="AT67" i="6"/>
  <c r="M60" i="5" l="1"/>
  <c r="N60" i="5" s="1"/>
  <c r="L61" i="5"/>
  <c r="K61" i="5"/>
  <c r="J61" i="5"/>
  <c r="I62" i="5"/>
  <c r="W62" i="5"/>
  <c r="H63" i="5"/>
  <c r="CO66" i="6"/>
  <c r="AM67" i="6"/>
  <c r="M61" i="5" l="1"/>
  <c r="N61" i="5" s="1"/>
  <c r="L62" i="5"/>
  <c r="K62" i="5"/>
  <c r="J62" i="5"/>
  <c r="I63" i="5"/>
  <c r="W63" i="5"/>
  <c r="H64" i="5"/>
  <c r="CH66" i="6"/>
  <c r="AU67" i="6"/>
  <c r="M62" i="5" l="1"/>
  <c r="N62" i="5" s="1"/>
  <c r="L63" i="5"/>
  <c r="K63" i="5"/>
  <c r="J63" i="5"/>
  <c r="I64" i="5"/>
  <c r="W64" i="5"/>
  <c r="H65" i="5"/>
  <c r="CP66" i="6"/>
  <c r="AN67" i="6"/>
  <c r="M63" i="5" l="1"/>
  <c r="N63" i="5" s="1"/>
  <c r="L64" i="5"/>
  <c r="K64" i="5"/>
  <c r="J64" i="5"/>
  <c r="I65" i="5"/>
  <c r="W65" i="5"/>
  <c r="H66" i="5"/>
  <c r="T66" i="6"/>
  <c r="X67" i="6"/>
  <c r="AV67" i="6"/>
  <c r="M64" i="5" l="1"/>
  <c r="N64" i="5" s="1"/>
  <c r="L65" i="5"/>
  <c r="K65" i="5"/>
  <c r="J65" i="5"/>
  <c r="I66" i="5"/>
  <c r="W66" i="5"/>
  <c r="H67" i="5"/>
  <c r="AA67" i="6"/>
  <c r="Y67" i="6"/>
  <c r="AB67" i="6" s="1"/>
  <c r="AW67" i="6"/>
  <c r="M65" i="5" l="1"/>
  <c r="N65" i="5" s="1"/>
  <c r="L66" i="5"/>
  <c r="K66" i="5"/>
  <c r="J66" i="5"/>
  <c r="I67" i="5"/>
  <c r="W67" i="5"/>
  <c r="H68" i="5"/>
  <c r="AX67" i="6"/>
  <c r="AZ67" i="6"/>
  <c r="BA67" i="6"/>
  <c r="BB67" i="6"/>
  <c r="BC67" i="6"/>
  <c r="BD67" i="6"/>
  <c r="BE67" i="6"/>
  <c r="BF67" i="6"/>
  <c r="BG67" i="6"/>
  <c r="M66" i="5" l="1"/>
  <c r="N66" i="5" s="1"/>
  <c r="L67" i="5"/>
  <c r="K67" i="5"/>
  <c r="J67" i="5"/>
  <c r="I68" i="5"/>
  <c r="W68" i="5"/>
  <c r="H69" i="5"/>
  <c r="BH67" i="6"/>
  <c r="AY67" i="6"/>
  <c r="BL67" i="6"/>
  <c r="BM67" i="6"/>
  <c r="BN67" i="6"/>
  <c r="BO67" i="6"/>
  <c r="BP67" i="6"/>
  <c r="BQ67" i="6"/>
  <c r="BR67" i="6"/>
  <c r="M67" i="5" l="1"/>
  <c r="N67" i="5" s="1"/>
  <c r="L68" i="5"/>
  <c r="K68" i="5"/>
  <c r="J68" i="5"/>
  <c r="I69" i="5"/>
  <c r="W69" i="5"/>
  <c r="H70" i="5"/>
  <c r="BI67" i="6"/>
  <c r="BJ67" i="6" s="1"/>
  <c r="BT67" i="6"/>
  <c r="BU67" i="6"/>
  <c r="BV67" i="6"/>
  <c r="BW67" i="6"/>
  <c r="BX67" i="6"/>
  <c r="BY67" i="6"/>
  <c r="BZ67" i="6"/>
  <c r="M68" i="5" l="1"/>
  <c r="N68" i="5" s="1"/>
  <c r="L69" i="5"/>
  <c r="K69" i="5"/>
  <c r="J69" i="5"/>
  <c r="I70" i="5"/>
  <c r="W70" i="5"/>
  <c r="H71" i="5"/>
  <c r="BK67" i="6"/>
  <c r="M69" i="5" l="1"/>
  <c r="N69" i="5" s="1"/>
  <c r="L70" i="5"/>
  <c r="K70" i="5"/>
  <c r="J70" i="5"/>
  <c r="I71" i="5"/>
  <c r="W71" i="5"/>
  <c r="H72" i="5"/>
  <c r="BS67" i="6"/>
  <c r="CA67" i="6" s="1"/>
  <c r="M70" i="5" l="1"/>
  <c r="N70" i="5" s="1"/>
  <c r="L71" i="5"/>
  <c r="K71" i="5"/>
  <c r="J71" i="5"/>
  <c r="I72" i="5"/>
  <c r="W72" i="5"/>
  <c r="H73" i="5"/>
  <c r="AG68" i="6"/>
  <c r="CI67" i="6"/>
  <c r="CB67" i="6" s="1"/>
  <c r="M71" i="5" l="1"/>
  <c r="N71" i="5" s="1"/>
  <c r="L72" i="5"/>
  <c r="K72" i="5"/>
  <c r="J72" i="5"/>
  <c r="I73" i="5"/>
  <c r="W73" i="5"/>
  <c r="H74" i="5"/>
  <c r="AH68" i="6"/>
  <c r="CJ67" i="6"/>
  <c r="AO68" i="6"/>
  <c r="Q68" i="6"/>
  <c r="R68" i="6" s="1"/>
  <c r="S68" i="6" s="1"/>
  <c r="M72" i="5" l="1"/>
  <c r="N72" i="5" s="1"/>
  <c r="L73" i="5"/>
  <c r="K73" i="5"/>
  <c r="J73" i="5"/>
  <c r="I74" i="5"/>
  <c r="W74" i="5"/>
  <c r="H75" i="5"/>
  <c r="AP68" i="6"/>
  <c r="CC67" i="6"/>
  <c r="M73" i="5" l="1"/>
  <c r="N73" i="5" s="1"/>
  <c r="L74" i="5"/>
  <c r="K74" i="5"/>
  <c r="J74" i="5"/>
  <c r="I75" i="5"/>
  <c r="W75" i="5"/>
  <c r="H76" i="5"/>
  <c r="AI68" i="6"/>
  <c r="CK67" i="6"/>
  <c r="M74" i="5" l="1"/>
  <c r="N74" i="5" s="1"/>
  <c r="L75" i="5"/>
  <c r="K75" i="5"/>
  <c r="J75" i="5"/>
  <c r="I76" i="5"/>
  <c r="W76" i="5"/>
  <c r="H77" i="5"/>
  <c r="AQ68" i="6"/>
  <c r="CD67" i="6"/>
  <c r="M75" i="5" l="1"/>
  <c r="N75" i="5" s="1"/>
  <c r="L76" i="5"/>
  <c r="K76" i="5"/>
  <c r="J76" i="5"/>
  <c r="I77" i="5"/>
  <c r="W77" i="5"/>
  <c r="H78" i="5"/>
  <c r="CL67" i="6"/>
  <c r="AJ68" i="6"/>
  <c r="M76" i="5" l="1"/>
  <c r="N76" i="5" s="1"/>
  <c r="L77" i="5"/>
  <c r="K77" i="5"/>
  <c r="J77" i="5"/>
  <c r="I78" i="5"/>
  <c r="W78" i="5"/>
  <c r="H79" i="5"/>
  <c r="CE67" i="6"/>
  <c r="W68" i="6"/>
  <c r="Z68" i="6" s="1"/>
  <c r="AC68" i="6"/>
  <c r="AR68" i="6"/>
  <c r="M77" i="5" l="1"/>
  <c r="N77" i="5" s="1"/>
  <c r="L78" i="5"/>
  <c r="K78" i="5"/>
  <c r="J78" i="5"/>
  <c r="I79" i="5"/>
  <c r="W79" i="5"/>
  <c r="H80" i="5"/>
  <c r="CM67" i="6"/>
  <c r="AK68" i="6"/>
  <c r="M78" i="5" l="1"/>
  <c r="N78" i="5" s="1"/>
  <c r="L79" i="5"/>
  <c r="K79" i="5"/>
  <c r="J79" i="5"/>
  <c r="I80" i="5"/>
  <c r="W80" i="5"/>
  <c r="H81" i="5"/>
  <c r="CF67" i="6"/>
  <c r="AS68" i="6"/>
  <c r="M79" i="5" l="1"/>
  <c r="N79" i="5" s="1"/>
  <c r="L80" i="5"/>
  <c r="K80" i="5"/>
  <c r="J80" i="5"/>
  <c r="I81" i="5"/>
  <c r="W81" i="5"/>
  <c r="H82" i="5"/>
  <c r="CN67" i="6"/>
  <c r="AL68" i="6"/>
  <c r="M80" i="5" l="1"/>
  <c r="N80" i="5" s="1"/>
  <c r="L81" i="5"/>
  <c r="K81" i="5"/>
  <c r="J81" i="5"/>
  <c r="I82" i="5"/>
  <c r="W82" i="5"/>
  <c r="H83" i="5"/>
  <c r="CG67" i="6"/>
  <c r="AT68" i="6"/>
  <c r="M81" i="5" l="1"/>
  <c r="N81" i="5" s="1"/>
  <c r="L82" i="5"/>
  <c r="K82" i="5"/>
  <c r="J82" i="5"/>
  <c r="I83" i="5"/>
  <c r="W83" i="5"/>
  <c r="H84" i="5"/>
  <c r="CO67" i="6"/>
  <c r="AM68" i="6"/>
  <c r="M82" i="5" l="1"/>
  <c r="N82" i="5" s="1"/>
  <c r="L83" i="5"/>
  <c r="K83" i="5"/>
  <c r="J83" i="5"/>
  <c r="I84" i="5"/>
  <c r="W84" i="5"/>
  <c r="H85" i="5"/>
  <c r="CH67" i="6"/>
  <c r="AU68" i="6"/>
  <c r="M83" i="5" l="1"/>
  <c r="N83" i="5" s="1"/>
  <c r="L84" i="5"/>
  <c r="K84" i="5"/>
  <c r="J84" i="5"/>
  <c r="I85" i="5"/>
  <c r="W85" i="5"/>
  <c r="H86" i="5"/>
  <c r="CP67" i="6"/>
  <c r="AN68" i="6"/>
  <c r="M84" i="5" l="1"/>
  <c r="N84" i="5" s="1"/>
  <c r="L85" i="5"/>
  <c r="K85" i="5"/>
  <c r="J85" i="5"/>
  <c r="I86" i="5"/>
  <c r="W86" i="5"/>
  <c r="H87" i="5"/>
  <c r="T67" i="6"/>
  <c r="X68" i="6"/>
  <c r="AV68" i="6"/>
  <c r="AW68" i="6" s="1"/>
  <c r="M85" i="5" l="1"/>
  <c r="N85" i="5" s="1"/>
  <c r="L86" i="5"/>
  <c r="K86" i="5"/>
  <c r="J86" i="5"/>
  <c r="I87" i="5"/>
  <c r="W87" i="5"/>
  <c r="H88" i="5"/>
  <c r="AA68" i="6"/>
  <c r="Y68" i="6"/>
  <c r="AB68" i="6" s="1"/>
  <c r="AZ68" i="6"/>
  <c r="BA68" i="6"/>
  <c r="BL68" i="6" s="1"/>
  <c r="BB68" i="6"/>
  <c r="BM68" i="6" s="1"/>
  <c r="BC68" i="6"/>
  <c r="BN68" i="6" s="1"/>
  <c r="BD68" i="6"/>
  <c r="BO68" i="6" s="1"/>
  <c r="BE68" i="6"/>
  <c r="BP68" i="6" s="1"/>
  <c r="BF68" i="6"/>
  <c r="BQ68" i="6" s="1"/>
  <c r="BG68" i="6"/>
  <c r="BR68" i="6" s="1"/>
  <c r="AX68" i="6"/>
  <c r="M86" i="5" l="1"/>
  <c r="N86" i="5" s="1"/>
  <c r="L87" i="5"/>
  <c r="K87" i="5"/>
  <c r="J87" i="5"/>
  <c r="I88" i="5"/>
  <c r="W88" i="5"/>
  <c r="H89" i="5"/>
  <c r="BT68" i="6"/>
  <c r="BU68" i="6"/>
  <c r="BV68" i="6"/>
  <c r="BW68" i="6"/>
  <c r="BX68" i="6"/>
  <c r="BY68" i="6"/>
  <c r="BZ68" i="6"/>
  <c r="AY68" i="6"/>
  <c r="BH68" i="6"/>
  <c r="M87" i="5" l="1"/>
  <c r="N87" i="5" s="1"/>
  <c r="L88" i="5"/>
  <c r="K88" i="5"/>
  <c r="J88" i="5"/>
  <c r="I89" i="5"/>
  <c r="W89" i="5"/>
  <c r="H90" i="5"/>
  <c r="BI68" i="6"/>
  <c r="BJ68" i="6" s="1"/>
  <c r="BK68" i="6" s="1"/>
  <c r="M88" i="5" l="1"/>
  <c r="N88" i="5" s="1"/>
  <c r="L89" i="5"/>
  <c r="K89" i="5"/>
  <c r="J89" i="5"/>
  <c r="I90" i="5"/>
  <c r="W90" i="5"/>
  <c r="H91" i="5"/>
  <c r="BS68" i="6"/>
  <c r="CA68" i="6" s="1"/>
  <c r="M89" i="5" l="1"/>
  <c r="N89" i="5" s="1"/>
  <c r="L90" i="5"/>
  <c r="K90" i="5"/>
  <c r="J90" i="5"/>
  <c r="I91" i="5"/>
  <c r="W91" i="5"/>
  <c r="H92" i="5"/>
  <c r="AG69" i="6"/>
  <c r="CI68" i="6"/>
  <c r="CB68" i="6" s="1"/>
  <c r="CJ68" i="6"/>
  <c r="CC68" i="6" s="1"/>
  <c r="AH69" i="6"/>
  <c r="M90" i="5" l="1"/>
  <c r="N90" i="5" s="1"/>
  <c r="L91" i="5"/>
  <c r="K91" i="5"/>
  <c r="J91" i="5"/>
  <c r="I92" i="5"/>
  <c r="W92" i="5"/>
  <c r="H93" i="5"/>
  <c r="AO69" i="6"/>
  <c r="Q69" i="6"/>
  <c r="R69" i="6" s="1"/>
  <c r="S69" i="6" s="1"/>
  <c r="CK68" i="6"/>
  <c r="CD68" i="6" s="1"/>
  <c r="AI69" i="6"/>
  <c r="AP69" i="6"/>
  <c r="M91" i="5" l="1"/>
  <c r="N91" i="5" s="1"/>
  <c r="L92" i="5"/>
  <c r="K92" i="5"/>
  <c r="J92" i="5"/>
  <c r="I93" i="5"/>
  <c r="W93" i="5"/>
  <c r="H94" i="5"/>
  <c r="CL68" i="6"/>
  <c r="CE68" i="6" s="1"/>
  <c r="AJ69" i="6"/>
  <c r="AQ69" i="6"/>
  <c r="M92" i="5" l="1"/>
  <c r="N92" i="5" s="1"/>
  <c r="L93" i="5"/>
  <c r="K93" i="5"/>
  <c r="J93" i="5"/>
  <c r="I94" i="5"/>
  <c r="W94" i="5"/>
  <c r="H95" i="5"/>
  <c r="CM68" i="6"/>
  <c r="CF68" i="6" s="1"/>
  <c r="AK69" i="6"/>
  <c r="W69" i="6"/>
  <c r="Z69" i="6" s="1"/>
  <c r="AC69" i="6"/>
  <c r="AR69" i="6"/>
  <c r="M93" i="5" l="1"/>
  <c r="N93" i="5" s="1"/>
  <c r="L94" i="5"/>
  <c r="K94" i="5"/>
  <c r="J94" i="5"/>
  <c r="I95" i="5"/>
  <c r="W95" i="5"/>
  <c r="H96" i="5"/>
  <c r="CN68" i="6"/>
  <c r="CG68" i="6" s="1"/>
  <c r="AL69" i="6"/>
  <c r="AS69" i="6"/>
  <c r="M94" i="5" l="1"/>
  <c r="N94" i="5" s="1"/>
  <c r="L95" i="5"/>
  <c r="K95" i="5"/>
  <c r="J95" i="5"/>
  <c r="I96" i="5"/>
  <c r="W96" i="5"/>
  <c r="H97" i="5"/>
  <c r="CO68" i="6"/>
  <c r="CH68" i="6" s="1"/>
  <c r="AM69" i="6"/>
  <c r="AT69" i="6"/>
  <c r="M95" i="5" l="1"/>
  <c r="N95" i="5" s="1"/>
  <c r="L96" i="5"/>
  <c r="K96" i="5"/>
  <c r="J96" i="5"/>
  <c r="I97" i="5"/>
  <c r="W97" i="5"/>
  <c r="H98" i="5"/>
  <c r="CP68" i="6"/>
  <c r="T68" i="6" s="1"/>
  <c r="AN69" i="6"/>
  <c r="X69" i="6"/>
  <c r="AU69" i="6"/>
  <c r="M96" i="5" l="1"/>
  <c r="N96" i="5" s="1"/>
  <c r="L97" i="5"/>
  <c r="K97" i="5"/>
  <c r="J97" i="5"/>
  <c r="I98" i="5"/>
  <c r="W98" i="5"/>
  <c r="H99" i="5"/>
  <c r="AV69" i="6"/>
  <c r="AW69" i="6" s="1"/>
  <c r="AA69" i="6"/>
  <c r="Y69" i="6"/>
  <c r="AB69" i="6" s="1"/>
  <c r="M97" i="5" l="1"/>
  <c r="N97" i="5" s="1"/>
  <c r="L98" i="5"/>
  <c r="K98" i="5"/>
  <c r="J98" i="5"/>
  <c r="I99" i="5"/>
  <c r="W99" i="5"/>
  <c r="H100" i="5"/>
  <c r="BA69" i="6"/>
  <c r="BL69" i="6" s="1"/>
  <c r="AZ69" i="6"/>
  <c r="AX69" i="6"/>
  <c r="BG69" i="6"/>
  <c r="BR69" i="6" s="1"/>
  <c r="BF69" i="6"/>
  <c r="BQ69" i="6" s="1"/>
  <c r="BE69" i="6"/>
  <c r="BP69" i="6" s="1"/>
  <c r="BD69" i="6"/>
  <c r="BO69" i="6" s="1"/>
  <c r="BC69" i="6"/>
  <c r="BN69" i="6" s="1"/>
  <c r="BB69" i="6"/>
  <c r="BM69" i="6" s="1"/>
  <c r="M98" i="5" l="1"/>
  <c r="N98" i="5" s="1"/>
  <c r="L99" i="5"/>
  <c r="K99" i="5"/>
  <c r="J99" i="5"/>
  <c r="I100" i="5"/>
  <c r="W100" i="5"/>
  <c r="H101" i="5"/>
  <c r="BT69" i="6"/>
  <c r="AY69" i="6"/>
  <c r="BH69" i="6"/>
  <c r="BZ69" i="6"/>
  <c r="BY69" i="6"/>
  <c r="BX69" i="6"/>
  <c r="BW69" i="6"/>
  <c r="BV69" i="6"/>
  <c r="BU69" i="6"/>
  <c r="M99" i="5" l="1"/>
  <c r="N99" i="5" s="1"/>
  <c r="L100" i="5"/>
  <c r="K100" i="5"/>
  <c r="J100" i="5"/>
  <c r="I101" i="5"/>
  <c r="W101" i="5"/>
  <c r="H102" i="5"/>
  <c r="BJ69" i="6"/>
  <c r="BK69" i="6" s="1"/>
  <c r="BI69" i="6"/>
  <c r="M100" i="5" l="1"/>
  <c r="N100" i="5" s="1"/>
  <c r="L101" i="5"/>
  <c r="K101" i="5"/>
  <c r="J101" i="5"/>
  <c r="I102" i="5"/>
  <c r="W102" i="5"/>
  <c r="H103" i="5"/>
  <c r="BS69" i="6"/>
  <c r="CA69" i="6" s="1"/>
  <c r="M101" i="5" l="1"/>
  <c r="N101" i="5" s="1"/>
  <c r="L102" i="5"/>
  <c r="K102" i="5"/>
  <c r="J102" i="5"/>
  <c r="I103" i="5"/>
  <c r="W103" i="5"/>
  <c r="H104" i="5"/>
  <c r="AG70" i="6"/>
  <c r="CI69" i="6"/>
  <c r="CB69" i="6" s="1"/>
  <c r="M102" i="5" l="1"/>
  <c r="N102" i="5" s="1"/>
  <c r="L103" i="5"/>
  <c r="K103" i="5"/>
  <c r="J103" i="5"/>
  <c r="I104" i="5"/>
  <c r="W104" i="5"/>
  <c r="H105" i="5"/>
  <c r="AO70" i="6"/>
  <c r="Q70" i="6"/>
  <c r="R70" i="6" s="1"/>
  <c r="S70" i="6" s="1"/>
  <c r="CJ69" i="6"/>
  <c r="CC69" i="6" s="1"/>
  <c r="AH70" i="6"/>
  <c r="M103" i="5" l="1"/>
  <c r="N103" i="5" s="1"/>
  <c r="L104" i="5"/>
  <c r="K104" i="5"/>
  <c r="J104" i="5"/>
  <c r="I105" i="5"/>
  <c r="W105" i="5"/>
  <c r="H106" i="5"/>
  <c r="AI70" i="6"/>
  <c r="CK69" i="6"/>
  <c r="CD69" i="6" s="1"/>
  <c r="AP70" i="6"/>
  <c r="M104" i="5" l="1"/>
  <c r="N104" i="5" s="1"/>
  <c r="L105" i="5"/>
  <c r="K105" i="5"/>
  <c r="J105" i="5"/>
  <c r="I106" i="5"/>
  <c r="W106" i="5"/>
  <c r="H107" i="5"/>
  <c r="AQ70" i="6"/>
  <c r="CL69" i="6"/>
  <c r="CE69" i="6" s="1"/>
  <c r="AJ70" i="6"/>
  <c r="W70" i="6" s="1"/>
  <c r="Z70" i="6" s="1"/>
  <c r="M105" i="5" l="1"/>
  <c r="N105" i="5" s="1"/>
  <c r="L106" i="5"/>
  <c r="K106" i="5"/>
  <c r="J106" i="5"/>
  <c r="I107" i="5"/>
  <c r="W107" i="5"/>
  <c r="H108" i="5"/>
  <c r="AK70" i="6"/>
  <c r="CM69" i="6"/>
  <c r="CF69" i="6" s="1"/>
  <c r="AC70" i="6"/>
  <c r="AR70" i="6"/>
  <c r="M106" i="5" l="1"/>
  <c r="N106" i="5" s="1"/>
  <c r="L107" i="5"/>
  <c r="K107" i="5"/>
  <c r="J107" i="5"/>
  <c r="I108" i="5"/>
  <c r="W108" i="5"/>
  <c r="H109" i="5"/>
  <c r="AS70" i="6"/>
  <c r="AL70" i="6"/>
  <c r="CN69" i="6"/>
  <c r="CG69" i="6" s="1"/>
  <c r="M107" i="5" l="1"/>
  <c r="N107" i="5" s="1"/>
  <c r="L108" i="5"/>
  <c r="K108" i="5"/>
  <c r="J108" i="5"/>
  <c r="I109" i="5"/>
  <c r="W109" i="5"/>
  <c r="H110" i="5"/>
  <c r="AT70" i="6"/>
  <c r="CO69" i="6"/>
  <c r="CH69" i="6" s="1"/>
  <c r="AM70" i="6"/>
  <c r="M108" i="5" l="1"/>
  <c r="N108" i="5" s="1"/>
  <c r="L109" i="5"/>
  <c r="K109" i="5"/>
  <c r="J109" i="5"/>
  <c r="I110" i="5"/>
  <c r="W110" i="5"/>
  <c r="H111" i="5"/>
  <c r="CP69" i="6"/>
  <c r="T69" i="6" s="1"/>
  <c r="AN70" i="6"/>
  <c r="X70" i="6"/>
  <c r="AU70" i="6"/>
  <c r="M109" i="5" l="1"/>
  <c r="N109" i="5" s="1"/>
  <c r="L110" i="5"/>
  <c r="K110" i="5"/>
  <c r="J110" i="5"/>
  <c r="I111" i="5"/>
  <c r="W111" i="5"/>
  <c r="H112" i="5"/>
  <c r="AV70" i="6"/>
  <c r="AW70" i="6" s="1"/>
  <c r="AA70" i="6"/>
  <c r="Y70" i="6"/>
  <c r="AB70" i="6" s="1"/>
  <c r="BB70" i="6"/>
  <c r="BM70" i="6" s="1"/>
  <c r="BC70" i="6"/>
  <c r="BN70" i="6" s="1"/>
  <c r="BD70" i="6"/>
  <c r="BO70" i="6" s="1"/>
  <c r="BG70" i="6"/>
  <c r="BR70" i="6" s="1"/>
  <c r="BE70" i="6"/>
  <c r="BP70" i="6" s="1"/>
  <c r="BF70" i="6"/>
  <c r="BQ70" i="6" s="1"/>
  <c r="AX70" i="6"/>
  <c r="AZ70" i="6"/>
  <c r="BA70" i="6"/>
  <c r="BL70" i="6" s="1"/>
  <c r="M110" i="5" l="1"/>
  <c r="N110" i="5" s="1"/>
  <c r="L111" i="5"/>
  <c r="K111" i="5"/>
  <c r="J111" i="5"/>
  <c r="I112" i="5"/>
  <c r="W112" i="5"/>
  <c r="H113" i="5"/>
  <c r="BZ70" i="6"/>
  <c r="BU70" i="6"/>
  <c r="BV70" i="6"/>
  <c r="BW70" i="6"/>
  <c r="BX70" i="6"/>
  <c r="BY70" i="6"/>
  <c r="BH70" i="6"/>
  <c r="AY70" i="6"/>
  <c r="BT70" i="6"/>
  <c r="M111" i="5" l="1"/>
  <c r="N111" i="5" s="1"/>
  <c r="L112" i="5"/>
  <c r="K112" i="5"/>
  <c r="J112" i="5"/>
  <c r="I113" i="5"/>
  <c r="W113" i="5"/>
  <c r="H114" i="5"/>
  <c r="BI70" i="6"/>
  <c r="BJ70" i="6" s="1"/>
  <c r="BK70" i="6" s="1"/>
  <c r="M112" i="5" l="1"/>
  <c r="N112" i="5" s="1"/>
  <c r="L113" i="5"/>
  <c r="K113" i="5"/>
  <c r="J113" i="5"/>
  <c r="I114" i="5"/>
  <c r="W114" i="5"/>
  <c r="H115" i="5"/>
  <c r="BS70" i="6"/>
  <c r="CA70" i="6"/>
  <c r="M113" i="5" l="1"/>
  <c r="N113" i="5" s="1"/>
  <c r="L114" i="5"/>
  <c r="K114" i="5"/>
  <c r="J114" i="5"/>
  <c r="I115" i="5"/>
  <c r="W115" i="5"/>
  <c r="H116" i="5"/>
  <c r="AG71" i="6"/>
  <c r="CI70" i="6"/>
  <c r="CB70" i="6" s="1"/>
  <c r="M114" i="5" l="1"/>
  <c r="N114" i="5" s="1"/>
  <c r="L115" i="5"/>
  <c r="K115" i="5"/>
  <c r="J115" i="5"/>
  <c r="I116" i="5"/>
  <c r="W116" i="5"/>
  <c r="H117" i="5"/>
  <c r="AO71" i="6"/>
  <c r="Q71" i="6"/>
  <c r="R71" i="6" s="1"/>
  <c r="S71" i="6" s="1"/>
  <c r="CJ70" i="6"/>
  <c r="CC70" i="6" s="1"/>
  <c r="AH71" i="6"/>
  <c r="M115" i="5" l="1"/>
  <c r="N115" i="5" s="1"/>
  <c r="L116" i="5"/>
  <c r="K116" i="5"/>
  <c r="J116" i="5"/>
  <c r="I117" i="5"/>
  <c r="W117" i="5"/>
  <c r="H118" i="5"/>
  <c r="CK70" i="6"/>
  <c r="CD70" i="6" s="1"/>
  <c r="AI71" i="6"/>
  <c r="AP71" i="6"/>
  <c r="M116" i="5" l="1"/>
  <c r="N116" i="5" s="1"/>
  <c r="L117" i="5"/>
  <c r="K117" i="5"/>
  <c r="J117" i="5"/>
  <c r="I118" i="5"/>
  <c r="W118" i="5"/>
  <c r="H119" i="5"/>
  <c r="AJ71" i="6"/>
  <c r="CL70" i="6"/>
  <c r="CE70" i="6" s="1"/>
  <c r="W71" i="6"/>
  <c r="Z71" i="6" s="1"/>
  <c r="AQ71" i="6"/>
  <c r="M117" i="5" l="1"/>
  <c r="N117" i="5" s="1"/>
  <c r="L118" i="5"/>
  <c r="K118" i="5"/>
  <c r="J118" i="5"/>
  <c r="I119" i="5"/>
  <c r="W119" i="5"/>
  <c r="H120" i="5"/>
  <c r="AC71" i="6"/>
  <c r="AR71" i="6"/>
  <c r="AK71" i="6"/>
  <c r="CM70" i="6"/>
  <c r="CF70" i="6" s="1"/>
  <c r="M118" i="5" l="1"/>
  <c r="N118" i="5" s="1"/>
  <c r="L119" i="5"/>
  <c r="K119" i="5"/>
  <c r="J119" i="5"/>
  <c r="I120" i="5"/>
  <c r="W120" i="5"/>
  <c r="H121" i="5"/>
  <c r="AS71" i="6"/>
  <c r="CN70" i="6"/>
  <c r="CG70" i="6" s="1"/>
  <c r="AL71" i="6"/>
  <c r="M119" i="5" l="1"/>
  <c r="N119" i="5" s="1"/>
  <c r="L120" i="5"/>
  <c r="K120" i="5"/>
  <c r="J120" i="5"/>
  <c r="I121" i="5"/>
  <c r="W121" i="5"/>
  <c r="H122" i="5"/>
  <c r="CO70" i="6"/>
  <c r="CH70" i="6" s="1"/>
  <c r="AM71" i="6"/>
  <c r="AT71" i="6"/>
  <c r="M120" i="5" l="1"/>
  <c r="N120" i="5" s="1"/>
  <c r="L121" i="5"/>
  <c r="K121" i="5"/>
  <c r="J121" i="5"/>
  <c r="I122" i="5"/>
  <c r="W122" i="5"/>
  <c r="H123" i="5"/>
  <c r="CP70" i="6"/>
  <c r="T70" i="6" s="1"/>
  <c r="AN71" i="6"/>
  <c r="X71" i="6" s="1"/>
  <c r="AU71" i="6"/>
  <c r="M121" i="5" l="1"/>
  <c r="N121" i="5" s="1"/>
  <c r="L122" i="5"/>
  <c r="K122" i="5"/>
  <c r="J122" i="5"/>
  <c r="I123" i="5"/>
  <c r="W123" i="5"/>
  <c r="H124" i="5"/>
  <c r="AV71" i="6"/>
  <c r="AW71" i="6" s="1"/>
  <c r="AA71" i="6"/>
  <c r="Y71" i="6"/>
  <c r="AB71" i="6" s="1"/>
  <c r="M122" i="5" l="1"/>
  <c r="N122" i="5" s="1"/>
  <c r="L123" i="5"/>
  <c r="K123" i="5"/>
  <c r="J123" i="5"/>
  <c r="I124" i="5"/>
  <c r="W124" i="5"/>
  <c r="H125" i="5"/>
  <c r="BG71" i="6"/>
  <c r="BR71" i="6" s="1"/>
  <c r="BF71" i="6"/>
  <c r="BQ71" i="6" s="1"/>
  <c r="BE71" i="6"/>
  <c r="BP71" i="6" s="1"/>
  <c r="BD71" i="6"/>
  <c r="BO71" i="6" s="1"/>
  <c r="BC71" i="6"/>
  <c r="BN71" i="6" s="1"/>
  <c r="BB71" i="6"/>
  <c r="BM71" i="6" s="1"/>
  <c r="AZ71" i="6"/>
  <c r="AX71" i="6"/>
  <c r="BA71" i="6"/>
  <c r="BL71" i="6" s="1"/>
  <c r="M123" i="5" l="1"/>
  <c r="N123" i="5" s="1"/>
  <c r="L124" i="5"/>
  <c r="K124" i="5"/>
  <c r="J124" i="5"/>
  <c r="I125" i="5"/>
  <c r="W125" i="5"/>
  <c r="H126" i="5"/>
  <c r="BZ71" i="6"/>
  <c r="BY71" i="6"/>
  <c r="BX71" i="6"/>
  <c r="BW71" i="6"/>
  <c r="BV71" i="6"/>
  <c r="BU71" i="6"/>
  <c r="BH71" i="6"/>
  <c r="AY71" i="6"/>
  <c r="BT71" i="6"/>
  <c r="M124" i="5" l="1"/>
  <c r="N124" i="5" s="1"/>
  <c r="L125" i="5"/>
  <c r="K125" i="5"/>
  <c r="J125" i="5"/>
  <c r="I126" i="5"/>
  <c r="W126" i="5"/>
  <c r="H127" i="5"/>
  <c r="BI71" i="6"/>
  <c r="BJ71" i="6" s="1"/>
  <c r="BK71" i="6" s="1"/>
  <c r="M125" i="5" l="1"/>
  <c r="N125" i="5" s="1"/>
  <c r="L126" i="5"/>
  <c r="K126" i="5"/>
  <c r="J126" i="5"/>
  <c r="I127" i="5"/>
  <c r="W127" i="5"/>
  <c r="H128" i="5"/>
  <c r="BS71" i="6"/>
  <c r="CA71" i="6"/>
  <c r="M126" i="5" l="1"/>
  <c r="N126" i="5" s="1"/>
  <c r="L127" i="5"/>
  <c r="K127" i="5"/>
  <c r="J127" i="5"/>
  <c r="I128" i="5"/>
  <c r="W128" i="5"/>
  <c r="H129" i="5"/>
  <c r="AG72" i="6"/>
  <c r="CI71" i="6"/>
  <c r="CB71" i="6" s="1"/>
  <c r="M127" i="5" l="1"/>
  <c r="N127" i="5" s="1"/>
  <c r="L128" i="5"/>
  <c r="K128" i="5"/>
  <c r="J128" i="5"/>
  <c r="I129" i="5"/>
  <c r="W129" i="5"/>
  <c r="H130" i="5"/>
  <c r="AO72" i="6"/>
  <c r="Q72" i="6"/>
  <c r="R72" i="6" s="1"/>
  <c r="S72" i="6" s="1"/>
  <c r="AH72" i="6"/>
  <c r="CJ71" i="6"/>
  <c r="CC71" i="6" s="1"/>
  <c r="M128" i="5" l="1"/>
  <c r="N128" i="5" s="1"/>
  <c r="L129" i="5"/>
  <c r="K129" i="5"/>
  <c r="J129" i="5"/>
  <c r="I130" i="5"/>
  <c r="W130" i="5"/>
  <c r="H131" i="5"/>
  <c r="AP72" i="6"/>
  <c r="CK71" i="6"/>
  <c r="CD71" i="6" s="1"/>
  <c r="AI72" i="6"/>
  <c r="M129" i="5" l="1"/>
  <c r="N129" i="5" s="1"/>
  <c r="L130" i="5"/>
  <c r="K130" i="5"/>
  <c r="J130" i="5"/>
  <c r="I131" i="5"/>
  <c r="W131" i="5"/>
  <c r="H132" i="5"/>
  <c r="CL71" i="6"/>
  <c r="CE71" i="6" s="1"/>
  <c r="AJ72" i="6"/>
  <c r="W72" i="6"/>
  <c r="Z72" i="6" s="1"/>
  <c r="AQ72" i="6"/>
  <c r="M130" i="5" l="1"/>
  <c r="N130" i="5" s="1"/>
  <c r="L131" i="5"/>
  <c r="K131" i="5"/>
  <c r="J131" i="5"/>
  <c r="I132" i="5"/>
  <c r="W132" i="5"/>
  <c r="H133" i="5"/>
  <c r="AK72" i="6"/>
  <c r="CM71" i="6"/>
  <c r="CF71" i="6" s="1"/>
  <c r="AC72" i="6"/>
  <c r="AR72" i="6"/>
  <c r="M131" i="5" l="1"/>
  <c r="N131" i="5" s="1"/>
  <c r="L132" i="5"/>
  <c r="K132" i="5"/>
  <c r="J132" i="5"/>
  <c r="I133" i="5"/>
  <c r="W133" i="5"/>
  <c r="H134" i="5"/>
  <c r="AS72" i="6"/>
  <c r="AL72" i="6"/>
  <c r="CN71" i="6"/>
  <c r="CG71" i="6" s="1"/>
  <c r="M132" i="5" l="1"/>
  <c r="N132" i="5" s="1"/>
  <c r="L133" i="5"/>
  <c r="K133" i="5"/>
  <c r="J133" i="5"/>
  <c r="I134" i="5"/>
  <c r="W134" i="5"/>
  <c r="H135" i="5"/>
  <c r="AT72" i="6"/>
  <c r="CO71" i="6"/>
  <c r="CH71" i="6" s="1"/>
  <c r="AM72" i="6"/>
  <c r="M133" i="5" l="1"/>
  <c r="N133" i="5" s="1"/>
  <c r="L134" i="5"/>
  <c r="K134" i="5"/>
  <c r="J134" i="5"/>
  <c r="I135" i="5"/>
  <c r="W135" i="5"/>
  <c r="H136" i="5"/>
  <c r="CP71" i="6"/>
  <c r="T71" i="6" s="1"/>
  <c r="AN72" i="6"/>
  <c r="X72" i="6"/>
  <c r="AU72" i="6"/>
  <c r="M134" i="5" l="1"/>
  <c r="N134" i="5" s="1"/>
  <c r="L135" i="5"/>
  <c r="K135" i="5"/>
  <c r="J135" i="5"/>
  <c r="I136" i="5"/>
  <c r="W136" i="5"/>
  <c r="H137" i="5"/>
  <c r="AV72" i="6"/>
  <c r="AW72" i="6" s="1"/>
  <c r="AA72" i="6"/>
  <c r="Y72" i="6"/>
  <c r="AB72" i="6" s="1"/>
  <c r="BG72" i="6"/>
  <c r="BR72" i="6" s="1"/>
  <c r="M135" i="5" l="1"/>
  <c r="N135" i="5" s="1"/>
  <c r="L136" i="5"/>
  <c r="K136" i="5"/>
  <c r="J136" i="5"/>
  <c r="I137" i="5"/>
  <c r="W137" i="5"/>
  <c r="H138" i="5"/>
  <c r="BZ72" i="6"/>
  <c r="BF72" i="6"/>
  <c r="BQ72" i="6" s="1"/>
  <c r="BE72" i="6"/>
  <c r="BP72" i="6" s="1"/>
  <c r="BD72" i="6"/>
  <c r="BO72" i="6" s="1"/>
  <c r="BC72" i="6"/>
  <c r="BN72" i="6" s="1"/>
  <c r="BB72" i="6"/>
  <c r="BM72" i="6" s="1"/>
  <c r="BA72" i="6"/>
  <c r="BL72" i="6" s="1"/>
  <c r="AZ72" i="6"/>
  <c r="AX72" i="6"/>
  <c r="M136" i="5" l="1"/>
  <c r="N136" i="5" s="1"/>
  <c r="L137" i="5"/>
  <c r="K137" i="5"/>
  <c r="J137" i="5"/>
  <c r="I138" i="5"/>
  <c r="W138" i="5"/>
  <c r="H139" i="5"/>
  <c r="BY72" i="6"/>
  <c r="BX72" i="6"/>
  <c r="BW72" i="6"/>
  <c r="BV72" i="6"/>
  <c r="BU72" i="6"/>
  <c r="BT72" i="6"/>
  <c r="BH72" i="6"/>
  <c r="AY72" i="6"/>
  <c r="M137" i="5" l="1"/>
  <c r="N137" i="5" s="1"/>
  <c r="L138" i="5"/>
  <c r="K138" i="5"/>
  <c r="J138" i="5"/>
  <c r="I139" i="5"/>
  <c r="W139" i="5"/>
  <c r="H140" i="5"/>
  <c r="BJ72" i="6"/>
  <c r="BK72" i="6" s="1"/>
  <c r="BI72" i="6"/>
  <c r="M138" i="5" l="1"/>
  <c r="N138" i="5" s="1"/>
  <c r="L139" i="5"/>
  <c r="K139" i="5"/>
  <c r="J139" i="5"/>
  <c r="I140" i="5"/>
  <c r="W140" i="5"/>
  <c r="H141" i="5"/>
  <c r="BS72" i="6"/>
  <c r="CA72" i="6" s="1"/>
  <c r="M139" i="5" l="1"/>
  <c r="N139" i="5" s="1"/>
  <c r="L140" i="5"/>
  <c r="K140" i="5"/>
  <c r="J140" i="5"/>
  <c r="I141" i="5"/>
  <c r="W141" i="5"/>
  <c r="H142" i="5"/>
  <c r="AG73" i="6"/>
  <c r="CI72" i="6"/>
  <c r="CB72" i="6" s="1"/>
  <c r="M140" i="5" l="1"/>
  <c r="N140" i="5" s="1"/>
  <c r="L141" i="5"/>
  <c r="K141" i="5"/>
  <c r="J141" i="5"/>
  <c r="I142" i="5"/>
  <c r="W142" i="5"/>
  <c r="H143" i="5"/>
  <c r="AO73" i="6"/>
  <c r="Q73" i="6"/>
  <c r="R73" i="6" s="1"/>
  <c r="S73" i="6" s="1"/>
  <c r="AH73" i="6"/>
  <c r="CJ72" i="6"/>
  <c r="CC72" i="6" s="1"/>
  <c r="M141" i="5" l="1"/>
  <c r="N141" i="5" s="1"/>
  <c r="L142" i="5"/>
  <c r="K142" i="5"/>
  <c r="J142" i="5"/>
  <c r="I143" i="5"/>
  <c r="W143" i="5"/>
  <c r="H144" i="5"/>
  <c r="AP73" i="6"/>
  <c r="AI73" i="6"/>
  <c r="CK72" i="6"/>
  <c r="CD72" i="6" s="1"/>
  <c r="M142" i="5" l="1"/>
  <c r="N142" i="5" s="1"/>
  <c r="L143" i="5"/>
  <c r="K143" i="5"/>
  <c r="J143" i="5"/>
  <c r="I144" i="5"/>
  <c r="W144" i="5"/>
  <c r="H145" i="5"/>
  <c r="AQ73" i="6"/>
  <c r="AJ73" i="6"/>
  <c r="W73" i="6" s="1"/>
  <c r="Z73" i="6" s="1"/>
  <c r="CL72" i="6"/>
  <c r="CE72" i="6" s="1"/>
  <c r="M143" i="5" l="1"/>
  <c r="N143" i="5" s="1"/>
  <c r="L144" i="5"/>
  <c r="K144" i="5"/>
  <c r="J144" i="5"/>
  <c r="I145" i="5"/>
  <c r="W145" i="5"/>
  <c r="H146" i="5"/>
  <c r="AC73" i="6"/>
  <c r="AR73" i="6"/>
  <c r="CM72" i="6"/>
  <c r="CF72" i="6" s="1"/>
  <c r="AK73" i="6"/>
  <c r="M144" i="5" l="1"/>
  <c r="N144" i="5" s="1"/>
  <c r="L145" i="5"/>
  <c r="K145" i="5"/>
  <c r="J145" i="5"/>
  <c r="I146" i="5"/>
  <c r="W146" i="5"/>
  <c r="H147" i="5"/>
  <c r="CN72" i="6"/>
  <c r="CG72" i="6" s="1"/>
  <c r="AL73" i="6"/>
  <c r="AS73" i="6"/>
  <c r="M145" i="5" l="1"/>
  <c r="N145" i="5" s="1"/>
  <c r="L146" i="5"/>
  <c r="K146" i="5"/>
  <c r="J146" i="5"/>
  <c r="I147" i="5"/>
  <c r="W147" i="5"/>
  <c r="H148" i="5"/>
  <c r="CO72" i="6"/>
  <c r="CH72" i="6" s="1"/>
  <c r="AM73" i="6"/>
  <c r="AT73" i="6"/>
  <c r="M146" i="5" l="1"/>
  <c r="N146" i="5" s="1"/>
  <c r="L147" i="5"/>
  <c r="K147" i="5"/>
  <c r="J147" i="5"/>
  <c r="I148" i="5"/>
  <c r="W148" i="5"/>
  <c r="H149" i="5"/>
  <c r="AN73" i="6"/>
  <c r="X73" i="6" s="1"/>
  <c r="CP72" i="6"/>
  <c r="T72" i="6" s="1"/>
  <c r="AU73" i="6"/>
  <c r="M147" i="5" l="1"/>
  <c r="N147" i="5" s="1"/>
  <c r="L148" i="5"/>
  <c r="K148" i="5"/>
  <c r="J148" i="5"/>
  <c r="I149" i="5"/>
  <c r="W149" i="5"/>
  <c r="H150" i="5"/>
  <c r="AV73" i="6"/>
  <c r="AW73" i="6" s="1"/>
  <c r="AA73" i="6"/>
  <c r="Y73" i="6"/>
  <c r="AB73" i="6" s="1"/>
  <c r="BG73" i="6"/>
  <c r="BR73" i="6" s="1"/>
  <c r="BF73" i="6"/>
  <c r="BQ73" i="6" s="1"/>
  <c r="BE73" i="6"/>
  <c r="BP73" i="6" s="1"/>
  <c r="BD73" i="6"/>
  <c r="BO73" i="6" s="1"/>
  <c r="BC73" i="6"/>
  <c r="BN73" i="6" s="1"/>
  <c r="BB73" i="6"/>
  <c r="BM73" i="6" s="1"/>
  <c r="BA73" i="6"/>
  <c r="BL73" i="6" s="1"/>
  <c r="AZ73" i="6"/>
  <c r="AX73" i="6"/>
  <c r="M148" i="5" l="1"/>
  <c r="N148" i="5" s="1"/>
  <c r="L149" i="5"/>
  <c r="K149" i="5"/>
  <c r="J149" i="5"/>
  <c r="I150" i="5"/>
  <c r="W150" i="5"/>
  <c r="H151" i="5"/>
  <c r="BZ73" i="6"/>
  <c r="BY73" i="6"/>
  <c r="BX73" i="6"/>
  <c r="BW73" i="6"/>
  <c r="BV73" i="6"/>
  <c r="BU73" i="6"/>
  <c r="BT73" i="6"/>
  <c r="AY73" i="6"/>
  <c r="BH73" i="6"/>
  <c r="M149" i="5" l="1"/>
  <c r="N149" i="5" s="1"/>
  <c r="L150" i="5"/>
  <c r="K150" i="5"/>
  <c r="J150" i="5"/>
  <c r="I151" i="5"/>
  <c r="W151" i="5"/>
  <c r="H152" i="5"/>
  <c r="BI73" i="6"/>
  <c r="BJ73" i="6" s="1"/>
  <c r="BK73" i="6" s="1"/>
  <c r="M150" i="5" l="1"/>
  <c r="N150" i="5" s="1"/>
  <c r="L151" i="5"/>
  <c r="K151" i="5"/>
  <c r="J151" i="5"/>
  <c r="I152" i="5"/>
  <c r="W152" i="5"/>
  <c r="H153" i="5"/>
  <c r="BS73" i="6"/>
  <c r="CA73" i="6" s="1"/>
  <c r="M151" i="5" l="1"/>
  <c r="N151" i="5" s="1"/>
  <c r="L152" i="5"/>
  <c r="K152" i="5"/>
  <c r="J152" i="5"/>
  <c r="I153" i="5"/>
  <c r="W153" i="5"/>
  <c r="H154" i="5"/>
  <c r="AG74" i="6"/>
  <c r="CI73" i="6"/>
  <c r="CB73" i="6" s="1"/>
  <c r="M152" i="5" l="1"/>
  <c r="N152" i="5" s="1"/>
  <c r="L153" i="5"/>
  <c r="K153" i="5"/>
  <c r="J153" i="5"/>
  <c r="I154" i="5"/>
  <c r="W154" i="5"/>
  <c r="H155" i="5"/>
  <c r="AO74" i="6"/>
  <c r="Q74" i="6"/>
  <c r="R74" i="6" s="1"/>
  <c r="S74" i="6" s="1"/>
  <c r="CJ73" i="6"/>
  <c r="CC73" i="6" s="1"/>
  <c r="AH74" i="6"/>
  <c r="M153" i="5" l="1"/>
  <c r="N153" i="5" s="1"/>
  <c r="L154" i="5"/>
  <c r="K154" i="5"/>
  <c r="J154" i="5"/>
  <c r="I155" i="5"/>
  <c r="W155" i="5"/>
  <c r="H156" i="5"/>
  <c r="AI74" i="6"/>
  <c r="CK73" i="6"/>
  <c r="CD73" i="6" s="1"/>
  <c r="AP74" i="6"/>
  <c r="M154" i="5" l="1"/>
  <c r="N154" i="5" s="1"/>
  <c r="L155" i="5"/>
  <c r="K155" i="5"/>
  <c r="J155" i="5"/>
  <c r="I156" i="5"/>
  <c r="W156" i="5"/>
  <c r="H157" i="5"/>
  <c r="AQ74" i="6"/>
  <c r="CL73" i="6"/>
  <c r="CE73" i="6" s="1"/>
  <c r="AJ74" i="6"/>
  <c r="W74" i="6" s="1"/>
  <c r="Z74" i="6" s="1"/>
  <c r="M155" i="5" l="1"/>
  <c r="N155" i="5" s="1"/>
  <c r="L156" i="5"/>
  <c r="K156" i="5"/>
  <c r="J156" i="5"/>
  <c r="I157" i="5"/>
  <c r="W157" i="5"/>
  <c r="H158" i="5"/>
  <c r="CM73" i="6"/>
  <c r="CF73" i="6" s="1"/>
  <c r="AK74" i="6"/>
  <c r="AC74" i="6"/>
  <c r="AR74" i="6"/>
  <c r="M156" i="5" l="1"/>
  <c r="N156" i="5" s="1"/>
  <c r="L157" i="5"/>
  <c r="K157" i="5"/>
  <c r="J157" i="5"/>
  <c r="I158" i="5"/>
  <c r="W158" i="5"/>
  <c r="H159" i="5"/>
  <c r="CN73" i="6"/>
  <c r="CG73" i="6" s="1"/>
  <c r="AL74" i="6"/>
  <c r="AS74" i="6"/>
  <c r="M157" i="5" l="1"/>
  <c r="N157" i="5" s="1"/>
  <c r="L158" i="5"/>
  <c r="K158" i="5"/>
  <c r="J158" i="5"/>
  <c r="I159" i="5"/>
  <c r="W159" i="5"/>
  <c r="H160" i="5"/>
  <c r="AM74" i="6"/>
  <c r="CO73" i="6"/>
  <c r="CH73" i="6" s="1"/>
  <c r="AT74" i="6"/>
  <c r="M158" i="5" l="1"/>
  <c r="N158" i="5" s="1"/>
  <c r="L159" i="5"/>
  <c r="K159" i="5"/>
  <c r="J159" i="5"/>
  <c r="I160" i="5"/>
  <c r="W160" i="5"/>
  <c r="H161" i="5"/>
  <c r="AU74" i="6"/>
  <c r="AN74" i="6"/>
  <c r="X74" i="6" s="1"/>
  <c r="CP73" i="6"/>
  <c r="T73" i="6" s="1"/>
  <c r="M159" i="5" l="1"/>
  <c r="N159" i="5" s="1"/>
  <c r="L160" i="5"/>
  <c r="K160" i="5"/>
  <c r="J160" i="5"/>
  <c r="I161" i="5"/>
  <c r="W161" i="5"/>
  <c r="H162" i="5"/>
  <c r="AA74" i="6"/>
  <c r="Y74" i="6"/>
  <c r="AB74" i="6" s="1"/>
  <c r="AV74" i="6"/>
  <c r="AW74" i="6" s="1"/>
  <c r="M160" i="5" l="1"/>
  <c r="N160" i="5" s="1"/>
  <c r="L161" i="5"/>
  <c r="K161" i="5"/>
  <c r="J161" i="5"/>
  <c r="I162" i="5"/>
  <c r="W162" i="5"/>
  <c r="H163" i="5"/>
  <c r="AX74" i="6"/>
  <c r="BA74" i="6"/>
  <c r="BL74" i="6" s="1"/>
  <c r="BB74" i="6"/>
  <c r="BM74" i="6" s="1"/>
  <c r="BC74" i="6"/>
  <c r="BN74" i="6" s="1"/>
  <c r="AZ74" i="6"/>
  <c r="BD74" i="6"/>
  <c r="BO74" i="6" s="1"/>
  <c r="BG74" i="6"/>
  <c r="BR74" i="6" s="1"/>
  <c r="BE74" i="6"/>
  <c r="BP74" i="6" s="1"/>
  <c r="BF74" i="6"/>
  <c r="BQ74" i="6" s="1"/>
  <c r="M161" i="5" l="1"/>
  <c r="N161" i="5" s="1"/>
  <c r="L162" i="5"/>
  <c r="K162" i="5"/>
  <c r="J162" i="5"/>
  <c r="I163" i="5"/>
  <c r="W163" i="5"/>
  <c r="H164" i="5"/>
  <c r="AY74" i="6"/>
  <c r="BH74" i="6"/>
  <c r="BT74" i="6"/>
  <c r="BU74" i="6"/>
  <c r="BV74" i="6"/>
  <c r="BW74" i="6"/>
  <c r="BZ74" i="6"/>
  <c r="BX74" i="6"/>
  <c r="BY74" i="6"/>
  <c r="M162" i="5" l="1"/>
  <c r="N162" i="5" s="1"/>
  <c r="L163" i="5"/>
  <c r="K163" i="5"/>
  <c r="J163" i="5"/>
  <c r="I164" i="5"/>
  <c r="W164" i="5"/>
  <c r="H165" i="5"/>
  <c r="BI74" i="6"/>
  <c r="BJ74" i="6" s="1"/>
  <c r="BK74" i="6" s="1"/>
  <c r="M163" i="5" l="1"/>
  <c r="N163" i="5" s="1"/>
  <c r="L164" i="5"/>
  <c r="K164" i="5"/>
  <c r="J164" i="5"/>
  <c r="I165" i="5"/>
  <c r="W165" i="5"/>
  <c r="H166" i="5"/>
  <c r="BS74" i="6"/>
  <c r="CA74" i="6" s="1"/>
  <c r="M164" i="5" l="1"/>
  <c r="N164" i="5" s="1"/>
  <c r="L165" i="5"/>
  <c r="K165" i="5"/>
  <c r="J165" i="5"/>
  <c r="I166" i="5"/>
  <c r="W166" i="5"/>
  <c r="H167" i="5"/>
  <c r="AG75" i="6"/>
  <c r="CI74" i="6"/>
  <c r="CB74" i="6" s="1"/>
  <c r="AH75" i="6"/>
  <c r="CJ74" i="6"/>
  <c r="CC74" i="6" s="1"/>
  <c r="M165" i="5" l="1"/>
  <c r="N165" i="5" s="1"/>
  <c r="L166" i="5"/>
  <c r="K166" i="5"/>
  <c r="J166" i="5"/>
  <c r="I167" i="5"/>
  <c r="W167" i="5"/>
  <c r="H168" i="5"/>
  <c r="AO75" i="6"/>
  <c r="Q75" i="6"/>
  <c r="R75" i="6" s="1"/>
  <c r="S75" i="6" s="1"/>
  <c r="AP75" i="6"/>
  <c r="CK74" i="6"/>
  <c r="CD74" i="6" s="1"/>
  <c r="AI75" i="6"/>
  <c r="M166" i="5" l="1"/>
  <c r="N166" i="5" s="1"/>
  <c r="L167" i="5"/>
  <c r="K167" i="5"/>
  <c r="J167" i="5"/>
  <c r="I168" i="5"/>
  <c r="W168" i="5"/>
  <c r="H169" i="5"/>
  <c r="CL74" i="6"/>
  <c r="CE74" i="6" s="1"/>
  <c r="AJ75" i="6"/>
  <c r="AQ75" i="6"/>
  <c r="M167" i="5" l="1"/>
  <c r="N167" i="5" s="1"/>
  <c r="L168" i="5"/>
  <c r="K168" i="5"/>
  <c r="J168" i="5"/>
  <c r="I169" i="5"/>
  <c r="W169" i="5"/>
  <c r="H170" i="5"/>
  <c r="CM74" i="6"/>
  <c r="CF74" i="6" s="1"/>
  <c r="AK75" i="6"/>
  <c r="W75" i="6"/>
  <c r="Z75" i="6" s="1"/>
  <c r="AC75" i="6"/>
  <c r="AR75" i="6"/>
  <c r="M168" i="5" l="1"/>
  <c r="N168" i="5" s="1"/>
  <c r="L169" i="5"/>
  <c r="K169" i="5"/>
  <c r="J169" i="5"/>
  <c r="I170" i="5"/>
  <c r="W170" i="5"/>
  <c r="H171" i="5"/>
  <c r="CN74" i="6"/>
  <c r="CG74" i="6" s="1"/>
  <c r="AL75" i="6"/>
  <c r="AS75" i="6"/>
  <c r="M169" i="5" l="1"/>
  <c r="N169" i="5" s="1"/>
  <c r="L170" i="5"/>
  <c r="K170" i="5"/>
  <c r="J170" i="5"/>
  <c r="I171" i="5"/>
  <c r="W171" i="5"/>
  <c r="H172" i="5"/>
  <c r="CO74" i="6"/>
  <c r="CH74" i="6" s="1"/>
  <c r="AM75" i="6"/>
  <c r="AT75" i="6"/>
  <c r="M170" i="5" l="1"/>
  <c r="N170" i="5" s="1"/>
  <c r="L171" i="5"/>
  <c r="K171" i="5"/>
  <c r="J171" i="5"/>
  <c r="I172" i="5"/>
  <c r="W172" i="5"/>
  <c r="H173" i="5"/>
  <c r="CP74" i="6"/>
  <c r="T74" i="6" s="1"/>
  <c r="AN75" i="6"/>
  <c r="X75" i="6" s="1"/>
  <c r="AU75" i="6"/>
  <c r="M171" i="5" l="1"/>
  <c r="N171" i="5" s="1"/>
  <c r="L172" i="5"/>
  <c r="K172" i="5"/>
  <c r="J172" i="5"/>
  <c r="I173" i="5"/>
  <c r="W173" i="5"/>
  <c r="H174" i="5"/>
  <c r="AV75" i="6"/>
  <c r="AW75" i="6" s="1"/>
  <c r="AA75" i="6"/>
  <c r="Y75" i="6"/>
  <c r="AB75" i="6" s="1"/>
  <c r="M172" i="5" l="1"/>
  <c r="N172" i="5" s="1"/>
  <c r="L173" i="5"/>
  <c r="K173" i="5"/>
  <c r="J173" i="5"/>
  <c r="I174" i="5"/>
  <c r="W174" i="5"/>
  <c r="H175" i="5"/>
  <c r="BG75" i="6"/>
  <c r="BR75" i="6" s="1"/>
  <c r="BF75" i="6"/>
  <c r="BQ75" i="6" s="1"/>
  <c r="BE75" i="6"/>
  <c r="BP75" i="6" s="1"/>
  <c r="BD75" i="6"/>
  <c r="BO75" i="6" s="1"/>
  <c r="BC75" i="6"/>
  <c r="BN75" i="6" s="1"/>
  <c r="BB75" i="6"/>
  <c r="BM75" i="6" s="1"/>
  <c r="BA75" i="6"/>
  <c r="BL75" i="6" s="1"/>
  <c r="AZ75" i="6"/>
  <c r="AX75" i="6"/>
  <c r="M173" i="5" l="1"/>
  <c r="N173" i="5" s="1"/>
  <c r="L174" i="5"/>
  <c r="K174" i="5"/>
  <c r="J174" i="5"/>
  <c r="I175" i="5"/>
  <c r="W175" i="5"/>
  <c r="H176" i="5"/>
  <c r="BZ75" i="6"/>
  <c r="BY75" i="6"/>
  <c r="BX75" i="6"/>
  <c r="BW75" i="6"/>
  <c r="BV75" i="6"/>
  <c r="BU75" i="6"/>
  <c r="BT75" i="6"/>
  <c r="AY75" i="6"/>
  <c r="BH75" i="6"/>
  <c r="M174" i="5" l="1"/>
  <c r="N174" i="5" s="1"/>
  <c r="L175" i="5"/>
  <c r="K175" i="5"/>
  <c r="J175" i="5"/>
  <c r="I176" i="5"/>
  <c r="W176" i="5"/>
  <c r="H177" i="5"/>
  <c r="BI75" i="6"/>
  <c r="BJ75" i="6" s="1"/>
  <c r="BK75" i="6" s="1"/>
  <c r="M175" i="5" l="1"/>
  <c r="N175" i="5" s="1"/>
  <c r="L176" i="5"/>
  <c r="K176" i="5"/>
  <c r="J176" i="5"/>
  <c r="I177" i="5"/>
  <c r="W177" i="5"/>
  <c r="H178" i="5"/>
  <c r="BS75" i="6"/>
  <c r="CA75" i="6" s="1"/>
  <c r="M176" i="5" l="1"/>
  <c r="N176" i="5" s="1"/>
  <c r="L177" i="5"/>
  <c r="K177" i="5"/>
  <c r="J177" i="5"/>
  <c r="I178" i="5"/>
  <c r="W178" i="5"/>
  <c r="H179" i="5"/>
  <c r="AG76" i="6"/>
  <c r="CI75" i="6"/>
  <c r="CB75" i="6" s="1"/>
  <c r="CJ75" i="6"/>
  <c r="CC75" i="6" s="1"/>
  <c r="AH76" i="6"/>
  <c r="M177" i="5" l="1"/>
  <c r="N177" i="5" s="1"/>
  <c r="L178" i="5"/>
  <c r="K178" i="5"/>
  <c r="J178" i="5"/>
  <c r="I179" i="5"/>
  <c r="W179" i="5"/>
  <c r="H180" i="5"/>
  <c r="AO76" i="6"/>
  <c r="Q76" i="6"/>
  <c r="R76" i="6" s="1"/>
  <c r="S76" i="6" s="1"/>
  <c r="CK75" i="6"/>
  <c r="CD75" i="6" s="1"/>
  <c r="AI76" i="6"/>
  <c r="AP76" i="6"/>
  <c r="M178" i="5" l="1"/>
  <c r="N178" i="5" s="1"/>
  <c r="L179" i="5"/>
  <c r="K179" i="5"/>
  <c r="J179" i="5"/>
  <c r="I180" i="5"/>
  <c r="W180" i="5"/>
  <c r="H181" i="5"/>
  <c r="CL75" i="6"/>
  <c r="CE75" i="6" s="1"/>
  <c r="AJ76" i="6"/>
  <c r="AQ76" i="6"/>
  <c r="M179" i="5" l="1"/>
  <c r="N179" i="5" s="1"/>
  <c r="L180" i="5"/>
  <c r="K180" i="5"/>
  <c r="J180" i="5"/>
  <c r="I181" i="5"/>
  <c r="W181" i="5"/>
  <c r="H182" i="5"/>
  <c r="AK76" i="6"/>
  <c r="CM75" i="6"/>
  <c r="CF75" i="6" s="1"/>
  <c r="W76" i="6"/>
  <c r="Z76" i="6" s="1"/>
  <c r="AC76" i="6"/>
  <c r="AR76" i="6"/>
  <c r="M180" i="5" l="1"/>
  <c r="N180" i="5" s="1"/>
  <c r="L181" i="5"/>
  <c r="K181" i="5"/>
  <c r="J181" i="5"/>
  <c r="I182" i="5"/>
  <c r="W182" i="5"/>
  <c r="H183" i="5"/>
  <c r="AS76" i="6"/>
  <c r="AL76" i="6"/>
  <c r="CN75" i="6"/>
  <c r="CG75" i="6" s="1"/>
  <c r="M181" i="5" l="1"/>
  <c r="N181" i="5" s="1"/>
  <c r="L182" i="5"/>
  <c r="K182" i="5"/>
  <c r="J182" i="5"/>
  <c r="I183" i="5"/>
  <c r="W183" i="5"/>
  <c r="H184" i="5"/>
  <c r="AT76" i="6"/>
  <c r="CO75" i="6"/>
  <c r="CH75" i="6" s="1"/>
  <c r="AM76" i="6"/>
  <c r="M182" i="5" l="1"/>
  <c r="N182" i="5" s="1"/>
  <c r="L183" i="5"/>
  <c r="K183" i="5"/>
  <c r="J183" i="5"/>
  <c r="I184" i="5"/>
  <c r="W184" i="5"/>
  <c r="H185" i="5"/>
  <c r="CP75" i="6"/>
  <c r="T75" i="6" s="1"/>
  <c r="AN76" i="6"/>
  <c r="X76" i="6" s="1"/>
  <c r="AU76" i="6"/>
  <c r="M183" i="5" l="1"/>
  <c r="N183" i="5" s="1"/>
  <c r="L184" i="5"/>
  <c r="K184" i="5"/>
  <c r="J184" i="5"/>
  <c r="I185" i="5"/>
  <c r="W185" i="5"/>
  <c r="H186" i="5"/>
  <c r="AV76" i="6"/>
  <c r="AW76" i="6" s="1"/>
  <c r="AA76" i="6"/>
  <c r="Y76" i="6"/>
  <c r="AB76" i="6" s="1"/>
  <c r="AX76" i="6"/>
  <c r="M184" i="5" l="1"/>
  <c r="N184" i="5" s="1"/>
  <c r="L185" i="5"/>
  <c r="K185" i="5"/>
  <c r="J185" i="5"/>
  <c r="I186" i="5"/>
  <c r="W186" i="5"/>
  <c r="H187" i="5"/>
  <c r="AY76" i="6"/>
  <c r="BH76" i="6"/>
  <c r="AZ76" i="6"/>
  <c r="BA76" i="6"/>
  <c r="BL76" i="6" s="1"/>
  <c r="BB76" i="6"/>
  <c r="BM76" i="6" s="1"/>
  <c r="BC76" i="6"/>
  <c r="BN76" i="6" s="1"/>
  <c r="BD76" i="6"/>
  <c r="BO76" i="6" s="1"/>
  <c r="BE76" i="6"/>
  <c r="BP76" i="6" s="1"/>
  <c r="BF76" i="6"/>
  <c r="BQ76" i="6" s="1"/>
  <c r="BG76" i="6"/>
  <c r="BR76" i="6" s="1"/>
  <c r="M185" i="5" l="1"/>
  <c r="N185" i="5" s="1"/>
  <c r="L186" i="5"/>
  <c r="K186" i="5"/>
  <c r="J186" i="5"/>
  <c r="I187" i="5"/>
  <c r="W187" i="5"/>
  <c r="H188" i="5"/>
  <c r="BI76" i="6"/>
  <c r="BJ76" i="6" s="1"/>
  <c r="BK76" i="6" s="1"/>
  <c r="BT76" i="6"/>
  <c r="BU76" i="6"/>
  <c r="BV76" i="6"/>
  <c r="BW76" i="6"/>
  <c r="BX76" i="6"/>
  <c r="BY76" i="6"/>
  <c r="BZ76" i="6"/>
  <c r="M186" i="5" l="1"/>
  <c r="N186" i="5" s="1"/>
  <c r="L187" i="5"/>
  <c r="K187" i="5"/>
  <c r="J187" i="5"/>
  <c r="I188" i="5"/>
  <c r="W188" i="5"/>
  <c r="H189" i="5"/>
  <c r="BS76" i="6"/>
  <c r="CA76" i="6"/>
  <c r="M187" i="5" l="1"/>
  <c r="N187" i="5" s="1"/>
  <c r="L188" i="5"/>
  <c r="K188" i="5"/>
  <c r="J188" i="5"/>
  <c r="I189" i="5"/>
  <c r="W189" i="5"/>
  <c r="H190" i="5"/>
  <c r="CI76" i="6"/>
  <c r="CB76" i="6" s="1"/>
  <c r="AG77" i="6"/>
  <c r="M188" i="5" l="1"/>
  <c r="N188" i="5" s="1"/>
  <c r="L189" i="5"/>
  <c r="K189" i="5"/>
  <c r="J189" i="5"/>
  <c r="I190" i="5"/>
  <c r="W190" i="5"/>
  <c r="H191" i="5"/>
  <c r="AH77" i="6"/>
  <c r="CJ76" i="6"/>
  <c r="CC76" i="6" s="1"/>
  <c r="AO77" i="6"/>
  <c r="Q77" i="6"/>
  <c r="R77" i="6" s="1"/>
  <c r="S77" i="6" s="1"/>
  <c r="M189" i="5" l="1"/>
  <c r="N189" i="5" s="1"/>
  <c r="L190" i="5"/>
  <c r="K190" i="5"/>
  <c r="J190" i="5"/>
  <c r="I191" i="5"/>
  <c r="W191" i="5"/>
  <c r="H192" i="5"/>
  <c r="AP77" i="6"/>
  <c r="CK76" i="6"/>
  <c r="CD76" i="6" s="1"/>
  <c r="AI77" i="6"/>
  <c r="M190" i="5" l="1"/>
  <c r="N190" i="5" s="1"/>
  <c r="L191" i="5"/>
  <c r="K191" i="5"/>
  <c r="J191" i="5"/>
  <c r="I192" i="5"/>
  <c r="W192" i="5"/>
  <c r="H193" i="5"/>
  <c r="CL76" i="6"/>
  <c r="CE76" i="6" s="1"/>
  <c r="AJ77" i="6"/>
  <c r="W77" i="6"/>
  <c r="Z77" i="6" s="1"/>
  <c r="AQ77" i="6"/>
  <c r="M191" i="5" l="1"/>
  <c r="N191" i="5" s="1"/>
  <c r="L192" i="5"/>
  <c r="K192" i="5"/>
  <c r="J192" i="5"/>
  <c r="I193" i="5"/>
  <c r="W193" i="5"/>
  <c r="H194" i="5"/>
  <c r="CM76" i="6"/>
  <c r="CF76" i="6" s="1"/>
  <c r="AK77" i="6"/>
  <c r="AC77" i="6"/>
  <c r="AR77" i="6"/>
  <c r="M192" i="5" l="1"/>
  <c r="N192" i="5" s="1"/>
  <c r="L193" i="5"/>
  <c r="K193" i="5"/>
  <c r="J193" i="5"/>
  <c r="I194" i="5"/>
  <c r="W194" i="5"/>
  <c r="H195" i="5"/>
  <c r="CN76" i="6"/>
  <c r="CG76" i="6" s="1"/>
  <c r="AL77" i="6"/>
  <c r="AS77" i="6"/>
  <c r="M193" i="5" l="1"/>
  <c r="N193" i="5" s="1"/>
  <c r="L194" i="5"/>
  <c r="K194" i="5"/>
  <c r="J194" i="5"/>
  <c r="I195" i="5"/>
  <c r="W195" i="5"/>
  <c r="H196" i="5"/>
  <c r="CO76" i="6"/>
  <c r="CH76" i="6" s="1"/>
  <c r="AM77" i="6"/>
  <c r="AT77" i="6"/>
  <c r="M194" i="5" l="1"/>
  <c r="N194" i="5" s="1"/>
  <c r="L195" i="5"/>
  <c r="K195" i="5"/>
  <c r="J195" i="5"/>
  <c r="I196" i="5"/>
  <c r="W196" i="5"/>
  <c r="H197" i="5"/>
  <c r="CP76" i="6"/>
  <c r="T76" i="6" s="1"/>
  <c r="AN77" i="6"/>
  <c r="X77" i="6"/>
  <c r="AU77" i="6"/>
  <c r="M195" i="5" l="1"/>
  <c r="N195" i="5" s="1"/>
  <c r="L196" i="5"/>
  <c r="K196" i="5"/>
  <c r="J196" i="5"/>
  <c r="I197" i="5"/>
  <c r="W197" i="5"/>
  <c r="H198" i="5"/>
  <c r="AV77" i="6"/>
  <c r="AW77" i="6" s="1"/>
  <c r="AA77" i="6"/>
  <c r="Y77" i="6"/>
  <c r="AB77" i="6" s="1"/>
  <c r="BG77" i="6"/>
  <c r="BR77" i="6" s="1"/>
  <c r="BE77" i="6"/>
  <c r="BP77" i="6" s="1"/>
  <c r="BD77" i="6"/>
  <c r="BO77" i="6" s="1"/>
  <c r="BC77" i="6"/>
  <c r="BN77" i="6" s="1"/>
  <c r="BB77" i="6"/>
  <c r="BM77" i="6" s="1"/>
  <c r="BA77" i="6"/>
  <c r="BL77" i="6" s="1"/>
  <c r="AZ77" i="6"/>
  <c r="AX77" i="6"/>
  <c r="BF77" i="6"/>
  <c r="BQ77" i="6" s="1"/>
  <c r="M196" i="5" l="1"/>
  <c r="N196" i="5" s="1"/>
  <c r="L197" i="5"/>
  <c r="K197" i="5"/>
  <c r="J197" i="5"/>
  <c r="I198" i="5"/>
  <c r="W198" i="5"/>
  <c r="H199" i="5"/>
  <c r="BZ77" i="6"/>
  <c r="BX77" i="6"/>
  <c r="BW77" i="6"/>
  <c r="BV77" i="6"/>
  <c r="BU77" i="6"/>
  <c r="BT77" i="6"/>
  <c r="AY77" i="6"/>
  <c r="BH77" i="6"/>
  <c r="BY77" i="6"/>
  <c r="M197" i="5" l="1"/>
  <c r="N197" i="5" s="1"/>
  <c r="L198" i="5"/>
  <c r="K198" i="5"/>
  <c r="J198" i="5"/>
  <c r="I199" i="5"/>
  <c r="W199" i="5"/>
  <c r="H200" i="5"/>
  <c r="BI77" i="6"/>
  <c r="BJ77" i="6" s="1"/>
  <c r="BK77" i="6" s="1"/>
  <c r="M198" i="5" l="1"/>
  <c r="N198" i="5" s="1"/>
  <c r="L199" i="5"/>
  <c r="K199" i="5"/>
  <c r="J199" i="5"/>
  <c r="I200" i="5"/>
  <c r="W200" i="5"/>
  <c r="H201" i="5"/>
  <c r="BS77" i="6"/>
  <c r="CA77" i="6" s="1"/>
  <c r="M199" i="5" l="1"/>
  <c r="N199" i="5" s="1"/>
  <c r="L200" i="5"/>
  <c r="K200" i="5"/>
  <c r="J200" i="5"/>
  <c r="I201" i="5"/>
  <c r="W201" i="5"/>
  <c r="H202" i="5"/>
  <c r="AG78" i="6"/>
  <c r="CI77" i="6"/>
  <c r="CB77" i="6" s="1"/>
  <c r="CJ77" i="6" s="1"/>
  <c r="CC77" i="6" s="1"/>
  <c r="AH78" i="6"/>
  <c r="M200" i="5" l="1"/>
  <c r="N200" i="5" s="1"/>
  <c r="L201" i="5"/>
  <c r="K201" i="5"/>
  <c r="J201" i="5"/>
  <c r="I202" i="5"/>
  <c r="W202" i="5"/>
  <c r="H203" i="5"/>
  <c r="AO78" i="6"/>
  <c r="Q78" i="6"/>
  <c r="R78" i="6" s="1"/>
  <c r="S78" i="6" s="1"/>
  <c r="AI78" i="6"/>
  <c r="CK77" i="6"/>
  <c r="CD77" i="6" s="1"/>
  <c r="AP78" i="6"/>
  <c r="M201" i="5" l="1"/>
  <c r="N201" i="5" s="1"/>
  <c r="L202" i="5"/>
  <c r="K202" i="5"/>
  <c r="J202" i="5"/>
  <c r="I203" i="5"/>
  <c r="W203" i="5"/>
  <c r="H204" i="5"/>
  <c r="AQ78" i="6"/>
  <c r="AJ78" i="6"/>
  <c r="CL77" i="6"/>
  <c r="CE77" i="6" s="1"/>
  <c r="M202" i="5" l="1"/>
  <c r="N202" i="5" s="1"/>
  <c r="L203" i="5"/>
  <c r="K203" i="5"/>
  <c r="J203" i="5"/>
  <c r="I204" i="5"/>
  <c r="W204" i="5"/>
  <c r="H205" i="5"/>
  <c r="W78" i="6"/>
  <c r="Z78" i="6" s="1"/>
  <c r="AC78" i="6"/>
  <c r="AR78" i="6"/>
  <c r="CM77" i="6"/>
  <c r="CF77" i="6" s="1"/>
  <c r="AK78" i="6"/>
  <c r="M203" i="5" l="1"/>
  <c r="N203" i="5" s="1"/>
  <c r="L204" i="5"/>
  <c r="K204" i="5"/>
  <c r="J204" i="5"/>
  <c r="I205" i="5"/>
  <c r="W205" i="5"/>
  <c r="H206" i="5"/>
  <c r="CN77" i="6"/>
  <c r="CG77" i="6" s="1"/>
  <c r="AL78" i="6"/>
  <c r="AS78" i="6"/>
  <c r="M204" i="5" l="1"/>
  <c r="N204" i="5" s="1"/>
  <c r="L205" i="5"/>
  <c r="K205" i="5"/>
  <c r="J205" i="5"/>
  <c r="I206" i="5"/>
  <c r="W206" i="5"/>
  <c r="H207" i="5"/>
  <c r="CO77" i="6"/>
  <c r="CH77" i="6" s="1"/>
  <c r="AM78" i="6"/>
  <c r="AT78" i="6"/>
  <c r="M205" i="5" l="1"/>
  <c r="N205" i="5" s="1"/>
  <c r="L206" i="5"/>
  <c r="K206" i="5"/>
  <c r="J206" i="5"/>
  <c r="I207" i="5"/>
  <c r="W207" i="5"/>
  <c r="H208" i="5"/>
  <c r="CP77" i="6"/>
  <c r="T77" i="6" s="1"/>
  <c r="AN78" i="6"/>
  <c r="X78" i="6" s="1"/>
  <c r="AU78" i="6"/>
  <c r="M206" i="5" l="1"/>
  <c r="N206" i="5" s="1"/>
  <c r="L207" i="5"/>
  <c r="K207" i="5"/>
  <c r="J207" i="5"/>
  <c r="I208" i="5"/>
  <c r="W208" i="5"/>
  <c r="H209" i="5"/>
  <c r="AV78" i="6"/>
  <c r="AW78" i="6" s="1"/>
  <c r="AA78" i="6"/>
  <c r="Y78" i="6"/>
  <c r="AB78" i="6" s="1"/>
  <c r="M207" i="5" l="1"/>
  <c r="N207" i="5" s="1"/>
  <c r="L208" i="5"/>
  <c r="K208" i="5"/>
  <c r="J208" i="5"/>
  <c r="I209" i="5"/>
  <c r="W209" i="5"/>
  <c r="H210" i="5"/>
  <c r="BG78" i="6"/>
  <c r="BR78" i="6" s="1"/>
  <c r="BA78" i="6"/>
  <c r="BL78" i="6" s="1"/>
  <c r="AX78" i="6"/>
  <c r="BD78" i="6"/>
  <c r="BO78" i="6" s="1"/>
  <c r="BC78" i="6"/>
  <c r="BN78" i="6" s="1"/>
  <c r="BB78" i="6"/>
  <c r="BM78" i="6" s="1"/>
  <c r="AZ78" i="6"/>
  <c r="BF78" i="6"/>
  <c r="BQ78" i="6" s="1"/>
  <c r="BE78" i="6"/>
  <c r="BP78" i="6" s="1"/>
  <c r="M208" i="5" l="1"/>
  <c r="N208" i="5" s="1"/>
  <c r="L209" i="5"/>
  <c r="K209" i="5"/>
  <c r="J209" i="5"/>
  <c r="I210" i="5"/>
  <c r="W210" i="5"/>
  <c r="H211" i="5"/>
  <c r="BZ78" i="6"/>
  <c r="BT78" i="6"/>
  <c r="AY78" i="6"/>
  <c r="BH78" i="6"/>
  <c r="BW78" i="6"/>
  <c r="BV78" i="6"/>
  <c r="BU78" i="6"/>
  <c r="BY78" i="6"/>
  <c r="BX78" i="6"/>
  <c r="M209" i="5" l="1"/>
  <c r="N209" i="5" s="1"/>
  <c r="L210" i="5"/>
  <c r="K210" i="5"/>
  <c r="J210" i="5"/>
  <c r="I211" i="5"/>
  <c r="W211" i="5"/>
  <c r="H212" i="5"/>
  <c r="BI78" i="6"/>
  <c r="BJ78" i="6" s="1"/>
  <c r="BK78" i="6" s="1"/>
  <c r="M210" i="5" l="1"/>
  <c r="N210" i="5" s="1"/>
  <c r="L211" i="5"/>
  <c r="K211" i="5"/>
  <c r="J211" i="5"/>
  <c r="I212" i="5"/>
  <c r="W212" i="5"/>
  <c r="H213" i="5"/>
  <c r="BS78" i="6"/>
  <c r="CA78" i="6" s="1"/>
  <c r="M211" i="5" l="1"/>
  <c r="N211" i="5" s="1"/>
  <c r="L212" i="5"/>
  <c r="K212" i="5"/>
  <c r="J212" i="5"/>
  <c r="I213" i="5"/>
  <c r="W213" i="5"/>
  <c r="H214" i="5"/>
  <c r="AG79" i="6"/>
  <c r="CI78" i="6"/>
  <c r="CB78" i="6" s="1"/>
  <c r="M212" i="5" l="1"/>
  <c r="N212" i="5" s="1"/>
  <c r="L213" i="5"/>
  <c r="K213" i="5"/>
  <c r="J213" i="5"/>
  <c r="I214" i="5"/>
  <c r="W214" i="5"/>
  <c r="H215" i="5"/>
  <c r="AO79" i="6"/>
  <c r="Q79" i="6"/>
  <c r="R79" i="6" s="1"/>
  <c r="S79" i="6" s="1"/>
  <c r="CJ78" i="6"/>
  <c r="CC78" i="6" s="1"/>
  <c r="AH79" i="6"/>
  <c r="M213" i="5" l="1"/>
  <c r="N213" i="5" s="1"/>
  <c r="L214" i="5"/>
  <c r="K214" i="5"/>
  <c r="J214" i="5"/>
  <c r="I215" i="5"/>
  <c r="W215" i="5"/>
  <c r="H216" i="5"/>
  <c r="AI79" i="6"/>
  <c r="CK78" i="6"/>
  <c r="CD78" i="6" s="1"/>
  <c r="AP79" i="6"/>
  <c r="M214" i="5" l="1"/>
  <c r="N214" i="5" s="1"/>
  <c r="L215" i="5"/>
  <c r="K215" i="5"/>
  <c r="J215" i="5"/>
  <c r="I216" i="5"/>
  <c r="W216" i="5"/>
  <c r="H217" i="5"/>
  <c r="AQ79" i="6"/>
  <c r="CL78" i="6"/>
  <c r="CE78" i="6" s="1"/>
  <c r="AJ79" i="6"/>
  <c r="W79" i="6" s="1"/>
  <c r="Z79" i="6" s="1"/>
  <c r="M215" i="5" l="1"/>
  <c r="N215" i="5" s="1"/>
  <c r="L216" i="5"/>
  <c r="K216" i="5"/>
  <c r="J216" i="5"/>
  <c r="I217" i="5"/>
  <c r="W217" i="5"/>
  <c r="H218" i="5"/>
  <c r="AK79" i="6"/>
  <c r="CM78" i="6"/>
  <c r="CF78" i="6" s="1"/>
  <c r="AC79" i="6"/>
  <c r="AR79" i="6"/>
  <c r="M216" i="5" l="1"/>
  <c r="N216" i="5" s="1"/>
  <c r="L217" i="5"/>
  <c r="K217" i="5"/>
  <c r="J217" i="5"/>
  <c r="I218" i="5"/>
  <c r="W218" i="5"/>
  <c r="H219" i="5"/>
  <c r="AS79" i="6"/>
  <c r="AL79" i="6"/>
  <c r="CN78" i="6"/>
  <c r="CG78" i="6" s="1"/>
  <c r="M217" i="5" l="1"/>
  <c r="N217" i="5" s="1"/>
  <c r="L218" i="5"/>
  <c r="K218" i="5"/>
  <c r="J218" i="5"/>
  <c r="I219" i="5"/>
  <c r="W219" i="5"/>
  <c r="H220" i="5"/>
  <c r="AT79" i="6"/>
  <c r="CO78" i="6"/>
  <c r="CH78" i="6" s="1"/>
  <c r="AM79" i="6"/>
  <c r="M218" i="5" l="1"/>
  <c r="N218" i="5" s="1"/>
  <c r="L219" i="5"/>
  <c r="K219" i="5"/>
  <c r="J219" i="5"/>
  <c r="I220" i="5"/>
  <c r="W220" i="5"/>
  <c r="H221" i="5"/>
  <c r="CP78" i="6"/>
  <c r="T78" i="6" s="1"/>
  <c r="AN79" i="6"/>
  <c r="X79" i="6"/>
  <c r="AU79" i="6"/>
  <c r="M219" i="5" l="1"/>
  <c r="N219" i="5" s="1"/>
  <c r="L220" i="5"/>
  <c r="K220" i="5"/>
  <c r="J220" i="5"/>
  <c r="I221" i="5"/>
  <c r="W221" i="5"/>
  <c r="H222" i="5"/>
  <c r="AV79" i="6"/>
  <c r="AW79" i="6" s="1"/>
  <c r="AA79" i="6"/>
  <c r="Y79" i="6"/>
  <c r="AB79" i="6" s="1"/>
  <c r="BA79" i="6"/>
  <c r="BL79" i="6" s="1"/>
  <c r="BB79" i="6"/>
  <c r="BM79" i="6" s="1"/>
  <c r="M220" i="5" l="1"/>
  <c r="N220" i="5" s="1"/>
  <c r="L221" i="5"/>
  <c r="K221" i="5"/>
  <c r="J221" i="5"/>
  <c r="I222" i="5"/>
  <c r="W222" i="5"/>
  <c r="H223" i="5"/>
  <c r="BT79" i="6"/>
  <c r="BU79" i="6"/>
  <c r="AZ79" i="6"/>
  <c r="BC79" i="6"/>
  <c r="BN79" i="6" s="1"/>
  <c r="BD79" i="6"/>
  <c r="BO79" i="6" s="1"/>
  <c r="BE79" i="6"/>
  <c r="BP79" i="6" s="1"/>
  <c r="BF79" i="6"/>
  <c r="BQ79" i="6" s="1"/>
  <c r="BG79" i="6"/>
  <c r="BR79" i="6" s="1"/>
  <c r="AX79" i="6"/>
  <c r="M221" i="5" l="1"/>
  <c r="N221" i="5" s="1"/>
  <c r="L222" i="5"/>
  <c r="K222" i="5"/>
  <c r="J222" i="5"/>
  <c r="I223" i="5"/>
  <c r="W223" i="5"/>
  <c r="H224" i="5"/>
  <c r="BV79" i="6"/>
  <c r="BW79" i="6"/>
  <c r="BX79" i="6"/>
  <c r="BY79" i="6"/>
  <c r="BZ79" i="6"/>
  <c r="AY79" i="6"/>
  <c r="BH79" i="6"/>
  <c r="M222" i="5" l="1"/>
  <c r="N222" i="5" s="1"/>
  <c r="L223" i="5"/>
  <c r="K223" i="5"/>
  <c r="J223" i="5"/>
  <c r="I224" i="5"/>
  <c r="W224" i="5"/>
  <c r="H225" i="5"/>
  <c r="BI79" i="6"/>
  <c r="BJ79" i="6" s="1"/>
  <c r="BK79" i="6" s="1"/>
  <c r="M223" i="5" l="1"/>
  <c r="N223" i="5" s="1"/>
  <c r="L224" i="5"/>
  <c r="K224" i="5"/>
  <c r="J224" i="5"/>
  <c r="I225" i="5"/>
  <c r="W225" i="5"/>
  <c r="H226" i="5"/>
  <c r="BS79" i="6"/>
  <c r="CA79" i="6" s="1"/>
  <c r="M224" i="5" l="1"/>
  <c r="N224" i="5" s="1"/>
  <c r="L225" i="5"/>
  <c r="K225" i="5"/>
  <c r="J225" i="5"/>
  <c r="I226" i="5"/>
  <c r="W226" i="5"/>
  <c r="H227" i="5"/>
  <c r="AG80" i="6"/>
  <c r="CI79" i="6"/>
  <c r="CB79" i="6" s="1"/>
  <c r="AH80" i="6"/>
  <c r="CJ79" i="6"/>
  <c r="CC79" i="6" s="1"/>
  <c r="M225" i="5" l="1"/>
  <c r="N225" i="5" s="1"/>
  <c r="L226" i="5"/>
  <c r="K226" i="5"/>
  <c r="J226" i="5"/>
  <c r="I227" i="5"/>
  <c r="W227" i="5"/>
  <c r="H228" i="5"/>
  <c r="AO80" i="6"/>
  <c r="Q80" i="6"/>
  <c r="R80" i="6" s="1"/>
  <c r="S80" i="6" s="1"/>
  <c r="AP80" i="6"/>
  <c r="CK79" i="6"/>
  <c r="CD79" i="6" s="1"/>
  <c r="AI80" i="6"/>
  <c r="M226" i="5" l="1"/>
  <c r="N226" i="5" s="1"/>
  <c r="L227" i="5"/>
  <c r="K227" i="5"/>
  <c r="J227" i="5"/>
  <c r="I228" i="5"/>
  <c r="W228" i="5"/>
  <c r="H229" i="5"/>
  <c r="CL79" i="6"/>
  <c r="CE79" i="6" s="1"/>
  <c r="AJ80" i="6"/>
  <c r="AQ80" i="6"/>
  <c r="M227" i="5" l="1"/>
  <c r="N227" i="5" s="1"/>
  <c r="L228" i="5"/>
  <c r="K228" i="5"/>
  <c r="J228" i="5"/>
  <c r="I229" i="5"/>
  <c r="W229" i="5"/>
  <c r="H230" i="5"/>
  <c r="CM79" i="6"/>
  <c r="CF79" i="6" s="1"/>
  <c r="AK80" i="6"/>
  <c r="W80" i="6"/>
  <c r="Z80" i="6" s="1"/>
  <c r="AC80" i="6"/>
  <c r="AR80" i="6"/>
  <c r="M228" i="5" l="1"/>
  <c r="N228" i="5" s="1"/>
  <c r="L229" i="5"/>
  <c r="K229" i="5"/>
  <c r="J229" i="5"/>
  <c r="I230" i="5"/>
  <c r="W230" i="5"/>
  <c r="H231" i="5"/>
  <c r="CN79" i="6"/>
  <c r="CG79" i="6" s="1"/>
  <c r="AL80" i="6"/>
  <c r="AS80" i="6"/>
  <c r="M229" i="5" l="1"/>
  <c r="N229" i="5" s="1"/>
  <c r="L230" i="5"/>
  <c r="K230" i="5"/>
  <c r="J230" i="5"/>
  <c r="I231" i="5"/>
  <c r="W231" i="5"/>
  <c r="H232" i="5"/>
  <c r="CO79" i="6"/>
  <c r="CH79" i="6" s="1"/>
  <c r="AM80" i="6"/>
  <c r="AT80" i="6"/>
  <c r="M230" i="5" l="1"/>
  <c r="N230" i="5" s="1"/>
  <c r="L231" i="5"/>
  <c r="K231" i="5"/>
  <c r="J231" i="5"/>
  <c r="I232" i="5"/>
  <c r="W232" i="5"/>
  <c r="H233" i="5"/>
  <c r="CP79" i="6"/>
  <c r="T79" i="6" s="1"/>
  <c r="AN80" i="6"/>
  <c r="X80" i="6"/>
  <c r="AU80" i="6"/>
  <c r="M231" i="5" l="1"/>
  <c r="N231" i="5" s="1"/>
  <c r="L232" i="5"/>
  <c r="K232" i="5"/>
  <c r="J232" i="5"/>
  <c r="I233" i="5"/>
  <c r="W233" i="5"/>
  <c r="H234" i="5"/>
  <c r="AV80" i="6"/>
  <c r="AW80" i="6" s="1"/>
  <c r="AA80" i="6"/>
  <c r="Y80" i="6"/>
  <c r="AB80" i="6" s="1"/>
  <c r="M232" i="5" l="1"/>
  <c r="N232" i="5" s="1"/>
  <c r="L233" i="5"/>
  <c r="K233" i="5"/>
  <c r="J233" i="5"/>
  <c r="I234" i="5"/>
  <c r="W234" i="5"/>
  <c r="H235" i="5"/>
  <c r="BB80" i="6"/>
  <c r="BM80" i="6" s="1"/>
  <c r="BA80" i="6"/>
  <c r="BL80" i="6" s="1"/>
  <c r="AZ80" i="6"/>
  <c r="AX80" i="6"/>
  <c r="BG80" i="6"/>
  <c r="BR80" i="6" s="1"/>
  <c r="BF80" i="6"/>
  <c r="BQ80" i="6" s="1"/>
  <c r="BC80" i="6"/>
  <c r="BN80" i="6" s="1"/>
  <c r="BE80" i="6"/>
  <c r="BP80" i="6" s="1"/>
  <c r="BD80" i="6"/>
  <c r="BO80" i="6" s="1"/>
  <c r="M233" i="5" l="1"/>
  <c r="N233" i="5" s="1"/>
  <c r="L234" i="5"/>
  <c r="K234" i="5"/>
  <c r="J234" i="5"/>
  <c r="I235" i="5"/>
  <c r="W235" i="5"/>
  <c r="H236" i="5"/>
  <c r="BU80" i="6"/>
  <c r="BT80" i="6"/>
  <c r="AY80" i="6"/>
  <c r="BH80" i="6"/>
  <c r="BZ80" i="6"/>
  <c r="BY80" i="6"/>
  <c r="BV80" i="6"/>
  <c r="BX80" i="6"/>
  <c r="BW80" i="6"/>
  <c r="M234" i="5" l="1"/>
  <c r="N234" i="5" s="1"/>
  <c r="L235" i="5"/>
  <c r="K235" i="5"/>
  <c r="J235" i="5"/>
  <c r="I236" i="5"/>
  <c r="W236" i="5"/>
  <c r="H237" i="5"/>
  <c r="BI80" i="6"/>
  <c r="BJ80" i="6" s="1"/>
  <c r="BK80" i="6" s="1"/>
  <c r="M235" i="5" l="1"/>
  <c r="N235" i="5" s="1"/>
  <c r="L236" i="5"/>
  <c r="K236" i="5"/>
  <c r="J236" i="5"/>
  <c r="I237" i="5"/>
  <c r="W237" i="5"/>
  <c r="H238" i="5"/>
  <c r="BS80" i="6"/>
  <c r="CA80" i="6" s="1"/>
  <c r="M236" i="5" l="1"/>
  <c r="N236" i="5" s="1"/>
  <c r="L237" i="5"/>
  <c r="K237" i="5"/>
  <c r="J237" i="5"/>
  <c r="I238" i="5"/>
  <c r="W238" i="5"/>
  <c r="H239" i="5"/>
  <c r="AG81" i="6"/>
  <c r="CI80" i="6"/>
  <c r="CB80" i="6" s="1"/>
  <c r="M237" i="5" l="1"/>
  <c r="N237" i="5" s="1"/>
  <c r="L238" i="5"/>
  <c r="K238" i="5"/>
  <c r="J238" i="5"/>
  <c r="I239" i="5"/>
  <c r="W239" i="5"/>
  <c r="H240" i="5"/>
  <c r="AO81" i="6"/>
  <c r="Q81" i="6"/>
  <c r="R81" i="6" s="1"/>
  <c r="S81" i="6" s="1"/>
  <c r="CJ80" i="6"/>
  <c r="CC80" i="6" s="1"/>
  <c r="AH81" i="6"/>
  <c r="M238" i="5" l="1"/>
  <c r="N238" i="5" s="1"/>
  <c r="L239" i="5"/>
  <c r="K239" i="5"/>
  <c r="J239" i="5"/>
  <c r="I240" i="5"/>
  <c r="W240" i="5"/>
  <c r="H241" i="5"/>
  <c r="AI81" i="6"/>
  <c r="CK80" i="6"/>
  <c r="CD80" i="6" s="1"/>
  <c r="AP81" i="6"/>
  <c r="M239" i="5" l="1"/>
  <c r="N239" i="5" s="1"/>
  <c r="L240" i="5"/>
  <c r="K240" i="5"/>
  <c r="J240" i="5"/>
  <c r="I241" i="5"/>
  <c r="W241" i="5"/>
  <c r="H242" i="5"/>
  <c r="W81" i="6"/>
  <c r="Z81" i="6" s="1"/>
  <c r="AQ81" i="6"/>
  <c r="CL80" i="6"/>
  <c r="CE80" i="6" s="1"/>
  <c r="AJ81" i="6"/>
  <c r="M240" i="5" l="1"/>
  <c r="N240" i="5" s="1"/>
  <c r="L241" i="5"/>
  <c r="K241" i="5"/>
  <c r="J241" i="5"/>
  <c r="I242" i="5"/>
  <c r="W242" i="5"/>
  <c r="H243" i="5"/>
  <c r="AK81" i="6"/>
  <c r="CM80" i="6"/>
  <c r="CF80" i="6" s="1"/>
  <c r="AC81" i="6"/>
  <c r="AR81" i="6"/>
  <c r="M241" i="5" l="1"/>
  <c r="N241" i="5" s="1"/>
  <c r="L242" i="5"/>
  <c r="K242" i="5"/>
  <c r="J242" i="5"/>
  <c r="I243" i="5"/>
  <c r="W243" i="5"/>
  <c r="H244" i="5"/>
  <c r="AS81" i="6"/>
  <c r="AL81" i="6"/>
  <c r="CN80" i="6"/>
  <c r="CG80" i="6" s="1"/>
  <c r="M242" i="5" l="1"/>
  <c r="N242" i="5" s="1"/>
  <c r="L243" i="5"/>
  <c r="K243" i="5"/>
  <c r="J243" i="5"/>
  <c r="I244" i="5"/>
  <c r="W244" i="5"/>
  <c r="H245" i="5"/>
  <c r="AT81" i="6"/>
  <c r="CO80" i="6"/>
  <c r="CH80" i="6" s="1"/>
  <c r="AM81" i="6"/>
  <c r="M243" i="5" l="1"/>
  <c r="N243" i="5" s="1"/>
  <c r="L244" i="5"/>
  <c r="K244" i="5"/>
  <c r="J244" i="5"/>
  <c r="I245" i="5"/>
  <c r="W245" i="5"/>
  <c r="H246" i="5"/>
  <c r="CP80" i="6"/>
  <c r="T80" i="6" s="1"/>
  <c r="AN81" i="6"/>
  <c r="X81" i="6" s="1"/>
  <c r="AU81" i="6"/>
  <c r="M244" i="5" l="1"/>
  <c r="N244" i="5" s="1"/>
  <c r="L245" i="5"/>
  <c r="K245" i="5"/>
  <c r="J245" i="5"/>
  <c r="I246" i="5"/>
  <c r="W246" i="5"/>
  <c r="H247" i="5"/>
  <c r="AV81" i="6"/>
  <c r="AW81" i="6" s="1"/>
  <c r="AA81" i="6"/>
  <c r="Y81" i="6"/>
  <c r="AB81" i="6" s="1"/>
  <c r="BA81" i="6"/>
  <c r="BL81" i="6" s="1"/>
  <c r="BC81" i="6"/>
  <c r="BN81" i="6" s="1"/>
  <c r="BE81" i="6"/>
  <c r="BP81" i="6" s="1"/>
  <c r="BG81" i="6"/>
  <c r="BR81" i="6" s="1"/>
  <c r="AZ81" i="6"/>
  <c r="AX81" i="6"/>
  <c r="BB81" i="6"/>
  <c r="BM81" i="6" s="1"/>
  <c r="BD81" i="6"/>
  <c r="BO81" i="6" s="1"/>
  <c r="BF81" i="6"/>
  <c r="BQ81" i="6" s="1"/>
  <c r="M245" i="5" l="1"/>
  <c r="N245" i="5" s="1"/>
  <c r="L246" i="5"/>
  <c r="K246" i="5"/>
  <c r="J246" i="5"/>
  <c r="I247" i="5"/>
  <c r="W247" i="5"/>
  <c r="H248" i="5"/>
  <c r="BZ81" i="6"/>
  <c r="BT81" i="6"/>
  <c r="BV81" i="6"/>
  <c r="BX81" i="6"/>
  <c r="BH81" i="6"/>
  <c r="AY81" i="6"/>
  <c r="BU81" i="6"/>
  <c r="BW81" i="6"/>
  <c r="BY81" i="6"/>
  <c r="M246" i="5" l="1"/>
  <c r="N246" i="5" s="1"/>
  <c r="L247" i="5"/>
  <c r="K247" i="5"/>
  <c r="J247" i="5"/>
  <c r="I248" i="5"/>
  <c r="W248" i="5"/>
  <c r="H249" i="5"/>
  <c r="BI81" i="6"/>
  <c r="BJ81" i="6" s="1"/>
  <c r="BK81" i="6" s="1"/>
  <c r="M247" i="5" l="1"/>
  <c r="N247" i="5" s="1"/>
  <c r="L248" i="5"/>
  <c r="K248" i="5"/>
  <c r="J248" i="5"/>
  <c r="I249" i="5"/>
  <c r="W249" i="5"/>
  <c r="H250" i="5"/>
  <c r="BS81" i="6"/>
  <c r="CA81" i="6"/>
  <c r="M248" i="5" l="1"/>
  <c r="N248" i="5" s="1"/>
  <c r="L249" i="5"/>
  <c r="K249" i="5"/>
  <c r="J249" i="5"/>
  <c r="I250" i="5"/>
  <c r="W250" i="5"/>
  <c r="H251" i="5"/>
  <c r="AG82" i="6"/>
  <c r="CI81" i="6"/>
  <c r="CB81" i="6" s="1"/>
  <c r="M249" i="5" l="1"/>
  <c r="N249" i="5" s="1"/>
  <c r="L250" i="5"/>
  <c r="K250" i="5"/>
  <c r="J250" i="5"/>
  <c r="I251" i="5"/>
  <c r="W251" i="5"/>
  <c r="H252" i="5"/>
  <c r="AO82" i="6"/>
  <c r="Q82" i="6"/>
  <c r="R82" i="6" s="1"/>
  <c r="S82" i="6" s="1"/>
  <c r="CJ81" i="6"/>
  <c r="CC81" i="6" s="1"/>
  <c r="AH82" i="6"/>
  <c r="M250" i="5" l="1"/>
  <c r="N250" i="5" s="1"/>
  <c r="L251" i="5"/>
  <c r="K251" i="5"/>
  <c r="J251" i="5"/>
  <c r="I252" i="5"/>
  <c r="W252" i="5"/>
  <c r="H253" i="5"/>
  <c r="AI82" i="6"/>
  <c r="CK81" i="6"/>
  <c r="CD81" i="6" s="1"/>
  <c r="AP82" i="6"/>
  <c r="M251" i="5" l="1"/>
  <c r="N251" i="5" s="1"/>
  <c r="L252" i="5"/>
  <c r="K252" i="5"/>
  <c r="J252" i="5"/>
  <c r="I253" i="5"/>
  <c r="W253" i="5"/>
  <c r="H254" i="5"/>
  <c r="AQ82" i="6"/>
  <c r="AJ82" i="6"/>
  <c r="W82" i="6" s="1"/>
  <c r="Z82" i="6" s="1"/>
  <c r="CL81" i="6"/>
  <c r="CE81" i="6" s="1"/>
  <c r="M252" i="5" l="1"/>
  <c r="N252" i="5" s="1"/>
  <c r="L253" i="5"/>
  <c r="K253" i="5"/>
  <c r="J253" i="5"/>
  <c r="I254" i="5"/>
  <c r="W254" i="5"/>
  <c r="H255" i="5"/>
  <c r="AC82" i="6"/>
  <c r="AR82" i="6"/>
  <c r="CM81" i="6"/>
  <c r="CF81" i="6" s="1"/>
  <c r="AK82" i="6"/>
  <c r="M253" i="5" l="1"/>
  <c r="N253" i="5" s="1"/>
  <c r="L254" i="5"/>
  <c r="K254" i="5"/>
  <c r="J254" i="5"/>
  <c r="I255" i="5"/>
  <c r="W255" i="5"/>
  <c r="H256" i="5"/>
  <c r="CN81" i="6"/>
  <c r="CG81" i="6" s="1"/>
  <c r="AL82" i="6"/>
  <c r="AS82" i="6"/>
  <c r="M254" i="5" l="1"/>
  <c r="N254" i="5" s="1"/>
  <c r="L255" i="5"/>
  <c r="K255" i="5"/>
  <c r="J255" i="5"/>
  <c r="I256" i="5"/>
  <c r="W256" i="5"/>
  <c r="H257" i="5"/>
  <c r="AM82" i="6"/>
  <c r="CO81" i="6"/>
  <c r="CH81" i="6" s="1"/>
  <c r="AT82" i="6"/>
  <c r="M255" i="5" l="1"/>
  <c r="N255" i="5" s="1"/>
  <c r="L256" i="5"/>
  <c r="K256" i="5"/>
  <c r="J256" i="5"/>
  <c r="I257" i="5"/>
  <c r="W257" i="5"/>
  <c r="H258" i="5"/>
  <c r="AU82" i="6"/>
  <c r="CP81" i="6"/>
  <c r="T81" i="6" s="1"/>
  <c r="AN82" i="6"/>
  <c r="X82" i="6" s="1"/>
  <c r="M256" i="5" l="1"/>
  <c r="N256" i="5" s="1"/>
  <c r="L257" i="5"/>
  <c r="K257" i="5"/>
  <c r="J257" i="5"/>
  <c r="I258" i="5"/>
  <c r="W258" i="5"/>
  <c r="H259" i="5"/>
  <c r="AA82" i="6"/>
  <c r="Y82" i="6"/>
  <c r="AB82" i="6" s="1"/>
  <c r="AV82" i="6"/>
  <c r="AW82" i="6" s="1"/>
  <c r="M257" i="5" l="1"/>
  <c r="N257" i="5" s="1"/>
  <c r="L258" i="5"/>
  <c r="K258" i="5"/>
  <c r="J258" i="5"/>
  <c r="I259" i="5"/>
  <c r="W259" i="5"/>
  <c r="H260" i="5"/>
  <c r="BC82" i="6"/>
  <c r="BN82" i="6" s="1"/>
  <c r="BF82" i="6"/>
  <c r="BQ82" i="6" s="1"/>
  <c r="BB82" i="6"/>
  <c r="BM82" i="6" s="1"/>
  <c r="AX82" i="6"/>
  <c r="AZ82" i="6"/>
  <c r="BE82" i="6"/>
  <c r="BP82" i="6" s="1"/>
  <c r="BD82" i="6"/>
  <c r="BO82" i="6" s="1"/>
  <c r="BA82" i="6"/>
  <c r="BL82" i="6" s="1"/>
  <c r="BG82" i="6"/>
  <c r="BR82" i="6" s="1"/>
  <c r="BZ82" i="6" s="1"/>
  <c r="M258" i="5" l="1"/>
  <c r="N258" i="5" s="1"/>
  <c r="L259" i="5"/>
  <c r="K259" i="5"/>
  <c r="J259" i="5"/>
  <c r="I260" i="5"/>
  <c r="W260" i="5"/>
  <c r="H261" i="5"/>
  <c r="BV82" i="6"/>
  <c r="BY82" i="6"/>
  <c r="BU82" i="6"/>
  <c r="BH82" i="6"/>
  <c r="AY82" i="6"/>
  <c r="BX82" i="6"/>
  <c r="BW82" i="6"/>
  <c r="BT82" i="6"/>
  <c r="M259" i="5" l="1"/>
  <c r="N259" i="5" s="1"/>
  <c r="L260" i="5"/>
  <c r="K260" i="5"/>
  <c r="J260" i="5"/>
  <c r="I261" i="5"/>
  <c r="W261" i="5"/>
  <c r="H262" i="5"/>
  <c r="BI82" i="6"/>
  <c r="BJ82" i="6" s="1"/>
  <c r="BK82" i="6" s="1"/>
  <c r="M260" i="5" l="1"/>
  <c r="N260" i="5" s="1"/>
  <c r="L261" i="5"/>
  <c r="K261" i="5"/>
  <c r="J261" i="5"/>
  <c r="I262" i="5"/>
  <c r="W262" i="5"/>
  <c r="H263" i="5"/>
  <c r="BS82" i="6"/>
  <c r="CA82" i="6" s="1"/>
  <c r="M261" i="5" l="1"/>
  <c r="N261" i="5" s="1"/>
  <c r="L262" i="5"/>
  <c r="K262" i="5"/>
  <c r="J262" i="5"/>
  <c r="I263" i="5"/>
  <c r="W263" i="5"/>
  <c r="H264" i="5"/>
  <c r="AG83" i="6"/>
  <c r="CI82" i="6"/>
  <c r="CB82" i="6" s="1"/>
  <c r="M262" i="5" l="1"/>
  <c r="N262" i="5" s="1"/>
  <c r="L263" i="5"/>
  <c r="K263" i="5"/>
  <c r="J263" i="5"/>
  <c r="I264" i="5"/>
  <c r="W264" i="5"/>
  <c r="H265" i="5"/>
  <c r="AO83" i="6"/>
  <c r="Q83" i="6"/>
  <c r="R83" i="6" s="1"/>
  <c r="S83" i="6" s="1"/>
  <c r="CJ82" i="6"/>
  <c r="CC82" i="6" s="1"/>
  <c r="AH83" i="6"/>
  <c r="M263" i="5" l="1"/>
  <c r="N263" i="5" s="1"/>
  <c r="L264" i="5"/>
  <c r="K264" i="5"/>
  <c r="J264" i="5"/>
  <c r="I265" i="5"/>
  <c r="W265" i="5"/>
  <c r="H266" i="5"/>
  <c r="AI83" i="6"/>
  <c r="CK82" i="6"/>
  <c r="CD82" i="6" s="1"/>
  <c r="AP83" i="6"/>
  <c r="M264" i="5" l="1"/>
  <c r="N264" i="5" s="1"/>
  <c r="L265" i="5"/>
  <c r="K265" i="5"/>
  <c r="J265" i="5"/>
  <c r="I266" i="5"/>
  <c r="W266" i="5"/>
  <c r="H267" i="5"/>
  <c r="W83" i="6"/>
  <c r="Z83" i="6" s="1"/>
  <c r="AQ83" i="6"/>
  <c r="CL82" i="6"/>
  <c r="CE82" i="6" s="1"/>
  <c r="AJ83" i="6"/>
  <c r="M265" i="5" l="1"/>
  <c r="N265" i="5" s="1"/>
  <c r="L266" i="5"/>
  <c r="K266" i="5"/>
  <c r="J266" i="5"/>
  <c r="I267" i="5"/>
  <c r="W267" i="5"/>
  <c r="H268" i="5"/>
  <c r="AK83" i="6"/>
  <c r="CM82" i="6"/>
  <c r="CF82" i="6" s="1"/>
  <c r="AR83" i="6"/>
  <c r="AC83" i="6"/>
  <c r="M266" i="5" l="1"/>
  <c r="N266" i="5" s="1"/>
  <c r="L267" i="5"/>
  <c r="K267" i="5"/>
  <c r="J267" i="5"/>
  <c r="I268" i="5"/>
  <c r="W268" i="5"/>
  <c r="H269" i="5"/>
  <c r="AS83" i="6"/>
  <c r="CN82" i="6"/>
  <c r="CG82" i="6" s="1"/>
  <c r="AL83" i="6"/>
  <c r="M267" i="5" l="1"/>
  <c r="N267" i="5" s="1"/>
  <c r="L268" i="5"/>
  <c r="K268" i="5"/>
  <c r="J268" i="5"/>
  <c r="I269" i="5"/>
  <c r="W269" i="5"/>
  <c r="H270" i="5"/>
  <c r="AM83" i="6"/>
  <c r="CO82" i="6"/>
  <c r="CH82" i="6" s="1"/>
  <c r="AT83" i="6"/>
  <c r="M268" i="5" l="1"/>
  <c r="N268" i="5" s="1"/>
  <c r="L269" i="5"/>
  <c r="K269" i="5"/>
  <c r="J269" i="5"/>
  <c r="I270" i="5"/>
  <c r="W270" i="5"/>
  <c r="H271" i="5"/>
  <c r="AU83" i="6"/>
  <c r="CP82" i="6"/>
  <c r="T82" i="6" s="1"/>
  <c r="AN83" i="6"/>
  <c r="X83" i="6" s="1"/>
  <c r="M269" i="5" l="1"/>
  <c r="N269" i="5" s="1"/>
  <c r="L270" i="5"/>
  <c r="K270" i="5"/>
  <c r="J270" i="5"/>
  <c r="I271" i="5"/>
  <c r="W271" i="5"/>
  <c r="H272" i="5"/>
  <c r="AA83" i="6"/>
  <c r="Y83" i="6"/>
  <c r="AB83" i="6" s="1"/>
  <c r="AV83" i="6"/>
  <c r="AW83" i="6" s="1"/>
  <c r="M270" i="5" l="1"/>
  <c r="N270" i="5" s="1"/>
  <c r="L271" i="5"/>
  <c r="K271" i="5"/>
  <c r="J271" i="5"/>
  <c r="I272" i="5"/>
  <c r="W272" i="5"/>
  <c r="H273" i="5"/>
  <c r="BD83" i="6"/>
  <c r="BO83" i="6" s="1"/>
  <c r="BE83" i="6"/>
  <c r="BP83" i="6" s="1"/>
  <c r="BB83" i="6"/>
  <c r="BM83" i="6" s="1"/>
  <c r="BC83" i="6"/>
  <c r="BN83" i="6" s="1"/>
  <c r="BG83" i="6"/>
  <c r="BR83" i="6" s="1"/>
  <c r="AZ83" i="6"/>
  <c r="BF83" i="6"/>
  <c r="BQ83" i="6" s="1"/>
  <c r="BA83" i="6"/>
  <c r="BL83" i="6" s="1"/>
  <c r="AX83" i="6"/>
  <c r="M271" i="5" l="1"/>
  <c r="N271" i="5" s="1"/>
  <c r="L272" i="5"/>
  <c r="K272" i="5"/>
  <c r="J272" i="5"/>
  <c r="I273" i="5"/>
  <c r="W273" i="5"/>
  <c r="H274" i="5"/>
  <c r="BW83" i="6"/>
  <c r="BX83" i="6"/>
  <c r="BU83" i="6"/>
  <c r="BV83" i="6"/>
  <c r="BZ83" i="6"/>
  <c r="BY83" i="6"/>
  <c r="BT83" i="6"/>
  <c r="AY83" i="6"/>
  <c r="BH83" i="6"/>
  <c r="M272" i="5" l="1"/>
  <c r="N272" i="5" s="1"/>
  <c r="L273" i="5"/>
  <c r="K273" i="5"/>
  <c r="J273" i="5"/>
  <c r="I274" i="5"/>
  <c r="W274" i="5"/>
  <c r="H275" i="5"/>
  <c r="BI83" i="6"/>
  <c r="BJ83" i="6" s="1"/>
  <c r="BK83" i="6" s="1"/>
  <c r="M273" i="5" l="1"/>
  <c r="N273" i="5" s="1"/>
  <c r="L274" i="5"/>
  <c r="K274" i="5"/>
  <c r="J274" i="5"/>
  <c r="I275" i="5"/>
  <c r="W275" i="5"/>
  <c r="H276" i="5"/>
  <c r="BS83" i="6"/>
  <c r="CA83" i="6" s="1"/>
  <c r="M274" i="5" l="1"/>
  <c r="N274" i="5" s="1"/>
  <c r="L275" i="5"/>
  <c r="K275" i="5"/>
  <c r="J275" i="5"/>
  <c r="I276" i="5"/>
  <c r="W276" i="5"/>
  <c r="H277" i="5"/>
  <c r="AG84" i="6"/>
  <c r="CI83" i="6"/>
  <c r="CB83" i="6" s="1"/>
  <c r="CJ83" i="6"/>
  <c r="CC83" i="6" s="1"/>
  <c r="AH84" i="6"/>
  <c r="M275" i="5" l="1"/>
  <c r="N275" i="5" s="1"/>
  <c r="L276" i="5"/>
  <c r="K276" i="5"/>
  <c r="J276" i="5"/>
  <c r="I277" i="5"/>
  <c r="W277" i="5"/>
  <c r="H278" i="5"/>
  <c r="AO84" i="6"/>
  <c r="Q84" i="6"/>
  <c r="R84" i="6" s="1"/>
  <c r="S84" i="6" s="1"/>
  <c r="AI84" i="6"/>
  <c r="CK83" i="6"/>
  <c r="CD83" i="6" s="1"/>
  <c r="AP84" i="6"/>
  <c r="M276" i="5" l="1"/>
  <c r="N276" i="5" s="1"/>
  <c r="L277" i="5"/>
  <c r="K277" i="5"/>
  <c r="J277" i="5"/>
  <c r="I278" i="5"/>
  <c r="W278" i="5"/>
  <c r="H279" i="5"/>
  <c r="AQ84" i="6"/>
  <c r="AJ84" i="6"/>
  <c r="CL83" i="6"/>
  <c r="CE83" i="6" s="1"/>
  <c r="M277" i="5" l="1"/>
  <c r="N277" i="5" s="1"/>
  <c r="L278" i="5"/>
  <c r="K278" i="5"/>
  <c r="J278" i="5"/>
  <c r="I279" i="5"/>
  <c r="W279" i="5"/>
  <c r="H280" i="5"/>
  <c r="W84" i="6"/>
  <c r="Z84" i="6" s="1"/>
  <c r="AR84" i="6"/>
  <c r="AC84" i="6"/>
  <c r="AK84" i="6"/>
  <c r="CM83" i="6"/>
  <c r="CF83" i="6" s="1"/>
  <c r="M278" i="5" l="1"/>
  <c r="N278" i="5" s="1"/>
  <c r="L279" i="5"/>
  <c r="K279" i="5"/>
  <c r="J279" i="5"/>
  <c r="I280" i="5"/>
  <c r="W280" i="5"/>
  <c r="H281" i="5"/>
  <c r="AS84" i="6"/>
  <c r="AL84" i="6"/>
  <c r="CN83" i="6"/>
  <c r="CG83" i="6" s="1"/>
  <c r="M279" i="5" l="1"/>
  <c r="N279" i="5" s="1"/>
  <c r="L280" i="5"/>
  <c r="K280" i="5"/>
  <c r="J280" i="5"/>
  <c r="I281" i="5"/>
  <c r="W281" i="5"/>
  <c r="H282" i="5"/>
  <c r="AT84" i="6"/>
  <c r="AM84" i="6"/>
  <c r="CO83" i="6"/>
  <c r="CH83" i="6" s="1"/>
  <c r="M280" i="5" l="1"/>
  <c r="N280" i="5" s="1"/>
  <c r="L281" i="5"/>
  <c r="K281" i="5"/>
  <c r="J281" i="5"/>
  <c r="I282" i="5"/>
  <c r="W282" i="5"/>
  <c r="H283" i="5"/>
  <c r="AU84" i="6"/>
  <c r="CP83" i="6"/>
  <c r="T83" i="6" s="1"/>
  <c r="AN84" i="6"/>
  <c r="X84" i="6" s="1"/>
  <c r="M281" i="5" l="1"/>
  <c r="N281" i="5" s="1"/>
  <c r="L282" i="5"/>
  <c r="K282" i="5"/>
  <c r="J282" i="5"/>
  <c r="I283" i="5"/>
  <c r="W283" i="5"/>
  <c r="H284" i="5"/>
  <c r="AA84" i="6"/>
  <c r="Y84" i="6"/>
  <c r="AB84" i="6" s="1"/>
  <c r="AV84" i="6"/>
  <c r="AW84" i="6" s="1"/>
  <c r="M282" i="5" l="1"/>
  <c r="N282" i="5" s="1"/>
  <c r="L283" i="5"/>
  <c r="K283" i="5"/>
  <c r="J283" i="5"/>
  <c r="I284" i="5"/>
  <c r="W284" i="5"/>
  <c r="H285" i="5"/>
  <c r="BG84" i="6"/>
  <c r="BR84" i="6" s="1"/>
  <c r="BD84" i="6"/>
  <c r="BO84" i="6" s="1"/>
  <c r="AZ84" i="6"/>
  <c r="AX84" i="6"/>
  <c r="BA84" i="6"/>
  <c r="BL84" i="6" s="1"/>
  <c r="BC84" i="6"/>
  <c r="BN84" i="6" s="1"/>
  <c r="BF84" i="6"/>
  <c r="BQ84" i="6" s="1"/>
  <c r="BE84" i="6"/>
  <c r="BP84" i="6" s="1"/>
  <c r="BB84" i="6"/>
  <c r="BM84" i="6" s="1"/>
  <c r="M283" i="5" l="1"/>
  <c r="N283" i="5" s="1"/>
  <c r="L284" i="5"/>
  <c r="K284" i="5"/>
  <c r="J284" i="5"/>
  <c r="I285" i="5"/>
  <c r="W285" i="5"/>
  <c r="H286" i="5"/>
  <c r="BZ84" i="6"/>
  <c r="BW84" i="6"/>
  <c r="AY84" i="6"/>
  <c r="BH84" i="6"/>
  <c r="BT84" i="6"/>
  <c r="BV84" i="6"/>
  <c r="BY84" i="6"/>
  <c r="BX84" i="6"/>
  <c r="BU84" i="6"/>
  <c r="M284" i="5" l="1"/>
  <c r="N284" i="5" s="1"/>
  <c r="L285" i="5"/>
  <c r="K285" i="5"/>
  <c r="J285" i="5"/>
  <c r="I286" i="5"/>
  <c r="W286" i="5"/>
  <c r="H287" i="5"/>
  <c r="BI84" i="6"/>
  <c r="BJ84" i="6" s="1"/>
  <c r="BK84" i="6" s="1"/>
  <c r="M285" i="5" l="1"/>
  <c r="N285" i="5" s="1"/>
  <c r="L286" i="5"/>
  <c r="K286" i="5"/>
  <c r="J286" i="5"/>
  <c r="I287" i="5"/>
  <c r="W287" i="5"/>
  <c r="H288" i="5"/>
  <c r="BS84" i="6"/>
  <c r="CA84" i="6" s="1"/>
  <c r="M286" i="5" l="1"/>
  <c r="N286" i="5" s="1"/>
  <c r="L287" i="5"/>
  <c r="K287" i="5"/>
  <c r="J287" i="5"/>
  <c r="I288" i="5"/>
  <c r="W288" i="5"/>
  <c r="H289" i="5"/>
  <c r="CI84" i="6"/>
  <c r="CB84" i="6" s="1"/>
  <c r="AG85" i="6"/>
  <c r="M287" i="5" l="1"/>
  <c r="N287" i="5" s="1"/>
  <c r="L288" i="5"/>
  <c r="K288" i="5"/>
  <c r="J288" i="5"/>
  <c r="I289" i="5"/>
  <c r="W289" i="5"/>
  <c r="H290" i="5"/>
  <c r="AH85" i="6"/>
  <c r="CJ84" i="6"/>
  <c r="CC84" i="6" s="1"/>
  <c r="Q85" i="6"/>
  <c r="R85" i="6" s="1"/>
  <c r="S85" i="6" s="1"/>
  <c r="AO85" i="6"/>
  <c r="M288" i="5" l="1"/>
  <c r="N288" i="5" s="1"/>
  <c r="L289" i="5"/>
  <c r="K289" i="5"/>
  <c r="J289" i="5"/>
  <c r="I290" i="5"/>
  <c r="W290" i="5"/>
  <c r="H291" i="5"/>
  <c r="AP85" i="6"/>
  <c r="AI85" i="6"/>
  <c r="CK84" i="6"/>
  <c r="CD84" i="6" s="1"/>
  <c r="M289" i="5" l="1"/>
  <c r="N289" i="5" s="1"/>
  <c r="L290" i="5"/>
  <c r="K290" i="5"/>
  <c r="J290" i="5"/>
  <c r="I291" i="5"/>
  <c r="W291" i="5"/>
  <c r="H292" i="5"/>
  <c r="AQ85" i="6"/>
  <c r="CL84" i="6"/>
  <c r="CE84" i="6" s="1"/>
  <c r="AJ85" i="6"/>
  <c r="W85" i="6" s="1"/>
  <c r="Z85" i="6" s="1"/>
  <c r="M290" i="5" l="1"/>
  <c r="N290" i="5" s="1"/>
  <c r="L291" i="5"/>
  <c r="K291" i="5"/>
  <c r="J291" i="5"/>
  <c r="I292" i="5"/>
  <c r="W292" i="5"/>
  <c r="H293" i="5"/>
  <c r="AK85" i="6"/>
  <c r="CM84" i="6"/>
  <c r="CF84" i="6" s="1"/>
  <c r="AC85" i="6"/>
  <c r="AR85" i="6"/>
  <c r="M291" i="5" l="1"/>
  <c r="N291" i="5" s="1"/>
  <c r="L292" i="5"/>
  <c r="K292" i="5"/>
  <c r="J292" i="5"/>
  <c r="I293" i="5"/>
  <c r="W293" i="5"/>
  <c r="H294" i="5"/>
  <c r="AS85" i="6"/>
  <c r="AL85" i="6"/>
  <c r="CN84" i="6"/>
  <c r="CG84" i="6" s="1"/>
  <c r="M292" i="5" l="1"/>
  <c r="N292" i="5" s="1"/>
  <c r="L293" i="5"/>
  <c r="K293" i="5"/>
  <c r="J293" i="5"/>
  <c r="I294" i="5"/>
  <c r="W294" i="5"/>
  <c r="H295" i="5"/>
  <c r="AT85" i="6"/>
  <c r="AM85" i="6"/>
  <c r="CO84" i="6"/>
  <c r="CH84" i="6" s="1"/>
  <c r="M293" i="5" l="1"/>
  <c r="N293" i="5" s="1"/>
  <c r="L294" i="5"/>
  <c r="K294" i="5"/>
  <c r="J294" i="5"/>
  <c r="I295" i="5"/>
  <c r="W295" i="5"/>
  <c r="H296" i="5"/>
  <c r="AU85" i="6"/>
  <c r="AN85" i="6"/>
  <c r="X85" i="6" s="1"/>
  <c r="CP84" i="6"/>
  <c r="T84" i="6" s="1"/>
  <c r="M294" i="5" l="1"/>
  <c r="N294" i="5" s="1"/>
  <c r="L295" i="5"/>
  <c r="K295" i="5"/>
  <c r="J295" i="5"/>
  <c r="I296" i="5"/>
  <c r="W296" i="5"/>
  <c r="H297" i="5"/>
  <c r="Y85" i="6"/>
  <c r="AB85" i="6" s="1"/>
  <c r="AA85" i="6"/>
  <c r="AV85" i="6"/>
  <c r="AW85" i="6" s="1"/>
  <c r="M295" i="5" l="1"/>
  <c r="N295" i="5" s="1"/>
  <c r="L296" i="5"/>
  <c r="K296" i="5"/>
  <c r="J296" i="5"/>
  <c r="I297" i="5"/>
  <c r="W297" i="5"/>
  <c r="H298" i="5"/>
  <c r="BE85" i="6"/>
  <c r="BP85" i="6" s="1"/>
  <c r="BG85" i="6"/>
  <c r="BR85" i="6" s="1"/>
  <c r="BC85" i="6"/>
  <c r="BN85" i="6" s="1"/>
  <c r="BD85" i="6"/>
  <c r="BO85" i="6" s="1"/>
  <c r="BA85" i="6"/>
  <c r="BL85" i="6" s="1"/>
  <c r="AX85" i="6"/>
  <c r="BF85" i="6"/>
  <c r="BQ85" i="6" s="1"/>
  <c r="AZ85" i="6"/>
  <c r="BB85" i="6"/>
  <c r="BM85" i="6" s="1"/>
  <c r="M296" i="5" l="1"/>
  <c r="N296" i="5" s="1"/>
  <c r="L297" i="5"/>
  <c r="K297" i="5"/>
  <c r="J297" i="5"/>
  <c r="I298" i="5"/>
  <c r="W298" i="5"/>
  <c r="H299" i="5"/>
  <c r="BX85" i="6"/>
  <c r="BZ85" i="6"/>
  <c r="BV85" i="6"/>
  <c r="BW85" i="6"/>
  <c r="BT85" i="6"/>
  <c r="BH85" i="6"/>
  <c r="AY85" i="6"/>
  <c r="BY85" i="6"/>
  <c r="BU85" i="6"/>
  <c r="M297" i="5" l="1"/>
  <c r="N297" i="5" s="1"/>
  <c r="L298" i="5"/>
  <c r="K298" i="5"/>
  <c r="J298" i="5"/>
  <c r="I299" i="5"/>
  <c r="W299" i="5"/>
  <c r="H300" i="5"/>
  <c r="BI85" i="6"/>
  <c r="BJ85" i="6" s="1"/>
  <c r="BK85" i="6" s="1"/>
  <c r="M298" i="5" l="1"/>
  <c r="N298" i="5" s="1"/>
  <c r="L299" i="5"/>
  <c r="K299" i="5"/>
  <c r="J299" i="5"/>
  <c r="I300" i="5"/>
  <c r="W300" i="5"/>
  <c r="H301" i="5"/>
  <c r="BS85" i="6"/>
  <c r="CA85" i="6"/>
  <c r="M299" i="5" l="1"/>
  <c r="N299" i="5" s="1"/>
  <c r="L300" i="5"/>
  <c r="K300" i="5"/>
  <c r="J300" i="5"/>
  <c r="I301" i="5"/>
  <c r="W301" i="5"/>
  <c r="H302" i="5"/>
  <c r="AG86" i="6"/>
  <c r="CI85" i="6"/>
  <c r="CB85" i="6" s="1"/>
  <c r="M300" i="5" l="1"/>
  <c r="N300" i="5" s="1"/>
  <c r="L301" i="5"/>
  <c r="K301" i="5"/>
  <c r="J301" i="5"/>
  <c r="I302" i="5"/>
  <c r="W302" i="5"/>
  <c r="H303" i="5"/>
  <c r="AO86" i="6"/>
  <c r="Q86" i="6"/>
  <c r="R86" i="6" s="1"/>
  <c r="S86" i="6" s="1"/>
  <c r="CJ85" i="6"/>
  <c r="CC85" i="6" s="1"/>
  <c r="AH86" i="6"/>
  <c r="M301" i="5" l="1"/>
  <c r="N301" i="5" s="1"/>
  <c r="L302" i="5"/>
  <c r="K302" i="5"/>
  <c r="J302" i="5"/>
  <c r="I303" i="5"/>
  <c r="W303" i="5"/>
  <c r="H304" i="5"/>
  <c r="CK85" i="6"/>
  <c r="CD85" i="6" s="1"/>
  <c r="AI86" i="6"/>
  <c r="AP86" i="6"/>
  <c r="M302" i="5" l="1"/>
  <c r="N302" i="5" s="1"/>
  <c r="L303" i="5"/>
  <c r="K303" i="5"/>
  <c r="J303" i="5"/>
  <c r="I304" i="5"/>
  <c r="W304" i="5"/>
  <c r="H305" i="5"/>
  <c r="AJ86" i="6"/>
  <c r="W86" i="6" s="1"/>
  <c r="Z86" i="6" s="1"/>
  <c r="CL85" i="6"/>
  <c r="CE85" i="6" s="1"/>
  <c r="AQ86" i="6"/>
  <c r="M303" i="5" l="1"/>
  <c r="N303" i="5" s="1"/>
  <c r="L304" i="5"/>
  <c r="K304" i="5"/>
  <c r="J304" i="5"/>
  <c r="I305" i="5"/>
  <c r="W305" i="5"/>
  <c r="H306" i="5"/>
  <c r="AC86" i="6"/>
  <c r="AR86" i="6"/>
  <c r="CM85" i="6"/>
  <c r="CF85" i="6" s="1"/>
  <c r="AK86" i="6"/>
  <c r="M304" i="5" l="1"/>
  <c r="N304" i="5" s="1"/>
  <c r="L305" i="5"/>
  <c r="K305" i="5"/>
  <c r="J305" i="5"/>
  <c r="I306" i="5"/>
  <c r="W306" i="5"/>
  <c r="H307" i="5"/>
  <c r="AL86" i="6"/>
  <c r="CN85" i="6"/>
  <c r="CG85" i="6" s="1"/>
  <c r="AS86" i="6"/>
  <c r="M305" i="5" l="1"/>
  <c r="N305" i="5" s="1"/>
  <c r="L306" i="5"/>
  <c r="K306" i="5"/>
  <c r="J306" i="5"/>
  <c r="I307" i="5"/>
  <c r="W307" i="5"/>
  <c r="H308" i="5"/>
  <c r="AT86" i="6"/>
  <c r="AM86" i="6"/>
  <c r="CO85" i="6"/>
  <c r="CH85" i="6" s="1"/>
  <c r="M306" i="5" l="1"/>
  <c r="N306" i="5" s="1"/>
  <c r="L307" i="5"/>
  <c r="K307" i="5"/>
  <c r="J307" i="5"/>
  <c r="I308" i="5"/>
  <c r="W308" i="5"/>
  <c r="H309" i="5"/>
  <c r="AU86" i="6"/>
  <c r="AN86" i="6"/>
  <c r="X86" i="6" s="1"/>
  <c r="CP85" i="6"/>
  <c r="T85" i="6" s="1"/>
  <c r="M307" i="5" l="1"/>
  <c r="N307" i="5" s="1"/>
  <c r="L308" i="5"/>
  <c r="K308" i="5"/>
  <c r="J308" i="5"/>
  <c r="I309" i="5"/>
  <c r="W309" i="5"/>
  <c r="H310" i="5"/>
  <c r="AA86" i="6"/>
  <c r="Y86" i="6"/>
  <c r="AB86" i="6" s="1"/>
  <c r="AV86" i="6"/>
  <c r="AW86" i="6" s="1"/>
  <c r="M308" i="5" l="1"/>
  <c r="N308" i="5" s="1"/>
  <c r="L309" i="5"/>
  <c r="K309" i="5"/>
  <c r="J309" i="5"/>
  <c r="I310" i="5"/>
  <c r="W310" i="5"/>
  <c r="H311" i="5"/>
  <c r="BE86" i="6"/>
  <c r="BP86" i="6" s="1"/>
  <c r="AX86" i="6"/>
  <c r="BF86" i="6"/>
  <c r="BQ86" i="6" s="1"/>
  <c r="BG86" i="6"/>
  <c r="BR86" i="6" s="1"/>
  <c r="BB86" i="6"/>
  <c r="BM86" i="6" s="1"/>
  <c r="BA86" i="6"/>
  <c r="BL86" i="6" s="1"/>
  <c r="AZ86" i="6"/>
  <c r="BC86" i="6"/>
  <c r="BN86" i="6" s="1"/>
  <c r="BD86" i="6"/>
  <c r="BO86" i="6" s="1"/>
  <c r="M309" i="5" l="1"/>
  <c r="N309" i="5" s="1"/>
  <c r="L310" i="5"/>
  <c r="K310" i="5"/>
  <c r="J310" i="5"/>
  <c r="I311" i="5"/>
  <c r="W311" i="5"/>
  <c r="H312" i="5"/>
  <c r="BX86" i="6"/>
  <c r="BH86" i="6"/>
  <c r="AY86" i="6"/>
  <c r="BY86" i="6"/>
  <c r="BZ86" i="6"/>
  <c r="BU86" i="6"/>
  <c r="BT86" i="6"/>
  <c r="BV86" i="6"/>
  <c r="BW86" i="6"/>
  <c r="M310" i="5" l="1"/>
  <c r="N310" i="5" s="1"/>
  <c r="L311" i="5"/>
  <c r="K311" i="5"/>
  <c r="J311" i="5"/>
  <c r="I312" i="5"/>
  <c r="W312" i="5"/>
  <c r="H313" i="5"/>
  <c r="BI86" i="6"/>
  <c r="BJ86" i="6" s="1"/>
  <c r="BK86" i="6" s="1"/>
  <c r="M311" i="5" l="1"/>
  <c r="N311" i="5" s="1"/>
  <c r="L312" i="5"/>
  <c r="K312" i="5"/>
  <c r="J312" i="5"/>
  <c r="I313" i="5"/>
  <c r="W313" i="5"/>
  <c r="H314" i="5"/>
  <c r="BS86" i="6"/>
  <c r="CA86" i="6" s="1"/>
  <c r="M312" i="5" l="1"/>
  <c r="N312" i="5" s="1"/>
  <c r="L313" i="5"/>
  <c r="K313" i="5"/>
  <c r="J313" i="5"/>
  <c r="I314" i="5"/>
  <c r="W314" i="5"/>
  <c r="H315" i="5"/>
  <c r="AG87" i="6"/>
  <c r="CI86" i="6"/>
  <c r="CB86" i="6" s="1"/>
  <c r="AH87" i="6"/>
  <c r="CJ86" i="6"/>
  <c r="CC86" i="6" s="1"/>
  <c r="M313" i="5" l="1"/>
  <c r="N313" i="5" s="1"/>
  <c r="L314" i="5"/>
  <c r="K314" i="5"/>
  <c r="J314" i="5"/>
  <c r="I315" i="5"/>
  <c r="W315" i="5"/>
  <c r="H316" i="5"/>
  <c r="Q87" i="6"/>
  <c r="R87" i="6" s="1"/>
  <c r="S87" i="6" s="1"/>
  <c r="AO87" i="6"/>
  <c r="AP87" i="6"/>
  <c r="AI87" i="6"/>
  <c r="CK86" i="6"/>
  <c r="CD86" i="6" s="1"/>
  <c r="M314" i="5" l="1"/>
  <c r="N314" i="5" s="1"/>
  <c r="L315" i="5"/>
  <c r="K315" i="5"/>
  <c r="J315" i="5"/>
  <c r="I316" i="5"/>
  <c r="W316" i="5"/>
  <c r="H317" i="5"/>
  <c r="AQ87" i="6"/>
  <c r="AJ87" i="6"/>
  <c r="CL86" i="6"/>
  <c r="CE86" i="6" s="1"/>
  <c r="M315" i="5" l="1"/>
  <c r="N315" i="5" s="1"/>
  <c r="L316" i="5"/>
  <c r="K316" i="5"/>
  <c r="J316" i="5"/>
  <c r="I317" i="5"/>
  <c r="W317" i="5"/>
  <c r="H318" i="5"/>
  <c r="W87" i="6"/>
  <c r="Z87" i="6" s="1"/>
  <c r="AR87" i="6"/>
  <c r="AC87" i="6"/>
  <c r="AK87" i="6"/>
  <c r="CM86" i="6"/>
  <c r="CF86" i="6" s="1"/>
  <c r="M316" i="5" l="1"/>
  <c r="N316" i="5" s="1"/>
  <c r="L317" i="5"/>
  <c r="K317" i="5"/>
  <c r="J317" i="5"/>
  <c r="I318" i="5"/>
  <c r="W318" i="5"/>
  <c r="H319" i="5"/>
  <c r="AS87" i="6"/>
  <c r="AL87" i="6"/>
  <c r="CN86" i="6"/>
  <c r="CG86" i="6" s="1"/>
  <c r="M317" i="5" l="1"/>
  <c r="N317" i="5" s="1"/>
  <c r="L318" i="5"/>
  <c r="K318" i="5"/>
  <c r="J318" i="5"/>
  <c r="I319" i="5"/>
  <c r="W319" i="5"/>
  <c r="H320" i="5"/>
  <c r="AT87" i="6"/>
  <c r="AM87" i="6"/>
  <c r="CO86" i="6"/>
  <c r="CH86" i="6" s="1"/>
  <c r="M318" i="5" l="1"/>
  <c r="N318" i="5" s="1"/>
  <c r="L319" i="5"/>
  <c r="K319" i="5"/>
  <c r="J319" i="5"/>
  <c r="I320" i="5"/>
  <c r="W320" i="5"/>
  <c r="H321" i="5"/>
  <c r="AU87" i="6"/>
  <c r="CP86" i="6"/>
  <c r="T86" i="6" s="1"/>
  <c r="AN87" i="6"/>
  <c r="X87" i="6" s="1"/>
  <c r="M319" i="5" l="1"/>
  <c r="N319" i="5" s="1"/>
  <c r="L320" i="5"/>
  <c r="K320" i="5"/>
  <c r="J320" i="5"/>
  <c r="I321" i="5"/>
  <c r="W321" i="5"/>
  <c r="H322" i="5"/>
  <c r="AA87" i="6"/>
  <c r="Y87" i="6"/>
  <c r="AB87" i="6" s="1"/>
  <c r="AV87" i="6"/>
  <c r="AW87" i="6" s="1"/>
  <c r="M320" i="5" l="1"/>
  <c r="N320" i="5" s="1"/>
  <c r="L321" i="5"/>
  <c r="K321" i="5"/>
  <c r="J321" i="5"/>
  <c r="I322" i="5"/>
  <c r="W322" i="5"/>
  <c r="H323" i="5"/>
  <c r="BA87" i="6"/>
  <c r="BL87" i="6" s="1"/>
  <c r="BE87" i="6"/>
  <c r="BP87" i="6" s="1"/>
  <c r="AX87" i="6"/>
  <c r="BC87" i="6"/>
  <c r="BN87" i="6" s="1"/>
  <c r="BF87" i="6"/>
  <c r="BQ87" i="6" s="1"/>
  <c r="AZ87" i="6"/>
  <c r="BB87" i="6"/>
  <c r="BM87" i="6" s="1"/>
  <c r="BD87" i="6"/>
  <c r="BO87" i="6" s="1"/>
  <c r="BG87" i="6"/>
  <c r="BR87" i="6" s="1"/>
  <c r="BZ87" i="6"/>
  <c r="M321" i="5" l="1"/>
  <c r="N321" i="5" s="1"/>
  <c r="L322" i="5"/>
  <c r="K322" i="5"/>
  <c r="J322" i="5"/>
  <c r="I323" i="5"/>
  <c r="W323" i="5"/>
  <c r="H324" i="5"/>
  <c r="BT87" i="6"/>
  <c r="BX87" i="6"/>
  <c r="BH87" i="6"/>
  <c r="AY87" i="6"/>
  <c r="BV87" i="6"/>
  <c r="BY87" i="6"/>
  <c r="BU87" i="6"/>
  <c r="BW87" i="6"/>
  <c r="M322" i="5" l="1"/>
  <c r="N322" i="5" s="1"/>
  <c r="L323" i="5"/>
  <c r="K323" i="5"/>
  <c r="J323" i="5"/>
  <c r="I324" i="5"/>
  <c r="W324" i="5"/>
  <c r="H325" i="5"/>
  <c r="BI87" i="6"/>
  <c r="BJ87" i="6" s="1"/>
  <c r="BK87" i="6" s="1"/>
  <c r="M323" i="5" l="1"/>
  <c r="N323" i="5" s="1"/>
  <c r="L324" i="5"/>
  <c r="K324" i="5"/>
  <c r="J324" i="5"/>
  <c r="I325" i="5"/>
  <c r="W325" i="5"/>
  <c r="H326" i="5"/>
  <c r="BS87" i="6"/>
  <c r="CA87" i="6" s="1"/>
  <c r="M324" i="5" l="1"/>
  <c r="N324" i="5" s="1"/>
  <c r="L325" i="5"/>
  <c r="K325" i="5"/>
  <c r="J325" i="5"/>
  <c r="I326" i="5"/>
  <c r="W326" i="5"/>
  <c r="H327" i="5"/>
  <c r="CI87" i="6"/>
  <c r="CB87" i="6" s="1"/>
  <c r="AG88" i="6"/>
  <c r="M325" i="5" l="1"/>
  <c r="N325" i="5" s="1"/>
  <c r="L326" i="5"/>
  <c r="K326" i="5"/>
  <c r="J326" i="5"/>
  <c r="I327" i="5"/>
  <c r="W327" i="5"/>
  <c r="H328" i="5"/>
  <c r="AH88" i="6"/>
  <c r="CJ87" i="6"/>
  <c r="CC87" i="6" s="1"/>
  <c r="AO88" i="6"/>
  <c r="Q88" i="6"/>
  <c r="R88" i="6" s="1"/>
  <c r="S88" i="6" s="1"/>
  <c r="M326" i="5" l="1"/>
  <c r="N326" i="5" s="1"/>
  <c r="L327" i="5"/>
  <c r="K327" i="5"/>
  <c r="J327" i="5"/>
  <c r="I328" i="5"/>
  <c r="W328" i="5"/>
  <c r="H329" i="5"/>
  <c r="AP88" i="6"/>
  <c r="CK87" i="6"/>
  <c r="CD87" i="6" s="1"/>
  <c r="AI88" i="6"/>
  <c r="M327" i="5" l="1"/>
  <c r="N327" i="5" s="1"/>
  <c r="L328" i="5"/>
  <c r="K328" i="5"/>
  <c r="J328" i="5"/>
  <c r="I329" i="5"/>
  <c r="W329" i="5"/>
  <c r="H330" i="5"/>
  <c r="CL87" i="6"/>
  <c r="CE87" i="6" s="1"/>
  <c r="AJ88" i="6"/>
  <c r="W88" i="6"/>
  <c r="Z88" i="6" s="1"/>
  <c r="AQ88" i="6"/>
  <c r="M328" i="5" l="1"/>
  <c r="N328" i="5" s="1"/>
  <c r="L329" i="5"/>
  <c r="K329" i="5"/>
  <c r="J329" i="5"/>
  <c r="I330" i="5"/>
  <c r="W330" i="5"/>
  <c r="H331" i="5"/>
  <c r="CM87" i="6"/>
  <c r="CF87" i="6" s="1"/>
  <c r="AK88" i="6"/>
  <c r="AR88" i="6"/>
  <c r="AC88" i="6"/>
  <c r="M329" i="5" l="1"/>
  <c r="N329" i="5" s="1"/>
  <c r="L330" i="5"/>
  <c r="K330" i="5"/>
  <c r="J330" i="5"/>
  <c r="I331" i="5"/>
  <c r="W331" i="5"/>
  <c r="H332" i="5"/>
  <c r="AL88" i="6"/>
  <c r="CN87" i="6"/>
  <c r="CG87" i="6" s="1"/>
  <c r="AS88" i="6"/>
  <c r="M330" i="5" l="1"/>
  <c r="N330" i="5" s="1"/>
  <c r="L331" i="5"/>
  <c r="K331" i="5"/>
  <c r="J331" i="5"/>
  <c r="I332" i="5"/>
  <c r="W332" i="5"/>
  <c r="H333" i="5"/>
  <c r="AT88" i="6"/>
  <c r="AM88" i="6"/>
  <c r="CO87" i="6"/>
  <c r="CH87" i="6" s="1"/>
  <c r="M331" i="5" l="1"/>
  <c r="N331" i="5" s="1"/>
  <c r="L332" i="5"/>
  <c r="K332" i="5"/>
  <c r="J332" i="5"/>
  <c r="I333" i="5"/>
  <c r="W333" i="5"/>
  <c r="H334" i="5"/>
  <c r="AU88" i="6"/>
  <c r="CP87" i="6"/>
  <c r="T87" i="6" s="1"/>
  <c r="AN88" i="6"/>
  <c r="X88" i="6" s="1"/>
  <c r="M332" i="5" l="1"/>
  <c r="N332" i="5" s="1"/>
  <c r="L333" i="5"/>
  <c r="K333" i="5"/>
  <c r="J333" i="5"/>
  <c r="I334" i="5"/>
  <c r="W334" i="5"/>
  <c r="H335" i="5"/>
  <c r="AA88" i="6"/>
  <c r="Y88" i="6"/>
  <c r="AB88" i="6" s="1"/>
  <c r="AV88" i="6"/>
  <c r="AW88" i="6" s="1"/>
  <c r="M333" i="5" l="1"/>
  <c r="N333" i="5" s="1"/>
  <c r="L334" i="5"/>
  <c r="K334" i="5"/>
  <c r="J334" i="5"/>
  <c r="I335" i="5"/>
  <c r="W335" i="5"/>
  <c r="H336" i="5"/>
  <c r="BA88" i="6"/>
  <c r="BL88" i="6" s="1"/>
  <c r="BF88" i="6"/>
  <c r="BQ88" i="6" s="1"/>
  <c r="BD88" i="6"/>
  <c r="BO88" i="6" s="1"/>
  <c r="BC88" i="6"/>
  <c r="BN88" i="6" s="1"/>
  <c r="BE88" i="6"/>
  <c r="BP88" i="6" s="1"/>
  <c r="BG88" i="6"/>
  <c r="BR88" i="6" s="1"/>
  <c r="BB88" i="6"/>
  <c r="BM88" i="6" s="1"/>
  <c r="AX88" i="6"/>
  <c r="AZ88" i="6"/>
  <c r="M334" i="5" l="1"/>
  <c r="N334" i="5" s="1"/>
  <c r="L335" i="5"/>
  <c r="K335" i="5"/>
  <c r="J335" i="5"/>
  <c r="I336" i="5"/>
  <c r="W336" i="5"/>
  <c r="H337" i="5"/>
  <c r="BT88" i="6"/>
  <c r="BY88" i="6"/>
  <c r="BW88" i="6"/>
  <c r="BV88" i="6"/>
  <c r="BX88" i="6"/>
  <c r="BZ88" i="6"/>
  <c r="BU88" i="6"/>
  <c r="AY88" i="6"/>
  <c r="BH88" i="6"/>
  <c r="M335" i="5" l="1"/>
  <c r="N335" i="5" s="1"/>
  <c r="L336" i="5"/>
  <c r="K336" i="5"/>
  <c r="J336" i="5"/>
  <c r="I337" i="5"/>
  <c r="W337" i="5"/>
  <c r="H338" i="5"/>
  <c r="BI88" i="6"/>
  <c r="BJ88" i="6" s="1"/>
  <c r="BK88" i="6" s="1"/>
  <c r="M336" i="5" l="1"/>
  <c r="N336" i="5" s="1"/>
  <c r="L337" i="5"/>
  <c r="K337" i="5"/>
  <c r="J337" i="5"/>
  <c r="I338" i="5"/>
  <c r="W338" i="5"/>
  <c r="H339" i="5"/>
  <c r="BS88" i="6"/>
  <c r="CA88" i="6" s="1"/>
  <c r="M337" i="5" l="1"/>
  <c r="N337" i="5" s="1"/>
  <c r="L338" i="5"/>
  <c r="K338" i="5"/>
  <c r="J338" i="5"/>
  <c r="I339" i="5"/>
  <c r="W339" i="5"/>
  <c r="H340" i="5"/>
  <c r="AG89" i="6"/>
  <c r="CI88" i="6"/>
  <c r="CB88" i="6" s="1"/>
  <c r="M338" i="5" l="1"/>
  <c r="N338" i="5" s="1"/>
  <c r="L339" i="5"/>
  <c r="K339" i="5"/>
  <c r="J339" i="5"/>
  <c r="I340" i="5"/>
  <c r="W340" i="5"/>
  <c r="H341" i="5"/>
  <c r="Q89" i="6"/>
  <c r="R89" i="6" s="1"/>
  <c r="S89" i="6" s="1"/>
  <c r="AO89" i="6"/>
  <c r="CJ88" i="6"/>
  <c r="CC88" i="6" s="1"/>
  <c r="AH89" i="6"/>
  <c r="M339" i="5" l="1"/>
  <c r="N339" i="5" s="1"/>
  <c r="L340" i="5"/>
  <c r="K340" i="5"/>
  <c r="J340" i="5"/>
  <c r="I341" i="5"/>
  <c r="W341" i="5"/>
  <c r="H342" i="5"/>
  <c r="CK88" i="6"/>
  <c r="CD88" i="6" s="1"/>
  <c r="AI89" i="6"/>
  <c r="AP89" i="6"/>
  <c r="M340" i="5" l="1"/>
  <c r="N340" i="5" s="1"/>
  <c r="L341" i="5"/>
  <c r="K341" i="5"/>
  <c r="J341" i="5"/>
  <c r="I342" i="5"/>
  <c r="W342" i="5"/>
  <c r="H343" i="5"/>
  <c r="AJ89" i="6"/>
  <c r="CL88" i="6"/>
  <c r="CE88" i="6" s="1"/>
  <c r="W89" i="6"/>
  <c r="Z89" i="6" s="1"/>
  <c r="AQ89" i="6"/>
  <c r="M341" i="5" l="1"/>
  <c r="N341" i="5" s="1"/>
  <c r="L342" i="5"/>
  <c r="K342" i="5"/>
  <c r="J342" i="5"/>
  <c r="I343" i="5"/>
  <c r="W343" i="5"/>
  <c r="H344" i="5"/>
  <c r="AC89" i="6"/>
  <c r="AR89" i="6"/>
  <c r="CM88" i="6"/>
  <c r="CF88" i="6" s="1"/>
  <c r="AK89" i="6"/>
  <c r="M342" i="5" l="1"/>
  <c r="N342" i="5" s="1"/>
  <c r="L343" i="5"/>
  <c r="K343" i="5"/>
  <c r="J343" i="5"/>
  <c r="I344" i="5"/>
  <c r="W344" i="5"/>
  <c r="H345" i="5"/>
  <c r="AL89" i="6"/>
  <c r="CN88" i="6"/>
  <c r="CG88" i="6" s="1"/>
  <c r="AS89" i="6"/>
  <c r="M343" i="5" l="1"/>
  <c r="N343" i="5" s="1"/>
  <c r="L344" i="5"/>
  <c r="K344" i="5"/>
  <c r="J344" i="5"/>
  <c r="I345" i="5"/>
  <c r="W345" i="5"/>
  <c r="H346" i="5"/>
  <c r="AT89" i="6"/>
  <c r="AM89" i="6"/>
  <c r="CO88" i="6"/>
  <c r="CH88" i="6" s="1"/>
  <c r="M344" i="5" l="1"/>
  <c r="N344" i="5" s="1"/>
  <c r="L345" i="5"/>
  <c r="K345" i="5"/>
  <c r="J345" i="5"/>
  <c r="I346" i="5"/>
  <c r="W346" i="5"/>
  <c r="H347" i="5"/>
  <c r="AU89" i="6"/>
  <c r="CP88" i="6"/>
  <c r="T88" i="6" s="1"/>
  <c r="AN89" i="6"/>
  <c r="X89" i="6" s="1"/>
  <c r="M345" i="5" l="1"/>
  <c r="N345" i="5" s="1"/>
  <c r="L346" i="5"/>
  <c r="K346" i="5"/>
  <c r="J346" i="5"/>
  <c r="I347" i="5"/>
  <c r="W347" i="5"/>
  <c r="H348" i="5"/>
  <c r="AA89" i="6"/>
  <c r="Y89" i="6"/>
  <c r="AB89" i="6" s="1"/>
  <c r="AV89" i="6"/>
  <c r="AW89" i="6" s="1"/>
  <c r="M346" i="5" l="1"/>
  <c r="N346" i="5" s="1"/>
  <c r="L347" i="5"/>
  <c r="K347" i="5"/>
  <c r="J347" i="5"/>
  <c r="I348" i="5"/>
  <c r="W348" i="5"/>
  <c r="H349" i="5"/>
  <c r="BG89" i="6"/>
  <c r="BR89" i="6" s="1"/>
  <c r="BB89" i="6"/>
  <c r="BM89" i="6" s="1"/>
  <c r="BA89" i="6"/>
  <c r="BL89" i="6" s="1"/>
  <c r="BE89" i="6"/>
  <c r="BP89" i="6" s="1"/>
  <c r="BC89" i="6"/>
  <c r="BN89" i="6" s="1"/>
  <c r="AX89" i="6"/>
  <c r="BF89" i="6"/>
  <c r="BQ89" i="6" s="1"/>
  <c r="AZ89" i="6"/>
  <c r="BD89" i="6"/>
  <c r="BO89" i="6" s="1"/>
  <c r="BZ89" i="6"/>
  <c r="M347" i="5" l="1"/>
  <c r="N347" i="5" s="1"/>
  <c r="L348" i="5"/>
  <c r="K348" i="5"/>
  <c r="J348" i="5"/>
  <c r="I349" i="5"/>
  <c r="W349" i="5"/>
  <c r="H350" i="5"/>
  <c r="BU89" i="6"/>
  <c r="BT89" i="6"/>
  <c r="BX89" i="6"/>
  <c r="BV89" i="6"/>
  <c r="BH89" i="6"/>
  <c r="AY89" i="6"/>
  <c r="BY89" i="6"/>
  <c r="BW89" i="6"/>
  <c r="M348" i="5" l="1"/>
  <c r="N348" i="5" s="1"/>
  <c r="L349" i="5"/>
  <c r="K349" i="5"/>
  <c r="J349" i="5"/>
  <c r="I350" i="5"/>
  <c r="W350" i="5"/>
  <c r="H351" i="5"/>
  <c r="BI89" i="6"/>
  <c r="BJ89" i="6" s="1"/>
  <c r="BK89" i="6" s="1"/>
  <c r="M349" i="5" l="1"/>
  <c r="N349" i="5" s="1"/>
  <c r="L350" i="5"/>
  <c r="K350" i="5"/>
  <c r="J350" i="5"/>
  <c r="I351" i="5"/>
  <c r="W351" i="5"/>
  <c r="H352" i="5"/>
  <c r="BS89" i="6"/>
  <c r="CA89" i="6" s="1"/>
  <c r="M350" i="5" l="1"/>
  <c r="N350" i="5" s="1"/>
  <c r="L351" i="5"/>
  <c r="K351" i="5"/>
  <c r="J351" i="5"/>
  <c r="I352" i="5"/>
  <c r="W352" i="5"/>
  <c r="H353" i="5"/>
  <c r="CI89" i="6"/>
  <c r="CB89" i="6" s="1"/>
  <c r="AG90" i="6"/>
  <c r="M351" i="5" l="1"/>
  <c r="N351" i="5" s="1"/>
  <c r="L352" i="5"/>
  <c r="K352" i="5"/>
  <c r="J352" i="5"/>
  <c r="I353" i="5"/>
  <c r="W353" i="5"/>
  <c r="H354" i="5"/>
  <c r="AH90" i="6"/>
  <c r="CJ89" i="6"/>
  <c r="CC89" i="6" s="1"/>
  <c r="AO90" i="6"/>
  <c r="Q90" i="6"/>
  <c r="R90" i="6" s="1"/>
  <c r="S90" i="6" s="1"/>
  <c r="M352" i="5" l="1"/>
  <c r="N352" i="5" s="1"/>
  <c r="L353" i="5"/>
  <c r="K353" i="5"/>
  <c r="J353" i="5"/>
  <c r="I354" i="5"/>
  <c r="W354" i="5"/>
  <c r="H355" i="5"/>
  <c r="AP90" i="6"/>
  <c r="CK89" i="6"/>
  <c r="CD89" i="6" s="1"/>
  <c r="AI90" i="6"/>
  <c r="M353" i="5" l="1"/>
  <c r="N353" i="5" s="1"/>
  <c r="L354" i="5"/>
  <c r="K354" i="5"/>
  <c r="J354" i="5"/>
  <c r="I355" i="5"/>
  <c r="W355" i="5"/>
  <c r="H356" i="5"/>
  <c r="CL89" i="6"/>
  <c r="CE89" i="6" s="1"/>
  <c r="AJ90" i="6"/>
  <c r="W90" i="6"/>
  <c r="Z90" i="6" s="1"/>
  <c r="AQ90" i="6"/>
  <c r="M354" i="5" l="1"/>
  <c r="N354" i="5" s="1"/>
  <c r="L355" i="5"/>
  <c r="K355" i="5"/>
  <c r="J355" i="5"/>
  <c r="I356" i="5"/>
  <c r="W356" i="5"/>
  <c r="H357" i="5"/>
  <c r="AK90" i="6"/>
  <c r="CM89" i="6"/>
  <c r="CF89" i="6" s="1"/>
  <c r="AR90" i="6"/>
  <c r="AC90" i="6"/>
  <c r="M355" i="5" l="1"/>
  <c r="N355" i="5" s="1"/>
  <c r="L356" i="5"/>
  <c r="K356" i="5"/>
  <c r="J356" i="5"/>
  <c r="I357" i="5"/>
  <c r="W357" i="5"/>
  <c r="H358" i="5"/>
  <c r="AS90" i="6"/>
  <c r="AL90" i="6"/>
  <c r="CN89" i="6"/>
  <c r="CG89" i="6" s="1"/>
  <c r="M356" i="5" l="1"/>
  <c r="N356" i="5" s="1"/>
  <c r="L357" i="5"/>
  <c r="K357" i="5"/>
  <c r="J357" i="5"/>
  <c r="I358" i="5"/>
  <c r="W358" i="5"/>
  <c r="H359" i="5"/>
  <c r="AT90" i="6"/>
  <c r="AM90" i="6"/>
  <c r="CO89" i="6"/>
  <c r="CH89" i="6" s="1"/>
  <c r="M357" i="5" l="1"/>
  <c r="N357" i="5" s="1"/>
  <c r="L358" i="5"/>
  <c r="K358" i="5"/>
  <c r="J358" i="5"/>
  <c r="I359" i="5"/>
  <c r="W359" i="5"/>
  <c r="H360" i="5"/>
  <c r="AU90" i="6"/>
  <c r="CP89" i="6"/>
  <c r="T89" i="6" s="1"/>
  <c r="AN90" i="6"/>
  <c r="X90" i="6" s="1"/>
  <c r="M358" i="5" l="1"/>
  <c r="N358" i="5" s="1"/>
  <c r="L359" i="5"/>
  <c r="K359" i="5"/>
  <c r="J359" i="5"/>
  <c r="I360" i="5"/>
  <c r="W360" i="5"/>
  <c r="H361" i="5"/>
  <c r="Y90" i="6"/>
  <c r="AB90" i="6" s="1"/>
  <c r="AA90" i="6"/>
  <c r="AV90" i="6"/>
  <c r="AW90" i="6" s="1"/>
  <c r="M359" i="5" l="1"/>
  <c r="N359" i="5" s="1"/>
  <c r="L360" i="5"/>
  <c r="K360" i="5"/>
  <c r="J360" i="5"/>
  <c r="I361" i="5"/>
  <c r="W361" i="5"/>
  <c r="H362" i="5"/>
  <c r="BC90" i="6"/>
  <c r="BN90" i="6" s="1"/>
  <c r="BE90" i="6"/>
  <c r="BP90" i="6" s="1"/>
  <c r="BA90" i="6"/>
  <c r="BL90" i="6" s="1"/>
  <c r="BG90" i="6"/>
  <c r="BR90" i="6" s="1"/>
  <c r="BD90" i="6"/>
  <c r="BO90" i="6" s="1"/>
  <c r="BB90" i="6"/>
  <c r="BM90" i="6" s="1"/>
  <c r="AZ90" i="6"/>
  <c r="AX90" i="6"/>
  <c r="BF90" i="6"/>
  <c r="BQ90" i="6" s="1"/>
  <c r="BZ90" i="6"/>
  <c r="M360" i="5" l="1"/>
  <c r="N360" i="5" s="1"/>
  <c r="L361" i="5"/>
  <c r="K361" i="5"/>
  <c r="J361" i="5"/>
  <c r="I362" i="5"/>
  <c r="W362" i="5"/>
  <c r="H363" i="5"/>
  <c r="BV90" i="6"/>
  <c r="BX90" i="6"/>
  <c r="BT90" i="6"/>
  <c r="BW90" i="6"/>
  <c r="BU90" i="6"/>
  <c r="BH90" i="6"/>
  <c r="AY90" i="6"/>
  <c r="BY90" i="6"/>
  <c r="M361" i="5" l="1"/>
  <c r="N361" i="5" s="1"/>
  <c r="L362" i="5"/>
  <c r="K362" i="5"/>
  <c r="J362" i="5"/>
  <c r="I363" i="5"/>
  <c r="W363" i="5"/>
  <c r="H364" i="5"/>
  <c r="BI90" i="6"/>
  <c r="BJ90" i="6" s="1"/>
  <c r="BK90" i="6" s="1"/>
  <c r="M362" i="5" l="1"/>
  <c r="N362" i="5" s="1"/>
  <c r="L363" i="5"/>
  <c r="K363" i="5"/>
  <c r="J363" i="5"/>
  <c r="I364" i="5"/>
  <c r="W364" i="5"/>
  <c r="H365" i="5"/>
  <c r="BS90" i="6"/>
  <c r="CA90" i="6" s="1"/>
  <c r="M363" i="5" l="1"/>
  <c r="N363" i="5" s="1"/>
  <c r="L364" i="5"/>
  <c r="K364" i="5"/>
  <c r="J364" i="5"/>
  <c r="I365" i="5"/>
  <c r="W365" i="5"/>
  <c r="H366" i="5"/>
  <c r="AG91" i="6"/>
  <c r="CI90" i="6"/>
  <c r="CB90" i="6" s="1"/>
  <c r="M364" i="5" l="1"/>
  <c r="N364" i="5" s="1"/>
  <c r="L365" i="5"/>
  <c r="K365" i="5"/>
  <c r="J365" i="5"/>
  <c r="I366" i="5"/>
  <c r="W366" i="5"/>
  <c r="H367" i="5"/>
  <c r="AO91" i="6"/>
  <c r="Q91" i="6"/>
  <c r="R91" i="6" s="1"/>
  <c r="S91" i="6" s="1"/>
  <c r="CJ90" i="6"/>
  <c r="CC90" i="6" s="1"/>
  <c r="AH91" i="6"/>
  <c r="M365" i="5" l="1"/>
  <c r="N365" i="5" s="1"/>
  <c r="L366" i="5"/>
  <c r="K366" i="5"/>
  <c r="J366" i="5"/>
  <c r="I367" i="5"/>
  <c r="W367" i="5"/>
  <c r="H368" i="5"/>
  <c r="AI91" i="6"/>
  <c r="CK90" i="6"/>
  <c r="CD90" i="6" s="1"/>
  <c r="AP91" i="6"/>
  <c r="M366" i="5" l="1"/>
  <c r="N366" i="5" s="1"/>
  <c r="L367" i="5"/>
  <c r="K367" i="5"/>
  <c r="J367" i="5"/>
  <c r="I368" i="5"/>
  <c r="W368" i="5"/>
  <c r="H369" i="5"/>
  <c r="W91" i="6"/>
  <c r="Z91" i="6" s="1"/>
  <c r="AQ91" i="6"/>
  <c r="CL90" i="6"/>
  <c r="CE90" i="6" s="1"/>
  <c r="AJ91" i="6"/>
  <c r="M367" i="5" l="1"/>
  <c r="N367" i="5" s="1"/>
  <c r="L368" i="5"/>
  <c r="K368" i="5"/>
  <c r="J368" i="5"/>
  <c r="I369" i="5"/>
  <c r="W369" i="5"/>
  <c r="H370" i="5"/>
  <c r="AK91" i="6"/>
  <c r="CM90" i="6"/>
  <c r="CF90" i="6" s="1"/>
  <c r="AR91" i="6"/>
  <c r="AC91" i="6"/>
  <c r="M368" i="5" l="1"/>
  <c r="N368" i="5" s="1"/>
  <c r="L369" i="5"/>
  <c r="K369" i="5"/>
  <c r="J369" i="5"/>
  <c r="I370" i="5"/>
  <c r="W370" i="5"/>
  <c r="H371" i="5"/>
  <c r="AS91" i="6"/>
  <c r="AL91" i="6"/>
  <c r="CN90" i="6"/>
  <c r="CG90" i="6" s="1"/>
  <c r="M369" i="5" l="1"/>
  <c r="N369" i="5" s="1"/>
  <c r="L370" i="5"/>
  <c r="K370" i="5"/>
  <c r="J370" i="5"/>
  <c r="I371" i="5"/>
  <c r="W371" i="5"/>
  <c r="H372" i="5"/>
  <c r="AT91" i="6"/>
  <c r="CO90" i="6"/>
  <c r="CH90" i="6" s="1"/>
  <c r="AM91" i="6"/>
  <c r="M370" i="5" l="1"/>
  <c r="N370" i="5" s="1"/>
  <c r="L371" i="5"/>
  <c r="K371" i="5"/>
  <c r="J371" i="5"/>
  <c r="I372" i="5"/>
  <c r="W372" i="5"/>
  <c r="H373" i="5"/>
  <c r="CP90" i="6"/>
  <c r="T90" i="6" s="1"/>
  <c r="AN91" i="6"/>
  <c r="X91" i="6"/>
  <c r="AU91" i="6"/>
  <c r="M371" i="5" l="1"/>
  <c r="N371" i="5" s="1"/>
  <c r="L372" i="5"/>
  <c r="K372" i="5"/>
  <c r="J372" i="5"/>
  <c r="I373" i="5"/>
  <c r="W373" i="5"/>
  <c r="H374" i="5"/>
  <c r="AV91" i="6"/>
  <c r="AW91" i="6" s="1"/>
  <c r="AA91" i="6"/>
  <c r="Y91" i="6"/>
  <c r="AB91" i="6" s="1"/>
  <c r="BA91" i="6"/>
  <c r="BL91" i="6" s="1"/>
  <c r="BF91" i="6"/>
  <c r="BQ91" i="6" s="1"/>
  <c r="BB91" i="6"/>
  <c r="BM91" i="6" s="1"/>
  <c r="BE91" i="6"/>
  <c r="BP91" i="6" s="1"/>
  <c r="BC91" i="6"/>
  <c r="BN91" i="6" s="1"/>
  <c r="BG91" i="6"/>
  <c r="BR91" i="6" s="1"/>
  <c r="BD91" i="6"/>
  <c r="BO91" i="6" s="1"/>
  <c r="M372" i="5" l="1"/>
  <c r="N372" i="5" s="1"/>
  <c r="L373" i="5"/>
  <c r="K373" i="5"/>
  <c r="J373" i="5"/>
  <c r="I374" i="5"/>
  <c r="W374" i="5"/>
  <c r="H375" i="5"/>
  <c r="BZ91" i="6"/>
  <c r="BT91" i="6"/>
  <c r="BU91" i="6"/>
  <c r="BX91" i="6"/>
  <c r="BV91" i="6"/>
  <c r="BW91" i="6"/>
  <c r="AX91" i="6"/>
  <c r="AZ91" i="6"/>
  <c r="BY91" i="6"/>
  <c r="M373" i="5" l="1"/>
  <c r="N373" i="5" s="1"/>
  <c r="L374" i="5"/>
  <c r="K374" i="5"/>
  <c r="J374" i="5"/>
  <c r="I375" i="5"/>
  <c r="W375" i="5"/>
  <c r="H376" i="5"/>
  <c r="AY91" i="6"/>
  <c r="BH91" i="6"/>
  <c r="M374" i="5" l="1"/>
  <c r="N374" i="5" s="1"/>
  <c r="L375" i="5"/>
  <c r="K375" i="5"/>
  <c r="J375" i="5"/>
  <c r="I376" i="5"/>
  <c r="W376" i="5"/>
  <c r="H377" i="5"/>
  <c r="BI91" i="6"/>
  <c r="BJ91" i="6" s="1"/>
  <c r="BK91" i="6" s="1"/>
  <c r="M375" i="5" l="1"/>
  <c r="N375" i="5" s="1"/>
  <c r="L376" i="5"/>
  <c r="K376" i="5"/>
  <c r="J376" i="5"/>
  <c r="I377" i="5"/>
  <c r="W377" i="5"/>
  <c r="H378" i="5"/>
  <c r="BS91" i="6"/>
  <c r="CA91" i="6"/>
  <c r="M376" i="5" l="1"/>
  <c r="N376" i="5" s="1"/>
  <c r="L377" i="5"/>
  <c r="K377" i="5"/>
  <c r="J377" i="5"/>
  <c r="I378" i="5"/>
  <c r="W378" i="5"/>
  <c r="H379" i="5"/>
  <c r="AG92" i="6"/>
  <c r="CI91" i="6"/>
  <c r="CB91" i="6" s="1"/>
  <c r="M377" i="5" l="1"/>
  <c r="N377" i="5" s="1"/>
  <c r="L378" i="5"/>
  <c r="K378" i="5"/>
  <c r="J378" i="5"/>
  <c r="I379" i="5"/>
  <c r="W379" i="5"/>
  <c r="H380" i="5"/>
  <c r="AO92" i="6"/>
  <c r="Q92" i="6"/>
  <c r="R92" i="6" s="1"/>
  <c r="S92" i="6" s="1"/>
  <c r="AH92" i="6"/>
  <c r="CJ91" i="6"/>
  <c r="CC91" i="6" s="1"/>
  <c r="M378" i="5" l="1"/>
  <c r="N378" i="5" s="1"/>
  <c r="L379" i="5"/>
  <c r="K379" i="5"/>
  <c r="J379" i="5"/>
  <c r="I380" i="5"/>
  <c r="W380" i="5"/>
  <c r="H381" i="5"/>
  <c r="AP92" i="6"/>
  <c r="CK91" i="6"/>
  <c r="CD91" i="6" s="1"/>
  <c r="AI92" i="6"/>
  <c r="M379" i="5" l="1"/>
  <c r="N379" i="5" s="1"/>
  <c r="L380" i="5"/>
  <c r="K380" i="5"/>
  <c r="J380" i="5"/>
  <c r="I381" i="5"/>
  <c r="W381" i="5"/>
  <c r="H382" i="5"/>
  <c r="AJ92" i="6"/>
  <c r="W92" i="6" s="1"/>
  <c r="Z92" i="6" s="1"/>
  <c r="CL91" i="6"/>
  <c r="CE91" i="6" s="1"/>
  <c r="AQ92" i="6"/>
  <c r="M380" i="5" l="1"/>
  <c r="N380" i="5" s="1"/>
  <c r="L381" i="5"/>
  <c r="K381" i="5"/>
  <c r="J381" i="5"/>
  <c r="I382" i="5"/>
  <c r="W382" i="5"/>
  <c r="H383" i="5"/>
  <c r="AC92" i="6"/>
  <c r="AR92" i="6"/>
  <c r="CM91" i="6"/>
  <c r="CF91" i="6" s="1"/>
  <c r="AK92" i="6"/>
  <c r="M381" i="5" l="1"/>
  <c r="N381" i="5" s="1"/>
  <c r="L382" i="5"/>
  <c r="K382" i="5"/>
  <c r="J382" i="5"/>
  <c r="I383" i="5"/>
  <c r="W383" i="5"/>
  <c r="H384" i="5"/>
  <c r="AL92" i="6"/>
  <c r="CN91" i="6"/>
  <c r="CG91" i="6" s="1"/>
  <c r="AS92" i="6"/>
  <c r="M382" i="5" l="1"/>
  <c r="N382" i="5" s="1"/>
  <c r="L383" i="5"/>
  <c r="K383" i="5"/>
  <c r="J383" i="5"/>
  <c r="I384" i="5"/>
  <c r="W384" i="5"/>
  <c r="H385" i="5"/>
  <c r="AT92" i="6"/>
  <c r="AM92" i="6"/>
  <c r="CO91" i="6"/>
  <c r="CH91" i="6" s="1"/>
  <c r="M383" i="5" l="1"/>
  <c r="N383" i="5" s="1"/>
  <c r="L384" i="5"/>
  <c r="K384" i="5"/>
  <c r="J384" i="5"/>
  <c r="I385" i="5"/>
  <c r="W385" i="5"/>
  <c r="H386" i="5"/>
  <c r="AU92" i="6"/>
  <c r="AN92" i="6"/>
  <c r="X92" i="6" s="1"/>
  <c r="CP91" i="6"/>
  <c r="T91" i="6" s="1"/>
  <c r="M384" i="5" l="1"/>
  <c r="N384" i="5" s="1"/>
  <c r="L385" i="5"/>
  <c r="K385" i="5"/>
  <c r="J385" i="5"/>
  <c r="I386" i="5"/>
  <c r="W386" i="5"/>
  <c r="H387" i="5"/>
  <c r="AA92" i="6"/>
  <c r="Y92" i="6"/>
  <c r="AB92" i="6" s="1"/>
  <c r="AV92" i="6"/>
  <c r="AW92" i="6" s="1"/>
  <c r="M385" i="5" l="1"/>
  <c r="N385" i="5" s="1"/>
  <c r="L386" i="5"/>
  <c r="K386" i="5"/>
  <c r="J386" i="5"/>
  <c r="I387" i="5"/>
  <c r="W387" i="5"/>
  <c r="H388" i="5"/>
  <c r="BG92" i="6"/>
  <c r="BR92" i="6" s="1"/>
  <c r="BB92" i="6"/>
  <c r="BM92" i="6" s="1"/>
  <c r="BF92" i="6"/>
  <c r="BQ92" i="6" s="1"/>
  <c r="BD92" i="6"/>
  <c r="BO92" i="6" s="1"/>
  <c r="BA92" i="6"/>
  <c r="BL92" i="6" s="1"/>
  <c r="BE92" i="6"/>
  <c r="BP92" i="6" s="1"/>
  <c r="BC92" i="6"/>
  <c r="BN92" i="6" s="1"/>
  <c r="AX92" i="6"/>
  <c r="AZ92" i="6"/>
  <c r="M386" i="5" l="1"/>
  <c r="N386" i="5" s="1"/>
  <c r="L387" i="5"/>
  <c r="K387" i="5"/>
  <c r="J387" i="5"/>
  <c r="I388" i="5"/>
  <c r="W388" i="5"/>
  <c r="H389" i="5"/>
  <c r="BZ92" i="6"/>
  <c r="BU92" i="6"/>
  <c r="BY92" i="6"/>
  <c r="BW92" i="6"/>
  <c r="BT92" i="6"/>
  <c r="BX92" i="6"/>
  <c r="BV92" i="6"/>
  <c r="BH92" i="6"/>
  <c r="AY92" i="6"/>
  <c r="M387" i="5" l="1"/>
  <c r="N387" i="5" s="1"/>
  <c r="L388" i="5"/>
  <c r="K388" i="5"/>
  <c r="J388" i="5"/>
  <c r="I389" i="5"/>
  <c r="W389" i="5"/>
  <c r="H390" i="5"/>
  <c r="BI92" i="6"/>
  <c r="BJ92" i="6" s="1"/>
  <c r="BK92" i="6" s="1"/>
  <c r="M388" i="5" l="1"/>
  <c r="N388" i="5" s="1"/>
  <c r="L389" i="5"/>
  <c r="K389" i="5"/>
  <c r="J389" i="5"/>
  <c r="I390" i="5"/>
  <c r="W390" i="5"/>
  <c r="H391" i="5"/>
  <c r="BS92" i="6"/>
  <c r="CA92" i="6" s="1"/>
  <c r="M389" i="5" l="1"/>
  <c r="N389" i="5" s="1"/>
  <c r="L390" i="5"/>
  <c r="K390" i="5"/>
  <c r="J390" i="5"/>
  <c r="I391" i="5"/>
  <c r="W391" i="5"/>
  <c r="H392" i="5"/>
  <c r="CI92" i="6"/>
  <c r="CB92" i="6" s="1"/>
  <c r="AG93" i="6"/>
  <c r="M390" i="5" l="1"/>
  <c r="N390" i="5" s="1"/>
  <c r="L391" i="5"/>
  <c r="K391" i="5"/>
  <c r="J391" i="5"/>
  <c r="I392" i="5"/>
  <c r="W392" i="5"/>
  <c r="H393" i="5"/>
  <c r="Q93" i="6"/>
  <c r="R93" i="6" s="1"/>
  <c r="S93" i="6" s="1"/>
  <c r="AO93" i="6"/>
  <c r="AH93" i="6"/>
  <c r="CJ92" i="6"/>
  <c r="CC92" i="6" s="1"/>
  <c r="M391" i="5" l="1"/>
  <c r="N391" i="5" s="1"/>
  <c r="L392" i="5"/>
  <c r="K392" i="5"/>
  <c r="J392" i="5"/>
  <c r="I393" i="5"/>
  <c r="W393" i="5"/>
  <c r="H394" i="5"/>
  <c r="AP93" i="6"/>
  <c r="AI93" i="6"/>
  <c r="CK92" i="6"/>
  <c r="CD92" i="6" s="1"/>
  <c r="M392" i="5" l="1"/>
  <c r="N392" i="5" s="1"/>
  <c r="L393" i="5"/>
  <c r="K393" i="5"/>
  <c r="J393" i="5"/>
  <c r="I394" i="5"/>
  <c r="W394" i="5"/>
  <c r="H395" i="5"/>
  <c r="AQ93" i="6"/>
  <c r="AJ93" i="6"/>
  <c r="W93" i="6" s="1"/>
  <c r="Z93" i="6" s="1"/>
  <c r="CL92" i="6"/>
  <c r="CE92" i="6" s="1"/>
  <c r="M393" i="5" l="1"/>
  <c r="N393" i="5" s="1"/>
  <c r="L394" i="5"/>
  <c r="K394" i="5"/>
  <c r="J394" i="5"/>
  <c r="I395" i="5"/>
  <c r="W395" i="5"/>
  <c r="H396" i="5"/>
  <c r="AR93" i="6"/>
  <c r="AC93" i="6"/>
  <c r="AK93" i="6"/>
  <c r="CM92" i="6"/>
  <c r="CF92" i="6" s="1"/>
  <c r="M394" i="5" l="1"/>
  <c r="N394" i="5" s="1"/>
  <c r="L395" i="5"/>
  <c r="K395" i="5"/>
  <c r="J395" i="5"/>
  <c r="I396" i="5"/>
  <c r="W396" i="5"/>
  <c r="H397" i="5"/>
  <c r="AS93" i="6"/>
  <c r="CN92" i="6"/>
  <c r="CG92" i="6" s="1"/>
  <c r="AL93" i="6"/>
  <c r="M395" i="5" l="1"/>
  <c r="N395" i="5" s="1"/>
  <c r="L396" i="5"/>
  <c r="K396" i="5"/>
  <c r="J396" i="5"/>
  <c r="I397" i="5"/>
  <c r="W397" i="5"/>
  <c r="H398" i="5"/>
  <c r="CO92" i="6"/>
  <c r="CH92" i="6" s="1"/>
  <c r="AM93" i="6"/>
  <c r="AT93" i="6"/>
  <c r="M396" i="5" l="1"/>
  <c r="N396" i="5" s="1"/>
  <c r="L397" i="5"/>
  <c r="K397" i="5"/>
  <c r="J397" i="5"/>
  <c r="I398" i="5"/>
  <c r="W398" i="5"/>
  <c r="H399" i="5"/>
  <c r="CP92" i="6"/>
  <c r="T92" i="6" s="1"/>
  <c r="AN93" i="6"/>
  <c r="X93" i="6"/>
  <c r="AU93" i="6"/>
  <c r="M397" i="5" l="1"/>
  <c r="N397" i="5" s="1"/>
  <c r="L398" i="5"/>
  <c r="K398" i="5"/>
  <c r="J398" i="5"/>
  <c r="I399" i="5"/>
  <c r="W399" i="5"/>
  <c r="H400" i="5"/>
  <c r="AV93" i="6"/>
  <c r="AW93" i="6" s="1"/>
  <c r="AA93" i="6"/>
  <c r="Y93" i="6"/>
  <c r="AB93" i="6" s="1"/>
  <c r="M398" i="5" l="1"/>
  <c r="N398" i="5" s="1"/>
  <c r="L399" i="5"/>
  <c r="K399" i="5"/>
  <c r="J399" i="5"/>
  <c r="I400" i="5"/>
  <c r="W400" i="5"/>
  <c r="H401" i="5"/>
  <c r="BE93" i="6"/>
  <c r="BP93" i="6" s="1"/>
  <c r="AZ93" i="6"/>
  <c r="BD93" i="6"/>
  <c r="BO93" i="6" s="1"/>
  <c r="BB93" i="6"/>
  <c r="BM93" i="6" s="1"/>
  <c r="BA93" i="6"/>
  <c r="BL93" i="6" s="1"/>
  <c r="BF93" i="6"/>
  <c r="BQ93" i="6" s="1"/>
  <c r="AX93" i="6"/>
  <c r="BC93" i="6"/>
  <c r="BN93" i="6" s="1"/>
  <c r="BG93" i="6"/>
  <c r="BR93" i="6" s="1"/>
  <c r="M399" i="5" l="1"/>
  <c r="N399" i="5" s="1"/>
  <c r="L400" i="5"/>
  <c r="K400" i="5"/>
  <c r="J400" i="5"/>
  <c r="I401" i="5"/>
  <c r="W401" i="5"/>
  <c r="H402" i="5"/>
  <c r="BX93" i="6"/>
  <c r="BW93" i="6"/>
  <c r="BU93" i="6"/>
  <c r="BT93" i="6"/>
  <c r="BY93" i="6"/>
  <c r="AY93" i="6"/>
  <c r="BH93" i="6"/>
  <c r="BV93" i="6"/>
  <c r="BZ93" i="6"/>
  <c r="M400" i="5" l="1"/>
  <c r="N400" i="5" s="1"/>
  <c r="L401" i="5"/>
  <c r="K401" i="5"/>
  <c r="J401" i="5"/>
  <c r="I402" i="5"/>
  <c r="W402" i="5"/>
  <c r="H403" i="5"/>
  <c r="BI93" i="6"/>
  <c r="BJ93" i="6" s="1"/>
  <c r="BK93" i="6" s="1"/>
  <c r="M401" i="5" l="1"/>
  <c r="N401" i="5" s="1"/>
  <c r="L402" i="5"/>
  <c r="K402" i="5"/>
  <c r="J402" i="5"/>
  <c r="I403" i="5"/>
  <c r="W403" i="5"/>
  <c r="H404" i="5"/>
  <c r="BS93" i="6"/>
  <c r="CA93" i="6" s="1"/>
  <c r="M402" i="5" l="1"/>
  <c r="N402" i="5" s="1"/>
  <c r="L403" i="5"/>
  <c r="K403" i="5"/>
  <c r="J403" i="5"/>
  <c r="I404" i="5"/>
  <c r="W404" i="5"/>
  <c r="H405" i="5"/>
  <c r="CI93" i="6"/>
  <c r="CB93" i="6" s="1"/>
  <c r="AG94" i="6"/>
  <c r="AH94" i="6"/>
  <c r="CJ93" i="6"/>
  <c r="CC93" i="6" s="1"/>
  <c r="M403" i="5" l="1"/>
  <c r="N403" i="5" s="1"/>
  <c r="L404" i="5"/>
  <c r="K404" i="5"/>
  <c r="J404" i="5"/>
  <c r="I405" i="5"/>
  <c r="W405" i="5"/>
  <c r="H406" i="5"/>
  <c r="AO94" i="6"/>
  <c r="Q94" i="6"/>
  <c r="R94" i="6" s="1"/>
  <c r="S94" i="6" s="1"/>
  <c r="AP94" i="6"/>
  <c r="CK93" i="6"/>
  <c r="CD93" i="6" s="1"/>
  <c r="AI94" i="6"/>
  <c r="M404" i="5" l="1"/>
  <c r="N404" i="5" s="1"/>
  <c r="L405" i="5"/>
  <c r="K405" i="5"/>
  <c r="J405" i="5"/>
  <c r="I406" i="5"/>
  <c r="W406" i="5"/>
  <c r="H407" i="5"/>
  <c r="CL93" i="6"/>
  <c r="CE93" i="6" s="1"/>
  <c r="AJ94" i="6"/>
  <c r="AQ94" i="6"/>
  <c r="M405" i="5" l="1"/>
  <c r="N405" i="5" s="1"/>
  <c r="L406" i="5"/>
  <c r="K406" i="5"/>
  <c r="J406" i="5"/>
  <c r="I407" i="5"/>
  <c r="W407" i="5"/>
  <c r="H408" i="5"/>
  <c r="AK94" i="6"/>
  <c r="CM93" i="6"/>
  <c r="CF93" i="6" s="1"/>
  <c r="W94" i="6"/>
  <c r="Z94" i="6" s="1"/>
  <c r="AR94" i="6"/>
  <c r="AC94" i="6"/>
  <c r="M406" i="5" l="1"/>
  <c r="N406" i="5" s="1"/>
  <c r="L407" i="5"/>
  <c r="K407" i="5"/>
  <c r="J407" i="5"/>
  <c r="I408" i="5"/>
  <c r="W408" i="5"/>
  <c r="H409" i="5"/>
  <c r="AS94" i="6"/>
  <c r="CN93" i="6"/>
  <c r="CG93" i="6" s="1"/>
  <c r="AL94" i="6"/>
  <c r="M407" i="5" l="1"/>
  <c r="N407" i="5" s="1"/>
  <c r="L408" i="5"/>
  <c r="K408" i="5"/>
  <c r="J408" i="5"/>
  <c r="I409" i="5"/>
  <c r="W409" i="5"/>
  <c r="H410" i="5"/>
  <c r="AM94" i="6"/>
  <c r="CO93" i="6"/>
  <c r="CH93" i="6" s="1"/>
  <c r="AT94" i="6"/>
  <c r="M408" i="5" l="1"/>
  <c r="N408" i="5" s="1"/>
  <c r="L409" i="5"/>
  <c r="K409" i="5"/>
  <c r="J409" i="5"/>
  <c r="I410" i="5"/>
  <c r="W410" i="5"/>
  <c r="H411" i="5"/>
  <c r="AU94" i="6"/>
  <c r="AN94" i="6"/>
  <c r="X94" i="6" s="1"/>
  <c r="CP93" i="6"/>
  <c r="T93" i="6" s="1"/>
  <c r="M409" i="5" l="1"/>
  <c r="N409" i="5" s="1"/>
  <c r="L410" i="5"/>
  <c r="K410" i="5"/>
  <c r="J410" i="5"/>
  <c r="I411" i="5"/>
  <c r="W411" i="5"/>
  <c r="H412" i="5"/>
  <c r="Y94" i="6"/>
  <c r="AB94" i="6" s="1"/>
  <c r="AA94" i="6"/>
  <c r="AV94" i="6"/>
  <c r="AW94" i="6" s="1"/>
  <c r="M410" i="5" l="1"/>
  <c r="N410" i="5" s="1"/>
  <c r="L411" i="5"/>
  <c r="K411" i="5"/>
  <c r="J411" i="5"/>
  <c r="I412" i="5"/>
  <c r="W412" i="5"/>
  <c r="H413" i="5"/>
  <c r="BC94" i="6"/>
  <c r="BN94" i="6" s="1"/>
  <c r="AX94" i="6"/>
  <c r="AZ94" i="6"/>
  <c r="BD94" i="6"/>
  <c r="BO94" i="6" s="1"/>
  <c r="BE94" i="6"/>
  <c r="BP94" i="6" s="1"/>
  <c r="BG94" i="6"/>
  <c r="BR94" i="6" s="1"/>
  <c r="BB94" i="6"/>
  <c r="BM94" i="6" s="1"/>
  <c r="BA94" i="6"/>
  <c r="BL94" i="6" s="1"/>
  <c r="BF94" i="6"/>
  <c r="BQ94" i="6" s="1"/>
  <c r="BZ94" i="6"/>
  <c r="M411" i="5" l="1"/>
  <c r="N411" i="5" s="1"/>
  <c r="L412" i="5"/>
  <c r="K412" i="5"/>
  <c r="J412" i="5"/>
  <c r="I413" i="5"/>
  <c r="W413" i="5"/>
  <c r="H414" i="5"/>
  <c r="BV94" i="6"/>
  <c r="BH94" i="6"/>
  <c r="AY94" i="6"/>
  <c r="BW94" i="6"/>
  <c r="BX94" i="6"/>
  <c r="BU94" i="6"/>
  <c r="BT94" i="6"/>
  <c r="BY94" i="6"/>
  <c r="M412" i="5" l="1"/>
  <c r="N412" i="5" s="1"/>
  <c r="L413" i="5"/>
  <c r="K413" i="5"/>
  <c r="J413" i="5"/>
  <c r="I414" i="5"/>
  <c r="W414" i="5"/>
  <c r="H415" i="5"/>
  <c r="BI94" i="6"/>
  <c r="BJ94" i="6" s="1"/>
  <c r="BK94" i="6" s="1"/>
  <c r="M413" i="5" l="1"/>
  <c r="N413" i="5" s="1"/>
  <c r="L414" i="5"/>
  <c r="K414" i="5"/>
  <c r="J414" i="5"/>
  <c r="I415" i="5"/>
  <c r="W415" i="5"/>
  <c r="H416" i="5"/>
  <c r="BS94" i="6"/>
  <c r="CA94" i="6" s="1"/>
  <c r="M414" i="5" l="1"/>
  <c r="N414" i="5" s="1"/>
  <c r="L415" i="5"/>
  <c r="K415" i="5"/>
  <c r="J415" i="5"/>
  <c r="I416" i="5"/>
  <c r="W416" i="5"/>
  <c r="H417" i="5"/>
  <c r="CI94" i="6"/>
  <c r="CB94" i="6" s="1"/>
  <c r="AG95" i="6"/>
  <c r="M415" i="5" l="1"/>
  <c r="N415" i="5" s="1"/>
  <c r="L416" i="5"/>
  <c r="K416" i="5"/>
  <c r="J416" i="5"/>
  <c r="I417" i="5"/>
  <c r="W417" i="5"/>
  <c r="H418" i="5"/>
  <c r="AO95" i="6"/>
  <c r="Q95" i="6"/>
  <c r="R95" i="6" s="1"/>
  <c r="S95" i="6" s="1"/>
  <c r="CJ94" i="6"/>
  <c r="CC94" i="6" s="1"/>
  <c r="AH95" i="6"/>
  <c r="M416" i="5" l="1"/>
  <c r="N416" i="5" s="1"/>
  <c r="L417" i="5"/>
  <c r="K417" i="5"/>
  <c r="J417" i="5"/>
  <c r="I418" i="5"/>
  <c r="W418" i="5"/>
  <c r="H419" i="5"/>
  <c r="AI95" i="6"/>
  <c r="CK94" i="6"/>
  <c r="CD94" i="6" s="1"/>
  <c r="AP95" i="6"/>
  <c r="M417" i="5" l="1"/>
  <c r="N417" i="5" s="1"/>
  <c r="L418" i="5"/>
  <c r="K418" i="5"/>
  <c r="J418" i="5"/>
  <c r="I419" i="5"/>
  <c r="W419" i="5"/>
  <c r="H420" i="5"/>
  <c r="AQ95" i="6"/>
  <c r="CL94" i="6"/>
  <c r="CE94" i="6" s="1"/>
  <c r="AJ95" i="6"/>
  <c r="W95" i="6" s="1"/>
  <c r="Z95" i="6" s="1"/>
  <c r="M418" i="5" l="1"/>
  <c r="N418" i="5" s="1"/>
  <c r="L419" i="5"/>
  <c r="K419" i="5"/>
  <c r="J419" i="5"/>
  <c r="I420" i="5"/>
  <c r="W420" i="5"/>
  <c r="H421" i="5"/>
  <c r="CM94" i="6"/>
  <c r="CF94" i="6" s="1"/>
  <c r="AK95" i="6"/>
  <c r="AR95" i="6"/>
  <c r="AC95" i="6"/>
  <c r="M419" i="5" l="1"/>
  <c r="N419" i="5" s="1"/>
  <c r="L420" i="5"/>
  <c r="K420" i="5"/>
  <c r="J420" i="5"/>
  <c r="I421" i="5"/>
  <c r="W421" i="5"/>
  <c r="H422" i="5"/>
  <c r="AL95" i="6"/>
  <c r="CN94" i="6"/>
  <c r="CG94" i="6" s="1"/>
  <c r="AS95" i="6"/>
  <c r="M420" i="5" l="1"/>
  <c r="N420" i="5" s="1"/>
  <c r="L421" i="5"/>
  <c r="K421" i="5"/>
  <c r="J421" i="5"/>
  <c r="I422" i="5"/>
  <c r="W422" i="5"/>
  <c r="H423" i="5"/>
  <c r="AT95" i="6"/>
  <c r="CO94" i="6"/>
  <c r="CH94" i="6" s="1"/>
  <c r="AM95" i="6"/>
  <c r="M421" i="5" l="1"/>
  <c r="N421" i="5" s="1"/>
  <c r="L422" i="5"/>
  <c r="K422" i="5"/>
  <c r="J422" i="5"/>
  <c r="I423" i="5"/>
  <c r="W423" i="5"/>
  <c r="H424" i="5"/>
  <c r="CP94" i="6"/>
  <c r="T94" i="6" s="1"/>
  <c r="AN95" i="6"/>
  <c r="X95" i="6" s="1"/>
  <c r="AU95" i="6"/>
  <c r="M422" i="5" l="1"/>
  <c r="N422" i="5" s="1"/>
  <c r="L423" i="5"/>
  <c r="K423" i="5"/>
  <c r="J423" i="5"/>
  <c r="I424" i="5"/>
  <c r="W424" i="5"/>
  <c r="H425" i="5"/>
  <c r="AV95" i="6"/>
  <c r="AW95" i="6" s="1"/>
  <c r="AA95" i="6"/>
  <c r="Y95" i="6"/>
  <c r="AB95" i="6" s="1"/>
  <c r="M423" i="5" l="1"/>
  <c r="N423" i="5" s="1"/>
  <c r="L424" i="5"/>
  <c r="K424" i="5"/>
  <c r="J424" i="5"/>
  <c r="I425" i="5"/>
  <c r="W425" i="5"/>
  <c r="H426" i="5"/>
  <c r="AZ95" i="6"/>
  <c r="AX95" i="6"/>
  <c r="BA95" i="6"/>
  <c r="BL95" i="6" s="1"/>
  <c r="BD95" i="6"/>
  <c r="BO95" i="6" s="1"/>
  <c r="BB95" i="6"/>
  <c r="BM95" i="6" s="1"/>
  <c r="BE95" i="6"/>
  <c r="BP95" i="6" s="1"/>
  <c r="BC95" i="6"/>
  <c r="BN95" i="6" s="1"/>
  <c r="BF95" i="6"/>
  <c r="BQ95" i="6" s="1"/>
  <c r="BG95" i="6"/>
  <c r="BR95" i="6" s="1"/>
  <c r="M424" i="5" l="1"/>
  <c r="N424" i="5" s="1"/>
  <c r="L425" i="5"/>
  <c r="K425" i="5"/>
  <c r="J425" i="5"/>
  <c r="I426" i="5"/>
  <c r="W426" i="5"/>
  <c r="H427" i="5"/>
  <c r="AY95" i="6"/>
  <c r="BH95" i="6"/>
  <c r="BT95" i="6"/>
  <c r="BW95" i="6"/>
  <c r="BU95" i="6"/>
  <c r="BX95" i="6"/>
  <c r="BV95" i="6"/>
  <c r="BY95" i="6"/>
  <c r="BZ95" i="6"/>
  <c r="M425" i="5" l="1"/>
  <c r="N425" i="5" s="1"/>
  <c r="L426" i="5"/>
  <c r="K426" i="5"/>
  <c r="J426" i="5"/>
  <c r="I427" i="5"/>
  <c r="W427" i="5"/>
  <c r="H428" i="5"/>
  <c r="BI95" i="6"/>
  <c r="BJ95" i="6" s="1"/>
  <c r="BK95" i="6" s="1"/>
  <c r="M426" i="5" l="1"/>
  <c r="N426" i="5" s="1"/>
  <c r="L427" i="5"/>
  <c r="K427" i="5"/>
  <c r="J427" i="5"/>
  <c r="I428" i="5"/>
  <c r="W428" i="5"/>
  <c r="H429" i="5"/>
  <c r="BS95" i="6"/>
  <c r="CA95" i="6" s="1"/>
  <c r="M427" i="5" l="1"/>
  <c r="N427" i="5" s="1"/>
  <c r="L428" i="5"/>
  <c r="K428" i="5"/>
  <c r="J428" i="5"/>
  <c r="I429" i="5"/>
  <c r="W429" i="5"/>
  <c r="H430" i="5"/>
  <c r="AG96" i="6"/>
  <c r="CI95" i="6"/>
  <c r="CB95" i="6" s="1"/>
  <c r="M428" i="5" l="1"/>
  <c r="N428" i="5" s="1"/>
  <c r="L429" i="5"/>
  <c r="K429" i="5"/>
  <c r="J429" i="5"/>
  <c r="I430" i="5"/>
  <c r="W430" i="5"/>
  <c r="H431" i="5"/>
  <c r="Q96" i="6"/>
  <c r="R96" i="6" s="1"/>
  <c r="S96" i="6" s="1"/>
  <c r="AO96" i="6"/>
  <c r="CJ95" i="6"/>
  <c r="CC95" i="6" s="1"/>
  <c r="AH96" i="6"/>
  <c r="M429" i="5" l="1"/>
  <c r="N429" i="5" s="1"/>
  <c r="L430" i="5"/>
  <c r="K430" i="5"/>
  <c r="J430" i="5"/>
  <c r="I431" i="5"/>
  <c r="W431" i="5"/>
  <c r="H432" i="5"/>
  <c r="CK95" i="6"/>
  <c r="CD95" i="6" s="1"/>
  <c r="AI96" i="6"/>
  <c r="AP96" i="6"/>
  <c r="M430" i="5" l="1"/>
  <c r="N430" i="5" s="1"/>
  <c r="L431" i="5"/>
  <c r="K431" i="5"/>
  <c r="J431" i="5"/>
  <c r="I432" i="5"/>
  <c r="W432" i="5"/>
  <c r="H433" i="5"/>
  <c r="CL95" i="6"/>
  <c r="CE95" i="6" s="1"/>
  <c r="AJ96" i="6"/>
  <c r="W96" i="6"/>
  <c r="Z96" i="6" s="1"/>
  <c r="AQ96" i="6"/>
  <c r="M431" i="5" l="1"/>
  <c r="N431" i="5" s="1"/>
  <c r="L432" i="5"/>
  <c r="K432" i="5"/>
  <c r="J432" i="5"/>
  <c r="I433" i="5"/>
  <c r="W433" i="5"/>
  <c r="H434" i="5"/>
  <c r="AK96" i="6"/>
  <c r="CM95" i="6"/>
  <c r="CF95" i="6" s="1"/>
  <c r="AC96" i="6"/>
  <c r="AR96" i="6"/>
  <c r="M432" i="5" l="1"/>
  <c r="N432" i="5" s="1"/>
  <c r="L433" i="5"/>
  <c r="K433" i="5"/>
  <c r="J433" i="5"/>
  <c r="I434" i="5"/>
  <c r="W434" i="5"/>
  <c r="H435" i="5"/>
  <c r="AS96" i="6"/>
  <c r="AL96" i="6"/>
  <c r="CN95" i="6"/>
  <c r="CG95" i="6" s="1"/>
  <c r="M433" i="5" l="1"/>
  <c r="N433" i="5" s="1"/>
  <c r="L434" i="5"/>
  <c r="K434" i="5"/>
  <c r="J434" i="5"/>
  <c r="I435" i="5"/>
  <c r="W435" i="5"/>
  <c r="H436" i="5"/>
  <c r="AT96" i="6"/>
  <c r="CO95" i="6"/>
  <c r="CH95" i="6" s="1"/>
  <c r="AM96" i="6"/>
  <c r="M434" i="5" l="1"/>
  <c r="N434" i="5" s="1"/>
  <c r="L435" i="5"/>
  <c r="K435" i="5"/>
  <c r="J435" i="5"/>
  <c r="I436" i="5"/>
  <c r="W436" i="5"/>
  <c r="H437" i="5"/>
  <c r="AN96" i="6"/>
  <c r="X96" i="6" s="1"/>
  <c r="CP95" i="6"/>
  <c r="T95" i="6" s="1"/>
  <c r="AU96" i="6"/>
  <c r="M435" i="5" l="1"/>
  <c r="N435" i="5" s="1"/>
  <c r="L436" i="5"/>
  <c r="K436" i="5"/>
  <c r="J436" i="5"/>
  <c r="I437" i="5"/>
  <c r="W437" i="5"/>
  <c r="H438" i="5"/>
  <c r="AV96" i="6"/>
  <c r="AW96" i="6" s="1"/>
  <c r="Y96" i="6"/>
  <c r="AB96" i="6" s="1"/>
  <c r="AA96" i="6"/>
  <c r="M436" i="5" l="1"/>
  <c r="N436" i="5" s="1"/>
  <c r="L437" i="5"/>
  <c r="K437" i="5"/>
  <c r="J437" i="5"/>
  <c r="I438" i="5"/>
  <c r="W438" i="5"/>
  <c r="H439" i="5"/>
  <c r="BB96" i="6"/>
  <c r="BM96" i="6" s="1"/>
  <c r="AX96" i="6"/>
  <c r="BF96" i="6"/>
  <c r="BQ96" i="6" s="1"/>
  <c r="BD96" i="6"/>
  <c r="BO96" i="6" s="1"/>
  <c r="BE96" i="6"/>
  <c r="BP96" i="6" s="1"/>
  <c r="BA96" i="6"/>
  <c r="BL96" i="6" s="1"/>
  <c r="BC96" i="6"/>
  <c r="BN96" i="6" s="1"/>
  <c r="BG96" i="6"/>
  <c r="BR96" i="6" s="1"/>
  <c r="AZ96" i="6"/>
  <c r="M437" i="5" l="1"/>
  <c r="N437" i="5" s="1"/>
  <c r="L438" i="5"/>
  <c r="K438" i="5"/>
  <c r="J438" i="5"/>
  <c r="I439" i="5"/>
  <c r="W439" i="5"/>
  <c r="H440" i="5"/>
  <c r="BU96" i="6"/>
  <c r="AY96" i="6"/>
  <c r="BH96" i="6"/>
  <c r="BY96" i="6"/>
  <c r="BW96" i="6"/>
  <c r="BX96" i="6"/>
  <c r="BT96" i="6"/>
  <c r="BV96" i="6"/>
  <c r="BZ96" i="6"/>
  <c r="M438" i="5" l="1"/>
  <c r="N438" i="5" s="1"/>
  <c r="L439" i="5"/>
  <c r="K439" i="5"/>
  <c r="J439" i="5"/>
  <c r="I440" i="5"/>
  <c r="W440" i="5"/>
  <c r="H441" i="5"/>
  <c r="BJ96" i="6"/>
  <c r="BK96" i="6" s="1"/>
  <c r="BI96" i="6"/>
  <c r="M439" i="5" l="1"/>
  <c r="N439" i="5" s="1"/>
  <c r="L440" i="5"/>
  <c r="K440" i="5"/>
  <c r="J440" i="5"/>
  <c r="I441" i="5"/>
  <c r="W441" i="5"/>
  <c r="H442" i="5"/>
  <c r="BS96" i="6"/>
  <c r="CA96" i="6" s="1"/>
  <c r="M440" i="5" l="1"/>
  <c r="N440" i="5" s="1"/>
  <c r="L441" i="5"/>
  <c r="K441" i="5"/>
  <c r="J441" i="5"/>
  <c r="I442" i="5"/>
  <c r="W442" i="5"/>
  <c r="H443" i="5"/>
  <c r="AG97" i="6"/>
  <c r="CI96" i="6"/>
  <c r="CB96" i="6" s="1"/>
  <c r="M441" i="5" l="1"/>
  <c r="N441" i="5" s="1"/>
  <c r="L442" i="5"/>
  <c r="K442" i="5"/>
  <c r="J442" i="5"/>
  <c r="I443" i="5"/>
  <c r="W443" i="5"/>
  <c r="H444" i="5"/>
  <c r="AO97" i="6"/>
  <c r="Q97" i="6"/>
  <c r="R97" i="6" s="1"/>
  <c r="S97" i="6" s="1"/>
  <c r="AH97" i="6"/>
  <c r="CJ96" i="6"/>
  <c r="CC96" i="6" s="1"/>
  <c r="M442" i="5" l="1"/>
  <c r="N442" i="5" s="1"/>
  <c r="L443" i="5"/>
  <c r="K443" i="5"/>
  <c r="J443" i="5"/>
  <c r="I444" i="5"/>
  <c r="W444" i="5"/>
  <c r="H445" i="5"/>
  <c r="AP97" i="6"/>
  <c r="CK96" i="6"/>
  <c r="CD96" i="6" s="1"/>
  <c r="AI97" i="6"/>
  <c r="M443" i="5" l="1"/>
  <c r="N443" i="5" s="1"/>
  <c r="L444" i="5"/>
  <c r="K444" i="5"/>
  <c r="J444" i="5"/>
  <c r="I445" i="5"/>
  <c r="W445" i="5"/>
  <c r="H446" i="5"/>
  <c r="CL96" i="6"/>
  <c r="CE96" i="6" s="1"/>
  <c r="AJ97" i="6"/>
  <c r="W97" i="6"/>
  <c r="Z97" i="6" s="1"/>
  <c r="AQ97" i="6"/>
  <c r="M444" i="5" l="1"/>
  <c r="N444" i="5" s="1"/>
  <c r="L445" i="5"/>
  <c r="K445" i="5"/>
  <c r="J445" i="5"/>
  <c r="I446" i="5"/>
  <c r="W446" i="5"/>
  <c r="H447" i="5"/>
  <c r="AK97" i="6"/>
  <c r="CM96" i="6"/>
  <c r="CF96" i="6" s="1"/>
  <c r="AR97" i="6"/>
  <c r="AC97" i="6"/>
  <c r="M445" i="5" l="1"/>
  <c r="N445" i="5" s="1"/>
  <c r="L446" i="5"/>
  <c r="K446" i="5"/>
  <c r="J446" i="5"/>
  <c r="I447" i="5"/>
  <c r="W447" i="5"/>
  <c r="H448" i="5"/>
  <c r="AS97" i="6"/>
  <c r="AL97" i="6"/>
  <c r="CN96" i="6"/>
  <c r="CG96" i="6" s="1"/>
  <c r="M446" i="5" l="1"/>
  <c r="N446" i="5" s="1"/>
  <c r="L447" i="5"/>
  <c r="K447" i="5"/>
  <c r="J447" i="5"/>
  <c r="I448" i="5"/>
  <c r="W448" i="5"/>
  <c r="H449" i="5"/>
  <c r="AT97" i="6"/>
  <c r="CO96" i="6"/>
  <c r="CH96" i="6" s="1"/>
  <c r="AM97" i="6"/>
  <c r="M447" i="5" l="1"/>
  <c r="N447" i="5" s="1"/>
  <c r="L448" i="5"/>
  <c r="K448" i="5"/>
  <c r="J448" i="5"/>
  <c r="I449" i="5"/>
  <c r="W449" i="5"/>
  <c r="H450" i="5"/>
  <c r="AN97" i="6"/>
  <c r="CP96" i="6"/>
  <c r="T96" i="6" s="1"/>
  <c r="X97" i="6"/>
  <c r="AU97" i="6"/>
  <c r="M448" i="5" l="1"/>
  <c r="N448" i="5" s="1"/>
  <c r="L449" i="5"/>
  <c r="K449" i="5"/>
  <c r="J449" i="5"/>
  <c r="I450" i="5"/>
  <c r="W450" i="5"/>
  <c r="H451" i="5"/>
  <c r="AV97" i="6"/>
  <c r="AW97" i="6" s="1"/>
  <c r="AA97" i="6"/>
  <c r="Y97" i="6"/>
  <c r="AB97" i="6" s="1"/>
  <c r="M449" i="5" l="1"/>
  <c r="N449" i="5" s="1"/>
  <c r="L450" i="5"/>
  <c r="K450" i="5"/>
  <c r="J450" i="5"/>
  <c r="I451" i="5"/>
  <c r="W451" i="5"/>
  <c r="H452" i="5"/>
  <c r="BA97" i="6"/>
  <c r="BL97" i="6" s="1"/>
  <c r="BD97" i="6"/>
  <c r="BO97" i="6" s="1"/>
  <c r="BB97" i="6"/>
  <c r="BM97" i="6" s="1"/>
  <c r="AX97" i="6"/>
  <c r="BG97" i="6"/>
  <c r="BR97" i="6" s="1"/>
  <c r="BC97" i="6"/>
  <c r="BN97" i="6" s="1"/>
  <c r="BF97" i="6"/>
  <c r="BQ97" i="6" s="1"/>
  <c r="AZ97" i="6"/>
  <c r="BE97" i="6"/>
  <c r="BP97" i="6" s="1"/>
  <c r="M450" i="5" l="1"/>
  <c r="N450" i="5" s="1"/>
  <c r="L451" i="5"/>
  <c r="K451" i="5"/>
  <c r="J451" i="5"/>
  <c r="I452" i="5"/>
  <c r="W452" i="5"/>
  <c r="H453" i="5"/>
  <c r="BT97" i="6"/>
  <c r="BW97" i="6"/>
  <c r="BU97" i="6"/>
  <c r="BH97" i="6"/>
  <c r="AY97" i="6"/>
  <c r="BZ97" i="6"/>
  <c r="BV97" i="6"/>
  <c r="BY97" i="6"/>
  <c r="BX97" i="6"/>
  <c r="M451" i="5" l="1"/>
  <c r="N451" i="5" s="1"/>
  <c r="L452" i="5"/>
  <c r="K452" i="5"/>
  <c r="J452" i="5"/>
  <c r="I453" i="5"/>
  <c r="W453" i="5"/>
  <c r="H454" i="5"/>
  <c r="BI97" i="6"/>
  <c r="BJ97" i="6" s="1"/>
  <c r="BK97" i="6" s="1"/>
  <c r="M452" i="5" l="1"/>
  <c r="N452" i="5" s="1"/>
  <c r="L453" i="5"/>
  <c r="K453" i="5"/>
  <c r="J453" i="5"/>
  <c r="I454" i="5"/>
  <c r="W454" i="5"/>
  <c r="H455" i="5"/>
  <c r="BS97" i="6"/>
  <c r="CA97" i="6"/>
  <c r="M453" i="5" l="1"/>
  <c r="N453" i="5" s="1"/>
  <c r="L454" i="5"/>
  <c r="K454" i="5"/>
  <c r="J454" i="5"/>
  <c r="I455" i="5"/>
  <c r="W455" i="5"/>
  <c r="H456" i="5"/>
  <c r="CI97" i="6"/>
  <c r="CB97" i="6" s="1"/>
  <c r="AG98" i="6"/>
  <c r="M454" i="5" l="1"/>
  <c r="N454" i="5" s="1"/>
  <c r="L455" i="5"/>
  <c r="K455" i="5"/>
  <c r="J455" i="5"/>
  <c r="I456" i="5"/>
  <c r="W456" i="5"/>
  <c r="H457" i="5"/>
  <c r="CJ97" i="6"/>
  <c r="CC97" i="6" s="1"/>
  <c r="AH98" i="6"/>
  <c r="AO98" i="6"/>
  <c r="Q98" i="6"/>
  <c r="R98" i="6" s="1"/>
  <c r="S98" i="6" s="1"/>
  <c r="M455" i="5" l="1"/>
  <c r="N455" i="5" s="1"/>
  <c r="L456" i="5"/>
  <c r="K456" i="5"/>
  <c r="J456" i="5"/>
  <c r="I457" i="5"/>
  <c r="W457" i="5"/>
  <c r="H458" i="5"/>
  <c r="CK97" i="6"/>
  <c r="CD97" i="6" s="1"/>
  <c r="AI98" i="6"/>
  <c r="AP98" i="6"/>
  <c r="M456" i="5" l="1"/>
  <c r="N456" i="5" s="1"/>
  <c r="L457" i="5"/>
  <c r="K457" i="5"/>
  <c r="J457" i="5"/>
  <c r="I458" i="5"/>
  <c r="W458" i="5"/>
  <c r="H459" i="5"/>
  <c r="CL97" i="6"/>
  <c r="CE97" i="6" s="1"/>
  <c r="AJ98" i="6"/>
  <c r="W98" i="6"/>
  <c r="Z98" i="6" s="1"/>
  <c r="AQ98" i="6"/>
  <c r="M457" i="5" l="1"/>
  <c r="N457" i="5" s="1"/>
  <c r="L458" i="5"/>
  <c r="K458" i="5"/>
  <c r="J458" i="5"/>
  <c r="I459" i="5"/>
  <c r="W459" i="5"/>
  <c r="H460" i="5"/>
  <c r="AK98" i="6"/>
  <c r="CM97" i="6"/>
  <c r="CF97" i="6" s="1"/>
  <c r="AC98" i="6"/>
  <c r="AR98" i="6"/>
  <c r="M458" i="5" l="1"/>
  <c r="N458" i="5" s="1"/>
  <c r="L459" i="5"/>
  <c r="K459" i="5"/>
  <c r="J459" i="5"/>
  <c r="I460" i="5"/>
  <c r="W460" i="5"/>
  <c r="H461" i="5"/>
  <c r="AS98" i="6"/>
  <c r="AL98" i="6"/>
  <c r="CN97" i="6"/>
  <c r="CG97" i="6" s="1"/>
  <c r="M459" i="5" l="1"/>
  <c r="N459" i="5" s="1"/>
  <c r="L460" i="5"/>
  <c r="K460" i="5"/>
  <c r="J460" i="5"/>
  <c r="I461" i="5"/>
  <c r="W461" i="5"/>
  <c r="H462" i="5"/>
  <c r="AT98" i="6"/>
  <c r="CO97" i="6"/>
  <c r="CH97" i="6" s="1"/>
  <c r="AM98" i="6"/>
  <c r="M460" i="5" l="1"/>
  <c r="N460" i="5" s="1"/>
  <c r="L461" i="5"/>
  <c r="K461" i="5"/>
  <c r="J461" i="5"/>
  <c r="I462" i="5"/>
  <c r="W462" i="5"/>
  <c r="H463" i="5"/>
  <c r="AN98" i="6"/>
  <c r="CP97" i="6"/>
  <c r="T97" i="6" s="1"/>
  <c r="X98" i="6"/>
  <c r="AU98" i="6"/>
  <c r="M461" i="5" l="1"/>
  <c r="N461" i="5" s="1"/>
  <c r="L462" i="5"/>
  <c r="K462" i="5"/>
  <c r="J462" i="5"/>
  <c r="I463" i="5"/>
  <c r="W463" i="5"/>
  <c r="H464" i="5"/>
  <c r="AV98" i="6"/>
  <c r="AW98" i="6" s="1"/>
  <c r="Y98" i="6"/>
  <c r="AB98" i="6" s="1"/>
  <c r="AA98" i="6"/>
  <c r="M462" i="5" l="1"/>
  <c r="N462" i="5" s="1"/>
  <c r="L463" i="5"/>
  <c r="K463" i="5"/>
  <c r="J463" i="5"/>
  <c r="I464" i="5"/>
  <c r="W464" i="5"/>
  <c r="H465" i="5"/>
  <c r="BD98" i="6"/>
  <c r="BO98" i="6" s="1"/>
  <c r="BG98" i="6"/>
  <c r="BR98" i="6" s="1"/>
  <c r="BE98" i="6"/>
  <c r="BP98" i="6" s="1"/>
  <c r="BF98" i="6"/>
  <c r="BQ98" i="6" s="1"/>
  <c r="AX98" i="6"/>
  <c r="BB98" i="6"/>
  <c r="BM98" i="6" s="1"/>
  <c r="BA98" i="6"/>
  <c r="BL98" i="6" s="1"/>
  <c r="BC98" i="6"/>
  <c r="BN98" i="6" s="1"/>
  <c r="AZ98" i="6"/>
  <c r="M463" i="5" l="1"/>
  <c r="N463" i="5" s="1"/>
  <c r="L464" i="5"/>
  <c r="K464" i="5"/>
  <c r="J464" i="5"/>
  <c r="I465" i="5"/>
  <c r="W465" i="5"/>
  <c r="H466" i="5"/>
  <c r="BW98" i="6"/>
  <c r="BZ98" i="6"/>
  <c r="BX98" i="6"/>
  <c r="BY98" i="6"/>
  <c r="AY98" i="6"/>
  <c r="BH98" i="6"/>
  <c r="BU98" i="6"/>
  <c r="BT98" i="6"/>
  <c r="BV98" i="6"/>
  <c r="M464" i="5" l="1"/>
  <c r="N464" i="5" s="1"/>
  <c r="L465" i="5"/>
  <c r="K465" i="5"/>
  <c r="J465" i="5"/>
  <c r="I466" i="5"/>
  <c r="W466" i="5"/>
  <c r="H467" i="5"/>
  <c r="BI98" i="6"/>
  <c r="BJ98" i="6" s="1"/>
  <c r="BK98" i="6" s="1"/>
  <c r="M465" i="5" l="1"/>
  <c r="N465" i="5" s="1"/>
  <c r="L466" i="5"/>
  <c r="K466" i="5"/>
  <c r="J466" i="5"/>
  <c r="I467" i="5"/>
  <c r="W467" i="5"/>
  <c r="H468" i="5"/>
  <c r="BS98" i="6"/>
  <c r="CA98" i="6" s="1"/>
  <c r="M466" i="5" l="1"/>
  <c r="N466" i="5" s="1"/>
  <c r="L467" i="5"/>
  <c r="K467" i="5"/>
  <c r="J467" i="5"/>
  <c r="I468" i="5"/>
  <c r="W468" i="5"/>
  <c r="H469" i="5"/>
  <c r="CI98" i="6"/>
  <c r="CB98" i="6" s="1"/>
  <c r="AG99" i="6"/>
  <c r="M467" i="5" l="1"/>
  <c r="N467" i="5" s="1"/>
  <c r="L468" i="5"/>
  <c r="K468" i="5"/>
  <c r="J468" i="5"/>
  <c r="I469" i="5"/>
  <c r="W469" i="5"/>
  <c r="H470" i="5"/>
  <c r="CJ98" i="6"/>
  <c r="CC98" i="6" s="1"/>
  <c r="AH99" i="6"/>
  <c r="Q99" i="6"/>
  <c r="R99" i="6" s="1"/>
  <c r="S99" i="6" s="1"/>
  <c r="AO99" i="6"/>
  <c r="M468" i="5" l="1"/>
  <c r="N468" i="5" s="1"/>
  <c r="L469" i="5"/>
  <c r="K469" i="5"/>
  <c r="J469" i="5"/>
  <c r="I470" i="5"/>
  <c r="W470" i="5"/>
  <c r="H471" i="5"/>
  <c r="AI99" i="6"/>
  <c r="CK98" i="6"/>
  <c r="CD98" i="6" s="1"/>
  <c r="AP99" i="6"/>
  <c r="M469" i="5" l="1"/>
  <c r="N469" i="5" s="1"/>
  <c r="L470" i="5"/>
  <c r="K470" i="5"/>
  <c r="J470" i="5"/>
  <c r="I471" i="5"/>
  <c r="W471" i="5"/>
  <c r="H472" i="5"/>
  <c r="AQ99" i="6"/>
  <c r="AJ99" i="6"/>
  <c r="W99" i="6" s="1"/>
  <c r="Z99" i="6" s="1"/>
  <c r="CL98" i="6"/>
  <c r="CE98" i="6" s="1"/>
  <c r="M470" i="5" l="1"/>
  <c r="N470" i="5" s="1"/>
  <c r="L471" i="5"/>
  <c r="K471" i="5"/>
  <c r="J471" i="5"/>
  <c r="I472" i="5"/>
  <c r="W472" i="5"/>
  <c r="H473" i="5"/>
  <c r="AC99" i="6"/>
  <c r="AR99" i="6"/>
  <c r="AK99" i="6"/>
  <c r="CM98" i="6"/>
  <c r="CF98" i="6" s="1"/>
  <c r="M471" i="5" l="1"/>
  <c r="N471" i="5" s="1"/>
  <c r="L472" i="5"/>
  <c r="K472" i="5"/>
  <c r="J472" i="5"/>
  <c r="I473" i="5"/>
  <c r="W473" i="5"/>
  <c r="H474" i="5"/>
  <c r="AS99" i="6"/>
  <c r="CN98" i="6"/>
  <c r="CG98" i="6" s="1"/>
  <c r="AL99" i="6"/>
  <c r="M472" i="5" l="1"/>
  <c r="N472" i="5" s="1"/>
  <c r="L473" i="5"/>
  <c r="K473" i="5"/>
  <c r="J473" i="5"/>
  <c r="I474" i="5"/>
  <c r="W474" i="5"/>
  <c r="H475" i="5"/>
  <c r="AM99" i="6"/>
  <c r="CO98" i="6"/>
  <c r="CH98" i="6" s="1"/>
  <c r="AT99" i="6"/>
  <c r="M473" i="5" l="1"/>
  <c r="N473" i="5" s="1"/>
  <c r="L474" i="5"/>
  <c r="K474" i="5"/>
  <c r="J474" i="5"/>
  <c r="I475" i="5"/>
  <c r="W475" i="5"/>
  <c r="H476" i="5"/>
  <c r="X99" i="6"/>
  <c r="AU99" i="6"/>
  <c r="AN99" i="6"/>
  <c r="CP98" i="6"/>
  <c r="T98" i="6" s="1"/>
  <c r="M474" i="5" l="1"/>
  <c r="N474" i="5" s="1"/>
  <c r="L475" i="5"/>
  <c r="K475" i="5"/>
  <c r="J475" i="5"/>
  <c r="I476" i="5"/>
  <c r="W476" i="5"/>
  <c r="H477" i="5"/>
  <c r="AA99" i="6"/>
  <c r="Y99" i="6"/>
  <c r="AB99" i="6" s="1"/>
  <c r="AV99" i="6"/>
  <c r="AW99" i="6" s="1"/>
  <c r="M475" i="5" l="1"/>
  <c r="N475" i="5" s="1"/>
  <c r="L476" i="5"/>
  <c r="K476" i="5"/>
  <c r="J476" i="5"/>
  <c r="I477" i="5"/>
  <c r="W477" i="5"/>
  <c r="H478" i="5"/>
  <c r="BA99" i="6"/>
  <c r="BL99" i="6" s="1"/>
  <c r="AX99" i="6"/>
  <c r="BF99" i="6"/>
  <c r="BQ99" i="6" s="1"/>
  <c r="BE99" i="6"/>
  <c r="BP99" i="6" s="1"/>
  <c r="BB99" i="6"/>
  <c r="BM99" i="6" s="1"/>
  <c r="BG99" i="6"/>
  <c r="BR99" i="6" s="1"/>
  <c r="BD99" i="6"/>
  <c r="BO99" i="6" s="1"/>
  <c r="BC99" i="6"/>
  <c r="BN99" i="6" s="1"/>
  <c r="AZ99" i="6"/>
  <c r="M476" i="5" l="1"/>
  <c r="N476" i="5" s="1"/>
  <c r="L477" i="5"/>
  <c r="K477" i="5"/>
  <c r="J477" i="5"/>
  <c r="I478" i="5"/>
  <c r="W478" i="5"/>
  <c r="H479" i="5"/>
  <c r="BT99" i="6"/>
  <c r="BH99" i="6"/>
  <c r="AY99" i="6"/>
  <c r="BY99" i="6"/>
  <c r="BX99" i="6"/>
  <c r="BU99" i="6"/>
  <c r="BW99" i="6"/>
  <c r="BV99" i="6"/>
  <c r="BZ99" i="6"/>
  <c r="M477" i="5" l="1"/>
  <c r="N477" i="5" s="1"/>
  <c r="L478" i="5"/>
  <c r="K478" i="5"/>
  <c r="J478" i="5"/>
  <c r="I479" i="5"/>
  <c r="W479" i="5"/>
  <c r="H480" i="5"/>
  <c r="BI99" i="6"/>
  <c r="BJ99" i="6" s="1"/>
  <c r="BK99" i="6" s="1"/>
  <c r="M478" i="5" l="1"/>
  <c r="N478" i="5" s="1"/>
  <c r="L479" i="5"/>
  <c r="K479" i="5"/>
  <c r="J479" i="5"/>
  <c r="I480" i="5"/>
  <c r="W480" i="5"/>
  <c r="H481" i="5"/>
  <c r="BS99" i="6"/>
  <c r="CA99" i="6" s="1"/>
  <c r="M479" i="5" l="1"/>
  <c r="N479" i="5" s="1"/>
  <c r="L480" i="5"/>
  <c r="K480" i="5"/>
  <c r="J480" i="5"/>
  <c r="I481" i="5"/>
  <c r="W481" i="5"/>
  <c r="H482" i="5"/>
  <c r="AG100" i="6"/>
  <c r="CI99" i="6"/>
  <c r="CB99" i="6" s="1"/>
  <c r="M480" i="5" l="1"/>
  <c r="N480" i="5" s="1"/>
  <c r="L481" i="5"/>
  <c r="K481" i="5"/>
  <c r="J481" i="5"/>
  <c r="I482" i="5"/>
  <c r="W482" i="5"/>
  <c r="H483" i="5"/>
  <c r="Q100" i="6"/>
  <c r="R100" i="6" s="1"/>
  <c r="S100" i="6" s="1"/>
  <c r="AO100" i="6"/>
  <c r="AH100" i="6"/>
  <c r="CJ99" i="6"/>
  <c r="CC99" i="6" s="1"/>
  <c r="M481" i="5" l="1"/>
  <c r="N481" i="5" s="1"/>
  <c r="L482" i="5"/>
  <c r="K482" i="5"/>
  <c r="J482" i="5"/>
  <c r="I483" i="5"/>
  <c r="W483" i="5"/>
  <c r="H484" i="5"/>
  <c r="AP100" i="6"/>
  <c r="AI100" i="6"/>
  <c r="CK99" i="6"/>
  <c r="CD99" i="6" s="1"/>
  <c r="M482" i="5" l="1"/>
  <c r="N482" i="5" s="1"/>
  <c r="L483" i="5"/>
  <c r="K483" i="5"/>
  <c r="J483" i="5"/>
  <c r="I484" i="5"/>
  <c r="W484" i="5"/>
  <c r="H485" i="5"/>
  <c r="AQ100" i="6"/>
  <c r="AJ100" i="6"/>
  <c r="W100" i="6" s="1"/>
  <c r="Z100" i="6" s="1"/>
  <c r="CL99" i="6"/>
  <c r="CE99" i="6" s="1"/>
  <c r="M483" i="5" l="1"/>
  <c r="N483" i="5" s="1"/>
  <c r="L484" i="5"/>
  <c r="K484" i="5"/>
  <c r="J484" i="5"/>
  <c r="I485" i="5"/>
  <c r="W485" i="5"/>
  <c r="H486" i="5"/>
  <c r="AR100" i="6"/>
  <c r="AC100" i="6"/>
  <c r="AK100" i="6"/>
  <c r="CM99" i="6"/>
  <c r="CF99" i="6" s="1"/>
  <c r="M484" i="5" l="1"/>
  <c r="N484" i="5" s="1"/>
  <c r="L485" i="5"/>
  <c r="K485" i="5"/>
  <c r="J485" i="5"/>
  <c r="I486" i="5"/>
  <c r="W486" i="5"/>
  <c r="H487" i="5"/>
  <c r="AS100" i="6"/>
  <c r="CN99" i="6"/>
  <c r="CG99" i="6" s="1"/>
  <c r="AL100" i="6"/>
  <c r="M485" i="5" l="1"/>
  <c r="N485" i="5" s="1"/>
  <c r="L486" i="5"/>
  <c r="K486" i="5"/>
  <c r="J486" i="5"/>
  <c r="I487" i="5"/>
  <c r="W487" i="5"/>
  <c r="H488" i="5"/>
  <c r="CO99" i="6"/>
  <c r="CH99" i="6" s="1"/>
  <c r="AM100" i="6"/>
  <c r="AT100" i="6"/>
  <c r="M486" i="5" l="1"/>
  <c r="N486" i="5" s="1"/>
  <c r="L487" i="5"/>
  <c r="K487" i="5"/>
  <c r="J487" i="5"/>
  <c r="I488" i="5"/>
  <c r="W488" i="5"/>
  <c r="H489" i="5"/>
  <c r="AN100" i="6"/>
  <c r="CP99" i="6"/>
  <c r="T99" i="6" s="1"/>
  <c r="X100" i="6"/>
  <c r="AU100" i="6"/>
  <c r="M487" i="5" l="1"/>
  <c r="N487" i="5" s="1"/>
  <c r="L488" i="5"/>
  <c r="K488" i="5"/>
  <c r="J488" i="5"/>
  <c r="I489" i="5"/>
  <c r="W489" i="5"/>
  <c r="H490" i="5"/>
  <c r="AV100" i="6"/>
  <c r="AW100" i="6" s="1"/>
  <c r="AA100" i="6"/>
  <c r="Y100" i="6"/>
  <c r="AB100" i="6" s="1"/>
  <c r="M488" i="5" l="1"/>
  <c r="N488" i="5" s="1"/>
  <c r="L489" i="5"/>
  <c r="K489" i="5"/>
  <c r="J489" i="5"/>
  <c r="I490" i="5"/>
  <c r="W490" i="5"/>
  <c r="H491" i="5"/>
  <c r="BA100" i="6"/>
  <c r="BL100" i="6" s="1"/>
  <c r="BD100" i="6"/>
  <c r="BO100" i="6" s="1"/>
  <c r="BE100" i="6"/>
  <c r="BP100" i="6" s="1"/>
  <c r="BF100" i="6"/>
  <c r="BQ100" i="6" s="1"/>
  <c r="AZ100" i="6"/>
  <c r="BC100" i="6"/>
  <c r="BN100" i="6" s="1"/>
  <c r="BG100" i="6"/>
  <c r="BR100" i="6" s="1"/>
  <c r="AX100" i="6"/>
  <c r="BB100" i="6"/>
  <c r="BM100" i="6" s="1"/>
  <c r="BZ100" i="6"/>
  <c r="M489" i="5" l="1"/>
  <c r="N489" i="5" s="1"/>
  <c r="L490" i="5"/>
  <c r="K490" i="5"/>
  <c r="J490" i="5"/>
  <c r="I491" i="5"/>
  <c r="W491" i="5"/>
  <c r="H492" i="5"/>
  <c r="BT100" i="6"/>
  <c r="BW100" i="6"/>
  <c r="BX100" i="6"/>
  <c r="BY100" i="6"/>
  <c r="BV100" i="6"/>
  <c r="AY100" i="6"/>
  <c r="BH100" i="6"/>
  <c r="BU100" i="6"/>
  <c r="M490" i="5" l="1"/>
  <c r="N490" i="5" s="1"/>
  <c r="L491" i="5"/>
  <c r="K491" i="5"/>
  <c r="J491" i="5"/>
  <c r="I492" i="5"/>
  <c r="W492" i="5"/>
  <c r="H493" i="5"/>
  <c r="BI100" i="6"/>
  <c r="BJ100" i="6" s="1"/>
  <c r="BK100" i="6" s="1"/>
  <c r="M491" i="5" l="1"/>
  <c r="N491" i="5" s="1"/>
  <c r="L492" i="5"/>
  <c r="K492" i="5"/>
  <c r="J492" i="5"/>
  <c r="I493" i="5"/>
  <c r="W493" i="5"/>
  <c r="H494" i="5"/>
  <c r="BS100" i="6"/>
  <c r="CA100" i="6" s="1"/>
  <c r="M492" i="5" l="1"/>
  <c r="N492" i="5" s="1"/>
  <c r="L493" i="5"/>
  <c r="K493" i="5"/>
  <c r="J493" i="5"/>
  <c r="I494" i="5"/>
  <c r="W494" i="5"/>
  <c r="H495" i="5"/>
  <c r="CI100" i="6"/>
  <c r="CB100" i="6" s="1"/>
  <c r="AG101" i="6"/>
  <c r="AH101" i="6"/>
  <c r="CJ100" i="6"/>
  <c r="CC100" i="6" s="1"/>
  <c r="M493" i="5" l="1"/>
  <c r="N493" i="5" s="1"/>
  <c r="L494" i="5"/>
  <c r="K494" i="5"/>
  <c r="J494" i="5"/>
  <c r="I495" i="5"/>
  <c r="W495" i="5"/>
  <c r="H496" i="5"/>
  <c r="Q101" i="6"/>
  <c r="R101" i="6" s="1"/>
  <c r="S101" i="6" s="1"/>
  <c r="AO101" i="6"/>
  <c r="AP101" i="6"/>
  <c r="AI101" i="6"/>
  <c r="CK100" i="6"/>
  <c r="CD100" i="6" s="1"/>
  <c r="M494" i="5" l="1"/>
  <c r="N494" i="5" s="1"/>
  <c r="L495" i="5"/>
  <c r="K495" i="5"/>
  <c r="J495" i="5"/>
  <c r="I496" i="5"/>
  <c r="W496" i="5"/>
  <c r="H497" i="5"/>
  <c r="AQ101" i="6"/>
  <c r="CL100" i="6"/>
  <c r="CE100" i="6" s="1"/>
  <c r="AJ101" i="6"/>
  <c r="M495" i="5" l="1"/>
  <c r="N495" i="5" s="1"/>
  <c r="L496" i="5"/>
  <c r="K496" i="5"/>
  <c r="J496" i="5"/>
  <c r="I497" i="5"/>
  <c r="W497" i="5"/>
  <c r="H498" i="5"/>
  <c r="AK101" i="6"/>
  <c r="CM100" i="6"/>
  <c r="CF100" i="6" s="1"/>
  <c r="W101" i="6"/>
  <c r="Z101" i="6" s="1"/>
  <c r="AR101" i="6"/>
  <c r="AC101" i="6"/>
  <c r="M496" i="5" l="1"/>
  <c r="N496" i="5" s="1"/>
  <c r="L497" i="5"/>
  <c r="K497" i="5"/>
  <c r="J497" i="5"/>
  <c r="I498" i="5"/>
  <c r="W498" i="5"/>
  <c r="H499" i="5"/>
  <c r="AS101" i="6"/>
  <c r="CN100" i="6"/>
  <c r="CG100" i="6" s="1"/>
  <c r="AL101" i="6"/>
  <c r="M497" i="5" l="1"/>
  <c r="N497" i="5" s="1"/>
  <c r="L498" i="5"/>
  <c r="K498" i="5"/>
  <c r="J498" i="5"/>
  <c r="I499" i="5"/>
  <c r="W499" i="5"/>
  <c r="H500" i="5"/>
  <c r="CO100" i="6"/>
  <c r="CH100" i="6" s="1"/>
  <c r="AM101" i="6"/>
  <c r="AT101" i="6"/>
  <c r="M498" i="5" l="1"/>
  <c r="N498" i="5" s="1"/>
  <c r="L499" i="5"/>
  <c r="K499" i="5"/>
  <c r="J499" i="5"/>
  <c r="I500" i="5"/>
  <c r="W500" i="5"/>
  <c r="H501" i="5"/>
  <c r="AN101" i="6"/>
  <c r="CP100" i="6"/>
  <c r="T100" i="6" s="1"/>
  <c r="X101" i="6"/>
  <c r="AU101" i="6"/>
  <c r="M499" i="5" l="1"/>
  <c r="N499" i="5" s="1"/>
  <c r="L500" i="5"/>
  <c r="K500" i="5"/>
  <c r="J500" i="5"/>
  <c r="I501" i="5"/>
  <c r="W501" i="5"/>
  <c r="AV101" i="6"/>
  <c r="AW101" i="6" s="1"/>
  <c r="AA101" i="6"/>
  <c r="Y101" i="6"/>
  <c r="AB101" i="6" s="1"/>
  <c r="M500" i="5" l="1"/>
  <c r="N500" i="5" s="1"/>
  <c r="L501" i="5"/>
  <c r="K501" i="5"/>
  <c r="J501" i="5"/>
  <c r="BB101" i="6"/>
  <c r="BM101" i="6" s="1"/>
  <c r="BE101" i="6"/>
  <c r="BP101" i="6" s="1"/>
  <c r="BG101" i="6"/>
  <c r="BR101" i="6" s="1"/>
  <c r="BA101" i="6"/>
  <c r="BL101" i="6" s="1"/>
  <c r="BD101" i="6"/>
  <c r="BO101" i="6" s="1"/>
  <c r="BF101" i="6"/>
  <c r="BQ101" i="6" s="1"/>
  <c r="AZ101" i="6"/>
  <c r="AX101" i="6"/>
  <c r="BC101" i="6"/>
  <c r="BN101" i="6" s="1"/>
  <c r="M501" i="5" l="1"/>
  <c r="N501" i="5" s="1"/>
  <c r="BU101" i="6"/>
  <c r="BX101" i="6"/>
  <c r="BZ101" i="6"/>
  <c r="BT101" i="6"/>
  <c r="BW101" i="6"/>
  <c r="BY101" i="6"/>
  <c r="BH101" i="6"/>
  <c r="AY101" i="6"/>
  <c r="BV101" i="6"/>
  <c r="B5" i="5" l="1"/>
  <c r="F27" i="5"/>
  <c r="BJ101" i="6"/>
  <c r="BK101" i="6" s="1"/>
  <c r="BI101" i="6"/>
  <c r="O501" i="5" l="1"/>
  <c r="Q501" i="5"/>
  <c r="O500" i="5"/>
  <c r="Q500" i="5"/>
  <c r="Q499" i="5"/>
  <c r="O499" i="5"/>
  <c r="Q498" i="5"/>
  <c r="O498" i="5"/>
  <c r="Q497" i="5"/>
  <c r="O497" i="5"/>
  <c r="Q496" i="5"/>
  <c r="O496" i="5"/>
  <c r="Q495" i="5"/>
  <c r="O495" i="5"/>
  <c r="Q494" i="5"/>
  <c r="O494" i="5"/>
  <c r="Q493" i="5"/>
  <c r="O493" i="5"/>
  <c r="O492" i="5"/>
  <c r="Q492" i="5"/>
  <c r="Q491" i="5"/>
  <c r="O491" i="5"/>
  <c r="Q490" i="5"/>
  <c r="O490" i="5"/>
  <c r="Q489" i="5"/>
  <c r="O489" i="5"/>
  <c r="Q488" i="5"/>
  <c r="O488" i="5"/>
  <c r="Q487" i="5"/>
  <c r="O487" i="5"/>
  <c r="Q486" i="5"/>
  <c r="O486" i="5"/>
  <c r="O485" i="5"/>
  <c r="Q485" i="5"/>
  <c r="Q484" i="5"/>
  <c r="O484" i="5"/>
  <c r="Q483" i="5"/>
  <c r="O483" i="5"/>
  <c r="O482" i="5"/>
  <c r="Q482" i="5"/>
  <c r="O481" i="5"/>
  <c r="Q481" i="5"/>
  <c r="Q480" i="5"/>
  <c r="O480" i="5"/>
  <c r="Q479" i="5"/>
  <c r="O479" i="5"/>
  <c r="Q478" i="5"/>
  <c r="O478" i="5"/>
  <c r="Q477" i="5"/>
  <c r="O477" i="5"/>
  <c r="Q476" i="5"/>
  <c r="O476" i="5"/>
  <c r="O475" i="5"/>
  <c r="Q475" i="5"/>
  <c r="O474" i="5"/>
  <c r="Q474" i="5"/>
  <c r="Q473" i="5"/>
  <c r="O473" i="5"/>
  <c r="Q472" i="5"/>
  <c r="O472" i="5"/>
  <c r="Q471" i="5"/>
  <c r="O471" i="5"/>
  <c r="Q470" i="5"/>
  <c r="O470" i="5"/>
  <c r="Q469" i="5"/>
  <c r="O469" i="5"/>
  <c r="Q468" i="5"/>
  <c r="O468" i="5"/>
  <c r="O467" i="5"/>
  <c r="Q467" i="5"/>
  <c r="O466" i="5"/>
  <c r="Q466" i="5"/>
  <c r="Q465" i="5"/>
  <c r="O465" i="5"/>
  <c r="Q464" i="5"/>
  <c r="O464" i="5"/>
  <c r="Q463" i="5"/>
  <c r="O463" i="5"/>
  <c r="Q462" i="5"/>
  <c r="O462" i="5"/>
  <c r="Q461" i="5"/>
  <c r="O461" i="5"/>
  <c r="Q460" i="5"/>
  <c r="O460" i="5"/>
  <c r="Q459" i="5"/>
  <c r="O459" i="5"/>
  <c r="O458" i="5"/>
  <c r="Q458" i="5"/>
  <c r="Q457" i="5"/>
  <c r="O457" i="5"/>
  <c r="Q456" i="5"/>
  <c r="O456" i="5"/>
  <c r="O455" i="5"/>
  <c r="Q455" i="5"/>
  <c r="O454" i="5"/>
  <c r="Q454" i="5"/>
  <c r="Q453" i="5"/>
  <c r="O453" i="5"/>
  <c r="Q452" i="5"/>
  <c r="O452" i="5"/>
  <c r="Q451" i="5"/>
  <c r="O451" i="5"/>
  <c r="O450" i="5"/>
  <c r="Q450" i="5"/>
  <c r="Q449" i="5"/>
  <c r="O449" i="5"/>
  <c r="Q448" i="5"/>
  <c r="O448" i="5"/>
  <c r="O447" i="5"/>
  <c r="Q447" i="5"/>
  <c r="Q446" i="5"/>
  <c r="O446" i="5"/>
  <c r="Q445" i="5"/>
  <c r="O445" i="5"/>
  <c r="Q444" i="5"/>
  <c r="O444" i="5"/>
  <c r="Q443" i="5"/>
  <c r="O443" i="5"/>
  <c r="Q442" i="5"/>
  <c r="O442" i="5"/>
  <c r="O441" i="5"/>
  <c r="Q441" i="5"/>
  <c r="O440" i="5"/>
  <c r="Q440" i="5"/>
  <c r="Q439" i="5"/>
  <c r="O439" i="5"/>
  <c r="Q438" i="5"/>
  <c r="O438" i="5"/>
  <c r="Q437" i="5"/>
  <c r="O437" i="5"/>
  <c r="Q436" i="5"/>
  <c r="O436" i="5"/>
  <c r="Q435" i="5"/>
  <c r="O435" i="5"/>
  <c r="Q434" i="5"/>
  <c r="O434" i="5"/>
  <c r="Q433" i="5"/>
  <c r="O433" i="5"/>
  <c r="Q432" i="5"/>
  <c r="O432" i="5"/>
  <c r="Q431" i="5"/>
  <c r="O431" i="5"/>
  <c r="O430" i="5"/>
  <c r="Q430" i="5"/>
  <c r="Q429" i="5"/>
  <c r="O429" i="5"/>
  <c r="Q428" i="5"/>
  <c r="O428" i="5"/>
  <c r="Q427" i="5"/>
  <c r="O427" i="5"/>
  <c r="Q426" i="5"/>
  <c r="O426" i="5"/>
  <c r="Q425" i="5"/>
  <c r="O425" i="5"/>
  <c r="Q424" i="5"/>
  <c r="O424" i="5"/>
  <c r="Q423" i="5"/>
  <c r="O423" i="5"/>
  <c r="Q422" i="5"/>
  <c r="O422" i="5"/>
  <c r="Q421" i="5"/>
  <c r="O421" i="5"/>
  <c r="Q420" i="5"/>
  <c r="O420" i="5"/>
  <c r="Q419" i="5"/>
  <c r="O419" i="5"/>
  <c r="O418" i="5"/>
  <c r="Q418" i="5"/>
  <c r="O417" i="5"/>
  <c r="Q417" i="5"/>
  <c r="O416" i="5"/>
  <c r="Q416" i="5"/>
  <c r="Q415" i="5"/>
  <c r="O415" i="5"/>
  <c r="Q414" i="5"/>
  <c r="O414" i="5"/>
  <c r="Q413" i="5"/>
  <c r="O413" i="5"/>
  <c r="Q412" i="5"/>
  <c r="O412" i="5"/>
  <c r="Q411" i="5"/>
  <c r="O411" i="5"/>
  <c r="O410" i="5"/>
  <c r="Q410" i="5"/>
  <c r="Q409" i="5"/>
  <c r="O409" i="5"/>
  <c r="O408" i="5"/>
  <c r="Q408" i="5"/>
  <c r="Q407" i="5"/>
  <c r="O407" i="5"/>
  <c r="Q406" i="5"/>
  <c r="O406" i="5"/>
  <c r="Q405" i="5"/>
  <c r="O405" i="5"/>
  <c r="Q404" i="5"/>
  <c r="O404" i="5"/>
  <c r="O403" i="5"/>
  <c r="Q403" i="5"/>
  <c r="Q402" i="5"/>
  <c r="O402" i="5"/>
  <c r="Q401" i="5"/>
  <c r="O401" i="5"/>
  <c r="Q400" i="5"/>
  <c r="O400" i="5"/>
  <c r="Q399" i="5"/>
  <c r="O399" i="5"/>
  <c r="O398" i="5"/>
  <c r="Q398" i="5"/>
  <c r="O397" i="5"/>
  <c r="Q397" i="5"/>
  <c r="Q396" i="5"/>
  <c r="O396" i="5"/>
  <c r="Q395" i="5"/>
  <c r="O395" i="5"/>
  <c r="Q394" i="5"/>
  <c r="O394" i="5"/>
  <c r="Q393" i="5"/>
  <c r="O393" i="5"/>
  <c r="Q392" i="5"/>
  <c r="O392" i="5"/>
  <c r="Q391" i="5"/>
  <c r="O391" i="5"/>
  <c r="Q390" i="5"/>
  <c r="O390" i="5"/>
  <c r="Q389" i="5"/>
  <c r="O389" i="5"/>
  <c r="Q388" i="5"/>
  <c r="O388" i="5"/>
  <c r="Q387" i="5"/>
  <c r="O387" i="5"/>
  <c r="Q386" i="5"/>
  <c r="O386" i="5"/>
  <c r="Q385" i="5"/>
  <c r="O385" i="5"/>
  <c r="Q384" i="5"/>
  <c r="O384" i="5"/>
  <c r="Q383" i="5"/>
  <c r="O383" i="5"/>
  <c r="Q382" i="5"/>
  <c r="O382" i="5"/>
  <c r="Q381" i="5"/>
  <c r="O381" i="5"/>
  <c r="O380" i="5"/>
  <c r="Q380" i="5"/>
  <c r="Q379" i="5"/>
  <c r="O379" i="5"/>
  <c r="O378" i="5"/>
  <c r="Q378" i="5"/>
  <c r="Q377" i="5"/>
  <c r="O377" i="5"/>
  <c r="Q376" i="5"/>
  <c r="O376" i="5"/>
  <c r="Q375" i="5"/>
  <c r="O375" i="5"/>
  <c r="Q374" i="5"/>
  <c r="O374" i="5"/>
  <c r="Q373" i="5"/>
  <c r="O373" i="5"/>
  <c r="Q372" i="5"/>
  <c r="O372" i="5"/>
  <c r="Q371" i="5"/>
  <c r="O371" i="5"/>
  <c r="O370" i="5"/>
  <c r="Q370" i="5"/>
  <c r="Q369" i="5"/>
  <c r="O369" i="5"/>
  <c r="Q368" i="5"/>
  <c r="O368" i="5"/>
  <c r="O367" i="5"/>
  <c r="Q367" i="5"/>
  <c r="O366" i="5"/>
  <c r="Q366" i="5"/>
  <c r="O365" i="5"/>
  <c r="Q365" i="5"/>
  <c r="Q364" i="5"/>
  <c r="O364" i="5"/>
  <c r="Q363" i="5"/>
  <c r="O363" i="5"/>
  <c r="Q362" i="5"/>
  <c r="O362" i="5"/>
  <c r="Q361" i="5"/>
  <c r="O361" i="5"/>
  <c r="Q360" i="5"/>
  <c r="O360" i="5"/>
  <c r="Q359" i="5"/>
  <c r="O359" i="5"/>
  <c r="O358" i="5"/>
  <c r="Q358" i="5"/>
  <c r="Q357" i="5"/>
  <c r="O357" i="5"/>
  <c r="Q356" i="5"/>
  <c r="O356" i="5"/>
  <c r="O355" i="5"/>
  <c r="Q355" i="5"/>
  <c r="Q354" i="5"/>
  <c r="O354" i="5"/>
  <c r="O353" i="5"/>
  <c r="Q353" i="5"/>
  <c r="Q352" i="5"/>
  <c r="O352" i="5"/>
  <c r="O351" i="5"/>
  <c r="Q351" i="5"/>
  <c r="Q350" i="5"/>
  <c r="O350" i="5"/>
  <c r="Q349" i="5"/>
  <c r="O349" i="5"/>
  <c r="Q348" i="5"/>
  <c r="O348" i="5"/>
  <c r="Q347" i="5"/>
  <c r="O347" i="5"/>
  <c r="Q346" i="5"/>
  <c r="O346" i="5"/>
  <c r="Q345" i="5"/>
  <c r="O345" i="5"/>
  <c r="O344" i="5"/>
  <c r="Q344" i="5"/>
  <c r="O343" i="5"/>
  <c r="Q343" i="5"/>
  <c r="Q342" i="5"/>
  <c r="O342" i="5"/>
  <c r="Q341" i="5"/>
  <c r="O341" i="5"/>
  <c r="Q340" i="5"/>
  <c r="O340" i="5"/>
  <c r="O339" i="5"/>
  <c r="Q339" i="5"/>
  <c r="O338" i="5"/>
  <c r="Q338" i="5"/>
  <c r="Q337" i="5"/>
  <c r="O337" i="5"/>
  <c r="Q336" i="5"/>
  <c r="O336" i="5"/>
  <c r="Q335" i="5"/>
  <c r="O335" i="5"/>
  <c r="Q334" i="5"/>
  <c r="O334" i="5"/>
  <c r="Q333" i="5"/>
  <c r="O333" i="5"/>
  <c r="Q332" i="5"/>
  <c r="O332" i="5"/>
  <c r="Q331" i="5"/>
  <c r="O331" i="5"/>
  <c r="Q330" i="5"/>
  <c r="O330" i="5"/>
  <c r="Q329" i="5"/>
  <c r="O329" i="5"/>
  <c r="Q328" i="5"/>
  <c r="O328" i="5"/>
  <c r="Q327" i="5"/>
  <c r="O327" i="5"/>
  <c r="Q326" i="5"/>
  <c r="O326" i="5"/>
  <c r="O325" i="5"/>
  <c r="Q325" i="5"/>
  <c r="Q324" i="5"/>
  <c r="O324" i="5"/>
  <c r="O323" i="5"/>
  <c r="Q323" i="5"/>
  <c r="Q322" i="5"/>
  <c r="O322" i="5"/>
  <c r="Q321" i="5"/>
  <c r="O321" i="5"/>
  <c r="Q320" i="5"/>
  <c r="O320" i="5"/>
  <c r="Q319" i="5"/>
  <c r="O319" i="5"/>
  <c r="O318" i="5"/>
  <c r="Q318" i="5"/>
  <c r="Q317" i="5"/>
  <c r="O317" i="5"/>
  <c r="O316" i="5"/>
  <c r="Q316" i="5"/>
  <c r="O315" i="5"/>
  <c r="Q315" i="5"/>
  <c r="Q314" i="5"/>
  <c r="O314" i="5"/>
  <c r="Q313" i="5"/>
  <c r="O313" i="5"/>
  <c r="Q312" i="5"/>
  <c r="O312" i="5"/>
  <c r="O311" i="5"/>
  <c r="Q311" i="5"/>
  <c r="O310" i="5"/>
  <c r="Q310" i="5"/>
  <c r="Q309" i="5"/>
  <c r="O309" i="5"/>
  <c r="Q308" i="5"/>
  <c r="O308" i="5"/>
  <c r="O307" i="5"/>
  <c r="Q307" i="5"/>
  <c r="Q306" i="5"/>
  <c r="O306" i="5"/>
  <c r="Q305" i="5"/>
  <c r="O305" i="5"/>
  <c r="Q304" i="5"/>
  <c r="O304" i="5"/>
  <c r="Q303" i="5"/>
  <c r="O303" i="5"/>
  <c r="Q302" i="5"/>
  <c r="O302" i="5"/>
  <c r="O301" i="5"/>
  <c r="Q301" i="5"/>
  <c r="Q300" i="5"/>
  <c r="O300" i="5"/>
  <c r="Q299" i="5"/>
  <c r="O299" i="5"/>
  <c r="Q298" i="5"/>
  <c r="O298" i="5"/>
  <c r="Q297" i="5"/>
  <c r="O297" i="5"/>
  <c r="Q296" i="5"/>
  <c r="O296" i="5"/>
  <c r="Q295" i="5"/>
  <c r="O295" i="5"/>
  <c r="Q294" i="5"/>
  <c r="O294" i="5"/>
  <c r="Q293" i="5"/>
  <c r="O293" i="5"/>
  <c r="Q292" i="5"/>
  <c r="O292" i="5"/>
  <c r="O291" i="5"/>
  <c r="Q291" i="5"/>
  <c r="O290" i="5"/>
  <c r="Q290" i="5"/>
  <c r="O289" i="5"/>
  <c r="Q289" i="5"/>
  <c r="O288" i="5"/>
  <c r="Q288" i="5"/>
  <c r="Q287" i="5"/>
  <c r="O287" i="5"/>
  <c r="Q286" i="5"/>
  <c r="O286" i="5"/>
  <c r="Q285" i="5"/>
  <c r="O285" i="5"/>
  <c r="Q284" i="5"/>
  <c r="O284" i="5"/>
  <c r="Q283" i="5"/>
  <c r="O283" i="5"/>
  <c r="Q282" i="5"/>
  <c r="O282" i="5"/>
  <c r="Q281" i="5"/>
  <c r="O281" i="5"/>
  <c r="Q280" i="5"/>
  <c r="O280" i="5"/>
  <c r="Q279" i="5"/>
  <c r="O279" i="5"/>
  <c r="Q278" i="5"/>
  <c r="O278" i="5"/>
  <c r="Q277" i="5"/>
  <c r="O277" i="5"/>
  <c r="Q276" i="5"/>
  <c r="O276" i="5"/>
  <c r="Q275" i="5"/>
  <c r="O275" i="5"/>
  <c r="O274" i="5"/>
  <c r="Q274" i="5"/>
  <c r="Q273" i="5"/>
  <c r="O273" i="5"/>
  <c r="Q272" i="5"/>
  <c r="O272" i="5"/>
  <c r="Q271" i="5"/>
  <c r="O271" i="5"/>
  <c r="O270" i="5"/>
  <c r="Q270" i="5"/>
  <c r="Q269" i="5"/>
  <c r="O269" i="5"/>
  <c r="Q268" i="5"/>
  <c r="O268" i="5"/>
  <c r="Q267" i="5"/>
  <c r="O267" i="5"/>
  <c r="Q266" i="5"/>
  <c r="O266" i="5"/>
  <c r="Q265" i="5"/>
  <c r="O265" i="5"/>
  <c r="Q264" i="5"/>
  <c r="O264" i="5"/>
  <c r="Q263" i="5"/>
  <c r="O263" i="5"/>
  <c r="Q262" i="5"/>
  <c r="O262" i="5"/>
  <c r="O261" i="5"/>
  <c r="Q261" i="5"/>
  <c r="Q260" i="5"/>
  <c r="O260" i="5"/>
  <c r="O259" i="5"/>
  <c r="Q259" i="5"/>
  <c r="Q258" i="5"/>
  <c r="O258" i="5"/>
  <c r="Q257" i="5"/>
  <c r="O257" i="5"/>
  <c r="O256" i="5"/>
  <c r="Q256" i="5"/>
  <c r="Q255" i="5"/>
  <c r="O255" i="5"/>
  <c r="Q254" i="5"/>
  <c r="O254" i="5"/>
  <c r="Q253" i="5"/>
  <c r="O253" i="5"/>
  <c r="Q252" i="5"/>
  <c r="O252" i="5"/>
  <c r="O251" i="5"/>
  <c r="Q251" i="5"/>
  <c r="O250" i="5"/>
  <c r="Q250" i="5"/>
  <c r="O249" i="5"/>
  <c r="Q249" i="5"/>
  <c r="Q248" i="5"/>
  <c r="O248" i="5"/>
  <c r="Q247" i="5"/>
  <c r="O247" i="5"/>
  <c r="O246" i="5"/>
  <c r="Q246" i="5"/>
  <c r="Q245" i="5"/>
  <c r="O245" i="5"/>
  <c r="Q244" i="5"/>
  <c r="O244" i="5"/>
  <c r="Q243" i="5"/>
  <c r="O243" i="5"/>
  <c r="O242" i="5"/>
  <c r="Q242" i="5"/>
  <c r="Q241" i="5"/>
  <c r="O241" i="5"/>
  <c r="Q240" i="5"/>
  <c r="O240" i="5"/>
  <c r="Q239" i="5"/>
  <c r="O239" i="5"/>
  <c r="O238" i="5"/>
  <c r="Q238" i="5"/>
  <c r="Q237" i="5"/>
  <c r="O237" i="5"/>
  <c r="Q236" i="5"/>
  <c r="O236" i="5"/>
  <c r="Q235" i="5"/>
  <c r="O235" i="5"/>
  <c r="Q234" i="5"/>
  <c r="O234" i="5"/>
  <c r="Q233" i="5"/>
  <c r="O233" i="5"/>
  <c r="Q232" i="5"/>
  <c r="O232" i="5"/>
  <c r="Q231" i="5"/>
  <c r="O231" i="5"/>
  <c r="Q230" i="5"/>
  <c r="O230" i="5"/>
  <c r="O229" i="5"/>
  <c r="Q229" i="5"/>
  <c r="Q228" i="5"/>
  <c r="O228" i="5"/>
  <c r="O227" i="5"/>
  <c r="Q227" i="5"/>
  <c r="Q226" i="5"/>
  <c r="O226" i="5"/>
  <c r="Q225" i="5"/>
  <c r="O225" i="5"/>
  <c r="Q224" i="5"/>
  <c r="O224" i="5"/>
  <c r="Q223" i="5"/>
  <c r="O223" i="5"/>
  <c r="O222" i="5"/>
  <c r="Q222" i="5"/>
  <c r="Q221" i="5"/>
  <c r="O221" i="5"/>
  <c r="Q220" i="5"/>
  <c r="O220" i="5"/>
  <c r="Q219" i="5"/>
  <c r="O219" i="5"/>
  <c r="O218" i="5"/>
  <c r="Q218" i="5"/>
  <c r="O217" i="5"/>
  <c r="Q217" i="5"/>
  <c r="Q216" i="5"/>
  <c r="O216" i="5"/>
  <c r="O215" i="5"/>
  <c r="Q215" i="5"/>
  <c r="Q214" i="5"/>
  <c r="O214" i="5"/>
  <c r="Q213" i="5"/>
  <c r="O213" i="5"/>
  <c r="Q212" i="5"/>
  <c r="O212" i="5"/>
  <c r="Q211" i="5"/>
  <c r="O211" i="5"/>
  <c r="Q210" i="5"/>
  <c r="O210" i="5"/>
  <c r="Q209" i="5"/>
  <c r="O209" i="5"/>
  <c r="O208" i="5"/>
  <c r="Q208" i="5"/>
  <c r="Q207" i="5"/>
  <c r="O207" i="5"/>
  <c r="Q206" i="5"/>
  <c r="O206" i="5"/>
  <c r="Q205" i="5"/>
  <c r="O205" i="5"/>
  <c r="Q204" i="5"/>
  <c r="O204" i="5"/>
  <c r="Q203" i="5"/>
  <c r="O203" i="5"/>
  <c r="Q202" i="5"/>
  <c r="O202" i="5"/>
  <c r="O201" i="5"/>
  <c r="Q201" i="5"/>
  <c r="Q200" i="5"/>
  <c r="O200" i="5"/>
  <c r="Q199" i="5"/>
  <c r="O199" i="5"/>
  <c r="Q198" i="5"/>
  <c r="O198" i="5"/>
  <c r="Q197" i="5"/>
  <c r="O197" i="5"/>
  <c r="Q196" i="5"/>
  <c r="O196" i="5"/>
  <c r="Q195" i="5"/>
  <c r="O195" i="5"/>
  <c r="O194" i="5"/>
  <c r="Q194" i="5"/>
  <c r="Q193" i="5"/>
  <c r="O193" i="5"/>
  <c r="O192" i="5"/>
  <c r="Q192" i="5"/>
  <c r="O191" i="5"/>
  <c r="Q191" i="5"/>
  <c r="Q190" i="5"/>
  <c r="O190" i="5"/>
  <c r="Q189" i="5"/>
  <c r="O189" i="5"/>
  <c r="O188" i="5"/>
  <c r="Q188" i="5"/>
  <c r="Q187" i="5"/>
  <c r="O187" i="5"/>
  <c r="Q186" i="5"/>
  <c r="O186" i="5"/>
  <c r="Q185" i="5"/>
  <c r="O185" i="5"/>
  <c r="Q184" i="5"/>
  <c r="O184" i="5"/>
  <c r="Q183" i="5"/>
  <c r="O183" i="5"/>
  <c r="O182" i="5"/>
  <c r="Q182" i="5"/>
  <c r="O181" i="5"/>
  <c r="Q181" i="5"/>
  <c r="O180" i="5"/>
  <c r="Q180" i="5"/>
  <c r="O179" i="5"/>
  <c r="Q179" i="5"/>
  <c r="Q178" i="5"/>
  <c r="O178" i="5"/>
  <c r="Q177" i="5"/>
  <c r="O177" i="5"/>
  <c r="Q176" i="5"/>
  <c r="O176" i="5"/>
  <c r="Q175" i="5"/>
  <c r="O175" i="5"/>
  <c r="Q174" i="5"/>
  <c r="O174" i="5"/>
  <c r="Q173" i="5"/>
  <c r="O173" i="5"/>
  <c r="Q172" i="5"/>
  <c r="O172" i="5"/>
  <c r="Q171" i="5"/>
  <c r="O171" i="5"/>
  <c r="Q170" i="5"/>
  <c r="O170" i="5"/>
  <c r="Q169" i="5"/>
  <c r="O169" i="5"/>
  <c r="Q168" i="5"/>
  <c r="O168" i="5"/>
  <c r="O167" i="5"/>
  <c r="Q167" i="5"/>
  <c r="Q166" i="5"/>
  <c r="O166" i="5"/>
  <c r="O165" i="5"/>
  <c r="Q165" i="5"/>
  <c r="Q164" i="5"/>
  <c r="O164" i="5"/>
  <c r="Q163" i="5"/>
  <c r="O163" i="5"/>
  <c r="Q162" i="5"/>
  <c r="O162" i="5"/>
  <c r="Q161" i="5"/>
  <c r="O161" i="5"/>
  <c r="Q160" i="5"/>
  <c r="O160" i="5"/>
  <c r="O159" i="5"/>
  <c r="Q159" i="5"/>
  <c r="Q158" i="5"/>
  <c r="O158" i="5"/>
  <c r="Q157" i="5"/>
  <c r="O157" i="5"/>
  <c r="Q156" i="5"/>
  <c r="O156" i="5"/>
  <c r="Q155" i="5"/>
  <c r="O155" i="5"/>
  <c r="Q154" i="5"/>
  <c r="O154" i="5"/>
  <c r="Q153" i="5"/>
  <c r="O153" i="5"/>
  <c r="Q152" i="5"/>
  <c r="O152" i="5"/>
  <c r="O151" i="5"/>
  <c r="Q151" i="5"/>
  <c r="Q150" i="5"/>
  <c r="O150" i="5"/>
  <c r="Q149" i="5"/>
  <c r="O149" i="5"/>
  <c r="Q148" i="5"/>
  <c r="O148" i="5"/>
  <c r="Q147" i="5"/>
  <c r="O147" i="5"/>
  <c r="Q146" i="5"/>
  <c r="O146" i="5"/>
  <c r="O145" i="5"/>
  <c r="Q145" i="5"/>
  <c r="Q144" i="5"/>
  <c r="O144" i="5"/>
  <c r="O143" i="5"/>
  <c r="Q143" i="5"/>
  <c r="O142" i="5"/>
  <c r="Q142" i="5"/>
  <c r="Q141" i="5"/>
  <c r="O141" i="5"/>
  <c r="O140" i="5"/>
  <c r="Q140" i="5"/>
  <c r="O139" i="5"/>
  <c r="Q139" i="5"/>
  <c r="Q138" i="5"/>
  <c r="O138" i="5"/>
  <c r="Q137" i="5"/>
  <c r="O137" i="5"/>
  <c r="Q136" i="5"/>
  <c r="O136" i="5"/>
  <c r="Q135" i="5"/>
  <c r="O135" i="5"/>
  <c r="Q134" i="5"/>
  <c r="O134" i="5"/>
  <c r="Q133" i="5"/>
  <c r="O133" i="5"/>
  <c r="O132" i="5"/>
  <c r="Q132" i="5"/>
  <c r="Q131" i="5"/>
  <c r="O131" i="5"/>
  <c r="Q130" i="5"/>
  <c r="O130" i="5"/>
  <c r="Q129" i="5"/>
  <c r="O129" i="5"/>
  <c r="Q128" i="5"/>
  <c r="O128" i="5"/>
  <c r="Q127" i="5"/>
  <c r="O127" i="5"/>
  <c r="Q126" i="5"/>
  <c r="O126" i="5"/>
  <c r="Q125" i="5"/>
  <c r="O125" i="5"/>
  <c r="Q124" i="5"/>
  <c r="O124" i="5"/>
  <c r="O123" i="5"/>
  <c r="Q123" i="5"/>
  <c r="Q122" i="5"/>
  <c r="O122" i="5"/>
  <c r="Q121" i="5"/>
  <c r="O121" i="5"/>
  <c r="Q120" i="5"/>
  <c r="O120" i="5"/>
  <c r="Q119" i="5"/>
  <c r="O119" i="5"/>
  <c r="Q118" i="5"/>
  <c r="O118" i="5"/>
  <c r="Q117" i="5"/>
  <c r="O117" i="5"/>
  <c r="Q116" i="5"/>
  <c r="O116" i="5"/>
  <c r="O115" i="5"/>
  <c r="Q115" i="5"/>
  <c r="Q114" i="5"/>
  <c r="O114" i="5"/>
  <c r="Q113" i="5"/>
  <c r="O113" i="5"/>
  <c r="O112" i="5"/>
  <c r="Q112" i="5"/>
  <c r="Q111" i="5"/>
  <c r="O111" i="5"/>
  <c r="O110" i="5"/>
  <c r="Q110" i="5"/>
  <c r="Q109" i="5"/>
  <c r="O109" i="5"/>
  <c r="O108" i="5"/>
  <c r="Q108" i="5"/>
  <c r="Q107" i="5"/>
  <c r="O107" i="5"/>
  <c r="Q106" i="5"/>
  <c r="O106" i="5"/>
  <c r="O105" i="5"/>
  <c r="Q105" i="5"/>
  <c r="Q104" i="5"/>
  <c r="O104" i="5"/>
  <c r="Q103" i="5"/>
  <c r="O103" i="5"/>
  <c r="Q102" i="5"/>
  <c r="O102" i="5"/>
  <c r="Q101" i="5"/>
  <c r="O101" i="5"/>
  <c r="Q100" i="5"/>
  <c r="O100" i="5"/>
  <c r="Q99" i="5"/>
  <c r="O99" i="5"/>
  <c r="Q98" i="5"/>
  <c r="O98" i="5"/>
  <c r="Q97" i="5"/>
  <c r="O97" i="5"/>
  <c r="Q96" i="5"/>
  <c r="O96" i="5"/>
  <c r="Q95" i="5"/>
  <c r="O95" i="5"/>
  <c r="Q94" i="5"/>
  <c r="O94" i="5"/>
  <c r="O93" i="5"/>
  <c r="Q93" i="5"/>
  <c r="O92" i="5"/>
  <c r="Q92" i="5"/>
  <c r="O91" i="5"/>
  <c r="Q91" i="5"/>
  <c r="O90" i="5"/>
  <c r="Q90" i="5"/>
  <c r="Q89" i="5"/>
  <c r="O89" i="5"/>
  <c r="Q88" i="5"/>
  <c r="O88" i="5"/>
  <c r="Q87" i="5"/>
  <c r="O87" i="5"/>
  <c r="Q86" i="5"/>
  <c r="O86" i="5"/>
  <c r="O85" i="5"/>
  <c r="Q85" i="5"/>
  <c r="Q84" i="5"/>
  <c r="O84" i="5"/>
  <c r="Q83" i="5"/>
  <c r="O83" i="5"/>
  <c r="Q82" i="5"/>
  <c r="O82" i="5"/>
  <c r="Q81" i="5"/>
  <c r="O81" i="5"/>
  <c r="Q80" i="5"/>
  <c r="O80" i="5"/>
  <c r="Q79" i="5"/>
  <c r="O79" i="5"/>
  <c r="O78" i="5"/>
  <c r="Q78" i="5"/>
  <c r="Q77" i="5"/>
  <c r="O77" i="5"/>
  <c r="O76" i="5"/>
  <c r="Q76" i="5"/>
  <c r="Q75" i="5"/>
  <c r="O75" i="5"/>
  <c r="Q74" i="5"/>
  <c r="O74" i="5"/>
  <c r="Q73" i="5"/>
  <c r="O73" i="5"/>
  <c r="Q72" i="5"/>
  <c r="O72" i="5"/>
  <c r="Q71" i="5"/>
  <c r="O71" i="5"/>
  <c r="Q70" i="5"/>
  <c r="O70" i="5"/>
  <c r="Q69" i="5"/>
  <c r="O69" i="5"/>
  <c r="O68" i="5"/>
  <c r="Q68" i="5"/>
  <c r="Q67" i="5"/>
  <c r="O67" i="5"/>
  <c r="Q66" i="5"/>
  <c r="O66" i="5"/>
  <c r="O65" i="5"/>
  <c r="Q65" i="5"/>
  <c r="Q64" i="5"/>
  <c r="O64" i="5"/>
  <c r="Q63" i="5"/>
  <c r="O63" i="5"/>
  <c r="Q62" i="5"/>
  <c r="O62" i="5"/>
  <c r="Q61" i="5"/>
  <c r="O61" i="5"/>
  <c r="Q60" i="5"/>
  <c r="O60" i="5"/>
  <c r="Q59" i="5"/>
  <c r="O59" i="5"/>
  <c r="Q58" i="5"/>
  <c r="O58" i="5"/>
  <c r="Q57" i="5"/>
  <c r="O57" i="5"/>
  <c r="Q56" i="5"/>
  <c r="O56" i="5"/>
  <c r="Q55" i="5"/>
  <c r="O55" i="5"/>
  <c r="Q54" i="5"/>
  <c r="O54" i="5"/>
  <c r="Q53" i="5"/>
  <c r="O53" i="5"/>
  <c r="Q52" i="5"/>
  <c r="O52" i="5"/>
  <c r="Q51" i="5"/>
  <c r="O51" i="5"/>
  <c r="O50" i="5"/>
  <c r="Q50" i="5"/>
  <c r="Q49" i="5"/>
  <c r="O49" i="5"/>
  <c r="Q48" i="5"/>
  <c r="O48" i="5"/>
  <c r="O47" i="5"/>
  <c r="Q47" i="5"/>
  <c r="Q46" i="5"/>
  <c r="O46" i="5"/>
  <c r="O45" i="5"/>
  <c r="Q45" i="5"/>
  <c r="Q44" i="5"/>
  <c r="O44" i="5"/>
  <c r="Q43" i="5"/>
  <c r="O43" i="5"/>
  <c r="Q42" i="5"/>
  <c r="O42" i="5"/>
  <c r="Q41" i="5"/>
  <c r="O41" i="5"/>
  <c r="Q40" i="5"/>
  <c r="O40" i="5"/>
  <c r="Q39" i="5"/>
  <c r="O39" i="5"/>
  <c r="O38" i="5"/>
  <c r="Q38" i="5"/>
  <c r="Q37" i="5"/>
  <c r="O37" i="5"/>
  <c r="Q36" i="5"/>
  <c r="O36" i="5"/>
  <c r="Q35" i="5"/>
  <c r="O35" i="5"/>
  <c r="Q34" i="5"/>
  <c r="O34" i="5"/>
  <c r="Q33" i="5"/>
  <c r="O33" i="5"/>
  <c r="Q32" i="5"/>
  <c r="O32" i="5"/>
  <c r="Q31" i="5"/>
  <c r="O31" i="5"/>
  <c r="Q30" i="5"/>
  <c r="O30" i="5"/>
  <c r="Q29" i="5"/>
  <c r="O29" i="5"/>
  <c r="Q28" i="5"/>
  <c r="O28" i="5"/>
  <c r="Q27" i="5"/>
  <c r="O27" i="5"/>
  <c r="Q26" i="5"/>
  <c r="O26" i="5"/>
  <c r="O25" i="5"/>
  <c r="Q25" i="5"/>
  <c r="Q24" i="5"/>
  <c r="O24" i="5"/>
  <c r="Q23" i="5"/>
  <c r="O23" i="5"/>
  <c r="Q22" i="5"/>
  <c r="O22" i="5"/>
  <c r="Q21" i="5"/>
  <c r="O21" i="5"/>
  <c r="Q20" i="5"/>
  <c r="O20" i="5"/>
  <c r="Q19" i="5"/>
  <c r="O19" i="5"/>
  <c r="Q18" i="5"/>
  <c r="O18" i="5"/>
  <c r="Q17" i="5"/>
  <c r="O17" i="5"/>
  <c r="O16" i="5"/>
  <c r="Q16" i="5"/>
  <c r="O15" i="5"/>
  <c r="Q15" i="5"/>
  <c r="Q14" i="5"/>
  <c r="O14" i="5"/>
  <c r="Q13" i="5"/>
  <c r="O13" i="5"/>
  <c r="Q12" i="5"/>
  <c r="O12" i="5"/>
  <c r="Q11" i="5"/>
  <c r="O11" i="5"/>
  <c r="Q10" i="5"/>
  <c r="O10" i="5"/>
  <c r="Q9" i="5"/>
  <c r="O9" i="5"/>
  <c r="O8" i="5"/>
  <c r="Q8" i="5"/>
  <c r="Y8" i="5"/>
  <c r="O7" i="5"/>
  <c r="X8" i="5"/>
  <c r="Q7" i="5"/>
  <c r="Q6" i="5"/>
  <c r="X7" i="5"/>
  <c r="Y7" i="5"/>
  <c r="O6" i="5"/>
  <c r="Y5" i="5"/>
  <c r="X5" i="5"/>
  <c r="O4" i="5"/>
  <c r="Q4" i="5"/>
  <c r="O2" i="5"/>
  <c r="P2" i="5" s="1"/>
  <c r="Q3" i="5"/>
  <c r="O3" i="5"/>
  <c r="P3" i="5" s="1"/>
  <c r="Q2" i="5"/>
  <c r="R2" i="5" s="1"/>
  <c r="X4" i="5"/>
  <c r="Y4" i="5"/>
  <c r="Y3" i="5"/>
  <c r="X3" i="5"/>
  <c r="Y2" i="5"/>
  <c r="X2" i="5"/>
  <c r="Y6" i="5"/>
  <c r="X6" i="5"/>
  <c r="O5" i="5"/>
  <c r="Q5" i="5"/>
  <c r="BS101" i="6"/>
  <c r="CA101" i="6" s="1"/>
  <c r="CI101" i="6" l="1"/>
  <c r="CB101" i="6" s="1"/>
  <c r="AG102" i="6"/>
  <c r="CJ101" i="6"/>
  <c r="CC101" i="6" s="1"/>
  <c r="AH102" i="6"/>
  <c r="P4" i="5"/>
  <c r="P5" i="5" s="1"/>
  <c r="P6" i="5" s="1"/>
  <c r="P7" i="5" s="1"/>
  <c r="P8" i="5" s="1"/>
  <c r="P9" i="5" s="1"/>
  <c r="R3" i="5"/>
  <c r="R4" i="5" s="1"/>
  <c r="R5" i="5" s="1"/>
  <c r="R6" i="5" s="1"/>
  <c r="R7" i="5" s="1"/>
  <c r="R8" i="5" s="1"/>
  <c r="R9" i="5" s="1"/>
  <c r="R10" i="5" s="1"/>
  <c r="R11" i="5" s="1"/>
  <c r="R12" i="5" s="1"/>
  <c r="P10" i="5" l="1"/>
  <c r="Y9" i="5"/>
  <c r="Q102" i="6"/>
  <c r="R102" i="6" s="1"/>
  <c r="S102" i="6" s="1"/>
  <c r="AO102" i="6"/>
  <c r="AI102" i="6"/>
  <c r="CK101" i="6"/>
  <c r="CD101" i="6" s="1"/>
  <c r="AP102" i="6"/>
  <c r="Y12" i="5"/>
  <c r="R13" i="5"/>
  <c r="Y10" i="5" l="1"/>
  <c r="P11" i="5"/>
  <c r="AQ102" i="6"/>
  <c r="AJ102" i="6"/>
  <c r="CL101" i="6"/>
  <c r="CE101" i="6" s="1"/>
  <c r="Y13" i="5"/>
  <c r="R14" i="5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  <c r="R122" i="5" s="1"/>
  <c r="R123" i="5" s="1"/>
  <c r="R124" i="5" s="1"/>
  <c r="R125" i="5" s="1"/>
  <c r="R126" i="5" s="1"/>
  <c r="R127" i="5" s="1"/>
  <c r="R128" i="5" s="1"/>
  <c r="R129" i="5" s="1"/>
  <c r="R130" i="5" s="1"/>
  <c r="R131" i="5" s="1"/>
  <c r="R132" i="5" s="1"/>
  <c r="R133" i="5" s="1"/>
  <c r="R134" i="5" s="1"/>
  <c r="R135" i="5" s="1"/>
  <c r="R136" i="5" s="1"/>
  <c r="R137" i="5" s="1"/>
  <c r="R138" i="5" s="1"/>
  <c r="R139" i="5" s="1"/>
  <c r="R140" i="5" s="1"/>
  <c r="R141" i="5" s="1"/>
  <c r="R142" i="5" s="1"/>
  <c r="R143" i="5" s="1"/>
  <c r="R144" i="5" s="1"/>
  <c r="R145" i="5" s="1"/>
  <c r="R146" i="5" s="1"/>
  <c r="R147" i="5" s="1"/>
  <c r="R148" i="5" s="1"/>
  <c r="R149" i="5" s="1"/>
  <c r="R150" i="5" s="1"/>
  <c r="R151" i="5" s="1"/>
  <c r="R152" i="5" s="1"/>
  <c r="R153" i="5" s="1"/>
  <c r="R154" i="5" s="1"/>
  <c r="R155" i="5" s="1"/>
  <c r="R156" i="5" s="1"/>
  <c r="R157" i="5" s="1"/>
  <c r="R158" i="5" s="1"/>
  <c r="R159" i="5" s="1"/>
  <c r="R160" i="5" s="1"/>
  <c r="R161" i="5" s="1"/>
  <c r="R162" i="5" s="1"/>
  <c r="R163" i="5" s="1"/>
  <c r="R164" i="5" s="1"/>
  <c r="R165" i="5" s="1"/>
  <c r="R166" i="5" s="1"/>
  <c r="R167" i="5" s="1"/>
  <c r="R168" i="5" s="1"/>
  <c r="R169" i="5" s="1"/>
  <c r="R170" i="5" s="1"/>
  <c r="R171" i="5" s="1"/>
  <c r="R172" i="5" s="1"/>
  <c r="R173" i="5" s="1"/>
  <c r="R174" i="5" s="1"/>
  <c r="R175" i="5" s="1"/>
  <c r="R176" i="5" s="1"/>
  <c r="R177" i="5" s="1"/>
  <c r="R178" i="5" s="1"/>
  <c r="R179" i="5" s="1"/>
  <c r="R180" i="5" s="1"/>
  <c r="R181" i="5" s="1"/>
  <c r="R182" i="5" s="1"/>
  <c r="R183" i="5" s="1"/>
  <c r="R184" i="5" s="1"/>
  <c r="R185" i="5" s="1"/>
  <c r="R186" i="5" s="1"/>
  <c r="R187" i="5" s="1"/>
  <c r="R188" i="5" s="1"/>
  <c r="R189" i="5" s="1"/>
  <c r="R190" i="5" s="1"/>
  <c r="R191" i="5" s="1"/>
  <c r="R192" i="5" s="1"/>
  <c r="R193" i="5" s="1"/>
  <c r="R194" i="5" s="1"/>
  <c r="R195" i="5" s="1"/>
  <c r="R196" i="5" s="1"/>
  <c r="R197" i="5" s="1"/>
  <c r="R198" i="5" s="1"/>
  <c r="R199" i="5" s="1"/>
  <c r="R200" i="5" s="1"/>
  <c r="R201" i="5" s="1"/>
  <c r="R202" i="5" s="1"/>
  <c r="R203" i="5" s="1"/>
  <c r="R204" i="5" s="1"/>
  <c r="R205" i="5" s="1"/>
  <c r="R206" i="5" s="1"/>
  <c r="R207" i="5" s="1"/>
  <c r="R208" i="5" s="1"/>
  <c r="R209" i="5" s="1"/>
  <c r="R210" i="5" s="1"/>
  <c r="R211" i="5" s="1"/>
  <c r="R212" i="5" s="1"/>
  <c r="R213" i="5" s="1"/>
  <c r="R214" i="5" s="1"/>
  <c r="R215" i="5" s="1"/>
  <c r="R216" i="5" s="1"/>
  <c r="R217" i="5" s="1"/>
  <c r="R218" i="5" s="1"/>
  <c r="R219" i="5" s="1"/>
  <c r="R220" i="5" s="1"/>
  <c r="R221" i="5" s="1"/>
  <c r="R222" i="5" s="1"/>
  <c r="R223" i="5" s="1"/>
  <c r="R224" i="5" s="1"/>
  <c r="R225" i="5" s="1"/>
  <c r="R226" i="5" s="1"/>
  <c r="R227" i="5" s="1"/>
  <c r="R228" i="5" s="1"/>
  <c r="R229" i="5" s="1"/>
  <c r="R230" i="5" s="1"/>
  <c r="R231" i="5" s="1"/>
  <c r="R232" i="5" s="1"/>
  <c r="R233" i="5" s="1"/>
  <c r="R234" i="5" s="1"/>
  <c r="R235" i="5" s="1"/>
  <c r="R236" i="5" s="1"/>
  <c r="R237" i="5" s="1"/>
  <c r="R238" i="5" s="1"/>
  <c r="R239" i="5" s="1"/>
  <c r="R240" i="5" s="1"/>
  <c r="R241" i="5" s="1"/>
  <c r="R242" i="5" s="1"/>
  <c r="R243" i="5" s="1"/>
  <c r="R244" i="5" s="1"/>
  <c r="R245" i="5" s="1"/>
  <c r="R246" i="5" s="1"/>
  <c r="R247" i="5" s="1"/>
  <c r="R248" i="5" s="1"/>
  <c r="R249" i="5" s="1"/>
  <c r="R250" i="5" s="1"/>
  <c r="R251" i="5" s="1"/>
  <c r="R252" i="5" s="1"/>
  <c r="R253" i="5" s="1"/>
  <c r="R254" i="5" s="1"/>
  <c r="R255" i="5" s="1"/>
  <c r="R256" i="5" s="1"/>
  <c r="R257" i="5" s="1"/>
  <c r="R258" i="5" s="1"/>
  <c r="R259" i="5" s="1"/>
  <c r="R260" i="5" s="1"/>
  <c r="R261" i="5" s="1"/>
  <c r="R262" i="5" s="1"/>
  <c r="R263" i="5" s="1"/>
  <c r="R264" i="5" s="1"/>
  <c r="R265" i="5" s="1"/>
  <c r="R266" i="5" s="1"/>
  <c r="R267" i="5" s="1"/>
  <c r="R268" i="5" s="1"/>
  <c r="R269" i="5" s="1"/>
  <c r="R270" i="5" s="1"/>
  <c r="R271" i="5" s="1"/>
  <c r="R272" i="5" s="1"/>
  <c r="R273" i="5" s="1"/>
  <c r="R274" i="5" s="1"/>
  <c r="R275" i="5" s="1"/>
  <c r="R276" i="5" s="1"/>
  <c r="R277" i="5" s="1"/>
  <c r="R278" i="5" s="1"/>
  <c r="R279" i="5" s="1"/>
  <c r="R280" i="5" s="1"/>
  <c r="R281" i="5" s="1"/>
  <c r="R282" i="5" s="1"/>
  <c r="R283" i="5" s="1"/>
  <c r="R284" i="5" s="1"/>
  <c r="R285" i="5" s="1"/>
  <c r="R286" i="5" s="1"/>
  <c r="R287" i="5" s="1"/>
  <c r="R288" i="5" s="1"/>
  <c r="R289" i="5" s="1"/>
  <c r="R290" i="5" s="1"/>
  <c r="R291" i="5" s="1"/>
  <c r="R292" i="5" s="1"/>
  <c r="R293" i="5" s="1"/>
  <c r="R294" i="5" s="1"/>
  <c r="R295" i="5" s="1"/>
  <c r="R296" i="5" s="1"/>
  <c r="R297" i="5" s="1"/>
  <c r="R298" i="5" s="1"/>
  <c r="R299" i="5" s="1"/>
  <c r="R300" i="5" s="1"/>
  <c r="R301" i="5" s="1"/>
  <c r="R302" i="5" s="1"/>
  <c r="R303" i="5" s="1"/>
  <c r="R304" i="5" s="1"/>
  <c r="R305" i="5" s="1"/>
  <c r="R306" i="5" s="1"/>
  <c r="R307" i="5" s="1"/>
  <c r="R308" i="5" s="1"/>
  <c r="R309" i="5" s="1"/>
  <c r="R310" i="5" s="1"/>
  <c r="R311" i="5" s="1"/>
  <c r="R312" i="5" s="1"/>
  <c r="R313" i="5" s="1"/>
  <c r="R314" i="5" s="1"/>
  <c r="R315" i="5" s="1"/>
  <c r="R316" i="5" s="1"/>
  <c r="R317" i="5" s="1"/>
  <c r="R318" i="5" s="1"/>
  <c r="R319" i="5" s="1"/>
  <c r="R320" i="5" s="1"/>
  <c r="R321" i="5" s="1"/>
  <c r="R322" i="5" s="1"/>
  <c r="R323" i="5" s="1"/>
  <c r="R324" i="5" s="1"/>
  <c r="R325" i="5" s="1"/>
  <c r="R326" i="5" s="1"/>
  <c r="R327" i="5" s="1"/>
  <c r="R328" i="5" s="1"/>
  <c r="R329" i="5" s="1"/>
  <c r="R330" i="5" s="1"/>
  <c r="R331" i="5" s="1"/>
  <c r="R332" i="5" s="1"/>
  <c r="R333" i="5" s="1"/>
  <c r="R334" i="5" s="1"/>
  <c r="R335" i="5" s="1"/>
  <c r="R336" i="5" s="1"/>
  <c r="R337" i="5" s="1"/>
  <c r="R338" i="5" s="1"/>
  <c r="R339" i="5" s="1"/>
  <c r="R340" i="5" s="1"/>
  <c r="R341" i="5" s="1"/>
  <c r="R342" i="5" s="1"/>
  <c r="R343" i="5" s="1"/>
  <c r="R344" i="5" s="1"/>
  <c r="R345" i="5" s="1"/>
  <c r="R346" i="5" s="1"/>
  <c r="R347" i="5" s="1"/>
  <c r="R348" i="5" s="1"/>
  <c r="R349" i="5" s="1"/>
  <c r="R350" i="5" s="1"/>
  <c r="R351" i="5" s="1"/>
  <c r="R352" i="5" s="1"/>
  <c r="R353" i="5" s="1"/>
  <c r="R354" i="5" s="1"/>
  <c r="R355" i="5" s="1"/>
  <c r="R356" i="5" s="1"/>
  <c r="R357" i="5" s="1"/>
  <c r="R358" i="5" s="1"/>
  <c r="R359" i="5" s="1"/>
  <c r="R360" i="5" s="1"/>
  <c r="R361" i="5" s="1"/>
  <c r="R362" i="5" s="1"/>
  <c r="R363" i="5" s="1"/>
  <c r="R364" i="5" s="1"/>
  <c r="R365" i="5" s="1"/>
  <c r="R366" i="5" s="1"/>
  <c r="R367" i="5" s="1"/>
  <c r="R368" i="5" s="1"/>
  <c r="R369" i="5" s="1"/>
  <c r="R370" i="5" s="1"/>
  <c r="R371" i="5" s="1"/>
  <c r="R372" i="5" s="1"/>
  <c r="R373" i="5" s="1"/>
  <c r="R374" i="5" s="1"/>
  <c r="R375" i="5" s="1"/>
  <c r="R376" i="5" s="1"/>
  <c r="R377" i="5" s="1"/>
  <c r="R378" i="5" s="1"/>
  <c r="R379" i="5" s="1"/>
  <c r="R380" i="5" s="1"/>
  <c r="R381" i="5" s="1"/>
  <c r="R382" i="5" s="1"/>
  <c r="R383" i="5" s="1"/>
  <c r="R384" i="5" s="1"/>
  <c r="R385" i="5" s="1"/>
  <c r="R386" i="5" s="1"/>
  <c r="R387" i="5" s="1"/>
  <c r="R388" i="5" s="1"/>
  <c r="R389" i="5" s="1"/>
  <c r="R390" i="5" s="1"/>
  <c r="R391" i="5" s="1"/>
  <c r="R392" i="5" s="1"/>
  <c r="R393" i="5" s="1"/>
  <c r="R394" i="5" s="1"/>
  <c r="R395" i="5" s="1"/>
  <c r="R396" i="5" s="1"/>
  <c r="R397" i="5" s="1"/>
  <c r="R398" i="5" s="1"/>
  <c r="R399" i="5" s="1"/>
  <c r="R400" i="5" s="1"/>
  <c r="R401" i="5" s="1"/>
  <c r="R402" i="5" s="1"/>
  <c r="R403" i="5" s="1"/>
  <c r="R404" i="5" s="1"/>
  <c r="R405" i="5" s="1"/>
  <c r="R406" i="5" s="1"/>
  <c r="R407" i="5" s="1"/>
  <c r="R408" i="5" s="1"/>
  <c r="R409" i="5" s="1"/>
  <c r="R410" i="5" s="1"/>
  <c r="R411" i="5" s="1"/>
  <c r="R412" i="5" s="1"/>
  <c r="R413" i="5" s="1"/>
  <c r="R414" i="5" s="1"/>
  <c r="R415" i="5" s="1"/>
  <c r="R416" i="5" s="1"/>
  <c r="R417" i="5" s="1"/>
  <c r="R418" i="5" s="1"/>
  <c r="R419" i="5" s="1"/>
  <c r="R420" i="5" s="1"/>
  <c r="R421" i="5" s="1"/>
  <c r="R422" i="5" s="1"/>
  <c r="R423" i="5" s="1"/>
  <c r="R424" i="5" s="1"/>
  <c r="R425" i="5" s="1"/>
  <c r="R426" i="5" s="1"/>
  <c r="R427" i="5" s="1"/>
  <c r="R428" i="5" s="1"/>
  <c r="R429" i="5" s="1"/>
  <c r="R430" i="5" s="1"/>
  <c r="R431" i="5" s="1"/>
  <c r="R432" i="5" s="1"/>
  <c r="R433" i="5" s="1"/>
  <c r="R434" i="5" s="1"/>
  <c r="R435" i="5" s="1"/>
  <c r="R436" i="5" s="1"/>
  <c r="R437" i="5" s="1"/>
  <c r="R438" i="5" s="1"/>
  <c r="R439" i="5" s="1"/>
  <c r="R440" i="5" s="1"/>
  <c r="R441" i="5" s="1"/>
  <c r="R442" i="5" s="1"/>
  <c r="R443" i="5" s="1"/>
  <c r="R444" i="5" s="1"/>
  <c r="R445" i="5" s="1"/>
  <c r="R446" i="5" s="1"/>
  <c r="R447" i="5" s="1"/>
  <c r="R448" i="5" s="1"/>
  <c r="R449" i="5" s="1"/>
  <c r="R450" i="5" s="1"/>
  <c r="R451" i="5" s="1"/>
  <c r="R452" i="5" s="1"/>
  <c r="R453" i="5" s="1"/>
  <c r="R454" i="5" s="1"/>
  <c r="R455" i="5" s="1"/>
  <c r="R456" i="5" s="1"/>
  <c r="R457" i="5" s="1"/>
  <c r="R458" i="5" s="1"/>
  <c r="R459" i="5" s="1"/>
  <c r="R460" i="5" s="1"/>
  <c r="R461" i="5" s="1"/>
  <c r="R462" i="5" s="1"/>
  <c r="R463" i="5" s="1"/>
  <c r="R464" i="5" s="1"/>
  <c r="R465" i="5" s="1"/>
  <c r="R466" i="5" s="1"/>
  <c r="R467" i="5" s="1"/>
  <c r="R468" i="5" s="1"/>
  <c r="R469" i="5" s="1"/>
  <c r="R470" i="5" s="1"/>
  <c r="R471" i="5" s="1"/>
  <c r="R472" i="5" s="1"/>
  <c r="R473" i="5" s="1"/>
  <c r="R474" i="5" s="1"/>
  <c r="R475" i="5" s="1"/>
  <c r="R476" i="5" s="1"/>
  <c r="R477" i="5" s="1"/>
  <c r="R478" i="5" s="1"/>
  <c r="R479" i="5" s="1"/>
  <c r="R480" i="5" s="1"/>
  <c r="R481" i="5" s="1"/>
  <c r="R482" i="5" s="1"/>
  <c r="R483" i="5" s="1"/>
  <c r="R484" i="5" s="1"/>
  <c r="R485" i="5" s="1"/>
  <c r="R486" i="5" s="1"/>
  <c r="R487" i="5" s="1"/>
  <c r="R488" i="5" s="1"/>
  <c r="R489" i="5" s="1"/>
  <c r="R490" i="5" s="1"/>
  <c r="R491" i="5" s="1"/>
  <c r="R492" i="5" s="1"/>
  <c r="R493" i="5" s="1"/>
  <c r="R494" i="5" s="1"/>
  <c r="R495" i="5" s="1"/>
  <c r="R496" i="5" s="1"/>
  <c r="R497" i="5" s="1"/>
  <c r="R498" i="5" s="1"/>
  <c r="R499" i="5" s="1"/>
  <c r="R500" i="5" s="1"/>
  <c r="R501" i="5" s="1"/>
  <c r="F28" i="5"/>
  <c r="Y11" i="5" l="1"/>
  <c r="P12" i="5"/>
  <c r="P13" i="5" s="1"/>
  <c r="P14" i="5" s="1"/>
  <c r="P15" i="5" s="1"/>
  <c r="B8" i="5"/>
  <c r="W102" i="6"/>
  <c r="Z102" i="6" s="1"/>
  <c r="AR102" i="6"/>
  <c r="AC102" i="6"/>
  <c r="AK102" i="6"/>
  <c r="CM101" i="6"/>
  <c r="CF101" i="6" s="1"/>
  <c r="Y14" i="5"/>
  <c r="S501" i="5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S2" i="5"/>
  <c r="T2" i="5" s="1"/>
  <c r="B9" i="5"/>
  <c r="AS102" i="6" l="1"/>
  <c r="CN101" i="6"/>
  <c r="CG101" i="6" s="1"/>
  <c r="AL102" i="6"/>
  <c r="P16" i="5"/>
  <c r="Y15" i="5"/>
  <c r="T3" i="5"/>
  <c r="T4" i="5" s="1"/>
  <c r="T5" i="5" s="1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l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CO101" i="6"/>
  <c r="CH101" i="6" s="1"/>
  <c r="AM102" i="6"/>
  <c r="AT102" i="6"/>
  <c r="P17" i="5"/>
  <c r="Y16" i="5"/>
  <c r="B11" i="5"/>
  <c r="CP101" i="6" l="1"/>
  <c r="T101" i="6" s="1"/>
  <c r="AN102" i="6"/>
  <c r="X102" i="6"/>
  <c r="AU102" i="6"/>
  <c r="P18" i="5"/>
  <c r="Y17" i="5"/>
  <c r="T50" i="5"/>
  <c r="T51" i="5" l="1"/>
  <c r="AV102" i="6"/>
  <c r="AW102" i="6" s="1"/>
  <c r="AA102" i="6"/>
  <c r="Y102" i="6"/>
  <c r="AB102" i="6" s="1"/>
  <c r="P19" i="5"/>
  <c r="Y18" i="5"/>
  <c r="T52" i="5" l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13" i="5" s="1"/>
  <c r="T114" i="5" s="1"/>
  <c r="T115" i="5" s="1"/>
  <c r="T116" i="5" s="1"/>
  <c r="T117" i="5" s="1"/>
  <c r="T118" i="5" s="1"/>
  <c r="T119" i="5" s="1"/>
  <c r="T120" i="5" s="1"/>
  <c r="T121" i="5" s="1"/>
  <c r="T122" i="5" s="1"/>
  <c r="T123" i="5" s="1"/>
  <c r="T124" i="5" s="1"/>
  <c r="T125" i="5" s="1"/>
  <c r="T126" i="5" s="1"/>
  <c r="T127" i="5" s="1"/>
  <c r="T128" i="5" s="1"/>
  <c r="T129" i="5" s="1"/>
  <c r="T130" i="5" s="1"/>
  <c r="T131" i="5" s="1"/>
  <c r="T132" i="5" s="1"/>
  <c r="T133" i="5" s="1"/>
  <c r="T134" i="5" s="1"/>
  <c r="T135" i="5" s="1"/>
  <c r="T136" i="5" s="1"/>
  <c r="T137" i="5" s="1"/>
  <c r="T138" i="5" s="1"/>
  <c r="T139" i="5" s="1"/>
  <c r="T140" i="5" s="1"/>
  <c r="T141" i="5" s="1"/>
  <c r="T142" i="5" s="1"/>
  <c r="T143" i="5" s="1"/>
  <c r="T144" i="5" s="1"/>
  <c r="T145" i="5" s="1"/>
  <c r="T146" i="5" s="1"/>
  <c r="T147" i="5" s="1"/>
  <c r="T148" i="5" s="1"/>
  <c r="T149" i="5" s="1"/>
  <c r="T150" i="5" s="1"/>
  <c r="T151" i="5" s="1"/>
  <c r="T152" i="5" s="1"/>
  <c r="T153" i="5" s="1"/>
  <c r="T154" i="5" s="1"/>
  <c r="T155" i="5" s="1"/>
  <c r="T156" i="5" s="1"/>
  <c r="T157" i="5" s="1"/>
  <c r="T158" i="5" s="1"/>
  <c r="T159" i="5" s="1"/>
  <c r="T160" i="5" s="1"/>
  <c r="T161" i="5" s="1"/>
  <c r="T162" i="5" s="1"/>
  <c r="T163" i="5" s="1"/>
  <c r="T164" i="5" s="1"/>
  <c r="T165" i="5" s="1"/>
  <c r="T166" i="5" s="1"/>
  <c r="T167" i="5" s="1"/>
  <c r="T168" i="5" s="1"/>
  <c r="T169" i="5" s="1"/>
  <c r="T170" i="5" s="1"/>
  <c r="T171" i="5" s="1"/>
  <c r="T172" i="5" s="1"/>
  <c r="T173" i="5" s="1"/>
  <c r="T174" i="5" s="1"/>
  <c r="T175" i="5" s="1"/>
  <c r="T176" i="5" s="1"/>
  <c r="T177" i="5" s="1"/>
  <c r="T178" i="5" s="1"/>
  <c r="T179" i="5" s="1"/>
  <c r="T180" i="5" s="1"/>
  <c r="T181" i="5" s="1"/>
  <c r="T182" i="5" s="1"/>
  <c r="T183" i="5" s="1"/>
  <c r="T184" i="5" s="1"/>
  <c r="T185" i="5" s="1"/>
  <c r="T186" i="5" s="1"/>
  <c r="T187" i="5" s="1"/>
  <c r="T188" i="5" s="1"/>
  <c r="T189" i="5" s="1"/>
  <c r="T190" i="5" s="1"/>
  <c r="T191" i="5" s="1"/>
  <c r="T192" i="5" s="1"/>
  <c r="T193" i="5" s="1"/>
  <c r="T194" i="5" s="1"/>
  <c r="T195" i="5" s="1"/>
  <c r="T196" i="5" s="1"/>
  <c r="T197" i="5" s="1"/>
  <c r="T198" i="5" s="1"/>
  <c r="T199" i="5" s="1"/>
  <c r="T200" i="5" s="1"/>
  <c r="T201" i="5" s="1"/>
  <c r="T202" i="5" s="1"/>
  <c r="T203" i="5" s="1"/>
  <c r="T204" i="5" s="1"/>
  <c r="T205" i="5" s="1"/>
  <c r="T206" i="5" s="1"/>
  <c r="T207" i="5" s="1"/>
  <c r="T208" i="5" s="1"/>
  <c r="T209" i="5" s="1"/>
  <c r="T210" i="5" s="1"/>
  <c r="T211" i="5" s="1"/>
  <c r="T212" i="5" s="1"/>
  <c r="T213" i="5" s="1"/>
  <c r="T214" i="5" s="1"/>
  <c r="T215" i="5" s="1"/>
  <c r="T216" i="5" s="1"/>
  <c r="T217" i="5" s="1"/>
  <c r="T218" i="5" s="1"/>
  <c r="T219" i="5" s="1"/>
  <c r="T220" i="5" s="1"/>
  <c r="T221" i="5" s="1"/>
  <c r="T222" i="5" s="1"/>
  <c r="T223" i="5" s="1"/>
  <c r="T224" i="5" s="1"/>
  <c r="T225" i="5" s="1"/>
  <c r="T226" i="5" s="1"/>
  <c r="T227" i="5" s="1"/>
  <c r="T228" i="5" s="1"/>
  <c r="T229" i="5" s="1"/>
  <c r="T230" i="5" s="1"/>
  <c r="T231" i="5" s="1"/>
  <c r="T232" i="5" s="1"/>
  <c r="T233" i="5" s="1"/>
  <c r="T234" i="5" s="1"/>
  <c r="T235" i="5" s="1"/>
  <c r="T236" i="5" s="1"/>
  <c r="T237" i="5" s="1"/>
  <c r="T238" i="5" s="1"/>
  <c r="T239" i="5" s="1"/>
  <c r="T240" i="5" s="1"/>
  <c r="T241" i="5" s="1"/>
  <c r="T242" i="5" s="1"/>
  <c r="T243" i="5" s="1"/>
  <c r="T244" i="5" s="1"/>
  <c r="T245" i="5" s="1"/>
  <c r="T246" i="5" s="1"/>
  <c r="T247" i="5" s="1"/>
  <c r="T248" i="5" s="1"/>
  <c r="T249" i="5" s="1"/>
  <c r="T250" i="5" s="1"/>
  <c r="T251" i="5" s="1"/>
  <c r="T252" i="5" s="1"/>
  <c r="T253" i="5" s="1"/>
  <c r="T254" i="5" s="1"/>
  <c r="T255" i="5" s="1"/>
  <c r="T256" i="5" s="1"/>
  <c r="T257" i="5" s="1"/>
  <c r="T258" i="5" s="1"/>
  <c r="T259" i="5" s="1"/>
  <c r="T260" i="5" s="1"/>
  <c r="T261" i="5" s="1"/>
  <c r="T262" i="5" s="1"/>
  <c r="T263" i="5" s="1"/>
  <c r="T264" i="5" s="1"/>
  <c r="T265" i="5" s="1"/>
  <c r="T266" i="5" s="1"/>
  <c r="T267" i="5" s="1"/>
  <c r="T268" i="5" s="1"/>
  <c r="T269" i="5" s="1"/>
  <c r="T270" i="5" s="1"/>
  <c r="T271" i="5" s="1"/>
  <c r="T272" i="5" s="1"/>
  <c r="T273" i="5" s="1"/>
  <c r="T274" i="5" s="1"/>
  <c r="T275" i="5" s="1"/>
  <c r="T276" i="5" s="1"/>
  <c r="T277" i="5" s="1"/>
  <c r="T278" i="5" s="1"/>
  <c r="T279" i="5" s="1"/>
  <c r="T280" i="5" s="1"/>
  <c r="T281" i="5" s="1"/>
  <c r="T282" i="5" s="1"/>
  <c r="T283" i="5" s="1"/>
  <c r="T284" i="5" s="1"/>
  <c r="T285" i="5" s="1"/>
  <c r="T286" i="5" s="1"/>
  <c r="T287" i="5" s="1"/>
  <c r="T288" i="5" s="1"/>
  <c r="T289" i="5" s="1"/>
  <c r="T290" i="5" s="1"/>
  <c r="T291" i="5" s="1"/>
  <c r="T292" i="5" s="1"/>
  <c r="T293" i="5" s="1"/>
  <c r="T294" i="5" s="1"/>
  <c r="T295" i="5" s="1"/>
  <c r="T296" i="5" s="1"/>
  <c r="T297" i="5" s="1"/>
  <c r="T298" i="5" s="1"/>
  <c r="T299" i="5" s="1"/>
  <c r="T300" i="5" s="1"/>
  <c r="T301" i="5" s="1"/>
  <c r="T302" i="5" s="1"/>
  <c r="T303" i="5" s="1"/>
  <c r="T304" i="5" s="1"/>
  <c r="T305" i="5" s="1"/>
  <c r="T306" i="5" s="1"/>
  <c r="T307" i="5" s="1"/>
  <c r="T308" i="5" s="1"/>
  <c r="T309" i="5" s="1"/>
  <c r="T310" i="5" s="1"/>
  <c r="T311" i="5" s="1"/>
  <c r="T312" i="5" s="1"/>
  <c r="T313" i="5" s="1"/>
  <c r="T314" i="5" s="1"/>
  <c r="T315" i="5" s="1"/>
  <c r="T316" i="5" s="1"/>
  <c r="T317" i="5" s="1"/>
  <c r="T318" i="5" s="1"/>
  <c r="T319" i="5" s="1"/>
  <c r="T320" i="5" s="1"/>
  <c r="T321" i="5" s="1"/>
  <c r="T322" i="5" s="1"/>
  <c r="T323" i="5" s="1"/>
  <c r="T324" i="5" s="1"/>
  <c r="T325" i="5" s="1"/>
  <c r="T326" i="5" s="1"/>
  <c r="T327" i="5" s="1"/>
  <c r="T328" i="5" s="1"/>
  <c r="T329" i="5" s="1"/>
  <c r="T330" i="5" s="1"/>
  <c r="T331" i="5" s="1"/>
  <c r="T332" i="5" s="1"/>
  <c r="T333" i="5" s="1"/>
  <c r="T334" i="5" s="1"/>
  <c r="T335" i="5" s="1"/>
  <c r="T336" i="5" s="1"/>
  <c r="T337" i="5" s="1"/>
  <c r="T338" i="5" s="1"/>
  <c r="T339" i="5" s="1"/>
  <c r="T340" i="5" s="1"/>
  <c r="T341" i="5" s="1"/>
  <c r="T342" i="5" s="1"/>
  <c r="T343" i="5" s="1"/>
  <c r="T344" i="5" s="1"/>
  <c r="T345" i="5" s="1"/>
  <c r="T346" i="5" s="1"/>
  <c r="T347" i="5" s="1"/>
  <c r="T348" i="5" s="1"/>
  <c r="T349" i="5" s="1"/>
  <c r="T350" i="5" s="1"/>
  <c r="T351" i="5" s="1"/>
  <c r="T352" i="5" s="1"/>
  <c r="T353" i="5" s="1"/>
  <c r="T354" i="5" s="1"/>
  <c r="T355" i="5" s="1"/>
  <c r="T356" i="5" s="1"/>
  <c r="T357" i="5" s="1"/>
  <c r="T358" i="5" s="1"/>
  <c r="T359" i="5" s="1"/>
  <c r="T360" i="5" s="1"/>
  <c r="T361" i="5" s="1"/>
  <c r="T362" i="5" s="1"/>
  <c r="T363" i="5" s="1"/>
  <c r="T364" i="5" s="1"/>
  <c r="T365" i="5" s="1"/>
  <c r="T366" i="5" s="1"/>
  <c r="T367" i="5" s="1"/>
  <c r="T368" i="5" s="1"/>
  <c r="T369" i="5" s="1"/>
  <c r="T370" i="5" s="1"/>
  <c r="T371" i="5" s="1"/>
  <c r="T372" i="5" s="1"/>
  <c r="T373" i="5" s="1"/>
  <c r="T374" i="5" s="1"/>
  <c r="T375" i="5" s="1"/>
  <c r="T376" i="5" s="1"/>
  <c r="T377" i="5" s="1"/>
  <c r="T378" i="5" s="1"/>
  <c r="T379" i="5" s="1"/>
  <c r="T380" i="5" s="1"/>
  <c r="T381" i="5" s="1"/>
  <c r="T382" i="5" s="1"/>
  <c r="T383" i="5" s="1"/>
  <c r="T384" i="5" s="1"/>
  <c r="T385" i="5" s="1"/>
  <c r="T386" i="5" s="1"/>
  <c r="T387" i="5" s="1"/>
  <c r="T388" i="5" s="1"/>
  <c r="T389" i="5" s="1"/>
  <c r="T390" i="5" s="1"/>
  <c r="T391" i="5" s="1"/>
  <c r="T392" i="5" s="1"/>
  <c r="T393" i="5" s="1"/>
  <c r="T394" i="5" s="1"/>
  <c r="T395" i="5" s="1"/>
  <c r="T396" i="5" s="1"/>
  <c r="T397" i="5" s="1"/>
  <c r="T398" i="5" s="1"/>
  <c r="T399" i="5" s="1"/>
  <c r="T400" i="5" s="1"/>
  <c r="T401" i="5" s="1"/>
  <c r="T402" i="5" s="1"/>
  <c r="T403" i="5" s="1"/>
  <c r="T404" i="5" s="1"/>
  <c r="T405" i="5" s="1"/>
  <c r="T406" i="5" s="1"/>
  <c r="T407" i="5" s="1"/>
  <c r="T408" i="5" s="1"/>
  <c r="T409" i="5" s="1"/>
  <c r="T410" i="5" s="1"/>
  <c r="T411" i="5" s="1"/>
  <c r="T412" i="5" s="1"/>
  <c r="T413" i="5" s="1"/>
  <c r="T414" i="5" s="1"/>
  <c r="T415" i="5" s="1"/>
  <c r="T416" i="5" s="1"/>
  <c r="T417" i="5" s="1"/>
  <c r="T418" i="5" s="1"/>
  <c r="T419" i="5" s="1"/>
  <c r="T420" i="5" s="1"/>
  <c r="T421" i="5" s="1"/>
  <c r="T422" i="5" s="1"/>
  <c r="T423" i="5" s="1"/>
  <c r="T424" i="5" s="1"/>
  <c r="T425" i="5" s="1"/>
  <c r="T426" i="5" s="1"/>
  <c r="T427" i="5" s="1"/>
  <c r="T428" i="5" s="1"/>
  <c r="T429" i="5" s="1"/>
  <c r="T430" i="5" s="1"/>
  <c r="T431" i="5" s="1"/>
  <c r="T432" i="5" s="1"/>
  <c r="T433" i="5" s="1"/>
  <c r="T434" i="5" s="1"/>
  <c r="T435" i="5" s="1"/>
  <c r="T436" i="5" s="1"/>
  <c r="T437" i="5" s="1"/>
  <c r="T438" i="5" s="1"/>
  <c r="T439" i="5" s="1"/>
  <c r="T440" i="5" s="1"/>
  <c r="T441" i="5" s="1"/>
  <c r="T442" i="5" s="1"/>
  <c r="T443" i="5" s="1"/>
  <c r="T444" i="5" s="1"/>
  <c r="T445" i="5" s="1"/>
  <c r="T446" i="5" s="1"/>
  <c r="T447" i="5" s="1"/>
  <c r="T448" i="5" s="1"/>
  <c r="T449" i="5" s="1"/>
  <c r="T450" i="5" s="1"/>
  <c r="T451" i="5" s="1"/>
  <c r="T452" i="5" s="1"/>
  <c r="T453" i="5" s="1"/>
  <c r="T454" i="5" s="1"/>
  <c r="T455" i="5" s="1"/>
  <c r="T456" i="5" s="1"/>
  <c r="T457" i="5" s="1"/>
  <c r="T458" i="5" s="1"/>
  <c r="T459" i="5" s="1"/>
  <c r="T460" i="5" s="1"/>
  <c r="T461" i="5" s="1"/>
  <c r="T462" i="5" s="1"/>
  <c r="T463" i="5" s="1"/>
  <c r="T464" i="5" s="1"/>
  <c r="T465" i="5" s="1"/>
  <c r="T466" i="5" s="1"/>
  <c r="T467" i="5" s="1"/>
  <c r="T468" i="5" s="1"/>
  <c r="T469" i="5" s="1"/>
  <c r="T470" i="5" s="1"/>
  <c r="T471" i="5" s="1"/>
  <c r="T472" i="5" s="1"/>
  <c r="T473" i="5" s="1"/>
  <c r="T474" i="5" s="1"/>
  <c r="T475" i="5" s="1"/>
  <c r="T476" i="5" s="1"/>
  <c r="T477" i="5" s="1"/>
  <c r="T478" i="5" s="1"/>
  <c r="T479" i="5" s="1"/>
  <c r="T480" i="5" s="1"/>
  <c r="T481" i="5" s="1"/>
  <c r="T482" i="5" s="1"/>
  <c r="T483" i="5" s="1"/>
  <c r="T484" i="5" s="1"/>
  <c r="T485" i="5" s="1"/>
  <c r="T486" i="5" s="1"/>
  <c r="T487" i="5" s="1"/>
  <c r="T488" i="5" s="1"/>
  <c r="T489" i="5" s="1"/>
  <c r="T490" i="5" s="1"/>
  <c r="T491" i="5" s="1"/>
  <c r="T492" i="5" s="1"/>
  <c r="T493" i="5" s="1"/>
  <c r="T494" i="5" s="1"/>
  <c r="T495" i="5" s="1"/>
  <c r="T496" i="5" s="1"/>
  <c r="T497" i="5" s="1"/>
  <c r="T498" i="5" s="1"/>
  <c r="T499" i="5" s="1"/>
  <c r="T500" i="5" s="1"/>
  <c r="T501" i="5" s="1"/>
  <c r="B12" i="5"/>
  <c r="B14" i="5"/>
  <c r="B13" i="5"/>
  <c r="B15" i="5"/>
  <c r="F42" i="5"/>
  <c r="BB102" i="6"/>
  <c r="BM102" i="6" s="1"/>
  <c r="BF102" i="6"/>
  <c r="BQ102" i="6" s="1"/>
  <c r="AZ102" i="6"/>
  <c r="BA102" i="6"/>
  <c r="BL102" i="6" s="1"/>
  <c r="BD102" i="6"/>
  <c r="BO102" i="6" s="1"/>
  <c r="BE102" i="6"/>
  <c r="BP102" i="6" s="1"/>
  <c r="AX102" i="6"/>
  <c r="BC102" i="6"/>
  <c r="BN102" i="6" s="1"/>
  <c r="BG102" i="6"/>
  <c r="BR102" i="6" s="1"/>
  <c r="P20" i="5"/>
  <c r="Y19" i="5"/>
  <c r="U501" i="5" l="1"/>
  <c r="U500" i="5"/>
  <c r="U499" i="5"/>
  <c r="U498" i="5"/>
  <c r="U497" i="5"/>
  <c r="U496" i="5"/>
  <c r="U495" i="5"/>
  <c r="U494" i="5"/>
  <c r="U493" i="5"/>
  <c r="U492" i="5"/>
  <c r="U491" i="5"/>
  <c r="U490" i="5"/>
  <c r="U489" i="5"/>
  <c r="U488" i="5"/>
  <c r="U487" i="5"/>
  <c r="U486" i="5"/>
  <c r="U485" i="5"/>
  <c r="U484" i="5"/>
  <c r="U483" i="5"/>
  <c r="U482" i="5"/>
  <c r="U481" i="5"/>
  <c r="U480" i="5"/>
  <c r="U479" i="5"/>
  <c r="U478" i="5"/>
  <c r="U477" i="5"/>
  <c r="U476" i="5"/>
  <c r="U475" i="5"/>
  <c r="U474" i="5"/>
  <c r="U473" i="5"/>
  <c r="U472" i="5"/>
  <c r="U471" i="5"/>
  <c r="U470" i="5"/>
  <c r="U469" i="5"/>
  <c r="U468" i="5"/>
  <c r="U467" i="5"/>
  <c r="U466" i="5"/>
  <c r="U465" i="5"/>
  <c r="U464" i="5"/>
  <c r="U463" i="5"/>
  <c r="U462" i="5"/>
  <c r="U461" i="5"/>
  <c r="U460" i="5"/>
  <c r="U459" i="5"/>
  <c r="U458" i="5"/>
  <c r="U457" i="5"/>
  <c r="U456" i="5"/>
  <c r="U455" i="5"/>
  <c r="U454" i="5"/>
  <c r="U453" i="5"/>
  <c r="U452" i="5"/>
  <c r="U451" i="5"/>
  <c r="U450" i="5"/>
  <c r="U449" i="5"/>
  <c r="U448" i="5"/>
  <c r="U447" i="5"/>
  <c r="U446" i="5"/>
  <c r="U445" i="5"/>
  <c r="U444" i="5"/>
  <c r="U443" i="5"/>
  <c r="U442" i="5"/>
  <c r="U441" i="5"/>
  <c r="U434" i="5"/>
  <c r="U432" i="5"/>
  <c r="U428" i="5"/>
  <c r="U424" i="5"/>
  <c r="U419" i="5"/>
  <c r="U418" i="5"/>
  <c r="U416" i="5"/>
  <c r="U415" i="5"/>
  <c r="U414" i="5"/>
  <c r="U412" i="5"/>
  <c r="U411" i="5"/>
  <c r="U409" i="5"/>
  <c r="U408" i="5"/>
  <c r="U406" i="5"/>
  <c r="U404" i="5"/>
  <c r="U402" i="5"/>
  <c r="U400" i="5"/>
  <c r="U398" i="5"/>
  <c r="U397" i="5"/>
  <c r="U396" i="5"/>
  <c r="U395" i="5"/>
  <c r="U394" i="5"/>
  <c r="U392" i="5"/>
  <c r="U390" i="5"/>
  <c r="U388" i="5"/>
  <c r="U386" i="5"/>
  <c r="U385" i="5"/>
  <c r="U384" i="5"/>
  <c r="U383" i="5"/>
  <c r="U382" i="5"/>
  <c r="U381" i="5"/>
  <c r="U380" i="5"/>
  <c r="U379" i="5"/>
  <c r="U377" i="5"/>
  <c r="U375" i="5"/>
  <c r="U372" i="5"/>
  <c r="U371" i="5"/>
  <c r="U368" i="5"/>
  <c r="U358" i="5"/>
  <c r="U353" i="5"/>
  <c r="U341" i="5"/>
  <c r="U340" i="5"/>
  <c r="U338" i="5"/>
  <c r="U337" i="5"/>
  <c r="U334" i="5"/>
  <c r="U325" i="5"/>
  <c r="U323" i="5"/>
  <c r="U302" i="5"/>
  <c r="U295" i="5"/>
  <c r="U283" i="5"/>
  <c r="U270" i="5"/>
  <c r="U255" i="5"/>
  <c r="U254" i="5"/>
  <c r="U309" i="5"/>
  <c r="U299" i="5"/>
  <c r="U298" i="5"/>
  <c r="U297" i="5"/>
  <c r="U282" i="5"/>
  <c r="U276" i="5"/>
  <c r="U274" i="5"/>
  <c r="U345" i="5"/>
  <c r="U329" i="5"/>
  <c r="U306" i="5"/>
  <c r="U289" i="5"/>
  <c r="U260" i="5"/>
  <c r="U187" i="5"/>
  <c r="U184" i="5"/>
  <c r="U181" i="5"/>
  <c r="U178" i="5"/>
  <c r="U175" i="5"/>
  <c r="U172" i="5"/>
  <c r="U169" i="5"/>
  <c r="U166" i="5"/>
  <c r="U163" i="5"/>
  <c r="U160" i="5"/>
  <c r="U157" i="5"/>
  <c r="U154" i="5"/>
  <c r="U151" i="5"/>
  <c r="U148" i="5"/>
  <c r="U145" i="5"/>
  <c r="U142" i="5"/>
  <c r="U139" i="5"/>
  <c r="U136" i="5"/>
  <c r="U133" i="5"/>
  <c r="U130" i="5"/>
  <c r="U127" i="5"/>
  <c r="U124" i="5"/>
  <c r="U267" i="5"/>
  <c r="U265" i="5"/>
  <c r="U262" i="5"/>
  <c r="U258" i="5"/>
  <c r="U257" i="5"/>
  <c r="U327" i="5"/>
  <c r="U322" i="5"/>
  <c r="U320" i="5"/>
  <c r="U300" i="5"/>
  <c r="U285" i="5"/>
  <c r="U281" i="5"/>
  <c r="U278" i="5"/>
  <c r="U273" i="5"/>
  <c r="U272" i="5"/>
  <c r="U266" i="5"/>
  <c r="U313" i="5"/>
  <c r="U312" i="5"/>
  <c r="U311" i="5"/>
  <c r="U29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22" i="5"/>
  <c r="U119" i="5"/>
  <c r="U118" i="5"/>
  <c r="U117" i="5"/>
  <c r="U116" i="5"/>
  <c r="U115" i="5"/>
  <c r="U113" i="5"/>
  <c r="U111" i="5"/>
  <c r="U110" i="5"/>
  <c r="U109" i="5"/>
  <c r="U107" i="5"/>
  <c r="U106" i="5"/>
  <c r="U104" i="5"/>
  <c r="U100" i="5"/>
  <c r="U96" i="5"/>
  <c r="U95" i="5"/>
  <c r="U92" i="5"/>
  <c r="U91" i="5"/>
  <c r="U87" i="5"/>
  <c r="U85" i="5"/>
  <c r="U84" i="5"/>
  <c r="U82" i="5"/>
  <c r="U80" i="5"/>
  <c r="U76" i="5"/>
  <c r="U74" i="5"/>
  <c r="U73" i="5"/>
  <c r="U71" i="5"/>
  <c r="U70" i="5"/>
  <c r="U68" i="5"/>
  <c r="U67" i="5"/>
  <c r="U66" i="5"/>
  <c r="U65" i="5"/>
  <c r="U64" i="5"/>
  <c r="U63" i="5"/>
  <c r="U370" i="5"/>
  <c r="U369" i="5"/>
  <c r="U356" i="5"/>
  <c r="U354" i="5"/>
  <c r="U347" i="5"/>
  <c r="U336" i="5"/>
  <c r="U314" i="5"/>
  <c r="U296" i="5"/>
  <c r="U277" i="5"/>
  <c r="U188" i="5"/>
  <c r="U185" i="5"/>
  <c r="U182" i="5"/>
  <c r="U179" i="5"/>
  <c r="U176" i="5"/>
  <c r="U173" i="5"/>
  <c r="U170" i="5"/>
  <c r="U167" i="5"/>
  <c r="U164" i="5"/>
  <c r="U161" i="5"/>
  <c r="U158" i="5"/>
  <c r="U155" i="5"/>
  <c r="U152" i="5"/>
  <c r="U149" i="5"/>
  <c r="U146" i="5"/>
  <c r="U143" i="5"/>
  <c r="U140" i="5"/>
  <c r="U137" i="5"/>
  <c r="U134" i="5"/>
  <c r="U131" i="5"/>
  <c r="U128" i="5"/>
  <c r="U125" i="5"/>
  <c r="U121" i="5"/>
  <c r="U114" i="5"/>
  <c r="U108" i="5"/>
  <c r="U103" i="5"/>
  <c r="U101" i="5"/>
  <c r="U99" i="5"/>
  <c r="U98" i="5"/>
  <c r="U97" i="5"/>
  <c r="U93" i="5"/>
  <c r="U89" i="5"/>
  <c r="U86" i="5"/>
  <c r="U81" i="5"/>
  <c r="U78" i="5"/>
  <c r="U75" i="5"/>
  <c r="U69" i="5"/>
  <c r="U366" i="5"/>
  <c r="U361" i="5"/>
  <c r="U359" i="5"/>
  <c r="U352" i="5"/>
  <c r="U342" i="5"/>
  <c r="U331" i="5"/>
  <c r="U324" i="5"/>
  <c r="U317" i="5"/>
  <c r="U315" i="5"/>
  <c r="U301" i="5"/>
  <c r="U287" i="5"/>
  <c r="U271" i="5"/>
  <c r="U256" i="5"/>
  <c r="U348" i="5"/>
  <c r="U308" i="5"/>
  <c r="U286" i="5"/>
  <c r="U269" i="5"/>
  <c r="U261" i="5"/>
  <c r="U62" i="5"/>
  <c r="U59" i="5"/>
  <c r="U57" i="5"/>
  <c r="U55" i="5"/>
  <c r="U53" i="5"/>
  <c r="U51" i="5"/>
  <c r="U49" i="5"/>
  <c r="U47" i="5"/>
  <c r="U45" i="5"/>
  <c r="U43" i="5"/>
  <c r="U41" i="5"/>
  <c r="U39" i="5"/>
  <c r="U37" i="5"/>
  <c r="U35" i="5"/>
  <c r="U33" i="5"/>
  <c r="U31" i="5"/>
  <c r="U29" i="5"/>
  <c r="U26" i="5"/>
  <c r="U24" i="5"/>
  <c r="U23" i="5"/>
  <c r="U20" i="5"/>
  <c r="U18" i="5"/>
  <c r="U16" i="5"/>
  <c r="U14" i="5"/>
  <c r="U12" i="5"/>
  <c r="U10" i="5"/>
  <c r="U7" i="5"/>
  <c r="U4" i="5"/>
  <c r="U3" i="5"/>
  <c r="U5" i="5"/>
  <c r="U439" i="5"/>
  <c r="U437" i="5"/>
  <c r="U435" i="5"/>
  <c r="U431" i="5"/>
  <c r="U429" i="5"/>
  <c r="U426" i="5"/>
  <c r="U422" i="5"/>
  <c r="U420" i="5"/>
  <c r="U413" i="5"/>
  <c r="U407" i="5"/>
  <c r="U403" i="5"/>
  <c r="U399" i="5"/>
  <c r="U393" i="5"/>
  <c r="U389" i="5"/>
  <c r="U378" i="5"/>
  <c r="U374" i="5"/>
  <c r="U365" i="5"/>
  <c r="U363" i="5"/>
  <c r="U351" i="5"/>
  <c r="U346" i="5"/>
  <c r="U335" i="5"/>
  <c r="U332" i="5"/>
  <c r="U321" i="5"/>
  <c r="U305" i="5"/>
  <c r="U292" i="5"/>
  <c r="U280" i="5"/>
  <c r="U253" i="5"/>
  <c r="U344" i="5"/>
  <c r="U326" i="5"/>
  <c r="U303" i="5"/>
  <c r="U288" i="5"/>
  <c r="U252" i="5"/>
  <c r="U186" i="5"/>
  <c r="U183" i="5"/>
  <c r="U180" i="5"/>
  <c r="U177" i="5"/>
  <c r="U174" i="5"/>
  <c r="U171" i="5"/>
  <c r="U168" i="5"/>
  <c r="U165" i="5"/>
  <c r="U162" i="5"/>
  <c r="U159" i="5"/>
  <c r="U156" i="5"/>
  <c r="U153" i="5"/>
  <c r="U150" i="5"/>
  <c r="U147" i="5"/>
  <c r="U144" i="5"/>
  <c r="U141" i="5"/>
  <c r="U138" i="5"/>
  <c r="U135" i="5"/>
  <c r="U132" i="5"/>
  <c r="U129" i="5"/>
  <c r="U126" i="5"/>
  <c r="U123" i="5"/>
  <c r="U120" i="5"/>
  <c r="U112" i="5"/>
  <c r="U105" i="5"/>
  <c r="U102" i="5"/>
  <c r="U94" i="5"/>
  <c r="U90" i="5"/>
  <c r="U88" i="5"/>
  <c r="U83" i="5"/>
  <c r="U79" i="5"/>
  <c r="U77" i="5"/>
  <c r="U72" i="5"/>
  <c r="U367" i="5"/>
  <c r="U362" i="5"/>
  <c r="U360" i="5"/>
  <c r="U355" i="5"/>
  <c r="U350" i="5"/>
  <c r="U339" i="5"/>
  <c r="U328" i="5"/>
  <c r="U318" i="5"/>
  <c r="U316" i="5"/>
  <c r="U307" i="5"/>
  <c r="U294" i="5"/>
  <c r="U284" i="5"/>
  <c r="U263" i="5"/>
  <c r="U251" i="5"/>
  <c r="U319" i="5"/>
  <c r="U293" i="5"/>
  <c r="U275" i="5"/>
  <c r="U268" i="5"/>
  <c r="U259" i="5"/>
  <c r="U61" i="5"/>
  <c r="U60" i="5"/>
  <c r="U58" i="5"/>
  <c r="U56" i="5"/>
  <c r="U54" i="5"/>
  <c r="U52" i="5"/>
  <c r="U50" i="5"/>
  <c r="U48" i="5"/>
  <c r="U46" i="5"/>
  <c r="U44" i="5"/>
  <c r="U42" i="5"/>
  <c r="U40" i="5"/>
  <c r="U38" i="5"/>
  <c r="U36" i="5"/>
  <c r="U34" i="5"/>
  <c r="U32" i="5"/>
  <c r="U30" i="5"/>
  <c r="U28" i="5"/>
  <c r="U27" i="5"/>
  <c r="U25" i="5"/>
  <c r="U22" i="5"/>
  <c r="U21" i="5"/>
  <c r="U19" i="5"/>
  <c r="U17" i="5"/>
  <c r="U15" i="5"/>
  <c r="U13" i="5"/>
  <c r="U11" i="5"/>
  <c r="U9" i="5"/>
  <c r="U8" i="5"/>
  <c r="U6" i="5"/>
  <c r="U2" i="5"/>
  <c r="V2" i="5" s="1"/>
  <c r="U440" i="5"/>
  <c r="U438" i="5"/>
  <c r="U436" i="5"/>
  <c r="U433" i="5"/>
  <c r="U430" i="5"/>
  <c r="U427" i="5"/>
  <c r="U425" i="5"/>
  <c r="U423" i="5"/>
  <c r="U421" i="5"/>
  <c r="U417" i="5"/>
  <c r="U410" i="5"/>
  <c r="U405" i="5"/>
  <c r="U401" i="5"/>
  <c r="U391" i="5"/>
  <c r="U387" i="5"/>
  <c r="U376" i="5"/>
  <c r="U373" i="5"/>
  <c r="U364" i="5"/>
  <c r="U357" i="5"/>
  <c r="U349" i="5"/>
  <c r="U343" i="5"/>
  <c r="U333" i="5"/>
  <c r="U330" i="5"/>
  <c r="U310" i="5"/>
  <c r="U304" i="5"/>
  <c r="U290" i="5"/>
  <c r="U279" i="5"/>
  <c r="U264" i="5"/>
  <c r="BU102" i="6"/>
  <c r="BY102" i="6"/>
  <c r="BT102" i="6"/>
  <c r="BW102" i="6"/>
  <c r="BX102" i="6"/>
  <c r="BH102" i="6"/>
  <c r="AY102" i="6"/>
  <c r="BV102" i="6"/>
  <c r="BZ102" i="6"/>
  <c r="P21" i="5"/>
  <c r="Y20" i="5"/>
  <c r="V3" i="5" l="1"/>
  <c r="V4" i="5"/>
  <c r="V5" i="5" s="1"/>
  <c r="V6" i="5" s="1"/>
  <c r="V7" i="5" s="1"/>
  <c r="V8" i="5" s="1"/>
  <c r="V9" i="5" s="1"/>
  <c r="BI102" i="6"/>
  <c r="BJ102" i="6" s="1"/>
  <c r="BK102" i="6" s="1"/>
  <c r="P22" i="5"/>
  <c r="Y21" i="5"/>
  <c r="X9" i="5" l="1"/>
  <c r="V10" i="5"/>
  <c r="BS102" i="6"/>
  <c r="CA102" i="6" s="1"/>
  <c r="P23" i="5"/>
  <c r="Y22" i="5"/>
  <c r="V11" i="5" l="1"/>
  <c r="X10" i="5"/>
  <c r="CI102" i="6"/>
  <c r="CB102" i="6" s="1"/>
  <c r="AG103" i="6"/>
  <c r="P24" i="5"/>
  <c r="Y23" i="5"/>
  <c r="X11" i="5" l="1"/>
  <c r="V12" i="5"/>
  <c r="CJ102" i="6"/>
  <c r="CC102" i="6" s="1"/>
  <c r="AH103" i="6"/>
  <c r="AO103" i="6"/>
  <c r="Q103" i="6"/>
  <c r="R103" i="6" s="1"/>
  <c r="S103" i="6" s="1"/>
  <c r="P25" i="5"/>
  <c r="Y24" i="5"/>
  <c r="V13" i="5" l="1"/>
  <c r="X12" i="5"/>
  <c r="AI103" i="6"/>
  <c r="CK102" i="6"/>
  <c r="CD102" i="6" s="1"/>
  <c r="AP103" i="6"/>
  <c r="P26" i="5"/>
  <c r="Y25" i="5"/>
  <c r="V14" i="5" l="1"/>
  <c r="X13" i="5"/>
  <c r="W103" i="6"/>
  <c r="Z103" i="6" s="1"/>
  <c r="AQ103" i="6"/>
  <c r="AJ103" i="6"/>
  <c r="CL102" i="6"/>
  <c r="CE102" i="6" s="1"/>
  <c r="P27" i="5"/>
  <c r="Y26" i="5"/>
  <c r="V15" i="5" l="1"/>
  <c r="X14" i="5"/>
  <c r="AR103" i="6"/>
  <c r="AC103" i="6"/>
  <c r="AK103" i="6"/>
  <c r="CM102" i="6"/>
  <c r="CF102" i="6" s="1"/>
  <c r="P28" i="5"/>
  <c r="Y27" i="5"/>
  <c r="V16" i="5" l="1"/>
  <c r="X15" i="5"/>
  <c r="AS103" i="6"/>
  <c r="AL103" i="6"/>
  <c r="CN102" i="6"/>
  <c r="CG102" i="6" s="1"/>
  <c r="P29" i="5"/>
  <c r="Y28" i="5"/>
  <c r="V17" i="5" l="1"/>
  <c r="X16" i="5"/>
  <c r="AT103" i="6"/>
  <c r="AM103" i="6"/>
  <c r="CO102" i="6"/>
  <c r="CH102" i="6" s="1"/>
  <c r="P30" i="5"/>
  <c r="Y29" i="5"/>
  <c r="V18" i="5" l="1"/>
  <c r="X17" i="5"/>
  <c r="AU103" i="6"/>
  <c r="CP102" i="6"/>
  <c r="T102" i="6" s="1"/>
  <c r="AN103" i="6"/>
  <c r="X103" i="6" s="1"/>
  <c r="P31" i="5"/>
  <c r="Y30" i="5"/>
  <c r="V19" i="5" l="1"/>
  <c r="X18" i="5"/>
  <c r="AA103" i="6"/>
  <c r="Y103" i="6"/>
  <c r="AB103" i="6" s="1"/>
  <c r="AV103" i="6"/>
  <c r="AW103" i="6" s="1"/>
  <c r="P32" i="5"/>
  <c r="Y31" i="5"/>
  <c r="V20" i="5" l="1"/>
  <c r="X19" i="5"/>
  <c r="BB103" i="6"/>
  <c r="BM103" i="6" s="1"/>
  <c r="AX103" i="6"/>
  <c r="BA103" i="6"/>
  <c r="BL103" i="6" s="1"/>
  <c r="BC103" i="6"/>
  <c r="BN103" i="6" s="1"/>
  <c r="BF103" i="6"/>
  <c r="BQ103" i="6" s="1"/>
  <c r="AZ103" i="6"/>
  <c r="BE103" i="6"/>
  <c r="BP103" i="6" s="1"/>
  <c r="BD103" i="6"/>
  <c r="BO103" i="6" s="1"/>
  <c r="BG103" i="6"/>
  <c r="BR103" i="6" s="1"/>
  <c r="P33" i="5"/>
  <c r="Y32" i="5"/>
  <c r="V21" i="5" l="1"/>
  <c r="X20" i="5"/>
  <c r="BU103" i="6"/>
  <c r="AY103" i="6"/>
  <c r="BH103" i="6"/>
  <c r="BT103" i="6"/>
  <c r="BV103" i="6"/>
  <c r="BY103" i="6"/>
  <c r="BX103" i="6"/>
  <c r="BW103" i="6"/>
  <c r="BZ103" i="6"/>
  <c r="P34" i="5"/>
  <c r="Y33" i="5"/>
  <c r="X21" i="5" l="1"/>
  <c r="V22" i="5"/>
  <c r="BI103" i="6"/>
  <c r="BJ103" i="6" s="1"/>
  <c r="BK103" i="6" s="1"/>
  <c r="P35" i="5"/>
  <c r="Y34" i="5"/>
  <c r="V23" i="5" l="1"/>
  <c r="X22" i="5"/>
  <c r="BS103" i="6"/>
  <c r="CA103" i="6"/>
  <c r="P36" i="5"/>
  <c r="Y35" i="5"/>
  <c r="V24" i="5" l="1"/>
  <c r="X23" i="5"/>
  <c r="CI103" i="6"/>
  <c r="CB103" i="6" s="1"/>
  <c r="AG104" i="6"/>
  <c r="P37" i="5"/>
  <c r="Y36" i="5"/>
  <c r="V25" i="5" l="1"/>
  <c r="X24" i="5"/>
  <c r="CJ103" i="6"/>
  <c r="CC103" i="6" s="1"/>
  <c r="AH104" i="6"/>
  <c r="AO104" i="6"/>
  <c r="Q104" i="6"/>
  <c r="R104" i="6" s="1"/>
  <c r="S104" i="6" s="1"/>
  <c r="P38" i="5"/>
  <c r="Y37" i="5"/>
  <c r="V26" i="5" l="1"/>
  <c r="X25" i="5"/>
  <c r="AI104" i="6"/>
  <c r="CK103" i="6"/>
  <c r="CD103" i="6" s="1"/>
  <c r="AP104" i="6"/>
  <c r="P39" i="5"/>
  <c r="Y38" i="5"/>
  <c r="V27" i="5" l="1"/>
  <c r="X26" i="5"/>
  <c r="AQ104" i="6"/>
  <c r="AJ104" i="6"/>
  <c r="W104" i="6" s="1"/>
  <c r="Z104" i="6" s="1"/>
  <c r="CL103" i="6"/>
  <c r="CE103" i="6" s="1"/>
  <c r="P40" i="5"/>
  <c r="Y39" i="5"/>
  <c r="V28" i="5" l="1"/>
  <c r="X27" i="5"/>
  <c r="AC104" i="6"/>
  <c r="AR104" i="6"/>
  <c r="AK104" i="6"/>
  <c r="CM103" i="6"/>
  <c r="CF103" i="6" s="1"/>
  <c r="P41" i="5"/>
  <c r="Y40" i="5"/>
  <c r="V29" i="5" l="1"/>
  <c r="X28" i="5"/>
  <c r="AS104" i="6"/>
  <c r="AL104" i="6"/>
  <c r="CN103" i="6"/>
  <c r="CG103" i="6" s="1"/>
  <c r="P42" i="5"/>
  <c r="Y41" i="5"/>
  <c r="V30" i="5" l="1"/>
  <c r="X29" i="5"/>
  <c r="AT104" i="6"/>
  <c r="AM104" i="6"/>
  <c r="CO103" i="6"/>
  <c r="CH103" i="6" s="1"/>
  <c r="P43" i="5"/>
  <c r="Y42" i="5"/>
  <c r="X30" i="5" l="1"/>
  <c r="V31" i="5"/>
  <c r="AU104" i="6"/>
  <c r="AN104" i="6"/>
  <c r="X104" i="6" s="1"/>
  <c r="CP103" i="6"/>
  <c r="T103" i="6" s="1"/>
  <c r="P44" i="5"/>
  <c r="Y43" i="5"/>
  <c r="V32" i="5" l="1"/>
  <c r="X31" i="5"/>
  <c r="Y104" i="6"/>
  <c r="AB104" i="6" s="1"/>
  <c r="AA104" i="6"/>
  <c r="AV104" i="6"/>
  <c r="AW104" i="6" s="1"/>
  <c r="P45" i="5"/>
  <c r="Y44" i="5"/>
  <c r="X32" i="5" l="1"/>
  <c r="V33" i="5"/>
  <c r="BA104" i="6"/>
  <c r="BL104" i="6" s="1"/>
  <c r="BD104" i="6"/>
  <c r="BO104" i="6" s="1"/>
  <c r="BF104" i="6"/>
  <c r="BQ104" i="6" s="1"/>
  <c r="BB104" i="6"/>
  <c r="BM104" i="6" s="1"/>
  <c r="BG104" i="6"/>
  <c r="BR104" i="6" s="1"/>
  <c r="AX104" i="6"/>
  <c r="BE104" i="6"/>
  <c r="BP104" i="6" s="1"/>
  <c r="AZ104" i="6"/>
  <c r="BC104" i="6"/>
  <c r="BN104" i="6" s="1"/>
  <c r="P46" i="5"/>
  <c r="Y45" i="5"/>
  <c r="V34" i="5" l="1"/>
  <c r="X33" i="5"/>
  <c r="BT104" i="6"/>
  <c r="BW104" i="6"/>
  <c r="BY104" i="6"/>
  <c r="BU104" i="6"/>
  <c r="BZ104" i="6"/>
  <c r="AY104" i="6"/>
  <c r="BH104" i="6"/>
  <c r="BX104" i="6"/>
  <c r="BV104" i="6"/>
  <c r="P47" i="5"/>
  <c r="Y46" i="5"/>
  <c r="X34" i="5" l="1"/>
  <c r="V35" i="5"/>
  <c r="BJ104" i="6"/>
  <c r="BK104" i="6" s="1"/>
  <c r="BI104" i="6"/>
  <c r="P48" i="5"/>
  <c r="Y47" i="5"/>
  <c r="V36" i="5" l="1"/>
  <c r="X35" i="5"/>
  <c r="CA104" i="6"/>
  <c r="BS104" i="6"/>
  <c r="P49" i="5"/>
  <c r="Y48" i="5"/>
  <c r="X36" i="5" l="1"/>
  <c r="V37" i="5"/>
  <c r="CI104" i="6"/>
  <c r="CB104" i="6" s="1"/>
  <c r="AG105" i="6"/>
  <c r="P50" i="5"/>
  <c r="Y49" i="5"/>
  <c r="X37" i="5" l="1"/>
  <c r="V38" i="5"/>
  <c r="Q105" i="6"/>
  <c r="R105" i="6" s="1"/>
  <c r="S105" i="6" s="1"/>
  <c r="AO105" i="6"/>
  <c r="P51" i="5"/>
  <c r="Y50" i="5"/>
  <c r="AH105" i="6"/>
  <c r="CJ104" i="6"/>
  <c r="CC104" i="6" s="1"/>
  <c r="X38" i="5" l="1"/>
  <c r="V39" i="5"/>
  <c r="P52" i="5"/>
  <c r="Y51" i="5"/>
  <c r="AP105" i="6"/>
  <c r="CK104" i="6"/>
  <c r="CD104" i="6" s="1"/>
  <c r="AI105" i="6"/>
  <c r="X39" i="5" l="1"/>
  <c r="V40" i="5"/>
  <c r="P53" i="5"/>
  <c r="Y52" i="5"/>
  <c r="AJ105" i="6"/>
  <c r="CL104" i="6"/>
  <c r="CE104" i="6" s="1"/>
  <c r="W105" i="6"/>
  <c r="Z105" i="6" s="1"/>
  <c r="AQ105" i="6"/>
  <c r="X40" i="5" l="1"/>
  <c r="V41" i="5"/>
  <c r="P54" i="5"/>
  <c r="Y53" i="5"/>
  <c r="AR105" i="6"/>
  <c r="AC105" i="6"/>
  <c r="AK105" i="6"/>
  <c r="CM104" i="6"/>
  <c r="CF104" i="6" s="1"/>
  <c r="X41" i="5" l="1"/>
  <c r="V42" i="5"/>
  <c r="P55" i="5"/>
  <c r="Y54" i="5"/>
  <c r="AS105" i="6"/>
  <c r="AL105" i="6"/>
  <c r="CN104" i="6"/>
  <c r="CG104" i="6" s="1"/>
  <c r="V43" i="5" l="1"/>
  <c r="X42" i="5"/>
  <c r="P56" i="5"/>
  <c r="Y55" i="5"/>
  <c r="AT105" i="6"/>
  <c r="AM105" i="6"/>
  <c r="CO104" i="6"/>
  <c r="CH104" i="6" s="1"/>
  <c r="V44" i="5" l="1"/>
  <c r="X43" i="5"/>
  <c r="P57" i="5"/>
  <c r="Y56" i="5"/>
  <c r="AU105" i="6"/>
  <c r="CP104" i="6"/>
  <c r="T104" i="6" s="1"/>
  <c r="AN105" i="6"/>
  <c r="X105" i="6" s="1"/>
  <c r="X44" i="5" l="1"/>
  <c r="V45" i="5"/>
  <c r="P58" i="5"/>
  <c r="Y57" i="5"/>
  <c r="Y105" i="6"/>
  <c r="AB105" i="6" s="1"/>
  <c r="AA105" i="6"/>
  <c r="AV105" i="6"/>
  <c r="AW105" i="6" s="1"/>
  <c r="V46" i="5" l="1"/>
  <c r="X45" i="5"/>
  <c r="P59" i="5"/>
  <c r="Y58" i="5"/>
  <c r="BF105" i="6"/>
  <c r="BQ105" i="6" s="1"/>
  <c r="AZ105" i="6"/>
  <c r="BC105" i="6"/>
  <c r="BN105" i="6" s="1"/>
  <c r="BE105" i="6"/>
  <c r="BP105" i="6" s="1"/>
  <c r="BD105" i="6"/>
  <c r="BO105" i="6" s="1"/>
  <c r="BB105" i="6"/>
  <c r="BM105" i="6" s="1"/>
  <c r="BA105" i="6"/>
  <c r="BL105" i="6" s="1"/>
  <c r="BG105" i="6"/>
  <c r="BR105" i="6" s="1"/>
  <c r="AX105" i="6"/>
  <c r="BZ105" i="6"/>
  <c r="V47" i="5" l="1"/>
  <c r="X46" i="5"/>
  <c r="P60" i="5"/>
  <c r="Y59" i="5"/>
  <c r="BY105" i="6"/>
  <c r="BV105" i="6"/>
  <c r="BX105" i="6"/>
  <c r="BW105" i="6"/>
  <c r="BU105" i="6"/>
  <c r="BT105" i="6"/>
  <c r="AY105" i="6"/>
  <c r="BH105" i="6"/>
  <c r="X47" i="5" l="1"/>
  <c r="V48" i="5"/>
  <c r="P61" i="5"/>
  <c r="Y60" i="5"/>
  <c r="BI105" i="6"/>
  <c r="BJ105" i="6" s="1"/>
  <c r="BK105" i="6" s="1"/>
  <c r="X48" i="5" l="1"/>
  <c r="V49" i="5"/>
  <c r="P62" i="5"/>
  <c r="Y61" i="5"/>
  <c r="BS105" i="6"/>
  <c r="CA105" i="6" s="1"/>
  <c r="X49" i="5" l="1"/>
  <c r="V50" i="5"/>
  <c r="P63" i="5"/>
  <c r="Y62" i="5"/>
  <c r="AG106" i="6"/>
  <c r="CI105" i="6"/>
  <c r="CB105" i="6" s="1"/>
  <c r="CJ105" i="6" s="1"/>
  <c r="CC105" i="6" s="1"/>
  <c r="AH106" i="6"/>
  <c r="V51" i="5" l="1"/>
  <c r="X50" i="5"/>
  <c r="P64" i="5"/>
  <c r="Y63" i="5"/>
  <c r="Q106" i="6"/>
  <c r="R106" i="6" s="1"/>
  <c r="S106" i="6" s="1"/>
  <c r="AO106" i="6"/>
  <c r="AP106" i="6"/>
  <c r="CK105" i="6"/>
  <c r="CD105" i="6" s="1"/>
  <c r="AI106" i="6"/>
  <c r="X51" i="5" l="1"/>
  <c r="V52" i="5"/>
  <c r="P65" i="5"/>
  <c r="Y64" i="5"/>
  <c r="CL105" i="6"/>
  <c r="CE105" i="6" s="1"/>
  <c r="AJ106" i="6"/>
  <c r="AQ106" i="6"/>
  <c r="X52" i="5" l="1"/>
  <c r="V53" i="5"/>
  <c r="P66" i="5"/>
  <c r="Y65" i="5"/>
  <c r="AK106" i="6"/>
  <c r="CM105" i="6"/>
  <c r="CF105" i="6" s="1"/>
  <c r="W106" i="6"/>
  <c r="Z106" i="6" s="1"/>
  <c r="AC106" i="6"/>
  <c r="AR106" i="6"/>
  <c r="X53" i="5" l="1"/>
  <c r="V54" i="5"/>
  <c r="Y66" i="5"/>
  <c r="P67" i="5"/>
  <c r="AS106" i="6"/>
  <c r="AL106" i="6"/>
  <c r="CN105" i="6"/>
  <c r="CG105" i="6" s="1"/>
  <c r="X54" i="5" l="1"/>
  <c r="V55" i="5"/>
  <c r="P68" i="5"/>
  <c r="Y67" i="5"/>
  <c r="AT106" i="6"/>
  <c r="AM106" i="6"/>
  <c r="CO105" i="6"/>
  <c r="CH105" i="6" s="1"/>
  <c r="V56" i="5" l="1"/>
  <c r="X55" i="5"/>
  <c r="P69" i="5"/>
  <c r="Y68" i="5"/>
  <c r="X106" i="6"/>
  <c r="AU106" i="6"/>
  <c r="AN106" i="6"/>
  <c r="CP105" i="6"/>
  <c r="T105" i="6" s="1"/>
  <c r="V57" i="5" l="1"/>
  <c r="X56" i="5"/>
  <c r="P70" i="5"/>
  <c r="Y69" i="5"/>
  <c r="AA106" i="6"/>
  <c r="Y106" i="6"/>
  <c r="AB106" i="6" s="1"/>
  <c r="AV106" i="6"/>
  <c r="AW106" i="6" s="1"/>
  <c r="V58" i="5" l="1"/>
  <c r="X57" i="5"/>
  <c r="P71" i="5"/>
  <c r="Y70" i="5"/>
  <c r="BF106" i="6"/>
  <c r="BQ106" i="6" s="1"/>
  <c r="BC106" i="6"/>
  <c r="BN106" i="6" s="1"/>
  <c r="AX106" i="6"/>
  <c r="BD106" i="6"/>
  <c r="BO106" i="6" s="1"/>
  <c r="BA106" i="6"/>
  <c r="BL106" i="6" s="1"/>
  <c r="BG106" i="6"/>
  <c r="BR106" i="6" s="1"/>
  <c r="AZ106" i="6"/>
  <c r="BE106" i="6"/>
  <c r="BP106" i="6" s="1"/>
  <c r="BB106" i="6"/>
  <c r="BM106" i="6" s="1"/>
  <c r="V59" i="5" l="1"/>
  <c r="V60" i="5" s="1"/>
  <c r="V61" i="5" s="1"/>
  <c r="V62" i="5" s="1"/>
  <c r="V63" i="5" s="1"/>
  <c r="X58" i="5"/>
  <c r="P72" i="5"/>
  <c r="Y71" i="5"/>
  <c r="V64" i="5"/>
  <c r="BY106" i="6"/>
  <c r="BV106" i="6"/>
  <c r="AY106" i="6"/>
  <c r="BH106" i="6"/>
  <c r="BW106" i="6"/>
  <c r="BT106" i="6"/>
  <c r="BZ106" i="6"/>
  <c r="BX106" i="6"/>
  <c r="BU106" i="6"/>
  <c r="P73" i="5" l="1"/>
  <c r="Y72" i="5"/>
  <c r="V65" i="5"/>
  <c r="BJ106" i="6"/>
  <c r="BK106" i="6" s="1"/>
  <c r="BI106" i="6"/>
  <c r="P74" i="5" l="1"/>
  <c r="Y73" i="5"/>
  <c r="V66" i="5"/>
  <c r="BS106" i="6"/>
  <c r="CA106" i="6" s="1"/>
  <c r="P75" i="5" l="1"/>
  <c r="Y74" i="5"/>
  <c r="V67" i="5"/>
  <c r="AG107" i="6"/>
  <c r="CI106" i="6"/>
  <c r="CB106" i="6" s="1"/>
  <c r="CJ106" i="6"/>
  <c r="CC106" i="6" s="1"/>
  <c r="AH107" i="6"/>
  <c r="Y75" i="5" l="1"/>
  <c r="P76" i="5"/>
  <c r="V68" i="5"/>
  <c r="AO107" i="6"/>
  <c r="Q107" i="6"/>
  <c r="R107" i="6" s="1"/>
  <c r="S107" i="6" s="1"/>
  <c r="AI107" i="6"/>
  <c r="CK106" i="6"/>
  <c r="CD106" i="6" s="1"/>
  <c r="AP107" i="6"/>
  <c r="P77" i="5" l="1"/>
  <c r="Y76" i="5"/>
  <c r="V69" i="5"/>
  <c r="AQ107" i="6"/>
  <c r="CL106" i="6"/>
  <c r="CE106" i="6" s="1"/>
  <c r="AJ107" i="6"/>
  <c r="P78" i="5" l="1"/>
  <c r="Y77" i="5"/>
  <c r="V70" i="5"/>
  <c r="CM106" i="6"/>
  <c r="CF106" i="6" s="1"/>
  <c r="AK107" i="6"/>
  <c r="W107" i="6"/>
  <c r="Z107" i="6" s="1"/>
  <c r="AC107" i="6"/>
  <c r="AR107" i="6"/>
  <c r="P79" i="5" l="1"/>
  <c r="Y78" i="5"/>
  <c r="V71" i="5"/>
  <c r="CN106" i="6"/>
  <c r="CG106" i="6" s="1"/>
  <c r="AL107" i="6"/>
  <c r="AS107" i="6"/>
  <c r="P80" i="5" l="1"/>
  <c r="Y79" i="5"/>
  <c r="V72" i="5"/>
  <c r="AM107" i="6"/>
  <c r="CO106" i="6"/>
  <c r="CH106" i="6" s="1"/>
  <c r="AT107" i="6"/>
  <c r="P81" i="5" l="1"/>
  <c r="Y80" i="5"/>
  <c r="V73" i="5"/>
  <c r="AU107" i="6"/>
  <c r="CP106" i="6"/>
  <c r="T106" i="6" s="1"/>
  <c r="AN107" i="6"/>
  <c r="X107" i="6" s="1"/>
  <c r="P82" i="5" l="1"/>
  <c r="Y81" i="5"/>
  <c r="V74" i="5"/>
  <c r="AA107" i="6"/>
  <c r="Y107" i="6"/>
  <c r="AB107" i="6" s="1"/>
  <c r="AV107" i="6"/>
  <c r="AW107" i="6" s="1"/>
  <c r="Y82" i="5" l="1"/>
  <c r="P83" i="5"/>
  <c r="V75" i="5"/>
  <c r="BD107" i="6"/>
  <c r="BO107" i="6" s="1"/>
  <c r="AZ107" i="6"/>
  <c r="BG107" i="6"/>
  <c r="BR107" i="6" s="1"/>
  <c r="BC107" i="6"/>
  <c r="BN107" i="6" s="1"/>
  <c r="BF107" i="6"/>
  <c r="BQ107" i="6" s="1"/>
  <c r="BA107" i="6"/>
  <c r="BL107" i="6" s="1"/>
  <c r="BB107" i="6"/>
  <c r="BM107" i="6" s="1"/>
  <c r="BE107" i="6"/>
  <c r="BP107" i="6" s="1"/>
  <c r="AX107" i="6"/>
  <c r="P84" i="5" l="1"/>
  <c r="Y83" i="5"/>
  <c r="V76" i="5"/>
  <c r="BW107" i="6"/>
  <c r="BZ107" i="6"/>
  <c r="BV107" i="6"/>
  <c r="BY107" i="6"/>
  <c r="BT107" i="6"/>
  <c r="BU107" i="6"/>
  <c r="BX107" i="6"/>
  <c r="BH107" i="6"/>
  <c r="AY107" i="6"/>
  <c r="P85" i="5" l="1"/>
  <c r="Y84" i="5"/>
  <c r="V77" i="5"/>
  <c r="BI107" i="6"/>
  <c r="BJ107" i="6" s="1"/>
  <c r="BK107" i="6" s="1"/>
  <c r="P86" i="5" l="1"/>
  <c r="Y85" i="5"/>
  <c r="V78" i="5"/>
  <c r="BS107" i="6"/>
  <c r="CA107" i="6" s="1"/>
  <c r="P87" i="5" l="1"/>
  <c r="Y86" i="5"/>
  <c r="V79" i="5"/>
  <c r="AG108" i="6"/>
  <c r="CI107" i="6"/>
  <c r="CB107" i="6" s="1"/>
  <c r="P88" i="5" l="1"/>
  <c r="Y87" i="5"/>
  <c r="V80" i="5"/>
  <c r="Q108" i="6"/>
  <c r="R108" i="6" s="1"/>
  <c r="S108" i="6" s="1"/>
  <c r="AO108" i="6"/>
  <c r="CJ107" i="6"/>
  <c r="CC107" i="6" s="1"/>
  <c r="AH108" i="6"/>
  <c r="P89" i="5" l="1"/>
  <c r="Y88" i="5"/>
  <c r="V81" i="5"/>
  <c r="V82" i="5" s="1"/>
  <c r="V83" i="5" s="1"/>
  <c r="V84" i="5" s="1"/>
  <c r="V85" i="5" s="1"/>
  <c r="V86" i="5" s="1"/>
  <c r="V87" i="5" s="1"/>
  <c r="V88" i="5" s="1"/>
  <c r="V89" i="5" s="1"/>
  <c r="V90" i="5" s="1"/>
  <c r="V91" i="5" s="1"/>
  <c r="V92" i="5" s="1"/>
  <c r="V93" i="5" s="1"/>
  <c r="V94" i="5" s="1"/>
  <c r="V95" i="5" s="1"/>
  <c r="V96" i="5" s="1"/>
  <c r="V97" i="5" s="1"/>
  <c r="V98" i="5" s="1"/>
  <c r="V99" i="5" s="1"/>
  <c r="V100" i="5" s="1"/>
  <c r="V101" i="5" s="1"/>
  <c r="V102" i="5" s="1"/>
  <c r="V103" i="5" s="1"/>
  <c r="V104" i="5" s="1"/>
  <c r="V105" i="5" s="1"/>
  <c r="V106" i="5" s="1"/>
  <c r="V107" i="5" s="1"/>
  <c r="V108" i="5" s="1"/>
  <c r="V109" i="5" s="1"/>
  <c r="V110" i="5" s="1"/>
  <c r="V111" i="5" s="1"/>
  <c r="V112" i="5" s="1"/>
  <c r="V113" i="5" s="1"/>
  <c r="V114" i="5" s="1"/>
  <c r="V115" i="5" s="1"/>
  <c r="V116" i="5" s="1"/>
  <c r="V117" i="5" s="1"/>
  <c r="V118" i="5" s="1"/>
  <c r="V119" i="5" s="1"/>
  <c r="V120" i="5" s="1"/>
  <c r="V121" i="5" s="1"/>
  <c r="V122" i="5" s="1"/>
  <c r="V123" i="5" s="1"/>
  <c r="V124" i="5" s="1"/>
  <c r="V125" i="5" s="1"/>
  <c r="V126" i="5" s="1"/>
  <c r="V127" i="5" s="1"/>
  <c r="V128" i="5" s="1"/>
  <c r="V129" i="5" s="1"/>
  <c r="V130" i="5" s="1"/>
  <c r="V131" i="5" s="1"/>
  <c r="V132" i="5" s="1"/>
  <c r="V133" i="5" s="1"/>
  <c r="V134" i="5" s="1"/>
  <c r="V135" i="5" s="1"/>
  <c r="V136" i="5" s="1"/>
  <c r="V137" i="5" s="1"/>
  <c r="V138" i="5" s="1"/>
  <c r="V139" i="5" s="1"/>
  <c r="V140" i="5" s="1"/>
  <c r="V141" i="5" s="1"/>
  <c r="V142" i="5" s="1"/>
  <c r="V143" i="5" s="1"/>
  <c r="V144" i="5" s="1"/>
  <c r="V145" i="5" s="1"/>
  <c r="V146" i="5" s="1"/>
  <c r="V147" i="5" s="1"/>
  <c r="V148" i="5" s="1"/>
  <c r="V149" i="5" s="1"/>
  <c r="V150" i="5" s="1"/>
  <c r="V151" i="5" s="1"/>
  <c r="V152" i="5" s="1"/>
  <c r="V153" i="5" s="1"/>
  <c r="V154" i="5" s="1"/>
  <c r="V155" i="5" s="1"/>
  <c r="V156" i="5" s="1"/>
  <c r="V157" i="5" s="1"/>
  <c r="V158" i="5" s="1"/>
  <c r="V159" i="5" s="1"/>
  <c r="V160" i="5" s="1"/>
  <c r="V161" i="5" s="1"/>
  <c r="V162" i="5" s="1"/>
  <c r="V163" i="5" s="1"/>
  <c r="V164" i="5" s="1"/>
  <c r="V165" i="5" s="1"/>
  <c r="V166" i="5" s="1"/>
  <c r="V167" i="5" s="1"/>
  <c r="V168" i="5" s="1"/>
  <c r="V169" i="5" s="1"/>
  <c r="V170" i="5" s="1"/>
  <c r="V171" i="5" s="1"/>
  <c r="V172" i="5" s="1"/>
  <c r="V173" i="5" s="1"/>
  <c r="V174" i="5" s="1"/>
  <c r="V175" i="5" s="1"/>
  <c r="V176" i="5" s="1"/>
  <c r="V177" i="5" s="1"/>
  <c r="V178" i="5" s="1"/>
  <c r="V179" i="5" s="1"/>
  <c r="V180" i="5" s="1"/>
  <c r="V181" i="5" s="1"/>
  <c r="V182" i="5" s="1"/>
  <c r="V183" i="5" s="1"/>
  <c r="V184" i="5" s="1"/>
  <c r="V185" i="5" s="1"/>
  <c r="V186" i="5" s="1"/>
  <c r="V187" i="5" s="1"/>
  <c r="V188" i="5" s="1"/>
  <c r="V189" i="5" s="1"/>
  <c r="V190" i="5" s="1"/>
  <c r="V191" i="5" s="1"/>
  <c r="V192" i="5" s="1"/>
  <c r="V193" i="5" s="1"/>
  <c r="V194" i="5" s="1"/>
  <c r="V195" i="5" s="1"/>
  <c r="V196" i="5" s="1"/>
  <c r="V197" i="5" s="1"/>
  <c r="V198" i="5" s="1"/>
  <c r="V199" i="5" s="1"/>
  <c r="V200" i="5" s="1"/>
  <c r="V201" i="5" s="1"/>
  <c r="V202" i="5" s="1"/>
  <c r="V203" i="5" s="1"/>
  <c r="V204" i="5" s="1"/>
  <c r="V205" i="5" s="1"/>
  <c r="V206" i="5" s="1"/>
  <c r="V207" i="5" s="1"/>
  <c r="V208" i="5" s="1"/>
  <c r="V209" i="5" s="1"/>
  <c r="V210" i="5" s="1"/>
  <c r="V211" i="5" s="1"/>
  <c r="V212" i="5" s="1"/>
  <c r="V213" i="5" s="1"/>
  <c r="V214" i="5" s="1"/>
  <c r="V215" i="5" s="1"/>
  <c r="V216" i="5" s="1"/>
  <c r="V217" i="5" s="1"/>
  <c r="V218" i="5" s="1"/>
  <c r="V219" i="5" s="1"/>
  <c r="V220" i="5" s="1"/>
  <c r="V221" i="5" s="1"/>
  <c r="V222" i="5" s="1"/>
  <c r="V223" i="5" s="1"/>
  <c r="V224" i="5" s="1"/>
  <c r="V225" i="5" s="1"/>
  <c r="V226" i="5" s="1"/>
  <c r="V227" i="5" s="1"/>
  <c r="V228" i="5" s="1"/>
  <c r="V229" i="5" s="1"/>
  <c r="V230" i="5" s="1"/>
  <c r="V231" i="5" s="1"/>
  <c r="V232" i="5" s="1"/>
  <c r="V233" i="5" s="1"/>
  <c r="V234" i="5" s="1"/>
  <c r="V235" i="5" s="1"/>
  <c r="V236" i="5" s="1"/>
  <c r="V237" i="5" s="1"/>
  <c r="V238" i="5" s="1"/>
  <c r="V239" i="5" s="1"/>
  <c r="V240" i="5" s="1"/>
  <c r="V241" i="5" s="1"/>
  <c r="V242" i="5" s="1"/>
  <c r="V243" i="5" s="1"/>
  <c r="V244" i="5" s="1"/>
  <c r="V245" i="5" s="1"/>
  <c r="V246" i="5" s="1"/>
  <c r="V247" i="5" s="1"/>
  <c r="V248" i="5" s="1"/>
  <c r="V249" i="5" s="1"/>
  <c r="V250" i="5" s="1"/>
  <c r="V251" i="5" s="1"/>
  <c r="V252" i="5" s="1"/>
  <c r="V253" i="5" s="1"/>
  <c r="V254" i="5" s="1"/>
  <c r="V255" i="5" s="1"/>
  <c r="V256" i="5" s="1"/>
  <c r="V257" i="5" s="1"/>
  <c r="V258" i="5" s="1"/>
  <c r="V259" i="5" s="1"/>
  <c r="V260" i="5" s="1"/>
  <c r="V261" i="5" s="1"/>
  <c r="V262" i="5" s="1"/>
  <c r="V263" i="5" s="1"/>
  <c r="V264" i="5" s="1"/>
  <c r="V265" i="5" s="1"/>
  <c r="V266" i="5" s="1"/>
  <c r="V267" i="5" s="1"/>
  <c r="V268" i="5" s="1"/>
  <c r="V269" i="5" s="1"/>
  <c r="V270" i="5" s="1"/>
  <c r="V271" i="5" s="1"/>
  <c r="V272" i="5" s="1"/>
  <c r="V273" i="5" s="1"/>
  <c r="V274" i="5" s="1"/>
  <c r="V275" i="5" s="1"/>
  <c r="V276" i="5" s="1"/>
  <c r="V277" i="5" s="1"/>
  <c r="V278" i="5" s="1"/>
  <c r="V279" i="5" s="1"/>
  <c r="V280" i="5" s="1"/>
  <c r="V281" i="5" s="1"/>
  <c r="V282" i="5" s="1"/>
  <c r="V283" i="5" s="1"/>
  <c r="V284" i="5" s="1"/>
  <c r="V285" i="5" s="1"/>
  <c r="V286" i="5" s="1"/>
  <c r="V287" i="5" s="1"/>
  <c r="V288" i="5" s="1"/>
  <c r="V289" i="5" s="1"/>
  <c r="V290" i="5" s="1"/>
  <c r="V291" i="5" s="1"/>
  <c r="V292" i="5" s="1"/>
  <c r="V293" i="5" s="1"/>
  <c r="V294" i="5" s="1"/>
  <c r="V295" i="5" s="1"/>
  <c r="V296" i="5" s="1"/>
  <c r="V297" i="5" s="1"/>
  <c r="V298" i="5" s="1"/>
  <c r="V299" i="5" s="1"/>
  <c r="V300" i="5" s="1"/>
  <c r="V301" i="5" s="1"/>
  <c r="V302" i="5" s="1"/>
  <c r="V303" i="5" s="1"/>
  <c r="V304" i="5" s="1"/>
  <c r="V305" i="5" s="1"/>
  <c r="V306" i="5" s="1"/>
  <c r="V307" i="5" s="1"/>
  <c r="V308" i="5" s="1"/>
  <c r="V309" i="5" s="1"/>
  <c r="V310" i="5" s="1"/>
  <c r="V311" i="5" s="1"/>
  <c r="V312" i="5" s="1"/>
  <c r="V313" i="5" s="1"/>
  <c r="V314" i="5" s="1"/>
  <c r="V315" i="5" s="1"/>
  <c r="V316" i="5" s="1"/>
  <c r="V317" i="5" s="1"/>
  <c r="V318" i="5" s="1"/>
  <c r="V319" i="5" s="1"/>
  <c r="V320" i="5" s="1"/>
  <c r="V321" i="5" s="1"/>
  <c r="V322" i="5" s="1"/>
  <c r="V323" i="5" s="1"/>
  <c r="V324" i="5" s="1"/>
  <c r="V325" i="5" s="1"/>
  <c r="V326" i="5" s="1"/>
  <c r="V327" i="5" s="1"/>
  <c r="V328" i="5" s="1"/>
  <c r="V329" i="5" s="1"/>
  <c r="V330" i="5" s="1"/>
  <c r="V331" i="5" s="1"/>
  <c r="V332" i="5" s="1"/>
  <c r="V333" i="5" s="1"/>
  <c r="V334" i="5" s="1"/>
  <c r="V335" i="5" s="1"/>
  <c r="V336" i="5" s="1"/>
  <c r="V337" i="5" s="1"/>
  <c r="V338" i="5" s="1"/>
  <c r="V339" i="5" s="1"/>
  <c r="V340" i="5" s="1"/>
  <c r="V341" i="5" s="1"/>
  <c r="V342" i="5" s="1"/>
  <c r="V343" i="5" s="1"/>
  <c r="V344" i="5" s="1"/>
  <c r="V345" i="5" s="1"/>
  <c r="V346" i="5" s="1"/>
  <c r="V347" i="5" s="1"/>
  <c r="V348" i="5" s="1"/>
  <c r="V349" i="5" s="1"/>
  <c r="V350" i="5" s="1"/>
  <c r="V351" i="5" s="1"/>
  <c r="V352" i="5" s="1"/>
  <c r="V353" i="5" s="1"/>
  <c r="V354" i="5" s="1"/>
  <c r="V355" i="5" s="1"/>
  <c r="V356" i="5" s="1"/>
  <c r="V357" i="5" s="1"/>
  <c r="CK107" i="6"/>
  <c r="CD107" i="6" s="1"/>
  <c r="AI108" i="6"/>
  <c r="AP108" i="6"/>
  <c r="V358" i="5" l="1"/>
  <c r="V359" i="5" s="1"/>
  <c r="V360" i="5" s="1"/>
  <c r="V361" i="5" s="1"/>
  <c r="V362" i="5" s="1"/>
  <c r="V363" i="5" s="1"/>
  <c r="X80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P90" i="5"/>
  <c r="Y89" i="5"/>
  <c r="X378" i="5"/>
  <c r="X377" i="5"/>
  <c r="X375" i="5"/>
  <c r="X358" i="5"/>
  <c r="X354" i="5"/>
  <c r="X345" i="5"/>
  <c r="X342" i="5"/>
  <c r="X341" i="5"/>
  <c r="X338" i="5"/>
  <c r="X337" i="5"/>
  <c r="X265" i="5"/>
  <c r="X264" i="5"/>
  <c r="X310" i="5"/>
  <c r="X306" i="5"/>
  <c r="X297" i="5"/>
  <c r="X291" i="5"/>
  <c r="X285" i="5"/>
  <c r="X284" i="5"/>
  <c r="X314" i="5"/>
  <c r="X313" i="5"/>
  <c r="X312" i="5"/>
  <c r="X294" i="5"/>
  <c r="X275" i="5"/>
  <c r="X266" i="5"/>
  <c r="X251" i="5"/>
  <c r="X250" i="5"/>
  <c r="X249" i="5"/>
  <c r="X248" i="5"/>
  <c r="X245" i="5"/>
  <c r="X244" i="5"/>
  <c r="X243" i="5"/>
  <c r="X242" i="5"/>
  <c r="X241" i="5"/>
  <c r="X240" i="5"/>
  <c r="X239" i="5"/>
  <c r="X238" i="5"/>
  <c r="X237" i="5"/>
  <c r="X236" i="5"/>
  <c r="X235" i="5"/>
  <c r="X234" i="5"/>
  <c r="X233" i="5"/>
  <c r="X232" i="5"/>
  <c r="X231" i="5"/>
  <c r="X230" i="5"/>
  <c r="X229" i="5"/>
  <c r="X228" i="5"/>
  <c r="X227" i="5"/>
  <c r="X226" i="5"/>
  <c r="X225" i="5"/>
  <c r="X224" i="5"/>
  <c r="X223" i="5"/>
  <c r="X222" i="5"/>
  <c r="X221" i="5"/>
  <c r="X220" i="5"/>
  <c r="X219" i="5"/>
  <c r="X218" i="5"/>
  <c r="X217" i="5"/>
  <c r="X216" i="5"/>
  <c r="X215" i="5"/>
  <c r="X214" i="5"/>
  <c r="X213" i="5"/>
  <c r="X212" i="5"/>
  <c r="X211" i="5"/>
  <c r="X210" i="5"/>
  <c r="X209" i="5"/>
  <c r="X208" i="5"/>
  <c r="X207" i="5"/>
  <c r="X206" i="5"/>
  <c r="X419" i="5"/>
  <c r="X202" i="5"/>
  <c r="X200" i="5"/>
  <c r="X198" i="5"/>
  <c r="X196" i="5"/>
  <c r="X123" i="5"/>
  <c r="X118" i="5"/>
  <c r="X116" i="5"/>
  <c r="X113" i="5"/>
  <c r="X105" i="5"/>
  <c r="X87" i="5"/>
  <c r="X85" i="5"/>
  <c r="X83" i="5"/>
  <c r="X371" i="5"/>
  <c r="X369" i="5"/>
  <c r="X366" i="5"/>
  <c r="X348" i="5"/>
  <c r="X346" i="5"/>
  <c r="X340" i="5"/>
  <c r="X334" i="5"/>
  <c r="X333" i="5"/>
  <c r="X332" i="5"/>
  <c r="X331" i="5"/>
  <c r="X330" i="5"/>
  <c r="X321" i="5"/>
  <c r="X317" i="5"/>
  <c r="X311" i="5"/>
  <c r="X427" i="5"/>
  <c r="X418" i="5"/>
  <c r="X205" i="5"/>
  <c r="X204" i="5"/>
  <c r="X203" i="5"/>
  <c r="X199" i="5"/>
  <c r="X197" i="5"/>
  <c r="X195" i="5"/>
  <c r="X194" i="5"/>
  <c r="X193" i="5"/>
  <c r="X192" i="5"/>
  <c r="X191" i="5"/>
  <c r="X190" i="5"/>
  <c r="X124" i="5"/>
  <c r="X117" i="5"/>
  <c r="X114" i="5"/>
  <c r="X111" i="5"/>
  <c r="X110" i="5"/>
  <c r="X108" i="5"/>
  <c r="X107" i="5"/>
  <c r="X104" i="5"/>
  <c r="X103" i="5"/>
  <c r="X102" i="5"/>
  <c r="X96" i="5"/>
  <c r="X91" i="5"/>
  <c r="X86" i="5"/>
  <c r="X84" i="5"/>
  <c r="X82" i="5"/>
  <c r="X304" i="5"/>
  <c r="X303" i="5"/>
  <c r="X301" i="5"/>
  <c r="X292" i="5"/>
  <c r="X281" i="5"/>
  <c r="X273" i="5"/>
  <c r="X267" i="5"/>
  <c r="X263" i="5"/>
  <c r="X260" i="5"/>
  <c r="X259" i="5"/>
  <c r="X255" i="5"/>
  <c r="X189" i="5"/>
  <c r="X188" i="5"/>
  <c r="X187" i="5"/>
  <c r="X186" i="5"/>
  <c r="X185" i="5"/>
  <c r="X184" i="5"/>
  <c r="X183" i="5"/>
  <c r="X182" i="5"/>
  <c r="X181" i="5"/>
  <c r="X180" i="5"/>
  <c r="X179" i="5"/>
  <c r="X178" i="5"/>
  <c r="X177" i="5"/>
  <c r="X176" i="5"/>
  <c r="X175" i="5"/>
  <c r="X174" i="5"/>
  <c r="X173" i="5"/>
  <c r="X172" i="5"/>
  <c r="X171" i="5"/>
  <c r="X170" i="5"/>
  <c r="X169" i="5"/>
  <c r="X168" i="5"/>
  <c r="X167" i="5"/>
  <c r="X166" i="5"/>
  <c r="X165" i="5"/>
  <c r="X164" i="5"/>
  <c r="X163" i="5"/>
  <c r="X162" i="5"/>
  <c r="X161" i="5"/>
  <c r="X160" i="5"/>
  <c r="X159" i="5"/>
  <c r="X158" i="5"/>
  <c r="X157" i="5"/>
  <c r="X156" i="5"/>
  <c r="X155" i="5"/>
  <c r="X154" i="5"/>
  <c r="X153" i="5"/>
  <c r="X152" i="5"/>
  <c r="X151" i="5"/>
  <c r="X150" i="5"/>
  <c r="X146" i="5"/>
  <c r="X145" i="5"/>
  <c r="X144" i="5"/>
  <c r="X143" i="5"/>
  <c r="X142" i="5"/>
  <c r="X141" i="5"/>
  <c r="X140" i="5"/>
  <c r="X139" i="5"/>
  <c r="X138" i="5"/>
  <c r="X137" i="5"/>
  <c r="X136" i="5"/>
  <c r="X131" i="5"/>
  <c r="X120" i="5"/>
  <c r="X109" i="5"/>
  <c r="X95" i="5"/>
  <c r="X81" i="5"/>
  <c r="X370" i="5"/>
  <c r="X362" i="5"/>
  <c r="X361" i="5"/>
  <c r="X360" i="5"/>
  <c r="X357" i="5"/>
  <c r="X343" i="5"/>
  <c r="X335" i="5"/>
  <c r="X328" i="5"/>
  <c r="X316" i="5"/>
  <c r="X315" i="5"/>
  <c r="X305" i="5"/>
  <c r="X295" i="5"/>
  <c r="X288" i="5"/>
  <c r="X272" i="5"/>
  <c r="X268" i="5"/>
  <c r="X262" i="5"/>
  <c r="X261" i="5"/>
  <c r="X257" i="5"/>
  <c r="X252" i="5"/>
  <c r="X134" i="5"/>
  <c r="X127" i="5"/>
  <c r="X115" i="5"/>
  <c r="X100" i="5"/>
  <c r="X97" i="5"/>
  <c r="X367" i="5"/>
  <c r="X282" i="5"/>
  <c r="X432" i="5"/>
  <c r="X421" i="5"/>
  <c r="X135" i="5"/>
  <c r="X130" i="5"/>
  <c r="X128" i="5"/>
  <c r="X126" i="5"/>
  <c r="X122" i="5"/>
  <c r="X119" i="5"/>
  <c r="X98" i="5"/>
  <c r="X94" i="5"/>
  <c r="X93" i="5"/>
  <c r="X90" i="5"/>
  <c r="X372" i="5"/>
  <c r="X299" i="5"/>
  <c r="X443" i="5"/>
  <c r="X442" i="5"/>
  <c r="X441" i="5"/>
  <c r="X440" i="5"/>
  <c r="X439" i="5"/>
  <c r="X438" i="5"/>
  <c r="X437" i="5"/>
  <c r="X431" i="5"/>
  <c r="X430" i="5"/>
  <c r="X426" i="5"/>
  <c r="X425" i="5"/>
  <c r="X423" i="5"/>
  <c r="X417" i="5"/>
  <c r="X408" i="5"/>
  <c r="X405" i="5"/>
  <c r="X404" i="5"/>
  <c r="X401" i="5"/>
  <c r="X396" i="5"/>
  <c r="X395" i="5"/>
  <c r="X394" i="5"/>
  <c r="X391" i="5"/>
  <c r="X390" i="5"/>
  <c r="X388" i="5"/>
  <c r="X381" i="5"/>
  <c r="X379" i="5"/>
  <c r="X376" i="5"/>
  <c r="X374" i="5"/>
  <c r="X368" i="5"/>
  <c r="X365" i="5"/>
  <c r="X364" i="5"/>
  <c r="X363" i="5"/>
  <c r="X356" i="5"/>
  <c r="X353" i="5"/>
  <c r="X352" i="5"/>
  <c r="X351" i="5"/>
  <c r="X350" i="5"/>
  <c r="X349" i="5"/>
  <c r="X347" i="5"/>
  <c r="X344" i="5"/>
  <c r="X336" i="5"/>
  <c r="X327" i="5"/>
  <c r="X325" i="5"/>
  <c r="X322" i="5"/>
  <c r="X309" i="5"/>
  <c r="X298" i="5"/>
  <c r="X296" i="5"/>
  <c r="X293" i="5"/>
  <c r="X290" i="5"/>
  <c r="X287" i="5"/>
  <c r="X280" i="5"/>
  <c r="X277" i="5"/>
  <c r="X276" i="5"/>
  <c r="X269" i="5"/>
  <c r="X256" i="5"/>
  <c r="X253" i="5"/>
  <c r="X428" i="5"/>
  <c r="X422" i="5"/>
  <c r="X133" i="5"/>
  <c r="X132" i="5"/>
  <c r="X129" i="5"/>
  <c r="X125" i="5"/>
  <c r="X121" i="5"/>
  <c r="X112" i="5"/>
  <c r="X106" i="5"/>
  <c r="X101" i="5"/>
  <c r="X99" i="5"/>
  <c r="X92" i="5"/>
  <c r="X89" i="5"/>
  <c r="X88" i="5"/>
  <c r="X307" i="5"/>
  <c r="X286" i="5"/>
  <c r="X501" i="5"/>
  <c r="X500" i="5"/>
  <c r="X499" i="5"/>
  <c r="X498" i="5"/>
  <c r="X497" i="5"/>
  <c r="X496" i="5"/>
  <c r="X495" i="5"/>
  <c r="X494" i="5"/>
  <c r="X493" i="5"/>
  <c r="X492" i="5"/>
  <c r="X491" i="5"/>
  <c r="X490" i="5"/>
  <c r="X489" i="5"/>
  <c r="X488" i="5"/>
  <c r="X487" i="5"/>
  <c r="X486" i="5"/>
  <c r="X485" i="5"/>
  <c r="X484" i="5"/>
  <c r="X482" i="5"/>
  <c r="X481" i="5"/>
  <c r="X480" i="5"/>
  <c r="X479" i="5"/>
  <c r="X478" i="5"/>
  <c r="X477" i="5"/>
  <c r="X476" i="5"/>
  <c r="X475" i="5"/>
  <c r="X474" i="5"/>
  <c r="X473" i="5"/>
  <c r="X472" i="5"/>
  <c r="X471" i="5"/>
  <c r="X470" i="5"/>
  <c r="X469" i="5"/>
  <c r="X468" i="5"/>
  <c r="X467" i="5"/>
  <c r="X466" i="5"/>
  <c r="X465" i="5"/>
  <c r="X464" i="5"/>
  <c r="X463" i="5"/>
  <c r="X462" i="5"/>
  <c r="X461" i="5"/>
  <c r="X460" i="5"/>
  <c r="X459" i="5"/>
  <c r="X458" i="5"/>
  <c r="X457" i="5"/>
  <c r="X456" i="5"/>
  <c r="X455" i="5"/>
  <c r="X454" i="5"/>
  <c r="X453" i="5"/>
  <c r="X452" i="5"/>
  <c r="X451" i="5"/>
  <c r="X450" i="5"/>
  <c r="X449" i="5"/>
  <c r="X448" i="5"/>
  <c r="X447" i="5"/>
  <c r="X446" i="5"/>
  <c r="X445" i="5"/>
  <c r="X444" i="5"/>
  <c r="X436" i="5"/>
  <c r="X435" i="5"/>
  <c r="X434" i="5"/>
  <c r="X433" i="5"/>
  <c r="X413" i="5"/>
  <c r="X411" i="5"/>
  <c r="X398" i="5"/>
  <c r="X392" i="5"/>
  <c r="X387" i="5"/>
  <c r="X385" i="5"/>
  <c r="X383" i="5"/>
  <c r="X323" i="5"/>
  <c r="X318" i="5"/>
  <c r="X308" i="5"/>
  <c r="X302" i="5"/>
  <c r="X300" i="5"/>
  <c r="X289" i="5"/>
  <c r="X283" i="5"/>
  <c r="X279" i="5"/>
  <c r="X278" i="5"/>
  <c r="X274" i="5"/>
  <c r="X271" i="5"/>
  <c r="X270" i="5"/>
  <c r="X258" i="5"/>
  <c r="X254" i="5"/>
  <c r="X329" i="5"/>
  <c r="X324" i="5"/>
  <c r="X320" i="5"/>
  <c r="X319" i="5"/>
  <c r="X429" i="5"/>
  <c r="X424" i="5"/>
  <c r="X420" i="5"/>
  <c r="X416" i="5"/>
  <c r="X415" i="5"/>
  <c r="X414" i="5"/>
  <c r="X412" i="5"/>
  <c r="X410" i="5"/>
  <c r="X409" i="5"/>
  <c r="X407" i="5"/>
  <c r="X406" i="5"/>
  <c r="X403" i="5"/>
  <c r="X402" i="5"/>
  <c r="X400" i="5"/>
  <c r="X399" i="5"/>
  <c r="X397" i="5"/>
  <c r="X393" i="5"/>
  <c r="X389" i="5"/>
  <c r="X386" i="5"/>
  <c r="X384" i="5"/>
  <c r="X382" i="5"/>
  <c r="X380" i="5"/>
  <c r="AJ108" i="6"/>
  <c r="CL107" i="6"/>
  <c r="CE107" i="6" s="1"/>
  <c r="W108" i="6"/>
  <c r="Z108" i="6" s="1"/>
  <c r="AQ108" i="6"/>
  <c r="V364" i="5" l="1"/>
  <c r="V365" i="5" s="1"/>
  <c r="V366" i="5" s="1"/>
  <c r="V367" i="5" s="1"/>
  <c r="V368" i="5" s="1"/>
  <c r="V369" i="5" s="1"/>
  <c r="V370" i="5" s="1"/>
  <c r="V371" i="5" s="1"/>
  <c r="V372" i="5" s="1"/>
  <c r="V373" i="5" s="1"/>
  <c r="V374" i="5" s="1"/>
  <c r="V375" i="5" s="1"/>
  <c r="V376" i="5" s="1"/>
  <c r="V377" i="5" s="1"/>
  <c r="V378" i="5" s="1"/>
  <c r="V379" i="5" s="1"/>
  <c r="V380" i="5" s="1"/>
  <c r="V381" i="5" s="1"/>
  <c r="V382" i="5" s="1"/>
  <c r="V383" i="5" s="1"/>
  <c r="V384" i="5" s="1"/>
  <c r="V385" i="5" s="1"/>
  <c r="V386" i="5" s="1"/>
  <c r="V387" i="5" s="1"/>
  <c r="V388" i="5" s="1"/>
  <c r="V389" i="5" s="1"/>
  <c r="V390" i="5" s="1"/>
  <c r="V391" i="5" s="1"/>
  <c r="V392" i="5" s="1"/>
  <c r="V393" i="5" s="1"/>
  <c r="V394" i="5" s="1"/>
  <c r="V395" i="5" s="1"/>
  <c r="V396" i="5" s="1"/>
  <c r="V397" i="5" s="1"/>
  <c r="V398" i="5" s="1"/>
  <c r="V399" i="5" s="1"/>
  <c r="V400" i="5" s="1"/>
  <c r="V401" i="5" s="1"/>
  <c r="V402" i="5" s="1"/>
  <c r="V403" i="5" s="1"/>
  <c r="V404" i="5" s="1"/>
  <c r="V405" i="5" s="1"/>
  <c r="V406" i="5" s="1"/>
  <c r="V407" i="5" s="1"/>
  <c r="V408" i="5" s="1"/>
  <c r="V409" i="5" s="1"/>
  <c r="V410" i="5" s="1"/>
  <c r="V411" i="5" s="1"/>
  <c r="V412" i="5" s="1"/>
  <c r="V413" i="5" s="1"/>
  <c r="V414" i="5" s="1"/>
  <c r="V415" i="5" s="1"/>
  <c r="V416" i="5" s="1"/>
  <c r="V417" i="5" s="1"/>
  <c r="V418" i="5" s="1"/>
  <c r="V419" i="5" s="1"/>
  <c r="V420" i="5" s="1"/>
  <c r="V421" i="5" s="1"/>
  <c r="V422" i="5" s="1"/>
  <c r="V423" i="5" s="1"/>
  <c r="V424" i="5" s="1"/>
  <c r="V425" i="5" s="1"/>
  <c r="V426" i="5" s="1"/>
  <c r="V427" i="5" s="1"/>
  <c r="V428" i="5" s="1"/>
  <c r="V429" i="5" s="1"/>
  <c r="V430" i="5" s="1"/>
  <c r="V431" i="5" s="1"/>
  <c r="V432" i="5" s="1"/>
  <c r="V433" i="5" s="1"/>
  <c r="V434" i="5" s="1"/>
  <c r="V435" i="5" s="1"/>
  <c r="V436" i="5" s="1"/>
  <c r="V437" i="5" s="1"/>
  <c r="V438" i="5" s="1"/>
  <c r="V439" i="5" s="1"/>
  <c r="V440" i="5" s="1"/>
  <c r="V441" i="5" s="1"/>
  <c r="V442" i="5" s="1"/>
  <c r="V443" i="5" s="1"/>
  <c r="V444" i="5" s="1"/>
  <c r="V445" i="5" s="1"/>
  <c r="V446" i="5" s="1"/>
  <c r="V447" i="5" s="1"/>
  <c r="V448" i="5" s="1"/>
  <c r="V449" i="5" s="1"/>
  <c r="V450" i="5" s="1"/>
  <c r="V451" i="5" s="1"/>
  <c r="V452" i="5" s="1"/>
  <c r="V453" i="5" s="1"/>
  <c r="V454" i="5" s="1"/>
  <c r="V455" i="5" s="1"/>
  <c r="V456" i="5" s="1"/>
  <c r="V457" i="5" s="1"/>
  <c r="V458" i="5" s="1"/>
  <c r="V459" i="5" s="1"/>
  <c r="V460" i="5" s="1"/>
  <c r="V461" i="5" s="1"/>
  <c r="V462" i="5" s="1"/>
  <c r="V463" i="5" s="1"/>
  <c r="V464" i="5" s="1"/>
  <c r="V465" i="5" s="1"/>
  <c r="V466" i="5" s="1"/>
  <c r="V467" i="5" s="1"/>
  <c r="V468" i="5" s="1"/>
  <c r="V469" i="5" s="1"/>
  <c r="V470" i="5" s="1"/>
  <c r="V471" i="5" s="1"/>
  <c r="V472" i="5" s="1"/>
  <c r="V473" i="5" s="1"/>
  <c r="V474" i="5" s="1"/>
  <c r="V475" i="5" s="1"/>
  <c r="V476" i="5" s="1"/>
  <c r="V477" i="5" s="1"/>
  <c r="V478" i="5" s="1"/>
  <c r="V479" i="5" s="1"/>
  <c r="V480" i="5" s="1"/>
  <c r="V481" i="5" s="1"/>
  <c r="V482" i="5" s="1"/>
  <c r="V483" i="5" s="1"/>
  <c r="V484" i="5" s="1"/>
  <c r="V485" i="5" s="1"/>
  <c r="V486" i="5" s="1"/>
  <c r="V487" i="5" s="1"/>
  <c r="V488" i="5" s="1"/>
  <c r="V489" i="5" s="1"/>
  <c r="V490" i="5" s="1"/>
  <c r="V491" i="5" s="1"/>
  <c r="V492" i="5" s="1"/>
  <c r="V493" i="5" s="1"/>
  <c r="V494" i="5" s="1"/>
  <c r="V495" i="5" s="1"/>
  <c r="V496" i="5" s="1"/>
  <c r="V497" i="5" s="1"/>
  <c r="V498" i="5" s="1"/>
  <c r="V499" i="5" s="1"/>
  <c r="V500" i="5" s="1"/>
  <c r="V501" i="5" s="1"/>
  <c r="X247" i="5"/>
  <c r="X246" i="5"/>
  <c r="X201" i="5"/>
  <c r="X149" i="5"/>
  <c r="X148" i="5"/>
  <c r="X147" i="5"/>
  <c r="X483" i="5"/>
  <c r="X373" i="5"/>
  <c r="X355" i="5"/>
  <c r="X339" i="5"/>
  <c r="X326" i="5"/>
  <c r="X359" i="5"/>
  <c r="Y90" i="5"/>
  <c r="P91" i="5"/>
  <c r="AR108" i="6"/>
  <c r="AC108" i="6"/>
  <c r="AK108" i="6"/>
  <c r="CM107" i="6"/>
  <c r="CF107" i="6" s="1"/>
  <c r="P92" i="5" l="1"/>
  <c r="Y91" i="5"/>
  <c r="AS108" i="6"/>
  <c r="CN107" i="6"/>
  <c r="CG107" i="6" s="1"/>
  <c r="AL108" i="6"/>
  <c r="P93" i="5" l="1"/>
  <c r="Y92" i="5"/>
  <c r="AM108" i="6"/>
  <c r="CO107" i="6"/>
  <c r="CH107" i="6" s="1"/>
  <c r="AT108" i="6"/>
  <c r="Y93" i="5" l="1"/>
  <c r="P94" i="5"/>
  <c r="AU108" i="6"/>
  <c r="CP107" i="6"/>
  <c r="T107" i="6" s="1"/>
  <c r="AN108" i="6"/>
  <c r="X108" i="6" s="1"/>
  <c r="P95" i="5" l="1"/>
  <c r="Y94" i="5"/>
  <c r="AA108" i="6"/>
  <c r="Y108" i="6"/>
  <c r="AB108" i="6" s="1"/>
  <c r="AV108" i="6"/>
  <c r="AW108" i="6" s="1"/>
  <c r="P96" i="5" l="1"/>
  <c r="Y95" i="5"/>
  <c r="BF108" i="6"/>
  <c r="BQ108" i="6" s="1"/>
  <c r="BB108" i="6"/>
  <c r="BM108" i="6" s="1"/>
  <c r="BE108" i="6"/>
  <c r="BP108" i="6" s="1"/>
  <c r="AX108" i="6"/>
  <c r="BG108" i="6"/>
  <c r="BR108" i="6" s="1"/>
  <c r="BD108" i="6"/>
  <c r="BO108" i="6" s="1"/>
  <c r="BA108" i="6"/>
  <c r="BL108" i="6" s="1"/>
  <c r="BC108" i="6"/>
  <c r="BN108" i="6" s="1"/>
  <c r="AZ108" i="6"/>
  <c r="BZ108" i="6"/>
  <c r="Y96" i="5" l="1"/>
  <c r="P97" i="5"/>
  <c r="BY108" i="6"/>
  <c r="BU108" i="6"/>
  <c r="BX108" i="6"/>
  <c r="BH108" i="6"/>
  <c r="AY108" i="6"/>
  <c r="BW108" i="6"/>
  <c r="BT108" i="6"/>
  <c r="BV108" i="6"/>
  <c r="P98" i="5" l="1"/>
  <c r="Y97" i="5"/>
  <c r="BJ108" i="6"/>
  <c r="BK108" i="6" s="1"/>
  <c r="BI108" i="6"/>
  <c r="P99" i="5" l="1"/>
  <c r="Y98" i="5"/>
  <c r="CA108" i="6"/>
  <c r="BS108" i="6"/>
  <c r="P100" i="5" l="1"/>
  <c r="Y99" i="5"/>
  <c r="CI108" i="6"/>
  <c r="CB108" i="6" s="1"/>
  <c r="AG109" i="6"/>
  <c r="AH109" i="6"/>
  <c r="CJ108" i="6"/>
  <c r="CC108" i="6" s="1"/>
  <c r="P101" i="5" l="1"/>
  <c r="Y100" i="5"/>
  <c r="AO109" i="6"/>
  <c r="Q109" i="6"/>
  <c r="R109" i="6" s="1"/>
  <c r="S109" i="6" s="1"/>
  <c r="AP109" i="6"/>
  <c r="AI109" i="6"/>
  <c r="CK108" i="6"/>
  <c r="CD108" i="6" s="1"/>
  <c r="P102" i="5" l="1"/>
  <c r="Y101" i="5"/>
  <c r="AQ109" i="6"/>
  <c r="CL108" i="6"/>
  <c r="CE108" i="6" s="1"/>
  <c r="AJ109" i="6"/>
  <c r="P103" i="5" l="1"/>
  <c r="Y102" i="5"/>
  <c r="CM108" i="6"/>
  <c r="CF108" i="6" s="1"/>
  <c r="AK109" i="6"/>
  <c r="W109" i="6"/>
  <c r="Z109" i="6" s="1"/>
  <c r="AC109" i="6"/>
  <c r="AR109" i="6"/>
  <c r="P104" i="5" l="1"/>
  <c r="Y103" i="5"/>
  <c r="AL109" i="6"/>
  <c r="CN108" i="6"/>
  <c r="CG108" i="6" s="1"/>
  <c r="AS109" i="6"/>
  <c r="P105" i="5" l="1"/>
  <c r="Y104" i="5"/>
  <c r="AT109" i="6"/>
  <c r="AM109" i="6"/>
  <c r="CO108" i="6"/>
  <c r="CH108" i="6" s="1"/>
  <c r="P106" i="5" l="1"/>
  <c r="Y105" i="5"/>
  <c r="AU109" i="6"/>
  <c r="AN109" i="6"/>
  <c r="X109" i="6" s="1"/>
  <c r="CP108" i="6"/>
  <c r="T108" i="6" s="1"/>
  <c r="Y106" i="5" l="1"/>
  <c r="P107" i="5"/>
  <c r="AA109" i="6"/>
  <c r="Y109" i="6"/>
  <c r="AB109" i="6" s="1"/>
  <c r="AV109" i="6"/>
  <c r="AW109" i="6" s="1"/>
  <c r="P108" i="5" l="1"/>
  <c r="Y107" i="5"/>
  <c r="AZ109" i="6"/>
  <c r="BD109" i="6"/>
  <c r="BO109" i="6" s="1"/>
  <c r="BB109" i="6"/>
  <c r="BM109" i="6" s="1"/>
  <c r="BC109" i="6"/>
  <c r="BN109" i="6" s="1"/>
  <c r="BG109" i="6"/>
  <c r="BR109" i="6" s="1"/>
  <c r="BA109" i="6"/>
  <c r="BL109" i="6" s="1"/>
  <c r="BF109" i="6"/>
  <c r="BQ109" i="6" s="1"/>
  <c r="AX109" i="6"/>
  <c r="BE109" i="6"/>
  <c r="BP109" i="6" s="1"/>
  <c r="Y108" i="5" l="1"/>
  <c r="P109" i="5"/>
  <c r="BW109" i="6"/>
  <c r="BU109" i="6"/>
  <c r="BV109" i="6"/>
  <c r="BZ109" i="6"/>
  <c r="BT109" i="6"/>
  <c r="BY109" i="6"/>
  <c r="BH109" i="6"/>
  <c r="AY109" i="6"/>
  <c r="BX109" i="6"/>
  <c r="P110" i="5" l="1"/>
  <c r="Y109" i="5"/>
  <c r="BI109" i="6"/>
  <c r="BJ109" i="6" s="1"/>
  <c r="BK109" i="6" s="1"/>
  <c r="P111" i="5" l="1"/>
  <c r="Y110" i="5"/>
  <c r="BS109" i="6"/>
  <c r="CA109" i="6" s="1"/>
  <c r="P112" i="5" l="1"/>
  <c r="Y111" i="5"/>
  <c r="CI109" i="6"/>
  <c r="CB109" i="6" s="1"/>
  <c r="AG110" i="6"/>
  <c r="P113" i="5" l="1"/>
  <c r="Y112" i="5"/>
  <c r="AH110" i="6"/>
  <c r="CJ109" i="6"/>
  <c r="CC109" i="6" s="1"/>
  <c r="Q110" i="6"/>
  <c r="R110" i="6" s="1"/>
  <c r="S110" i="6" s="1"/>
  <c r="AO110" i="6"/>
  <c r="P114" i="5" l="1"/>
  <c r="Y113" i="5"/>
  <c r="AP110" i="6"/>
  <c r="AI110" i="6"/>
  <c r="CK109" i="6"/>
  <c r="CD109" i="6" s="1"/>
  <c r="P115" i="5" l="1"/>
  <c r="Y114" i="5"/>
  <c r="W110" i="6"/>
  <c r="Z110" i="6" s="1"/>
  <c r="AQ110" i="6"/>
  <c r="CL109" i="6"/>
  <c r="CE109" i="6" s="1"/>
  <c r="AJ110" i="6"/>
  <c r="P116" i="5" l="1"/>
  <c r="Y115" i="5"/>
  <c r="AK110" i="6"/>
  <c r="CM109" i="6"/>
  <c r="CF109" i="6" s="1"/>
  <c r="AC110" i="6"/>
  <c r="AR110" i="6"/>
  <c r="P117" i="5" l="1"/>
  <c r="Y116" i="5"/>
  <c r="AS110" i="6"/>
  <c r="AL110" i="6"/>
  <c r="CN109" i="6"/>
  <c r="CG109" i="6" s="1"/>
  <c r="P118" i="5" l="1"/>
  <c r="Y117" i="5"/>
  <c r="AT110" i="6"/>
  <c r="CO109" i="6"/>
  <c r="CH109" i="6" s="1"/>
  <c r="AM110" i="6"/>
  <c r="P119" i="5" l="1"/>
  <c r="Y118" i="5"/>
  <c r="CP109" i="6"/>
  <c r="T109" i="6" s="1"/>
  <c r="AN110" i="6"/>
  <c r="X110" i="6" s="1"/>
  <c r="AU110" i="6"/>
  <c r="Y119" i="5" l="1"/>
  <c r="P120" i="5"/>
  <c r="AV110" i="6"/>
  <c r="AW110" i="6" s="1"/>
  <c r="AA110" i="6"/>
  <c r="Y110" i="6"/>
  <c r="AB110" i="6" s="1"/>
  <c r="BD110" i="6"/>
  <c r="BO110" i="6" s="1"/>
  <c r="BA110" i="6"/>
  <c r="BL110" i="6" s="1"/>
  <c r="P121" i="5" l="1"/>
  <c r="Y120" i="5"/>
  <c r="BW110" i="6"/>
  <c r="BT110" i="6"/>
  <c r="BF110" i="6"/>
  <c r="BQ110" i="6" s="1"/>
  <c r="BB110" i="6"/>
  <c r="BM110" i="6" s="1"/>
  <c r="BG110" i="6"/>
  <c r="BR110" i="6" s="1"/>
  <c r="BE110" i="6"/>
  <c r="BP110" i="6" s="1"/>
  <c r="BC110" i="6"/>
  <c r="BN110" i="6" s="1"/>
  <c r="AX110" i="6"/>
  <c r="AZ110" i="6"/>
  <c r="P122" i="5" l="1"/>
  <c r="Y121" i="5"/>
  <c r="BY110" i="6"/>
  <c r="BU110" i="6"/>
  <c r="BZ110" i="6"/>
  <c r="BX110" i="6"/>
  <c r="BV110" i="6"/>
  <c r="AY110" i="6"/>
  <c r="BH110" i="6"/>
  <c r="P123" i="5" l="1"/>
  <c r="Y122" i="5"/>
  <c r="BJ110" i="6"/>
  <c r="BK110" i="6" s="1"/>
  <c r="BI110" i="6"/>
  <c r="P124" i="5" l="1"/>
  <c r="Y123" i="5"/>
  <c r="BS110" i="6"/>
  <c r="CA110" i="6"/>
  <c r="P125" i="5" l="1"/>
  <c r="Y124" i="5"/>
  <c r="AG111" i="6"/>
  <c r="CI110" i="6"/>
  <c r="CB110" i="6" s="1"/>
  <c r="P126" i="5" l="1"/>
  <c r="Y125" i="5"/>
  <c r="AO111" i="6"/>
  <c r="Q111" i="6"/>
  <c r="R111" i="6" s="1"/>
  <c r="S111" i="6" s="1"/>
  <c r="CJ110" i="6"/>
  <c r="CC110" i="6" s="1"/>
  <c r="AH111" i="6"/>
  <c r="P127" i="5" l="1"/>
  <c r="Y126" i="5"/>
  <c r="AI111" i="6"/>
  <c r="CK110" i="6"/>
  <c r="CD110" i="6" s="1"/>
  <c r="AP111" i="6"/>
  <c r="P128" i="5" l="1"/>
  <c r="Y127" i="5"/>
  <c r="W111" i="6"/>
  <c r="Z111" i="6" s="1"/>
  <c r="AQ111" i="6"/>
  <c r="CL110" i="6"/>
  <c r="CE110" i="6" s="1"/>
  <c r="AJ111" i="6"/>
  <c r="P129" i="5" l="1"/>
  <c r="Y128" i="5"/>
  <c r="AK111" i="6"/>
  <c r="CM110" i="6"/>
  <c r="CF110" i="6" s="1"/>
  <c r="AR111" i="6"/>
  <c r="AC111" i="6"/>
  <c r="P130" i="5" l="1"/>
  <c r="Y129" i="5"/>
  <c r="AS111" i="6"/>
  <c r="CN110" i="6"/>
  <c r="CG110" i="6" s="1"/>
  <c r="AL111" i="6"/>
  <c r="P131" i="5" l="1"/>
  <c r="Y130" i="5"/>
  <c r="CO110" i="6"/>
  <c r="CH110" i="6" s="1"/>
  <c r="AM111" i="6"/>
  <c r="AT111" i="6"/>
  <c r="P132" i="5" l="1"/>
  <c r="Y131" i="5"/>
  <c r="CP110" i="6"/>
  <c r="T110" i="6" s="1"/>
  <c r="AN111" i="6"/>
  <c r="X111" i="6" s="1"/>
  <c r="AU111" i="6"/>
  <c r="P133" i="5" l="1"/>
  <c r="Y132" i="5"/>
  <c r="AV111" i="6"/>
  <c r="AW111" i="6" s="1"/>
  <c r="Y111" i="6"/>
  <c r="AB111" i="6" s="1"/>
  <c r="AA111" i="6"/>
  <c r="P134" i="5" l="1"/>
  <c r="Y133" i="5"/>
  <c r="BA111" i="6"/>
  <c r="BL111" i="6" s="1"/>
  <c r="BC111" i="6"/>
  <c r="BN111" i="6" s="1"/>
  <c r="BF111" i="6"/>
  <c r="BQ111" i="6" s="1"/>
  <c r="BD111" i="6"/>
  <c r="BO111" i="6" s="1"/>
  <c r="BE111" i="6"/>
  <c r="BP111" i="6" s="1"/>
  <c r="AX111" i="6"/>
  <c r="BB111" i="6"/>
  <c r="BM111" i="6" s="1"/>
  <c r="BG111" i="6"/>
  <c r="BR111" i="6" s="1"/>
  <c r="AZ111" i="6"/>
  <c r="BZ111" i="6"/>
  <c r="P135" i="5" l="1"/>
  <c r="Y134" i="5"/>
  <c r="BT111" i="6"/>
  <c r="BV111" i="6"/>
  <c r="BY111" i="6"/>
  <c r="BW111" i="6"/>
  <c r="BX111" i="6"/>
  <c r="AY111" i="6"/>
  <c r="BH111" i="6"/>
  <c r="BU111" i="6"/>
  <c r="P136" i="5" l="1"/>
  <c r="Y135" i="5"/>
  <c r="BI111" i="6"/>
  <c r="BJ111" i="6" s="1"/>
  <c r="BK111" i="6" s="1"/>
  <c r="P137" i="5" l="1"/>
  <c r="Y136" i="5"/>
  <c r="CA111" i="6"/>
  <c r="BS111" i="6"/>
  <c r="P138" i="5" l="1"/>
  <c r="Y137" i="5"/>
  <c r="CI111" i="6"/>
  <c r="CB111" i="6" s="1"/>
  <c r="AG112" i="6"/>
  <c r="P139" i="5" l="1"/>
  <c r="Y138" i="5"/>
  <c r="AO112" i="6"/>
  <c r="Q112" i="6"/>
  <c r="R112" i="6" s="1"/>
  <c r="S112" i="6" s="1"/>
  <c r="AH112" i="6"/>
  <c r="CJ111" i="6"/>
  <c r="CC111" i="6" s="1"/>
  <c r="P140" i="5" l="1"/>
  <c r="Y139" i="5"/>
  <c r="AP112" i="6"/>
  <c r="CK111" i="6"/>
  <c r="CD111" i="6" s="1"/>
  <c r="AI112" i="6"/>
  <c r="P141" i="5" l="1"/>
  <c r="Y140" i="5"/>
  <c r="AJ112" i="6"/>
  <c r="W112" i="6" s="1"/>
  <c r="Z112" i="6" s="1"/>
  <c r="CL111" i="6"/>
  <c r="CE111" i="6" s="1"/>
  <c r="AQ112" i="6"/>
  <c r="P142" i="5" l="1"/>
  <c r="Y141" i="5"/>
  <c r="AR112" i="6"/>
  <c r="AC112" i="6"/>
  <c r="CM111" i="6"/>
  <c r="CF111" i="6" s="1"/>
  <c r="AK112" i="6"/>
  <c r="P143" i="5" l="1"/>
  <c r="Y142" i="5"/>
  <c r="CN111" i="6"/>
  <c r="CG111" i="6" s="1"/>
  <c r="AL112" i="6"/>
  <c r="AS112" i="6"/>
  <c r="P144" i="5" l="1"/>
  <c r="Y143" i="5"/>
  <c r="CO111" i="6"/>
  <c r="CH111" i="6" s="1"/>
  <c r="AM112" i="6"/>
  <c r="AT112" i="6"/>
  <c r="P145" i="5" l="1"/>
  <c r="Y144" i="5"/>
  <c r="AN112" i="6"/>
  <c r="CP111" i="6"/>
  <c r="T111" i="6" s="1"/>
  <c r="X112" i="6"/>
  <c r="AU112" i="6"/>
  <c r="P146" i="5" l="1"/>
  <c r="Y145" i="5"/>
  <c r="AV112" i="6"/>
  <c r="AW112" i="6" s="1"/>
  <c r="AA112" i="6"/>
  <c r="Y112" i="6"/>
  <c r="AB112" i="6" s="1"/>
  <c r="P147" i="5" l="1"/>
  <c r="Y146" i="5"/>
  <c r="AZ112" i="6"/>
  <c r="BB112" i="6"/>
  <c r="BM112" i="6" s="1"/>
  <c r="BG112" i="6"/>
  <c r="BR112" i="6" s="1"/>
  <c r="BA112" i="6"/>
  <c r="BL112" i="6" s="1"/>
  <c r="BC112" i="6"/>
  <c r="BN112" i="6" s="1"/>
  <c r="BF112" i="6"/>
  <c r="BQ112" i="6" s="1"/>
  <c r="AX112" i="6"/>
  <c r="BE112" i="6"/>
  <c r="BP112" i="6" s="1"/>
  <c r="BD112" i="6"/>
  <c r="BO112" i="6" s="1"/>
  <c r="P148" i="5" l="1"/>
  <c r="Y147" i="5"/>
  <c r="BU112" i="6"/>
  <c r="BZ112" i="6"/>
  <c r="BT112" i="6"/>
  <c r="BV112" i="6"/>
  <c r="BY112" i="6"/>
  <c r="AY112" i="6"/>
  <c r="BH112" i="6"/>
  <c r="BX112" i="6"/>
  <c r="BW112" i="6"/>
  <c r="P149" i="5" l="1"/>
  <c r="Y148" i="5"/>
  <c r="BI112" i="6"/>
  <c r="BJ112" i="6" s="1"/>
  <c r="BK112" i="6" s="1"/>
  <c r="P150" i="5" l="1"/>
  <c r="Y149" i="5"/>
  <c r="CA112" i="6"/>
  <c r="BS112" i="6"/>
  <c r="P151" i="5" l="1"/>
  <c r="Y150" i="5"/>
  <c r="CI112" i="6"/>
  <c r="CB112" i="6" s="1"/>
  <c r="AG113" i="6"/>
  <c r="AH113" i="6"/>
  <c r="CJ112" i="6"/>
  <c r="CC112" i="6" s="1"/>
  <c r="P152" i="5" l="1"/>
  <c r="Y151" i="5"/>
  <c r="AO113" i="6"/>
  <c r="Q113" i="6"/>
  <c r="R113" i="6" s="1"/>
  <c r="S113" i="6" s="1"/>
  <c r="AP113" i="6"/>
  <c r="AI113" i="6"/>
  <c r="CK112" i="6"/>
  <c r="CD112" i="6" s="1"/>
  <c r="P153" i="5" l="1"/>
  <c r="Y152" i="5"/>
  <c r="AQ113" i="6"/>
  <c r="CL112" i="6"/>
  <c r="CE112" i="6" s="1"/>
  <c r="AJ113" i="6"/>
  <c r="P154" i="5" l="1"/>
  <c r="Y153" i="5"/>
  <c r="CM112" i="6"/>
  <c r="CF112" i="6" s="1"/>
  <c r="AK113" i="6"/>
  <c r="W113" i="6"/>
  <c r="Z113" i="6" s="1"/>
  <c r="AR113" i="6"/>
  <c r="AC113" i="6"/>
  <c r="P155" i="5" l="1"/>
  <c r="Y154" i="5"/>
  <c r="CN112" i="6"/>
  <c r="CG112" i="6" s="1"/>
  <c r="AL113" i="6"/>
  <c r="AS113" i="6"/>
  <c r="P156" i="5" l="1"/>
  <c r="Y155" i="5"/>
  <c r="AM113" i="6"/>
  <c r="CO112" i="6"/>
  <c r="CH112" i="6" s="1"/>
  <c r="AT113" i="6"/>
  <c r="P157" i="5" l="1"/>
  <c r="Y156" i="5"/>
  <c r="AU113" i="6"/>
  <c r="AN113" i="6"/>
  <c r="X113" i="6" s="1"/>
  <c r="CP112" i="6"/>
  <c r="T112" i="6" s="1"/>
  <c r="P158" i="5" l="1"/>
  <c r="Y157" i="5"/>
  <c r="Y113" i="6"/>
  <c r="AB113" i="6" s="1"/>
  <c r="AA113" i="6"/>
  <c r="AV113" i="6"/>
  <c r="AW113" i="6" s="1"/>
  <c r="P159" i="5" l="1"/>
  <c r="Y158" i="5"/>
  <c r="AZ113" i="6"/>
  <c r="BC113" i="6"/>
  <c r="BN113" i="6" s="1"/>
  <c r="BG113" i="6"/>
  <c r="BR113" i="6" s="1"/>
  <c r="AX113" i="6"/>
  <c r="BB113" i="6"/>
  <c r="BM113" i="6" s="1"/>
  <c r="BF113" i="6"/>
  <c r="BQ113" i="6" s="1"/>
  <c r="BD113" i="6"/>
  <c r="BO113" i="6" s="1"/>
  <c r="BA113" i="6"/>
  <c r="BL113" i="6" s="1"/>
  <c r="BE113" i="6"/>
  <c r="BP113" i="6" s="1"/>
  <c r="P160" i="5" l="1"/>
  <c r="Y159" i="5"/>
  <c r="BV113" i="6"/>
  <c r="BH113" i="6"/>
  <c r="AY113" i="6"/>
  <c r="BU113" i="6"/>
  <c r="BY113" i="6"/>
  <c r="BW113" i="6"/>
  <c r="BT113" i="6"/>
  <c r="BX113" i="6"/>
  <c r="BZ113" i="6"/>
  <c r="P161" i="5" l="1"/>
  <c r="Y160" i="5"/>
  <c r="BJ113" i="6"/>
  <c r="BK113" i="6" s="1"/>
  <c r="BI113" i="6"/>
  <c r="P162" i="5" l="1"/>
  <c r="Y161" i="5"/>
  <c r="BS113" i="6"/>
  <c r="CA113" i="6" s="1"/>
  <c r="P163" i="5" l="1"/>
  <c r="Y162" i="5"/>
  <c r="AG114" i="6"/>
  <c r="CI113" i="6"/>
  <c r="CB113" i="6" s="1"/>
  <c r="P164" i="5" l="1"/>
  <c r="Y163" i="5"/>
  <c r="Q114" i="6"/>
  <c r="R114" i="6" s="1"/>
  <c r="S114" i="6" s="1"/>
  <c r="AO114" i="6"/>
  <c r="CJ113" i="6"/>
  <c r="CC113" i="6" s="1"/>
  <c r="AH114" i="6"/>
  <c r="P165" i="5" l="1"/>
  <c r="Y164" i="5"/>
  <c r="CK113" i="6"/>
  <c r="CD113" i="6" s="1"/>
  <c r="AI114" i="6"/>
  <c r="AP114" i="6"/>
  <c r="P166" i="5" l="1"/>
  <c r="Y165" i="5"/>
  <c r="CL113" i="6"/>
  <c r="CE113" i="6" s="1"/>
  <c r="AJ114" i="6"/>
  <c r="W114" i="6"/>
  <c r="Z114" i="6" s="1"/>
  <c r="AQ114" i="6"/>
  <c r="P167" i="5" l="1"/>
  <c r="Y166" i="5"/>
  <c r="AK114" i="6"/>
  <c r="CM113" i="6"/>
  <c r="CF113" i="6" s="1"/>
  <c r="AC114" i="6"/>
  <c r="AR114" i="6"/>
  <c r="P168" i="5" l="1"/>
  <c r="Y167" i="5"/>
  <c r="AS114" i="6"/>
  <c r="CN113" i="6"/>
  <c r="CG113" i="6" s="1"/>
  <c r="AL114" i="6"/>
  <c r="P169" i="5" l="1"/>
  <c r="Y168" i="5"/>
  <c r="AM114" i="6"/>
  <c r="CO113" i="6"/>
  <c r="CH113" i="6" s="1"/>
  <c r="AT114" i="6"/>
  <c r="P170" i="5" l="1"/>
  <c r="Y169" i="5"/>
  <c r="AU114" i="6"/>
  <c r="AN114" i="6"/>
  <c r="X114" i="6" s="1"/>
  <c r="CP113" i="6"/>
  <c r="T113" i="6" s="1"/>
  <c r="P171" i="5" l="1"/>
  <c r="Y170" i="5"/>
  <c r="AA114" i="6"/>
  <c r="Y114" i="6"/>
  <c r="AB114" i="6" s="1"/>
  <c r="AV114" i="6"/>
  <c r="AW114" i="6" s="1"/>
  <c r="P172" i="5" l="1"/>
  <c r="Y171" i="5"/>
  <c r="BB114" i="6"/>
  <c r="BM114" i="6" s="1"/>
  <c r="BG114" i="6"/>
  <c r="BR114" i="6" s="1"/>
  <c r="BA114" i="6"/>
  <c r="BL114" i="6" s="1"/>
  <c r="BD114" i="6"/>
  <c r="BO114" i="6" s="1"/>
  <c r="BE114" i="6"/>
  <c r="BP114" i="6" s="1"/>
  <c r="BF114" i="6"/>
  <c r="BQ114" i="6" s="1"/>
  <c r="AX114" i="6"/>
  <c r="BC114" i="6"/>
  <c r="BN114" i="6" s="1"/>
  <c r="AZ114" i="6"/>
  <c r="P173" i="5" l="1"/>
  <c r="Y172" i="5"/>
  <c r="BU114" i="6"/>
  <c r="BT114" i="6"/>
  <c r="BW114" i="6"/>
  <c r="BX114" i="6"/>
  <c r="BY114" i="6"/>
  <c r="AY114" i="6"/>
  <c r="BH114" i="6"/>
  <c r="BV114" i="6"/>
  <c r="BZ114" i="6"/>
  <c r="P174" i="5" l="1"/>
  <c r="Y173" i="5"/>
  <c r="BI114" i="6"/>
  <c r="BJ114" i="6" s="1"/>
  <c r="BK114" i="6" s="1"/>
  <c r="P175" i="5" l="1"/>
  <c r="Y174" i="5"/>
  <c r="BS114" i="6"/>
  <c r="CA114" i="6" s="1"/>
  <c r="P176" i="5" l="1"/>
  <c r="Y175" i="5"/>
  <c r="CI114" i="6"/>
  <c r="CB114" i="6" s="1"/>
  <c r="AG115" i="6"/>
  <c r="P177" i="5" l="1"/>
  <c r="Y176" i="5"/>
  <c r="AH115" i="6"/>
  <c r="CJ114" i="6"/>
  <c r="CC114" i="6" s="1"/>
  <c r="AO115" i="6"/>
  <c r="Q115" i="6"/>
  <c r="R115" i="6" s="1"/>
  <c r="S115" i="6" s="1"/>
  <c r="P178" i="5" l="1"/>
  <c r="Y177" i="5"/>
  <c r="AP115" i="6"/>
  <c r="CK114" i="6"/>
  <c r="CD114" i="6" s="1"/>
  <c r="AI115" i="6"/>
  <c r="P179" i="5" l="1"/>
  <c r="Y178" i="5"/>
  <c r="CL114" i="6"/>
  <c r="CE114" i="6" s="1"/>
  <c r="AJ115" i="6"/>
  <c r="W115" i="6" s="1"/>
  <c r="Z115" i="6" s="1"/>
  <c r="AQ115" i="6"/>
  <c r="P180" i="5" l="1"/>
  <c r="Y179" i="5"/>
  <c r="CM114" i="6"/>
  <c r="CF114" i="6" s="1"/>
  <c r="AK115" i="6"/>
  <c r="AR115" i="6"/>
  <c r="AC115" i="6"/>
  <c r="P181" i="5" l="1"/>
  <c r="Y180" i="5"/>
  <c r="CN114" i="6"/>
  <c r="CG114" i="6" s="1"/>
  <c r="AL115" i="6"/>
  <c r="AS115" i="6"/>
  <c r="P182" i="5" l="1"/>
  <c r="Y181" i="5"/>
  <c r="CO114" i="6"/>
  <c r="CH114" i="6" s="1"/>
  <c r="AM115" i="6"/>
  <c r="AT115" i="6"/>
  <c r="P183" i="5" l="1"/>
  <c r="Y182" i="5"/>
  <c r="CP114" i="6"/>
  <c r="T114" i="6" s="1"/>
  <c r="AN115" i="6"/>
  <c r="X115" i="6"/>
  <c r="AU115" i="6"/>
  <c r="P184" i="5" l="1"/>
  <c r="Y183" i="5"/>
  <c r="AV115" i="6"/>
  <c r="AW115" i="6" s="1"/>
  <c r="AA115" i="6"/>
  <c r="Y115" i="6"/>
  <c r="AB115" i="6" s="1"/>
  <c r="P185" i="5" l="1"/>
  <c r="Y184" i="5"/>
  <c r="BB115" i="6"/>
  <c r="BM115" i="6" s="1"/>
  <c r="BA115" i="6"/>
  <c r="BL115" i="6" s="1"/>
  <c r="BC115" i="6"/>
  <c r="BN115" i="6" s="1"/>
  <c r="BE115" i="6"/>
  <c r="BP115" i="6" s="1"/>
  <c r="AZ115" i="6"/>
  <c r="BD115" i="6"/>
  <c r="BO115" i="6" s="1"/>
  <c r="BF115" i="6"/>
  <c r="BQ115" i="6" s="1"/>
  <c r="BG115" i="6"/>
  <c r="BR115" i="6" s="1"/>
  <c r="AX115" i="6"/>
  <c r="P186" i="5" l="1"/>
  <c r="Y185" i="5"/>
  <c r="BU115" i="6"/>
  <c r="BT115" i="6"/>
  <c r="BV115" i="6"/>
  <c r="BX115" i="6"/>
  <c r="BW115" i="6"/>
  <c r="BY115" i="6"/>
  <c r="BZ115" i="6"/>
  <c r="BH115" i="6"/>
  <c r="AY115" i="6"/>
  <c r="P187" i="5" l="1"/>
  <c r="Y186" i="5"/>
  <c r="BJ115" i="6"/>
  <c r="BK115" i="6" s="1"/>
  <c r="BI115" i="6"/>
  <c r="P188" i="5" l="1"/>
  <c r="Y187" i="5"/>
  <c r="BS115" i="6"/>
  <c r="CA115" i="6" s="1"/>
  <c r="P189" i="5" l="1"/>
  <c r="Y188" i="5"/>
  <c r="AG116" i="6"/>
  <c r="CI115" i="6"/>
  <c r="CB115" i="6" s="1"/>
  <c r="P190" i="5" l="1"/>
  <c r="Y189" i="5"/>
  <c r="Q116" i="6"/>
  <c r="R116" i="6" s="1"/>
  <c r="S116" i="6" s="1"/>
  <c r="AO116" i="6"/>
  <c r="CJ115" i="6"/>
  <c r="CC115" i="6" s="1"/>
  <c r="AH116" i="6"/>
  <c r="P191" i="5" l="1"/>
  <c r="Y190" i="5"/>
  <c r="AI116" i="6"/>
  <c r="CK115" i="6"/>
  <c r="CD115" i="6" s="1"/>
  <c r="AP116" i="6"/>
  <c r="P192" i="5" l="1"/>
  <c r="Y191" i="5"/>
  <c r="W116" i="6"/>
  <c r="Z116" i="6" s="1"/>
  <c r="AQ116" i="6"/>
  <c r="AJ116" i="6"/>
  <c r="CL115" i="6"/>
  <c r="CE115" i="6" s="1"/>
  <c r="P193" i="5" l="1"/>
  <c r="Y192" i="5"/>
  <c r="AC116" i="6"/>
  <c r="AR116" i="6"/>
  <c r="AK116" i="6"/>
  <c r="CM115" i="6"/>
  <c r="CF115" i="6" s="1"/>
  <c r="P194" i="5" l="1"/>
  <c r="Y193" i="5"/>
  <c r="AS116" i="6"/>
  <c r="CN115" i="6"/>
  <c r="CG115" i="6" s="1"/>
  <c r="AL116" i="6"/>
  <c r="P195" i="5" l="1"/>
  <c r="Y194" i="5"/>
  <c r="AM116" i="6"/>
  <c r="CO115" i="6"/>
  <c r="CH115" i="6" s="1"/>
  <c r="AT116" i="6"/>
  <c r="P196" i="5" l="1"/>
  <c r="Y195" i="5"/>
  <c r="AU116" i="6"/>
  <c r="CP115" i="6"/>
  <c r="T115" i="6" s="1"/>
  <c r="AN116" i="6"/>
  <c r="X116" i="6" s="1"/>
  <c r="P197" i="5" l="1"/>
  <c r="Y196" i="5"/>
  <c r="AA116" i="6"/>
  <c r="Y116" i="6"/>
  <c r="AB116" i="6" s="1"/>
  <c r="AV116" i="6"/>
  <c r="AW116" i="6" s="1"/>
  <c r="P198" i="5" l="1"/>
  <c r="Y197" i="5"/>
  <c r="BB116" i="6"/>
  <c r="BM116" i="6" s="1"/>
  <c r="BA116" i="6"/>
  <c r="BL116" i="6" s="1"/>
  <c r="AZ116" i="6"/>
  <c r="BG116" i="6"/>
  <c r="BR116" i="6" s="1"/>
  <c r="AX116" i="6"/>
  <c r="BE116" i="6"/>
  <c r="BP116" i="6" s="1"/>
  <c r="BD116" i="6"/>
  <c r="BO116" i="6" s="1"/>
  <c r="BF116" i="6"/>
  <c r="BQ116" i="6" s="1"/>
  <c r="BC116" i="6"/>
  <c r="BN116" i="6" s="1"/>
  <c r="P199" i="5" l="1"/>
  <c r="Y198" i="5"/>
  <c r="BU116" i="6"/>
  <c r="BT116" i="6"/>
  <c r="BZ116" i="6"/>
  <c r="BH116" i="6"/>
  <c r="AY116" i="6"/>
  <c r="BX116" i="6"/>
  <c r="BW116" i="6"/>
  <c r="BY116" i="6"/>
  <c r="BV116" i="6"/>
  <c r="P200" i="5" l="1"/>
  <c r="Y199" i="5"/>
  <c r="BI116" i="6"/>
  <c r="BJ116" i="6" s="1"/>
  <c r="BK116" i="6" s="1"/>
  <c r="P201" i="5" l="1"/>
  <c r="Y200" i="5"/>
  <c r="BS116" i="6"/>
  <c r="CA116" i="6" s="1"/>
  <c r="P202" i="5" l="1"/>
  <c r="Y201" i="5"/>
  <c r="AG117" i="6"/>
  <c r="CI116" i="6"/>
  <c r="CB116" i="6" s="1"/>
  <c r="P203" i="5" l="1"/>
  <c r="Y202" i="5"/>
  <c r="AO117" i="6"/>
  <c r="Q117" i="6"/>
  <c r="R117" i="6" s="1"/>
  <c r="S117" i="6" s="1"/>
  <c r="CJ116" i="6"/>
  <c r="CC116" i="6" s="1"/>
  <c r="AH117" i="6"/>
  <c r="P204" i="5" l="1"/>
  <c r="Y203" i="5"/>
  <c r="CK116" i="6"/>
  <c r="CD116" i="6" s="1"/>
  <c r="AI117" i="6"/>
  <c r="AP117" i="6"/>
  <c r="P205" i="5" l="1"/>
  <c r="Y204" i="5"/>
  <c r="CL116" i="6"/>
  <c r="CE116" i="6" s="1"/>
  <c r="AJ117" i="6"/>
  <c r="W117" i="6" s="1"/>
  <c r="Z117" i="6" s="1"/>
  <c r="AQ117" i="6"/>
  <c r="P206" i="5" l="1"/>
  <c r="Y205" i="5"/>
  <c r="AK117" i="6"/>
  <c r="CM116" i="6"/>
  <c r="CF116" i="6" s="1"/>
  <c r="AR117" i="6"/>
  <c r="AC117" i="6"/>
  <c r="P207" i="5" l="1"/>
  <c r="Y206" i="5"/>
  <c r="AS117" i="6"/>
  <c r="CN116" i="6"/>
  <c r="CG116" i="6" s="1"/>
  <c r="AL117" i="6"/>
  <c r="P208" i="5" l="1"/>
  <c r="Y207" i="5"/>
  <c r="CO116" i="6"/>
  <c r="CH116" i="6" s="1"/>
  <c r="AM117" i="6"/>
  <c r="AT117" i="6"/>
  <c r="P209" i="5" l="1"/>
  <c r="Y208" i="5"/>
  <c r="CP116" i="6"/>
  <c r="T116" i="6" s="1"/>
  <c r="AN117" i="6"/>
  <c r="X117" i="6"/>
  <c r="AU117" i="6"/>
  <c r="P210" i="5" l="1"/>
  <c r="Y209" i="5"/>
  <c r="AV117" i="6"/>
  <c r="AW117" i="6" s="1"/>
  <c r="AA117" i="6"/>
  <c r="Y117" i="6"/>
  <c r="AB117" i="6" s="1"/>
  <c r="P211" i="5" l="1"/>
  <c r="Y210" i="5"/>
  <c r="AZ117" i="6"/>
  <c r="BE117" i="6"/>
  <c r="BP117" i="6" s="1"/>
  <c r="BB117" i="6"/>
  <c r="BM117" i="6" s="1"/>
  <c r="BC117" i="6"/>
  <c r="BN117" i="6" s="1"/>
  <c r="BF117" i="6"/>
  <c r="BQ117" i="6" s="1"/>
  <c r="BD117" i="6"/>
  <c r="BO117" i="6" s="1"/>
  <c r="AX117" i="6"/>
  <c r="BA117" i="6"/>
  <c r="BL117" i="6" s="1"/>
  <c r="BG117" i="6"/>
  <c r="BR117" i="6" s="1"/>
  <c r="BZ117" i="6"/>
  <c r="P212" i="5" l="1"/>
  <c r="Y211" i="5"/>
  <c r="BX117" i="6"/>
  <c r="BU117" i="6"/>
  <c r="BV117" i="6"/>
  <c r="BY117" i="6"/>
  <c r="BW117" i="6"/>
  <c r="AY117" i="6"/>
  <c r="BH117" i="6"/>
  <c r="BT117" i="6"/>
  <c r="P213" i="5" l="1"/>
  <c r="Y212" i="5"/>
  <c r="BI117" i="6"/>
  <c r="BJ117" i="6" s="1"/>
  <c r="BK117" i="6" s="1"/>
  <c r="P214" i="5" l="1"/>
  <c r="Y213" i="5"/>
  <c r="BS117" i="6"/>
  <c r="CA117" i="6" s="1"/>
  <c r="P215" i="5" l="1"/>
  <c r="Y214" i="5"/>
  <c r="CI117" i="6"/>
  <c r="CB117" i="6" s="1"/>
  <c r="AG118" i="6"/>
  <c r="P216" i="5" l="1"/>
  <c r="Y215" i="5"/>
  <c r="AH118" i="6"/>
  <c r="CJ117" i="6"/>
  <c r="CC117" i="6" s="1"/>
  <c r="Q118" i="6"/>
  <c r="R118" i="6" s="1"/>
  <c r="S118" i="6" s="1"/>
  <c r="AO118" i="6"/>
  <c r="P217" i="5" l="1"/>
  <c r="Y216" i="5"/>
  <c r="AP118" i="6"/>
  <c r="AI118" i="6"/>
  <c r="CK117" i="6"/>
  <c r="CD117" i="6" s="1"/>
  <c r="P218" i="5" l="1"/>
  <c r="Y217" i="5"/>
  <c r="AQ118" i="6"/>
  <c r="CL117" i="6"/>
  <c r="CE117" i="6" s="1"/>
  <c r="AJ118" i="6"/>
  <c r="W118" i="6" s="1"/>
  <c r="Z118" i="6" s="1"/>
  <c r="P219" i="5" l="1"/>
  <c r="Y218" i="5"/>
  <c r="AK118" i="6"/>
  <c r="CM117" i="6"/>
  <c r="CF117" i="6" s="1"/>
  <c r="AC118" i="6"/>
  <c r="AR118" i="6"/>
  <c r="P220" i="5" l="1"/>
  <c r="Y219" i="5"/>
  <c r="AS118" i="6"/>
  <c r="AL118" i="6"/>
  <c r="CN117" i="6"/>
  <c r="CG117" i="6" s="1"/>
  <c r="P221" i="5" l="1"/>
  <c r="Y220" i="5"/>
  <c r="AT118" i="6"/>
  <c r="AM118" i="6"/>
  <c r="CO117" i="6"/>
  <c r="CH117" i="6" s="1"/>
  <c r="P222" i="5" l="1"/>
  <c r="Y221" i="5"/>
  <c r="X118" i="6"/>
  <c r="AU118" i="6"/>
  <c r="AN118" i="6"/>
  <c r="CP117" i="6"/>
  <c r="T117" i="6" s="1"/>
  <c r="P223" i="5" l="1"/>
  <c r="Y222" i="5"/>
  <c r="Y118" i="6"/>
  <c r="AB118" i="6" s="1"/>
  <c r="AA118" i="6"/>
  <c r="AV118" i="6"/>
  <c r="AW118" i="6" s="1"/>
  <c r="P224" i="5" l="1"/>
  <c r="Y223" i="5"/>
  <c r="BD118" i="6"/>
  <c r="BO118" i="6" s="1"/>
  <c r="BA118" i="6"/>
  <c r="BL118" i="6" s="1"/>
  <c r="BB118" i="6"/>
  <c r="BM118" i="6" s="1"/>
  <c r="BE118" i="6"/>
  <c r="BP118" i="6" s="1"/>
  <c r="BC118" i="6"/>
  <c r="BN118" i="6" s="1"/>
  <c r="AZ118" i="6"/>
  <c r="BG118" i="6"/>
  <c r="BR118" i="6" s="1"/>
  <c r="BF118" i="6"/>
  <c r="BQ118" i="6" s="1"/>
  <c r="AX118" i="6"/>
  <c r="P225" i="5" l="1"/>
  <c r="Y224" i="5"/>
  <c r="BW118" i="6"/>
  <c r="BT118" i="6"/>
  <c r="BU118" i="6"/>
  <c r="BX118" i="6"/>
  <c r="BV118" i="6"/>
  <c r="BZ118" i="6"/>
  <c r="BY118" i="6"/>
  <c r="BH118" i="6"/>
  <c r="AY118" i="6"/>
  <c r="P226" i="5" l="1"/>
  <c r="Y225" i="5"/>
  <c r="BI118" i="6"/>
  <c r="BJ118" i="6" s="1"/>
  <c r="BK118" i="6" s="1"/>
  <c r="P227" i="5" l="1"/>
  <c r="Y226" i="5"/>
  <c r="BS118" i="6"/>
  <c r="CA118" i="6" s="1"/>
  <c r="P228" i="5" l="1"/>
  <c r="Y227" i="5"/>
  <c r="AG119" i="6"/>
  <c r="CI118" i="6"/>
  <c r="CB118" i="6" s="1"/>
  <c r="CJ118" i="6" s="1"/>
  <c r="CC118" i="6" s="1"/>
  <c r="AH119" i="6"/>
  <c r="P229" i="5" l="1"/>
  <c r="Y228" i="5"/>
  <c r="Q119" i="6"/>
  <c r="R119" i="6" s="1"/>
  <c r="S119" i="6" s="1"/>
  <c r="AO119" i="6"/>
  <c r="AP119" i="6"/>
  <c r="CK118" i="6"/>
  <c r="CD118" i="6" s="1"/>
  <c r="AI119" i="6"/>
  <c r="P230" i="5" l="1"/>
  <c r="Y229" i="5"/>
  <c r="AJ119" i="6"/>
  <c r="CL118" i="6"/>
  <c r="CE118" i="6" s="1"/>
  <c r="AQ119" i="6"/>
  <c r="P231" i="5" l="1"/>
  <c r="Y230" i="5"/>
  <c r="W119" i="6"/>
  <c r="Z119" i="6" s="1"/>
  <c r="AR119" i="6"/>
  <c r="AC119" i="6"/>
  <c r="CM118" i="6"/>
  <c r="CF118" i="6" s="1"/>
  <c r="AK119" i="6"/>
  <c r="P232" i="5" l="1"/>
  <c r="Y231" i="5"/>
  <c r="CN118" i="6"/>
  <c r="CG118" i="6" s="1"/>
  <c r="AL119" i="6"/>
  <c r="AS119" i="6"/>
  <c r="P233" i="5" l="1"/>
  <c r="Y232" i="5"/>
  <c r="AM119" i="6"/>
  <c r="CO118" i="6"/>
  <c r="CH118" i="6" s="1"/>
  <c r="AT119" i="6"/>
  <c r="P234" i="5" l="1"/>
  <c r="Y233" i="5"/>
  <c r="AU119" i="6"/>
  <c r="CP118" i="6"/>
  <c r="T118" i="6" s="1"/>
  <c r="AN119" i="6"/>
  <c r="X119" i="6" s="1"/>
  <c r="P235" i="5" l="1"/>
  <c r="Y234" i="5"/>
  <c r="AA119" i="6"/>
  <c r="Y119" i="6"/>
  <c r="AB119" i="6" s="1"/>
  <c r="AV119" i="6"/>
  <c r="AW119" i="6" s="1"/>
  <c r="P236" i="5" l="1"/>
  <c r="Y235" i="5"/>
  <c r="BA119" i="6"/>
  <c r="BL119" i="6" s="1"/>
  <c r="BG119" i="6"/>
  <c r="BR119" i="6" s="1"/>
  <c r="AZ119" i="6"/>
  <c r="BB119" i="6"/>
  <c r="BM119" i="6" s="1"/>
  <c r="AX119" i="6"/>
  <c r="BE119" i="6"/>
  <c r="BP119" i="6" s="1"/>
  <c r="BC119" i="6"/>
  <c r="BN119" i="6" s="1"/>
  <c r="BD119" i="6"/>
  <c r="BO119" i="6" s="1"/>
  <c r="BF119" i="6"/>
  <c r="BQ119" i="6" s="1"/>
  <c r="P237" i="5" l="1"/>
  <c r="Y236" i="5"/>
  <c r="BT119" i="6"/>
  <c r="BZ119" i="6"/>
  <c r="BU119" i="6"/>
  <c r="BH119" i="6"/>
  <c r="AY119" i="6"/>
  <c r="BX119" i="6"/>
  <c r="BV119" i="6"/>
  <c r="BW119" i="6"/>
  <c r="BY119" i="6"/>
  <c r="P238" i="5" l="1"/>
  <c r="Y237" i="5"/>
  <c r="BI119" i="6"/>
  <c r="BJ119" i="6" s="1"/>
  <c r="BK119" i="6" s="1"/>
  <c r="P239" i="5" l="1"/>
  <c r="Y238" i="5"/>
  <c r="CA119" i="6"/>
  <c r="BS119" i="6"/>
  <c r="P240" i="5" l="1"/>
  <c r="Y239" i="5"/>
  <c r="CI119" i="6"/>
  <c r="CB119" i="6" s="1"/>
  <c r="AG120" i="6"/>
  <c r="P241" i="5" l="1"/>
  <c r="Y240" i="5"/>
  <c r="AH120" i="6"/>
  <c r="CJ119" i="6"/>
  <c r="CC119" i="6" s="1"/>
  <c r="AO120" i="6"/>
  <c r="Q120" i="6"/>
  <c r="R120" i="6" s="1"/>
  <c r="S120" i="6" s="1"/>
  <c r="P242" i="5" l="1"/>
  <c r="Y241" i="5"/>
  <c r="AP120" i="6"/>
  <c r="AI120" i="6"/>
  <c r="CK119" i="6"/>
  <c r="CD119" i="6" s="1"/>
  <c r="P243" i="5" l="1"/>
  <c r="Y242" i="5"/>
  <c r="AQ120" i="6"/>
  <c r="AJ120" i="6"/>
  <c r="W120" i="6" s="1"/>
  <c r="Z120" i="6" s="1"/>
  <c r="CL119" i="6"/>
  <c r="CE119" i="6" s="1"/>
  <c r="P244" i="5" l="1"/>
  <c r="Y243" i="5"/>
  <c r="AR120" i="6"/>
  <c r="AC120" i="6"/>
  <c r="CM119" i="6"/>
  <c r="CF119" i="6" s="1"/>
  <c r="AK120" i="6"/>
  <c r="P245" i="5" l="1"/>
  <c r="Y244" i="5"/>
  <c r="AL120" i="6"/>
  <c r="CN119" i="6"/>
  <c r="CG119" i="6" s="1"/>
  <c r="AS120" i="6"/>
  <c r="P246" i="5" l="1"/>
  <c r="Y245" i="5"/>
  <c r="AT120" i="6"/>
  <c r="CO119" i="6"/>
  <c r="CH119" i="6" s="1"/>
  <c r="AM120" i="6"/>
  <c r="P247" i="5" l="1"/>
  <c r="Y246" i="5"/>
  <c r="AN120" i="6"/>
  <c r="CP119" i="6"/>
  <c r="T119" i="6" s="1"/>
  <c r="X120" i="6"/>
  <c r="AU120" i="6"/>
  <c r="P248" i="5" l="1"/>
  <c r="Y247" i="5"/>
  <c r="AV120" i="6"/>
  <c r="AW120" i="6" s="1"/>
  <c r="AA120" i="6"/>
  <c r="Y120" i="6"/>
  <c r="AB120" i="6" s="1"/>
  <c r="BD120" i="6"/>
  <c r="BO120" i="6" s="1"/>
  <c r="AX120" i="6"/>
  <c r="BF120" i="6"/>
  <c r="BQ120" i="6" s="1"/>
  <c r="BE120" i="6"/>
  <c r="BP120" i="6" s="1"/>
  <c r="AZ120" i="6"/>
  <c r="BB120" i="6"/>
  <c r="BM120" i="6" s="1"/>
  <c r="BA120" i="6"/>
  <c r="BL120" i="6" s="1"/>
  <c r="P249" i="5" l="1"/>
  <c r="Y248" i="5"/>
  <c r="BW120" i="6"/>
  <c r="BH120" i="6"/>
  <c r="AY120" i="6"/>
  <c r="BY120" i="6"/>
  <c r="BX120" i="6"/>
  <c r="BU120" i="6"/>
  <c r="BT120" i="6"/>
  <c r="BG120" i="6"/>
  <c r="BR120" i="6" s="1"/>
  <c r="BC120" i="6"/>
  <c r="BN120" i="6" s="1"/>
  <c r="P250" i="5" l="1"/>
  <c r="Y249" i="5"/>
  <c r="BI120" i="6"/>
  <c r="BJ120" i="6" s="1"/>
  <c r="BK120" i="6" s="1"/>
  <c r="BZ120" i="6"/>
  <c r="BV120" i="6"/>
  <c r="P251" i="5" l="1"/>
  <c r="Y250" i="5"/>
  <c r="BS120" i="6"/>
  <c r="CA120" i="6" s="1"/>
  <c r="P252" i="5" l="1"/>
  <c r="Y251" i="5"/>
  <c r="AG121" i="6"/>
  <c r="CI120" i="6"/>
  <c r="CB120" i="6" s="1"/>
  <c r="P253" i="5" l="1"/>
  <c r="Y252" i="5"/>
  <c r="Q121" i="6"/>
  <c r="R121" i="6" s="1"/>
  <c r="S121" i="6" s="1"/>
  <c r="AO121" i="6"/>
  <c r="AH121" i="6"/>
  <c r="CJ120" i="6"/>
  <c r="CC120" i="6" s="1"/>
  <c r="Y253" i="5" l="1"/>
  <c r="P254" i="5"/>
  <c r="AP121" i="6"/>
  <c r="CK120" i="6"/>
  <c r="CD120" i="6" s="1"/>
  <c r="AI121" i="6"/>
  <c r="P255" i="5" l="1"/>
  <c r="Y254" i="5"/>
  <c r="AJ121" i="6"/>
  <c r="CL120" i="6"/>
  <c r="CE120" i="6" s="1"/>
  <c r="W121" i="6"/>
  <c r="Z121" i="6" s="1"/>
  <c r="AQ121" i="6"/>
  <c r="Y255" i="5" l="1"/>
  <c r="P256" i="5"/>
  <c r="AR121" i="6"/>
  <c r="AC121" i="6"/>
  <c r="AK121" i="6"/>
  <c r="CM120" i="6"/>
  <c r="CF120" i="6" s="1"/>
  <c r="P257" i="5" l="1"/>
  <c r="Y256" i="5"/>
  <c r="AS121" i="6"/>
  <c r="CN120" i="6"/>
  <c r="CG120" i="6" s="1"/>
  <c r="AL121" i="6"/>
  <c r="Y257" i="5" l="1"/>
  <c r="P258" i="5"/>
  <c r="AM121" i="6"/>
  <c r="CO120" i="6"/>
  <c r="CH120" i="6" s="1"/>
  <c r="AT121" i="6"/>
  <c r="P259" i="5" l="1"/>
  <c r="Y258" i="5"/>
  <c r="AU121" i="6"/>
  <c r="CP120" i="6"/>
  <c r="T120" i="6" s="1"/>
  <c r="AN121" i="6"/>
  <c r="X121" i="6" s="1"/>
  <c r="Y259" i="5" l="1"/>
  <c r="P260" i="5"/>
  <c r="Y121" i="6"/>
  <c r="AB121" i="6" s="1"/>
  <c r="AA121" i="6"/>
  <c r="AV121" i="6"/>
  <c r="AW121" i="6" s="1"/>
  <c r="Y260" i="5" l="1"/>
  <c r="P261" i="5"/>
  <c r="BG121" i="6"/>
  <c r="BR121" i="6" s="1"/>
  <c r="BF121" i="6"/>
  <c r="BQ121" i="6" s="1"/>
  <c r="AX121" i="6"/>
  <c r="BB121" i="6"/>
  <c r="BM121" i="6" s="1"/>
  <c r="AZ121" i="6"/>
  <c r="BC121" i="6"/>
  <c r="BN121" i="6" s="1"/>
  <c r="BD121" i="6"/>
  <c r="BO121" i="6" s="1"/>
  <c r="BE121" i="6"/>
  <c r="BP121" i="6" s="1"/>
  <c r="BA121" i="6"/>
  <c r="BL121" i="6" s="1"/>
  <c r="BZ121" i="6"/>
  <c r="P262" i="5" l="1"/>
  <c r="Y261" i="5"/>
  <c r="BY121" i="6"/>
  <c r="BH121" i="6"/>
  <c r="AY121" i="6"/>
  <c r="BU121" i="6"/>
  <c r="BV121" i="6"/>
  <c r="BW121" i="6"/>
  <c r="BX121" i="6"/>
  <c r="BT121" i="6"/>
  <c r="Y262" i="5" l="1"/>
  <c r="P263" i="5"/>
  <c r="BI121" i="6"/>
  <c r="BJ121" i="6" s="1"/>
  <c r="BK121" i="6" s="1"/>
  <c r="Y263" i="5" l="1"/>
  <c r="P264" i="5"/>
  <c r="BS121" i="6"/>
  <c r="CA121" i="6"/>
  <c r="P265" i="5" l="1"/>
  <c r="Y264" i="5"/>
  <c r="CI121" i="6"/>
  <c r="CB121" i="6" s="1"/>
  <c r="AG122" i="6"/>
  <c r="Y265" i="5" l="1"/>
  <c r="P266" i="5"/>
  <c r="AH122" i="6"/>
  <c r="CJ121" i="6"/>
  <c r="CC121" i="6" s="1"/>
  <c r="AO122" i="6"/>
  <c r="Q122" i="6"/>
  <c r="R122" i="6" s="1"/>
  <c r="S122" i="6" s="1"/>
  <c r="P267" i="5" l="1"/>
  <c r="Y266" i="5"/>
  <c r="AP122" i="6"/>
  <c r="CK121" i="6"/>
  <c r="CD121" i="6" s="1"/>
  <c r="AI122" i="6"/>
  <c r="P268" i="5" l="1"/>
  <c r="Y267" i="5"/>
  <c r="AJ122" i="6"/>
  <c r="W122" i="6" s="1"/>
  <c r="Z122" i="6" s="1"/>
  <c r="CL121" i="6"/>
  <c r="CE121" i="6" s="1"/>
  <c r="AQ122" i="6"/>
  <c r="P269" i="5" l="1"/>
  <c r="Y268" i="5"/>
  <c r="AR122" i="6"/>
  <c r="AC122" i="6"/>
  <c r="CM121" i="6"/>
  <c r="CF121" i="6" s="1"/>
  <c r="AK122" i="6"/>
  <c r="Y269" i="5" l="1"/>
  <c r="P270" i="5"/>
  <c r="CN121" i="6"/>
  <c r="CG121" i="6" s="1"/>
  <c r="AL122" i="6"/>
  <c r="AS122" i="6"/>
  <c r="P271" i="5" l="1"/>
  <c r="Y270" i="5"/>
  <c r="AM122" i="6"/>
  <c r="CO121" i="6"/>
  <c r="CH121" i="6" s="1"/>
  <c r="AT122" i="6"/>
  <c r="P272" i="5" l="1"/>
  <c r="Y271" i="5"/>
  <c r="AU122" i="6"/>
  <c r="CP121" i="6"/>
  <c r="T121" i="6" s="1"/>
  <c r="AN122" i="6"/>
  <c r="X122" i="6" s="1"/>
  <c r="Y272" i="5" l="1"/>
  <c r="P273" i="5"/>
  <c r="Y122" i="6"/>
  <c r="AB122" i="6" s="1"/>
  <c r="AA122" i="6"/>
  <c r="AV122" i="6"/>
  <c r="AW122" i="6" s="1"/>
  <c r="P274" i="5" l="1"/>
  <c r="Y273" i="5"/>
  <c r="BB122" i="6"/>
  <c r="BM122" i="6" s="1"/>
  <c r="BE122" i="6"/>
  <c r="BP122" i="6" s="1"/>
  <c r="BG122" i="6"/>
  <c r="BR122" i="6" s="1"/>
  <c r="BD122" i="6"/>
  <c r="BO122" i="6" s="1"/>
  <c r="AX122" i="6"/>
  <c r="BC122" i="6"/>
  <c r="BN122" i="6" s="1"/>
  <c r="BF122" i="6"/>
  <c r="BQ122" i="6" s="1"/>
  <c r="BA122" i="6"/>
  <c r="BL122" i="6" s="1"/>
  <c r="AZ122" i="6"/>
  <c r="P275" i="5" l="1"/>
  <c r="Y274" i="5"/>
  <c r="BU122" i="6"/>
  <c r="BX122" i="6"/>
  <c r="BW122" i="6"/>
  <c r="AY122" i="6"/>
  <c r="BH122" i="6"/>
  <c r="BV122" i="6"/>
  <c r="BY122" i="6"/>
  <c r="BT122" i="6"/>
  <c r="BZ122" i="6"/>
  <c r="P276" i="5" l="1"/>
  <c r="Y275" i="5"/>
  <c r="BJ122" i="6"/>
  <c r="BK122" i="6" s="1"/>
  <c r="BI122" i="6"/>
  <c r="P277" i="5" l="1"/>
  <c r="Y276" i="5"/>
  <c r="BS122" i="6"/>
  <c r="CA122" i="6" s="1"/>
  <c r="P278" i="5" l="1"/>
  <c r="Y277" i="5"/>
  <c r="CI122" i="6"/>
  <c r="CB122" i="6" s="1"/>
  <c r="AG123" i="6"/>
  <c r="P279" i="5" l="1"/>
  <c r="Y278" i="5"/>
  <c r="AO123" i="6"/>
  <c r="Q123" i="6"/>
  <c r="R123" i="6" s="1"/>
  <c r="S123" i="6" s="1"/>
  <c r="AH123" i="6"/>
  <c r="CJ122" i="6"/>
  <c r="CC122" i="6" s="1"/>
  <c r="P280" i="5" l="1"/>
  <c r="Y279" i="5"/>
  <c r="AP123" i="6"/>
  <c r="CK122" i="6"/>
  <c r="CD122" i="6" s="1"/>
  <c r="AI123" i="6"/>
  <c r="P281" i="5" l="1"/>
  <c r="Y280" i="5"/>
  <c r="AJ123" i="6"/>
  <c r="CL122" i="6"/>
  <c r="CE122" i="6" s="1"/>
  <c r="W123" i="6"/>
  <c r="Z123" i="6" s="1"/>
  <c r="AQ123" i="6"/>
  <c r="P282" i="5" l="1"/>
  <c r="Y281" i="5"/>
  <c r="AC123" i="6"/>
  <c r="AR123" i="6"/>
  <c r="CM122" i="6"/>
  <c r="CF122" i="6" s="1"/>
  <c r="AK123" i="6"/>
  <c r="P283" i="5" l="1"/>
  <c r="Y282" i="5"/>
  <c r="CN122" i="6"/>
  <c r="CG122" i="6" s="1"/>
  <c r="AL123" i="6"/>
  <c r="AS123" i="6"/>
  <c r="Y283" i="5" l="1"/>
  <c r="P284" i="5"/>
  <c r="AM123" i="6"/>
  <c r="CO122" i="6"/>
  <c r="CH122" i="6" s="1"/>
  <c r="AT123" i="6"/>
  <c r="P285" i="5" l="1"/>
  <c r="Y284" i="5"/>
  <c r="AU123" i="6"/>
  <c r="AN123" i="6"/>
  <c r="X123" i="6" s="1"/>
  <c r="CP122" i="6"/>
  <c r="T122" i="6" s="1"/>
  <c r="P286" i="5" l="1"/>
  <c r="Y285" i="5"/>
  <c r="Y123" i="6"/>
  <c r="AB123" i="6" s="1"/>
  <c r="AA123" i="6"/>
  <c r="AV123" i="6"/>
  <c r="AW123" i="6" s="1"/>
  <c r="P287" i="5" l="1"/>
  <c r="Y286" i="5"/>
  <c r="AX123" i="6"/>
  <c r="BF123" i="6"/>
  <c r="BQ123" i="6" s="1"/>
  <c r="BE123" i="6"/>
  <c r="BP123" i="6" s="1"/>
  <c r="BA123" i="6"/>
  <c r="BL123" i="6" s="1"/>
  <c r="BD123" i="6"/>
  <c r="BO123" i="6" s="1"/>
  <c r="BG123" i="6"/>
  <c r="BR123" i="6" s="1"/>
  <c r="BB123" i="6"/>
  <c r="BM123" i="6" s="1"/>
  <c r="BC123" i="6"/>
  <c r="BN123" i="6" s="1"/>
  <c r="AZ123" i="6"/>
  <c r="Y287" i="5" l="1"/>
  <c r="P288" i="5"/>
  <c r="BH123" i="6"/>
  <c r="AY123" i="6"/>
  <c r="BY123" i="6"/>
  <c r="BX123" i="6"/>
  <c r="BT123" i="6"/>
  <c r="BW123" i="6"/>
  <c r="BU123" i="6"/>
  <c r="BV123" i="6"/>
  <c r="BZ123" i="6"/>
  <c r="P289" i="5" l="1"/>
  <c r="Y288" i="5"/>
  <c r="BJ123" i="6"/>
  <c r="BK123" i="6" s="1"/>
  <c r="BI123" i="6"/>
  <c r="P290" i="5" l="1"/>
  <c r="Y289" i="5"/>
  <c r="BS123" i="6"/>
  <c r="CA123" i="6" s="1"/>
  <c r="P291" i="5" l="1"/>
  <c r="Y290" i="5"/>
  <c r="CI123" i="6"/>
  <c r="CB123" i="6" s="1"/>
  <c r="AG124" i="6"/>
  <c r="P292" i="5" l="1"/>
  <c r="Y291" i="5"/>
  <c r="AH124" i="6"/>
  <c r="CJ123" i="6"/>
  <c r="CC123" i="6" s="1"/>
  <c r="AO124" i="6"/>
  <c r="Q124" i="6"/>
  <c r="R124" i="6" s="1"/>
  <c r="S124" i="6" s="1"/>
  <c r="P293" i="5" l="1"/>
  <c r="Y292" i="5"/>
  <c r="AP124" i="6"/>
  <c r="CK123" i="6"/>
  <c r="CD123" i="6" s="1"/>
  <c r="AI124" i="6"/>
  <c r="P294" i="5" l="1"/>
  <c r="Y293" i="5"/>
  <c r="AJ124" i="6"/>
  <c r="W124" i="6" s="1"/>
  <c r="Z124" i="6" s="1"/>
  <c r="CL123" i="6"/>
  <c r="CE123" i="6" s="1"/>
  <c r="AQ124" i="6"/>
  <c r="P295" i="5" l="1"/>
  <c r="Y294" i="5"/>
  <c r="AC124" i="6"/>
  <c r="AR124" i="6"/>
  <c r="AK124" i="6"/>
  <c r="CM123" i="6"/>
  <c r="CF123" i="6" s="1"/>
  <c r="P296" i="5" l="1"/>
  <c r="Y295" i="5"/>
  <c r="AS124" i="6"/>
  <c r="AL124" i="6"/>
  <c r="CN123" i="6"/>
  <c r="CG123" i="6" s="1"/>
  <c r="P297" i="5" l="1"/>
  <c r="Y296" i="5"/>
  <c r="AT124" i="6"/>
  <c r="AM124" i="6"/>
  <c r="CO123" i="6"/>
  <c r="CH123" i="6" s="1"/>
  <c r="P298" i="5" l="1"/>
  <c r="Y297" i="5"/>
  <c r="X124" i="6"/>
  <c r="AU124" i="6"/>
  <c r="CP123" i="6"/>
  <c r="T123" i="6" s="1"/>
  <c r="AN124" i="6"/>
  <c r="P299" i="5" l="1"/>
  <c r="Y298" i="5"/>
  <c r="Y124" i="6"/>
  <c r="AB124" i="6" s="1"/>
  <c r="AA124" i="6"/>
  <c r="AV124" i="6"/>
  <c r="AW124" i="6" s="1"/>
  <c r="Y299" i="5" l="1"/>
  <c r="P300" i="5"/>
  <c r="BC124" i="6"/>
  <c r="BN124" i="6" s="1"/>
  <c r="BF124" i="6"/>
  <c r="BQ124" i="6" s="1"/>
  <c r="AX124" i="6"/>
  <c r="BG124" i="6"/>
  <c r="BR124" i="6" s="1"/>
  <c r="BD124" i="6"/>
  <c r="BO124" i="6" s="1"/>
  <c r="BA124" i="6"/>
  <c r="BL124" i="6" s="1"/>
  <c r="AZ124" i="6"/>
  <c r="BB124" i="6"/>
  <c r="BM124" i="6" s="1"/>
  <c r="BE124" i="6"/>
  <c r="BP124" i="6" s="1"/>
  <c r="Y300" i="5" l="1"/>
  <c r="P301" i="5"/>
  <c r="BV124" i="6"/>
  <c r="BY124" i="6"/>
  <c r="BH124" i="6"/>
  <c r="AY124" i="6"/>
  <c r="BW124" i="6"/>
  <c r="BT124" i="6"/>
  <c r="BU124" i="6"/>
  <c r="BX124" i="6"/>
  <c r="BZ124" i="6"/>
  <c r="P302" i="5" l="1"/>
  <c r="Y301" i="5"/>
  <c r="BI124" i="6"/>
  <c r="BJ124" i="6" s="1"/>
  <c r="BK124" i="6" s="1"/>
  <c r="P303" i="5" l="1"/>
  <c r="Y302" i="5"/>
  <c r="BS124" i="6"/>
  <c r="CA124" i="6"/>
  <c r="P304" i="5" l="1"/>
  <c r="Y303" i="5"/>
  <c r="AG125" i="6"/>
  <c r="CI124" i="6"/>
  <c r="CB124" i="6" s="1"/>
  <c r="Y304" i="5" l="1"/>
  <c r="P305" i="5"/>
  <c r="Q125" i="6"/>
  <c r="R125" i="6" s="1"/>
  <c r="S125" i="6" s="1"/>
  <c r="AO125" i="6"/>
  <c r="CJ124" i="6"/>
  <c r="CC124" i="6" s="1"/>
  <c r="AH125" i="6"/>
  <c r="P306" i="5" l="1"/>
  <c r="Y305" i="5"/>
  <c r="AI125" i="6"/>
  <c r="CK124" i="6"/>
  <c r="CD124" i="6" s="1"/>
  <c r="AP125" i="6"/>
  <c r="Y306" i="5" l="1"/>
  <c r="P307" i="5"/>
  <c r="AQ125" i="6"/>
  <c r="CL124" i="6"/>
  <c r="CE124" i="6" s="1"/>
  <c r="AJ125" i="6"/>
  <c r="W125" i="6" s="1"/>
  <c r="Z125" i="6" s="1"/>
  <c r="Y307" i="5" l="1"/>
  <c r="P308" i="5"/>
  <c r="AK125" i="6"/>
  <c r="CM124" i="6"/>
  <c r="CF124" i="6" s="1"/>
  <c r="AC125" i="6"/>
  <c r="AR125" i="6"/>
  <c r="P309" i="5" l="1"/>
  <c r="Y308" i="5"/>
  <c r="AS125" i="6"/>
  <c r="AL125" i="6"/>
  <c r="CN124" i="6"/>
  <c r="CG124" i="6" s="1"/>
  <c r="P310" i="5" l="1"/>
  <c r="Y309" i="5"/>
  <c r="AT125" i="6"/>
  <c r="AM125" i="6"/>
  <c r="CO124" i="6"/>
  <c r="CH124" i="6" s="1"/>
  <c r="P311" i="5" l="1"/>
  <c r="Y310" i="5"/>
  <c r="X125" i="6"/>
  <c r="AU125" i="6"/>
  <c r="CP124" i="6"/>
  <c r="T124" i="6" s="1"/>
  <c r="AN125" i="6"/>
  <c r="P312" i="5" l="1"/>
  <c r="Y311" i="5"/>
  <c r="AA125" i="6"/>
  <c r="Y125" i="6"/>
  <c r="AB125" i="6" s="1"/>
  <c r="AV125" i="6"/>
  <c r="AW125" i="6" s="1"/>
  <c r="P313" i="5" l="1"/>
  <c r="Y312" i="5"/>
  <c r="BD125" i="6"/>
  <c r="BO125" i="6" s="1"/>
  <c r="BF125" i="6"/>
  <c r="BQ125" i="6" s="1"/>
  <c r="BC125" i="6"/>
  <c r="BN125" i="6" s="1"/>
  <c r="BB125" i="6"/>
  <c r="BM125" i="6" s="1"/>
  <c r="AX125" i="6"/>
  <c r="BA125" i="6"/>
  <c r="BL125" i="6" s="1"/>
  <c r="BG125" i="6"/>
  <c r="BR125" i="6" s="1"/>
  <c r="BE125" i="6"/>
  <c r="BP125" i="6" s="1"/>
  <c r="AZ125" i="6"/>
  <c r="BZ125" i="6"/>
  <c r="P314" i="5" l="1"/>
  <c r="Y313" i="5"/>
  <c r="BW125" i="6"/>
  <c r="BY125" i="6"/>
  <c r="BV125" i="6"/>
  <c r="BU125" i="6"/>
  <c r="BH125" i="6"/>
  <c r="AY125" i="6"/>
  <c r="BT125" i="6"/>
  <c r="BX125" i="6"/>
  <c r="P315" i="5" l="1"/>
  <c r="Y314" i="5"/>
  <c r="BJ125" i="6"/>
  <c r="BK125" i="6" s="1"/>
  <c r="BI125" i="6"/>
  <c r="P316" i="5" l="1"/>
  <c r="Y315" i="5"/>
  <c r="BS125" i="6"/>
  <c r="CA125" i="6"/>
  <c r="P317" i="5" l="1"/>
  <c r="Y316" i="5"/>
  <c r="AG126" i="6"/>
  <c r="CI125" i="6"/>
  <c r="CB125" i="6" s="1"/>
  <c r="Y317" i="5" l="1"/>
  <c r="P318" i="5"/>
  <c r="Q126" i="6"/>
  <c r="R126" i="6" s="1"/>
  <c r="S126" i="6" s="1"/>
  <c r="AO126" i="6"/>
  <c r="CJ125" i="6"/>
  <c r="CC125" i="6" s="1"/>
  <c r="AH126" i="6"/>
  <c r="P319" i="5" l="1"/>
  <c r="Y318" i="5"/>
  <c r="CK125" i="6"/>
  <c r="CD125" i="6" s="1"/>
  <c r="AI126" i="6"/>
  <c r="AP126" i="6"/>
  <c r="Y319" i="5" l="1"/>
  <c r="P320" i="5"/>
  <c r="CL125" i="6"/>
  <c r="CE125" i="6" s="1"/>
  <c r="AJ126" i="6"/>
  <c r="W126" i="6" s="1"/>
  <c r="Z126" i="6" s="1"/>
  <c r="AQ126" i="6"/>
  <c r="P321" i="5" l="1"/>
  <c r="Y320" i="5"/>
  <c r="AK126" i="6"/>
  <c r="CM125" i="6"/>
  <c r="CF125" i="6" s="1"/>
  <c r="AR126" i="6"/>
  <c r="AC126" i="6"/>
  <c r="P322" i="5" l="1"/>
  <c r="Y321" i="5"/>
  <c r="AS126" i="6"/>
  <c r="AL126" i="6"/>
  <c r="CN125" i="6"/>
  <c r="CG125" i="6" s="1"/>
  <c r="Y322" i="5" l="1"/>
  <c r="P323" i="5"/>
  <c r="AT126" i="6"/>
  <c r="CO125" i="6"/>
  <c r="CH125" i="6" s="1"/>
  <c r="AM126" i="6"/>
  <c r="P324" i="5" l="1"/>
  <c r="Y323" i="5"/>
  <c r="AN126" i="6"/>
  <c r="X126" i="6" s="1"/>
  <c r="CP125" i="6"/>
  <c r="T125" i="6" s="1"/>
  <c r="AU126" i="6"/>
  <c r="Y324" i="5" l="1"/>
  <c r="P325" i="5"/>
  <c r="AV126" i="6"/>
  <c r="AW126" i="6" s="1"/>
  <c r="Y126" i="6"/>
  <c r="AB126" i="6" s="1"/>
  <c r="AA126" i="6"/>
  <c r="P326" i="5" l="1"/>
  <c r="Y325" i="5"/>
  <c r="BE126" i="6"/>
  <c r="BP126" i="6" s="1"/>
  <c r="BF126" i="6"/>
  <c r="BQ126" i="6" s="1"/>
  <c r="AX126" i="6"/>
  <c r="BG126" i="6"/>
  <c r="BR126" i="6" s="1"/>
  <c r="BD126" i="6"/>
  <c r="BO126" i="6" s="1"/>
  <c r="BB126" i="6"/>
  <c r="BM126" i="6" s="1"/>
  <c r="AZ126" i="6"/>
  <c r="BA126" i="6"/>
  <c r="BL126" i="6" s="1"/>
  <c r="BC126" i="6"/>
  <c r="BN126" i="6" s="1"/>
  <c r="P327" i="5" l="1"/>
  <c r="Y326" i="5"/>
  <c r="BX126" i="6"/>
  <c r="BY126" i="6"/>
  <c r="AY126" i="6"/>
  <c r="BH126" i="6"/>
  <c r="BZ126" i="6"/>
  <c r="BW126" i="6"/>
  <c r="BU126" i="6"/>
  <c r="BT126" i="6"/>
  <c r="BV126" i="6"/>
  <c r="Y327" i="5" l="1"/>
  <c r="P328" i="5"/>
  <c r="BJ126" i="6"/>
  <c r="BK126" i="6" s="1"/>
  <c r="BI126" i="6"/>
  <c r="P329" i="5" l="1"/>
  <c r="Y328" i="5"/>
  <c r="BS126" i="6"/>
  <c r="CA126" i="6" s="1"/>
  <c r="P330" i="5" l="1"/>
  <c r="Y329" i="5"/>
  <c r="CI126" i="6"/>
  <c r="CB126" i="6" s="1"/>
  <c r="AG127" i="6"/>
  <c r="Y330" i="5" l="1"/>
  <c r="P331" i="5"/>
  <c r="AO127" i="6"/>
  <c r="Q127" i="6"/>
  <c r="R127" i="6" s="1"/>
  <c r="S127" i="6" s="1"/>
  <c r="CJ126" i="6"/>
  <c r="CC126" i="6" s="1"/>
  <c r="AH127" i="6"/>
  <c r="P332" i="5" l="1"/>
  <c r="Y331" i="5"/>
  <c r="CK126" i="6"/>
  <c r="CD126" i="6" s="1"/>
  <c r="AI127" i="6"/>
  <c r="AP127" i="6"/>
  <c r="P333" i="5" l="1"/>
  <c r="Y332" i="5"/>
  <c r="AJ127" i="6"/>
  <c r="CL126" i="6"/>
  <c r="CE126" i="6" s="1"/>
  <c r="W127" i="6"/>
  <c r="Z127" i="6" s="1"/>
  <c r="AQ127" i="6"/>
  <c r="P334" i="5" l="1"/>
  <c r="Y333" i="5"/>
  <c r="AC127" i="6"/>
  <c r="AR127" i="6"/>
  <c r="CM126" i="6"/>
  <c r="CF126" i="6" s="1"/>
  <c r="AK127" i="6"/>
  <c r="P335" i="5" l="1"/>
  <c r="Y334" i="5"/>
  <c r="AL127" i="6"/>
  <c r="CN126" i="6"/>
  <c r="CG126" i="6" s="1"/>
  <c r="AS127" i="6"/>
  <c r="Y335" i="5" l="1"/>
  <c r="P336" i="5"/>
  <c r="AT127" i="6"/>
  <c r="CO126" i="6"/>
  <c r="CH126" i="6" s="1"/>
  <c r="AM127" i="6"/>
  <c r="P337" i="5" l="1"/>
  <c r="Y336" i="5"/>
  <c r="AN127" i="6"/>
  <c r="X127" i="6" s="1"/>
  <c r="CP126" i="6"/>
  <c r="T126" i="6" s="1"/>
  <c r="AU127" i="6"/>
  <c r="Y337" i="5" l="1"/>
  <c r="P338" i="5"/>
  <c r="AV127" i="6"/>
  <c r="AW127" i="6" s="1"/>
  <c r="Y127" i="6"/>
  <c r="AB127" i="6" s="1"/>
  <c r="AA127" i="6"/>
  <c r="P339" i="5" l="1"/>
  <c r="Y338" i="5"/>
  <c r="BC127" i="6"/>
  <c r="BN127" i="6" s="1"/>
  <c r="BE127" i="6"/>
  <c r="BP127" i="6" s="1"/>
  <c r="BG127" i="6"/>
  <c r="BR127" i="6" s="1"/>
  <c r="AZ127" i="6"/>
  <c r="BF127" i="6"/>
  <c r="BQ127" i="6" s="1"/>
  <c r="BD127" i="6"/>
  <c r="BO127" i="6" s="1"/>
  <c r="BB127" i="6"/>
  <c r="BM127" i="6" s="1"/>
  <c r="BA127" i="6"/>
  <c r="BL127" i="6" s="1"/>
  <c r="AX127" i="6"/>
  <c r="P340" i="5" l="1"/>
  <c r="Y339" i="5"/>
  <c r="BV127" i="6"/>
  <c r="BX127" i="6"/>
  <c r="BZ127" i="6"/>
  <c r="BY127" i="6"/>
  <c r="BW127" i="6"/>
  <c r="BU127" i="6"/>
  <c r="BT127" i="6"/>
  <c r="AY127" i="6"/>
  <c r="BH127" i="6"/>
  <c r="Y340" i="5" l="1"/>
  <c r="P341" i="5"/>
  <c r="BI127" i="6"/>
  <c r="BJ127" i="6" s="1"/>
  <c r="BK127" i="6" s="1"/>
  <c r="P342" i="5" l="1"/>
  <c r="Y341" i="5"/>
  <c r="BS127" i="6"/>
  <c r="CA127" i="6" s="1"/>
  <c r="P343" i="5" l="1"/>
  <c r="Y342" i="5"/>
  <c r="CI127" i="6"/>
  <c r="CB127" i="6" s="1"/>
  <c r="AG128" i="6"/>
  <c r="Y343" i="5" l="1"/>
  <c r="P344" i="5"/>
  <c r="AH128" i="6"/>
  <c r="CJ127" i="6"/>
  <c r="CC127" i="6" s="1"/>
  <c r="AO128" i="6"/>
  <c r="Q128" i="6"/>
  <c r="R128" i="6" s="1"/>
  <c r="S128" i="6" s="1"/>
  <c r="P345" i="5" l="1"/>
  <c r="Y344" i="5"/>
  <c r="AP128" i="6"/>
  <c r="AI128" i="6"/>
  <c r="CK127" i="6"/>
  <c r="CD127" i="6" s="1"/>
  <c r="Y345" i="5" l="1"/>
  <c r="P346" i="5"/>
  <c r="W128" i="6"/>
  <c r="Z128" i="6" s="1"/>
  <c r="AQ128" i="6"/>
  <c r="AJ128" i="6"/>
  <c r="CL127" i="6"/>
  <c r="CE127" i="6" s="1"/>
  <c r="P347" i="5" l="1"/>
  <c r="Y346" i="5"/>
  <c r="AR128" i="6"/>
  <c r="AC128" i="6"/>
  <c r="AK128" i="6"/>
  <c r="CM127" i="6"/>
  <c r="CF127" i="6" s="1"/>
  <c r="Y347" i="5" l="1"/>
  <c r="P348" i="5"/>
  <c r="AS128" i="6"/>
  <c r="CN127" i="6"/>
  <c r="CG127" i="6" s="1"/>
  <c r="AL128" i="6"/>
  <c r="P349" i="5" l="1"/>
  <c r="Y348" i="5"/>
  <c r="CO127" i="6"/>
  <c r="CH127" i="6" s="1"/>
  <c r="AM128" i="6"/>
  <c r="AT128" i="6"/>
  <c r="Y349" i="5" l="1"/>
  <c r="P350" i="5"/>
  <c r="AN128" i="6"/>
  <c r="CP127" i="6"/>
  <c r="T127" i="6" s="1"/>
  <c r="X128" i="6"/>
  <c r="AU128" i="6"/>
  <c r="P351" i="5" l="1"/>
  <c r="Y350" i="5"/>
  <c r="AV128" i="6"/>
  <c r="AW128" i="6" s="1"/>
  <c r="Y128" i="6"/>
  <c r="AB128" i="6" s="1"/>
  <c r="AA128" i="6"/>
  <c r="Y351" i="5" l="1"/>
  <c r="P352" i="5"/>
  <c r="AX128" i="6"/>
  <c r="BA128" i="6"/>
  <c r="BL128" i="6" s="1"/>
  <c r="BD128" i="6"/>
  <c r="BO128" i="6" s="1"/>
  <c r="AZ128" i="6"/>
  <c r="BB128" i="6"/>
  <c r="BM128" i="6" s="1"/>
  <c r="BC128" i="6"/>
  <c r="BN128" i="6" s="1"/>
  <c r="BE128" i="6"/>
  <c r="BP128" i="6" s="1"/>
  <c r="BG128" i="6"/>
  <c r="BR128" i="6" s="1"/>
  <c r="BF128" i="6"/>
  <c r="BQ128" i="6" s="1"/>
  <c r="P353" i="5" l="1"/>
  <c r="Y352" i="5"/>
  <c r="BH128" i="6"/>
  <c r="AY128" i="6"/>
  <c r="BT128" i="6"/>
  <c r="BW128" i="6"/>
  <c r="BU128" i="6"/>
  <c r="BV128" i="6"/>
  <c r="BX128" i="6"/>
  <c r="BY128" i="6"/>
  <c r="BZ128" i="6"/>
  <c r="P354" i="5" l="1"/>
  <c r="Y353" i="5"/>
  <c r="BJ128" i="6"/>
  <c r="BK128" i="6" s="1"/>
  <c r="BI128" i="6"/>
  <c r="P355" i="5" l="1"/>
  <c r="Y354" i="5"/>
  <c r="BS128" i="6"/>
  <c r="CA128" i="6" s="1"/>
  <c r="Y355" i="5" l="1"/>
  <c r="P356" i="5"/>
  <c r="CI128" i="6"/>
  <c r="CB128" i="6" s="1"/>
  <c r="AH129" i="6" s="1"/>
  <c r="AG129" i="6"/>
  <c r="CJ128" i="6"/>
  <c r="CC128" i="6" s="1"/>
  <c r="P357" i="5" l="1"/>
  <c r="Y356" i="5"/>
  <c r="Q129" i="6"/>
  <c r="R129" i="6" s="1"/>
  <c r="S129" i="6" s="1"/>
  <c r="AO129" i="6"/>
  <c r="AI129" i="6"/>
  <c r="CK128" i="6"/>
  <c r="CD128" i="6" s="1"/>
  <c r="AP129" i="6"/>
  <c r="P358" i="5" l="1"/>
  <c r="Y357" i="5"/>
  <c r="AQ129" i="6"/>
  <c r="AJ129" i="6"/>
  <c r="CL128" i="6"/>
  <c r="CE128" i="6" s="1"/>
  <c r="P359" i="5" l="1"/>
  <c r="Y358" i="5"/>
  <c r="W129" i="6"/>
  <c r="Z129" i="6" s="1"/>
  <c r="AC129" i="6"/>
  <c r="AR129" i="6"/>
  <c r="CM128" i="6"/>
  <c r="CF128" i="6" s="1"/>
  <c r="AK129" i="6"/>
  <c r="Y359" i="5" l="1"/>
  <c r="P360" i="5"/>
  <c r="CN128" i="6"/>
  <c r="CG128" i="6" s="1"/>
  <c r="AL129" i="6"/>
  <c r="AS129" i="6"/>
  <c r="P361" i="5" l="1"/>
  <c r="Y360" i="5"/>
  <c r="AM129" i="6"/>
  <c r="CO128" i="6"/>
  <c r="CH128" i="6" s="1"/>
  <c r="AT129" i="6"/>
  <c r="P362" i="5" l="1"/>
  <c r="Y361" i="5"/>
  <c r="X129" i="6"/>
  <c r="AU129" i="6"/>
  <c r="AN129" i="6"/>
  <c r="CP128" i="6"/>
  <c r="T128" i="6" s="1"/>
  <c r="P363" i="5" l="1"/>
  <c r="Y362" i="5"/>
  <c r="Y129" i="6"/>
  <c r="AB129" i="6" s="1"/>
  <c r="AA129" i="6"/>
  <c r="AV129" i="6"/>
  <c r="AW129" i="6" s="1"/>
  <c r="P364" i="5" l="1"/>
  <c r="Y363" i="5"/>
  <c r="AX129" i="6"/>
  <c r="BA129" i="6"/>
  <c r="BL129" i="6" s="1"/>
  <c r="BG129" i="6"/>
  <c r="BR129" i="6" s="1"/>
  <c r="BD129" i="6"/>
  <c r="BO129" i="6" s="1"/>
  <c r="BB129" i="6"/>
  <c r="BM129" i="6" s="1"/>
  <c r="BF129" i="6"/>
  <c r="BQ129" i="6" s="1"/>
  <c r="BE129" i="6"/>
  <c r="BP129" i="6" s="1"/>
  <c r="AZ129" i="6"/>
  <c r="BC129" i="6"/>
  <c r="BN129" i="6" s="1"/>
  <c r="BZ129" i="6"/>
  <c r="Y364" i="5" l="1"/>
  <c r="P365" i="5"/>
  <c r="AY129" i="6"/>
  <c r="BH129" i="6"/>
  <c r="BT129" i="6"/>
  <c r="BW129" i="6"/>
  <c r="BU129" i="6"/>
  <c r="BY129" i="6"/>
  <c r="BX129" i="6"/>
  <c r="BV129" i="6"/>
  <c r="P366" i="5" l="1"/>
  <c r="Y365" i="5"/>
  <c r="BJ129" i="6"/>
  <c r="BK129" i="6" s="1"/>
  <c r="BI129" i="6"/>
  <c r="P367" i="5" l="1"/>
  <c r="Y366" i="5"/>
  <c r="BS129" i="6"/>
  <c r="CA129" i="6" s="1"/>
  <c r="P368" i="5" l="1"/>
  <c r="Y367" i="5"/>
  <c r="AG130" i="6"/>
  <c r="CI129" i="6"/>
  <c r="CB129" i="6" s="1"/>
  <c r="P369" i="5" l="1"/>
  <c r="Y368" i="5"/>
  <c r="Q130" i="6"/>
  <c r="R130" i="6" s="1"/>
  <c r="S130" i="6" s="1"/>
  <c r="AO130" i="6"/>
  <c r="AH130" i="6"/>
  <c r="CJ129" i="6"/>
  <c r="CC129" i="6" s="1"/>
  <c r="P370" i="5" l="1"/>
  <c r="Y369" i="5"/>
  <c r="AP130" i="6"/>
  <c r="AI130" i="6"/>
  <c r="CK129" i="6"/>
  <c r="CD129" i="6" s="1"/>
  <c r="Y370" i="5" l="1"/>
  <c r="P371" i="5"/>
  <c r="AQ130" i="6"/>
  <c r="AJ130" i="6"/>
  <c r="W130" i="6" s="1"/>
  <c r="Z130" i="6" s="1"/>
  <c r="CL129" i="6"/>
  <c r="CE129" i="6" s="1"/>
  <c r="P372" i="5" l="1"/>
  <c r="Y371" i="5"/>
  <c r="AC130" i="6"/>
  <c r="AR130" i="6"/>
  <c r="AK130" i="6"/>
  <c r="CM129" i="6"/>
  <c r="CF129" i="6" s="1"/>
  <c r="P373" i="5" l="1"/>
  <c r="Y372" i="5"/>
  <c r="AS130" i="6"/>
  <c r="AL130" i="6"/>
  <c r="CN129" i="6"/>
  <c r="CG129" i="6" s="1"/>
  <c r="P374" i="5" l="1"/>
  <c r="Y373" i="5"/>
  <c r="AT130" i="6"/>
  <c r="CO129" i="6"/>
  <c r="CH129" i="6" s="1"/>
  <c r="AM130" i="6"/>
  <c r="P375" i="5" l="1"/>
  <c r="Y374" i="5"/>
  <c r="AN130" i="6"/>
  <c r="X130" i="6" s="1"/>
  <c r="CP129" i="6"/>
  <c r="T129" i="6" s="1"/>
  <c r="AU130" i="6"/>
  <c r="P376" i="5" l="1"/>
  <c r="Y375" i="5"/>
  <c r="AV130" i="6"/>
  <c r="AW130" i="6" s="1"/>
  <c r="AA130" i="6"/>
  <c r="Y130" i="6"/>
  <c r="AB130" i="6" s="1"/>
  <c r="BA130" i="6"/>
  <c r="BL130" i="6" s="1"/>
  <c r="AX130" i="6"/>
  <c r="BD130" i="6"/>
  <c r="BO130" i="6" s="1"/>
  <c r="BG130" i="6"/>
  <c r="BR130" i="6" s="1"/>
  <c r="AZ130" i="6"/>
  <c r="P377" i="5" l="1"/>
  <c r="Y376" i="5"/>
  <c r="BZ130" i="6"/>
  <c r="BT130" i="6"/>
  <c r="BH130" i="6"/>
  <c r="AY130" i="6"/>
  <c r="BW130" i="6"/>
  <c r="BC130" i="6"/>
  <c r="BN130" i="6" s="1"/>
  <c r="BB130" i="6"/>
  <c r="BM130" i="6" s="1"/>
  <c r="BF130" i="6"/>
  <c r="BQ130" i="6" s="1"/>
  <c r="BE130" i="6"/>
  <c r="BP130" i="6" s="1"/>
  <c r="P378" i="5" l="1"/>
  <c r="Y377" i="5"/>
  <c r="BJ130" i="6"/>
  <c r="BK130" i="6" s="1"/>
  <c r="BI130" i="6"/>
  <c r="BV130" i="6"/>
  <c r="BU130" i="6"/>
  <c r="BY130" i="6"/>
  <c r="BX130" i="6"/>
  <c r="P379" i="5" l="1"/>
  <c r="Y378" i="5"/>
  <c r="BS130" i="6"/>
  <c r="CA130" i="6" s="1"/>
  <c r="P380" i="5" l="1"/>
  <c r="Y379" i="5"/>
  <c r="CI130" i="6"/>
  <c r="CB130" i="6" s="1"/>
  <c r="AH131" i="6" s="1"/>
  <c r="AG131" i="6"/>
  <c r="CJ130" i="6"/>
  <c r="CC130" i="6" s="1"/>
  <c r="P381" i="5" l="1"/>
  <c r="Y380" i="5"/>
  <c r="Q131" i="6"/>
  <c r="R131" i="6" s="1"/>
  <c r="S131" i="6" s="1"/>
  <c r="AO131" i="6"/>
  <c r="CK130" i="6"/>
  <c r="CD130" i="6" s="1"/>
  <c r="AI131" i="6"/>
  <c r="AP131" i="6"/>
  <c r="P382" i="5" l="1"/>
  <c r="Y381" i="5"/>
  <c r="CL130" i="6"/>
  <c r="CE130" i="6" s="1"/>
  <c r="AJ131" i="6"/>
  <c r="AQ131" i="6"/>
  <c r="P383" i="5" l="1"/>
  <c r="Y382" i="5"/>
  <c r="CM130" i="6"/>
  <c r="CF130" i="6" s="1"/>
  <c r="AK131" i="6"/>
  <c r="W131" i="6"/>
  <c r="Z131" i="6" s="1"/>
  <c r="AR131" i="6"/>
  <c r="AC131" i="6"/>
  <c r="P384" i="5" l="1"/>
  <c r="Y383" i="5"/>
  <c r="AL131" i="6"/>
  <c r="CN130" i="6"/>
  <c r="CG130" i="6" s="1"/>
  <c r="AS131" i="6"/>
  <c r="P385" i="5" l="1"/>
  <c r="Y384" i="5"/>
  <c r="AT131" i="6"/>
  <c r="AM131" i="6"/>
  <c r="CO130" i="6"/>
  <c r="CH130" i="6" s="1"/>
  <c r="P386" i="5" l="1"/>
  <c r="Y385" i="5"/>
  <c r="X131" i="6"/>
  <c r="AU131" i="6"/>
  <c r="CP130" i="6"/>
  <c r="T130" i="6" s="1"/>
  <c r="AN131" i="6"/>
  <c r="P387" i="5" l="1"/>
  <c r="Y386" i="5"/>
  <c r="AA131" i="6"/>
  <c r="Y131" i="6"/>
  <c r="AB131" i="6" s="1"/>
  <c r="AV131" i="6"/>
  <c r="AW131" i="6" s="1"/>
  <c r="P388" i="5" l="1"/>
  <c r="Y387" i="5"/>
  <c r="BA131" i="6"/>
  <c r="BL131" i="6" s="1"/>
  <c r="BC131" i="6"/>
  <c r="BN131" i="6" s="1"/>
  <c r="AX131" i="6"/>
  <c r="BB131" i="6"/>
  <c r="BM131" i="6" s="1"/>
  <c r="BE131" i="6"/>
  <c r="BP131" i="6" s="1"/>
  <c r="AZ131" i="6"/>
  <c r="BG131" i="6"/>
  <c r="BR131" i="6" s="1"/>
  <c r="BD131" i="6"/>
  <c r="BO131" i="6" s="1"/>
  <c r="BF131" i="6"/>
  <c r="BQ131" i="6" s="1"/>
  <c r="BZ131" i="6"/>
  <c r="P389" i="5" l="1"/>
  <c r="Y388" i="5"/>
  <c r="BT131" i="6"/>
  <c r="BV131" i="6"/>
  <c r="BH131" i="6"/>
  <c r="AY131" i="6"/>
  <c r="BU131" i="6"/>
  <c r="BX131" i="6"/>
  <c r="BW131" i="6"/>
  <c r="BY131" i="6"/>
  <c r="P390" i="5" l="1"/>
  <c r="Y389" i="5"/>
  <c r="BI131" i="6"/>
  <c r="BJ131" i="6" s="1"/>
  <c r="BK131" i="6" s="1"/>
  <c r="P391" i="5" l="1"/>
  <c r="Y390" i="5"/>
  <c r="BS131" i="6"/>
  <c r="CA131" i="6" s="1"/>
  <c r="P392" i="5" l="1"/>
  <c r="Y391" i="5"/>
  <c r="CI131" i="6"/>
  <c r="CB131" i="6" s="1"/>
  <c r="AG132" i="6"/>
  <c r="P393" i="5" l="1"/>
  <c r="Y392" i="5"/>
  <c r="CJ131" i="6"/>
  <c r="CC131" i="6" s="1"/>
  <c r="AH132" i="6"/>
  <c r="Q132" i="6"/>
  <c r="R132" i="6" s="1"/>
  <c r="S132" i="6" s="1"/>
  <c r="AO132" i="6"/>
  <c r="P394" i="5" l="1"/>
  <c r="Y393" i="5"/>
  <c r="AI132" i="6"/>
  <c r="CK131" i="6"/>
  <c r="CD131" i="6" s="1"/>
  <c r="AP132" i="6"/>
  <c r="P395" i="5" l="1"/>
  <c r="Y394" i="5"/>
  <c r="W132" i="6"/>
  <c r="Z132" i="6" s="1"/>
  <c r="AQ132" i="6"/>
  <c r="CL131" i="6"/>
  <c r="CE131" i="6" s="1"/>
  <c r="AJ132" i="6"/>
  <c r="Y395" i="5" l="1"/>
  <c r="P396" i="5"/>
  <c r="CM131" i="6"/>
  <c r="CF131" i="6" s="1"/>
  <c r="AK132" i="6"/>
  <c r="AC132" i="6"/>
  <c r="AR132" i="6"/>
  <c r="P397" i="5" l="1"/>
  <c r="Y396" i="5"/>
  <c r="CN131" i="6"/>
  <c r="CG131" i="6" s="1"/>
  <c r="AL132" i="6"/>
  <c r="AS132" i="6"/>
  <c r="P398" i="5" l="1"/>
  <c r="Y397" i="5"/>
  <c r="CO131" i="6"/>
  <c r="CH131" i="6" s="1"/>
  <c r="AM132" i="6"/>
  <c r="AT132" i="6"/>
  <c r="P399" i="5" l="1"/>
  <c r="Y398" i="5"/>
  <c r="AN132" i="6"/>
  <c r="X132" i="6" s="1"/>
  <c r="CP131" i="6"/>
  <c r="T131" i="6" s="1"/>
  <c r="AU132" i="6"/>
  <c r="P400" i="5" l="1"/>
  <c r="Y399" i="5"/>
  <c r="AV132" i="6"/>
  <c r="AW132" i="6" s="1"/>
  <c r="AA132" i="6"/>
  <c r="Y132" i="6"/>
  <c r="AB132" i="6" s="1"/>
  <c r="P401" i="5" l="1"/>
  <c r="Y400" i="5"/>
  <c r="BA132" i="6"/>
  <c r="BL132" i="6" s="1"/>
  <c r="AX132" i="6"/>
  <c r="BC132" i="6"/>
  <c r="BN132" i="6" s="1"/>
  <c r="BG132" i="6"/>
  <c r="BR132" i="6" s="1"/>
  <c r="BB132" i="6"/>
  <c r="BM132" i="6" s="1"/>
  <c r="BF132" i="6"/>
  <c r="BQ132" i="6" s="1"/>
  <c r="BE132" i="6"/>
  <c r="BP132" i="6" s="1"/>
  <c r="BD132" i="6"/>
  <c r="BO132" i="6" s="1"/>
  <c r="AZ132" i="6"/>
  <c r="Y401" i="5" l="1"/>
  <c r="P402" i="5"/>
  <c r="BT132" i="6"/>
  <c r="AY132" i="6"/>
  <c r="BH132" i="6"/>
  <c r="BV132" i="6"/>
  <c r="BU132" i="6"/>
  <c r="BY132" i="6"/>
  <c r="BX132" i="6"/>
  <c r="BW132" i="6"/>
  <c r="BZ132" i="6"/>
  <c r="P403" i="5" l="1"/>
  <c r="Y402" i="5"/>
  <c r="BI132" i="6"/>
  <c r="BJ132" i="6" s="1"/>
  <c r="BK132" i="6" s="1"/>
  <c r="P404" i="5" l="1"/>
  <c r="Y403" i="5"/>
  <c r="BS132" i="6"/>
  <c r="CA132" i="6" s="1"/>
  <c r="P405" i="5" l="1"/>
  <c r="Y404" i="5"/>
  <c r="CI132" i="6"/>
  <c r="CB132" i="6" s="1"/>
  <c r="AH133" i="6" s="1"/>
  <c r="AG133" i="6"/>
  <c r="CJ132" i="6"/>
  <c r="CC132" i="6" s="1"/>
  <c r="P406" i="5" l="1"/>
  <c r="Y405" i="5"/>
  <c r="Q133" i="6"/>
  <c r="R133" i="6" s="1"/>
  <c r="S133" i="6" s="1"/>
  <c r="AO133" i="6"/>
  <c r="AI133" i="6"/>
  <c r="CK132" i="6"/>
  <c r="CD132" i="6" s="1"/>
  <c r="AP133" i="6"/>
  <c r="P407" i="5" l="1"/>
  <c r="Y406" i="5"/>
  <c r="AQ133" i="6"/>
  <c r="CL132" i="6"/>
  <c r="CE132" i="6" s="1"/>
  <c r="AJ133" i="6"/>
  <c r="P408" i="5" l="1"/>
  <c r="Y407" i="5"/>
  <c r="AK133" i="6"/>
  <c r="CM132" i="6"/>
  <c r="CF132" i="6" s="1"/>
  <c r="W133" i="6"/>
  <c r="Z133" i="6" s="1"/>
  <c r="AR133" i="6"/>
  <c r="AC133" i="6"/>
  <c r="P409" i="5" l="1"/>
  <c r="Y408" i="5"/>
  <c r="AS133" i="6"/>
  <c r="CN132" i="6"/>
  <c r="CG132" i="6" s="1"/>
  <c r="AL133" i="6"/>
  <c r="P410" i="5" l="1"/>
  <c r="Y409" i="5"/>
  <c r="AM133" i="6"/>
  <c r="CO132" i="6"/>
  <c r="CH132" i="6" s="1"/>
  <c r="AT133" i="6"/>
  <c r="P411" i="5" l="1"/>
  <c r="Y410" i="5"/>
  <c r="AU133" i="6"/>
  <c r="AN133" i="6"/>
  <c r="X133" i="6" s="1"/>
  <c r="CP132" i="6"/>
  <c r="T132" i="6" s="1"/>
  <c r="P412" i="5" l="1"/>
  <c r="Y411" i="5"/>
  <c r="Y133" i="6"/>
  <c r="AB133" i="6" s="1"/>
  <c r="AA133" i="6"/>
  <c r="AV133" i="6"/>
  <c r="AW133" i="6" s="1"/>
  <c r="P413" i="5" l="1"/>
  <c r="Y412" i="5"/>
  <c r="AZ133" i="6"/>
  <c r="BB133" i="6"/>
  <c r="BM133" i="6" s="1"/>
  <c r="BE133" i="6"/>
  <c r="BP133" i="6" s="1"/>
  <c r="BC133" i="6"/>
  <c r="BN133" i="6" s="1"/>
  <c r="BF133" i="6"/>
  <c r="BQ133" i="6" s="1"/>
  <c r="BA133" i="6"/>
  <c r="BL133" i="6" s="1"/>
  <c r="BD133" i="6"/>
  <c r="BO133" i="6" s="1"/>
  <c r="BG133" i="6"/>
  <c r="BR133" i="6" s="1"/>
  <c r="AX133" i="6"/>
  <c r="BZ133" i="6"/>
  <c r="P414" i="5" l="1"/>
  <c r="Y413" i="5"/>
  <c r="BU133" i="6"/>
  <c r="BX133" i="6"/>
  <c r="BV133" i="6"/>
  <c r="BY133" i="6"/>
  <c r="BT133" i="6"/>
  <c r="BW133" i="6"/>
  <c r="BH133" i="6"/>
  <c r="AY133" i="6"/>
  <c r="Y414" i="5" l="1"/>
  <c r="P415" i="5"/>
  <c r="BJ133" i="6"/>
  <c r="BK133" i="6" s="1"/>
  <c r="BI133" i="6"/>
  <c r="P416" i="5" l="1"/>
  <c r="Y415" i="5"/>
  <c r="BS133" i="6"/>
  <c r="CA133" i="6" s="1"/>
  <c r="P417" i="5" l="1"/>
  <c r="Y416" i="5"/>
  <c r="CI133" i="6"/>
  <c r="CB133" i="6" s="1"/>
  <c r="AG134" i="6"/>
  <c r="CJ133" i="6"/>
  <c r="CC133" i="6" s="1"/>
  <c r="AH134" i="6"/>
  <c r="Y417" i="5" l="1"/>
  <c r="P418" i="5"/>
  <c r="AO134" i="6"/>
  <c r="Q134" i="6"/>
  <c r="R134" i="6" s="1"/>
  <c r="S134" i="6" s="1"/>
  <c r="AI134" i="6"/>
  <c r="CK133" i="6"/>
  <c r="CD133" i="6" s="1"/>
  <c r="AP134" i="6"/>
  <c r="P419" i="5" l="1"/>
  <c r="Y418" i="5"/>
  <c r="AQ134" i="6"/>
  <c r="CL133" i="6"/>
  <c r="CE133" i="6" s="1"/>
  <c r="AJ134" i="6"/>
  <c r="P420" i="5" l="1"/>
  <c r="Y419" i="5"/>
  <c r="AK134" i="6"/>
  <c r="CM133" i="6"/>
  <c r="CF133" i="6" s="1"/>
  <c r="W134" i="6"/>
  <c r="Z134" i="6" s="1"/>
  <c r="AR134" i="6"/>
  <c r="AC134" i="6"/>
  <c r="P421" i="5" l="1"/>
  <c r="Y420" i="5"/>
  <c r="AS134" i="6"/>
  <c r="CN133" i="6"/>
  <c r="CG133" i="6" s="1"/>
  <c r="AL134" i="6"/>
  <c r="P422" i="5" l="1"/>
  <c r="Y421" i="5"/>
  <c r="AM134" i="6"/>
  <c r="CO133" i="6"/>
  <c r="CH133" i="6" s="1"/>
  <c r="AT134" i="6"/>
  <c r="P423" i="5" l="1"/>
  <c r="Y422" i="5"/>
  <c r="AU134" i="6"/>
  <c r="AN134" i="6"/>
  <c r="X134" i="6" s="1"/>
  <c r="CP133" i="6"/>
  <c r="T133" i="6" s="1"/>
  <c r="P424" i="5" l="1"/>
  <c r="Y423" i="5"/>
  <c r="Y134" i="6"/>
  <c r="AB134" i="6" s="1"/>
  <c r="AA134" i="6"/>
  <c r="AV134" i="6"/>
  <c r="AW134" i="6" s="1"/>
  <c r="P425" i="5" l="1"/>
  <c r="Y424" i="5"/>
  <c r="BG134" i="6"/>
  <c r="BR134" i="6" s="1"/>
  <c r="BF134" i="6"/>
  <c r="BQ134" i="6" s="1"/>
  <c r="BB134" i="6"/>
  <c r="BM134" i="6" s="1"/>
  <c r="BD134" i="6"/>
  <c r="BO134" i="6" s="1"/>
  <c r="AX134" i="6"/>
  <c r="AZ134" i="6"/>
  <c r="BA134" i="6"/>
  <c r="BL134" i="6" s="1"/>
  <c r="BC134" i="6"/>
  <c r="BN134" i="6" s="1"/>
  <c r="BE134" i="6"/>
  <c r="BP134" i="6" s="1"/>
  <c r="P426" i="5" l="1"/>
  <c r="Y425" i="5"/>
  <c r="BZ134" i="6"/>
  <c r="BY134" i="6"/>
  <c r="BU134" i="6"/>
  <c r="BW134" i="6"/>
  <c r="BH134" i="6"/>
  <c r="AY134" i="6"/>
  <c r="BT134" i="6"/>
  <c r="BV134" i="6"/>
  <c r="BX134" i="6"/>
  <c r="P427" i="5" l="1"/>
  <c r="Y426" i="5"/>
  <c r="BI134" i="6"/>
  <c r="BJ134" i="6" s="1"/>
  <c r="BK134" i="6" s="1"/>
  <c r="P428" i="5" l="1"/>
  <c r="Y427" i="5"/>
  <c r="CA134" i="6"/>
  <c r="BS134" i="6"/>
  <c r="P429" i="5" l="1"/>
  <c r="Y428" i="5"/>
  <c r="CI134" i="6"/>
  <c r="CB134" i="6" s="1"/>
  <c r="AG135" i="6"/>
  <c r="CJ134" i="6"/>
  <c r="CC134" i="6" s="1"/>
  <c r="AH135" i="6"/>
  <c r="P430" i="5" l="1"/>
  <c r="Y429" i="5"/>
  <c r="Q135" i="6"/>
  <c r="R135" i="6" s="1"/>
  <c r="S135" i="6" s="1"/>
  <c r="AO135" i="6"/>
  <c r="AI135" i="6"/>
  <c r="CK134" i="6"/>
  <c r="CD134" i="6" s="1"/>
  <c r="AP135" i="6"/>
  <c r="P431" i="5" l="1"/>
  <c r="Y430" i="5"/>
  <c r="AQ135" i="6"/>
  <c r="AJ135" i="6"/>
  <c r="CL134" i="6"/>
  <c r="CE134" i="6" s="1"/>
  <c r="P432" i="5" l="1"/>
  <c r="Y431" i="5"/>
  <c r="W135" i="6"/>
  <c r="Z135" i="6" s="1"/>
  <c r="AC135" i="6"/>
  <c r="AR135" i="6"/>
  <c r="CM134" i="6"/>
  <c r="CF134" i="6" s="1"/>
  <c r="AK135" i="6"/>
  <c r="P433" i="5" l="1"/>
  <c r="Y432" i="5"/>
  <c r="CN134" i="6"/>
  <c r="CG134" i="6" s="1"/>
  <c r="AL135" i="6"/>
  <c r="AS135" i="6"/>
  <c r="P434" i="5" l="1"/>
  <c r="Y433" i="5"/>
  <c r="CO134" i="6"/>
  <c r="CH134" i="6" s="1"/>
  <c r="AM135" i="6"/>
  <c r="AT135" i="6"/>
  <c r="P435" i="5" l="1"/>
  <c r="Y434" i="5"/>
  <c r="AN135" i="6"/>
  <c r="CP134" i="6"/>
  <c r="T134" i="6" s="1"/>
  <c r="X135" i="6"/>
  <c r="AU135" i="6"/>
  <c r="Y435" i="5" l="1"/>
  <c r="P436" i="5"/>
  <c r="AV135" i="6"/>
  <c r="AW135" i="6" s="1"/>
  <c r="AA135" i="6"/>
  <c r="Y135" i="6"/>
  <c r="AB135" i="6" s="1"/>
  <c r="P437" i="5" l="1"/>
  <c r="Y436" i="5"/>
  <c r="AX135" i="6"/>
  <c r="BE135" i="6"/>
  <c r="BP135" i="6" s="1"/>
  <c r="BB135" i="6"/>
  <c r="BM135" i="6" s="1"/>
  <c r="BC135" i="6"/>
  <c r="BN135" i="6" s="1"/>
  <c r="BD135" i="6"/>
  <c r="BO135" i="6" s="1"/>
  <c r="BG135" i="6"/>
  <c r="BR135" i="6" s="1"/>
  <c r="BA135" i="6"/>
  <c r="BL135" i="6" s="1"/>
  <c r="BF135" i="6"/>
  <c r="BQ135" i="6" s="1"/>
  <c r="AZ135" i="6"/>
  <c r="P438" i="5" l="1"/>
  <c r="Y437" i="5"/>
  <c r="AY135" i="6"/>
  <c r="BH135" i="6"/>
  <c r="BX135" i="6"/>
  <c r="BU135" i="6"/>
  <c r="BV135" i="6"/>
  <c r="BW135" i="6"/>
  <c r="BZ135" i="6"/>
  <c r="BT135" i="6"/>
  <c r="BY135" i="6"/>
  <c r="P439" i="5" l="1"/>
  <c r="Y438" i="5"/>
  <c r="BJ135" i="6"/>
  <c r="BK135" i="6" s="1"/>
  <c r="BI135" i="6"/>
  <c r="P440" i="5" l="1"/>
  <c r="Y439" i="5"/>
  <c r="BS135" i="6"/>
  <c r="CA135" i="6" s="1"/>
  <c r="P441" i="5" l="1"/>
  <c r="Y440" i="5"/>
  <c r="CI135" i="6"/>
  <c r="CB135" i="6" s="1"/>
  <c r="AG136" i="6"/>
  <c r="P442" i="5" l="1"/>
  <c r="Y441" i="5"/>
  <c r="Q136" i="6"/>
  <c r="R136" i="6" s="1"/>
  <c r="S136" i="6" s="1"/>
  <c r="AO136" i="6"/>
  <c r="CJ135" i="6"/>
  <c r="CC135" i="6" s="1"/>
  <c r="AH136" i="6"/>
  <c r="P443" i="5" l="1"/>
  <c r="Y442" i="5"/>
  <c r="AI136" i="6"/>
  <c r="CK135" i="6"/>
  <c r="CD135" i="6" s="1"/>
  <c r="AP136" i="6"/>
  <c r="P444" i="5" l="1"/>
  <c r="Y443" i="5"/>
  <c r="AQ136" i="6"/>
  <c r="CL135" i="6"/>
  <c r="CE135" i="6" s="1"/>
  <c r="AJ136" i="6"/>
  <c r="W136" i="6" s="1"/>
  <c r="Z136" i="6" s="1"/>
  <c r="P445" i="5" l="1"/>
  <c r="Y444" i="5"/>
  <c r="AK136" i="6"/>
  <c r="CM135" i="6"/>
  <c r="CF135" i="6" s="1"/>
  <c r="AC136" i="6"/>
  <c r="AR136" i="6"/>
  <c r="P446" i="5" l="1"/>
  <c r="Y445" i="5"/>
  <c r="AS136" i="6"/>
  <c r="AL136" i="6"/>
  <c r="CN135" i="6"/>
  <c r="CG135" i="6" s="1"/>
  <c r="P447" i="5" l="1"/>
  <c r="Y446" i="5"/>
  <c r="AT136" i="6"/>
  <c r="CO135" i="6"/>
  <c r="CH135" i="6" s="1"/>
  <c r="AM136" i="6"/>
  <c r="P448" i="5" l="1"/>
  <c r="Y447" i="5"/>
  <c r="CP135" i="6"/>
  <c r="T135" i="6" s="1"/>
  <c r="AN136" i="6"/>
  <c r="X136" i="6"/>
  <c r="AU136" i="6"/>
  <c r="P449" i="5" l="1"/>
  <c r="Y448" i="5"/>
  <c r="AV136" i="6"/>
  <c r="AW136" i="6" s="1"/>
  <c r="Y136" i="6"/>
  <c r="AB136" i="6" s="1"/>
  <c r="AA136" i="6"/>
  <c r="P450" i="5" l="1"/>
  <c r="Y449" i="5"/>
  <c r="BA136" i="6"/>
  <c r="BL136" i="6" s="1"/>
  <c r="BG136" i="6"/>
  <c r="BR136" i="6" s="1"/>
  <c r="AX136" i="6"/>
  <c r="BB136" i="6"/>
  <c r="BM136" i="6" s="1"/>
  <c r="BE136" i="6"/>
  <c r="BP136" i="6" s="1"/>
  <c r="BF136" i="6"/>
  <c r="BQ136" i="6" s="1"/>
  <c r="BC136" i="6"/>
  <c r="BN136" i="6" s="1"/>
  <c r="BD136" i="6"/>
  <c r="BO136" i="6" s="1"/>
  <c r="AZ136" i="6"/>
  <c r="P451" i="5" l="1"/>
  <c r="Y450" i="5"/>
  <c r="BT136" i="6"/>
  <c r="BZ136" i="6"/>
  <c r="AY136" i="6"/>
  <c r="BH136" i="6"/>
  <c r="BU136" i="6"/>
  <c r="BX136" i="6"/>
  <c r="BY136" i="6"/>
  <c r="BV136" i="6"/>
  <c r="BW136" i="6"/>
  <c r="P452" i="5" l="1"/>
  <c r="Y451" i="5"/>
  <c r="BI136" i="6"/>
  <c r="BJ136" i="6" s="1"/>
  <c r="BK136" i="6" s="1"/>
  <c r="P453" i="5" l="1"/>
  <c r="Y452" i="5"/>
  <c r="BS136" i="6"/>
  <c r="CA136" i="6" s="1"/>
  <c r="P454" i="5" l="1"/>
  <c r="Y453" i="5"/>
  <c r="CI136" i="6"/>
  <c r="CB136" i="6" s="1"/>
  <c r="AG137" i="6"/>
  <c r="P455" i="5" l="1"/>
  <c r="Y454" i="5"/>
  <c r="CJ136" i="6"/>
  <c r="CC136" i="6" s="1"/>
  <c r="AH137" i="6"/>
  <c r="Q137" i="6"/>
  <c r="R137" i="6" s="1"/>
  <c r="S137" i="6" s="1"/>
  <c r="AO137" i="6"/>
  <c r="P456" i="5" l="1"/>
  <c r="Y455" i="5"/>
  <c r="CK136" i="6"/>
  <c r="CD136" i="6" s="1"/>
  <c r="AI137" i="6"/>
  <c r="AP137" i="6"/>
  <c r="P457" i="5" l="1"/>
  <c r="Y456" i="5"/>
  <c r="AJ137" i="6"/>
  <c r="CL136" i="6"/>
  <c r="CE136" i="6" s="1"/>
  <c r="W137" i="6"/>
  <c r="Z137" i="6" s="1"/>
  <c r="AQ137" i="6"/>
  <c r="P458" i="5" l="1"/>
  <c r="Y457" i="5"/>
  <c r="AR137" i="6"/>
  <c r="AC137" i="6"/>
  <c r="AK137" i="6"/>
  <c r="CM136" i="6"/>
  <c r="CF136" i="6" s="1"/>
  <c r="P459" i="5" l="1"/>
  <c r="Y458" i="5"/>
  <c r="AS137" i="6"/>
  <c r="CN136" i="6"/>
  <c r="CG136" i="6" s="1"/>
  <c r="AL137" i="6"/>
  <c r="P460" i="5" l="1"/>
  <c r="Y459" i="5"/>
  <c r="AM137" i="6"/>
  <c r="CO136" i="6"/>
  <c r="CH136" i="6" s="1"/>
  <c r="AT137" i="6"/>
  <c r="P461" i="5" l="1"/>
  <c r="Y460" i="5"/>
  <c r="AU137" i="6"/>
  <c r="CP136" i="6"/>
  <c r="T136" i="6" s="1"/>
  <c r="AN137" i="6"/>
  <c r="X137" i="6" s="1"/>
  <c r="P462" i="5" l="1"/>
  <c r="Y461" i="5"/>
  <c r="AA137" i="6"/>
  <c r="Y137" i="6"/>
  <c r="AB137" i="6" s="1"/>
  <c r="AV137" i="6"/>
  <c r="AW137" i="6" s="1"/>
  <c r="P463" i="5" l="1"/>
  <c r="Y462" i="5"/>
  <c r="BB137" i="6"/>
  <c r="BM137" i="6" s="1"/>
  <c r="BG137" i="6"/>
  <c r="BR137" i="6" s="1"/>
  <c r="AX137" i="6"/>
  <c r="AZ137" i="6"/>
  <c r="BD137" i="6"/>
  <c r="BO137" i="6" s="1"/>
  <c r="BE137" i="6"/>
  <c r="BP137" i="6" s="1"/>
  <c r="BC137" i="6"/>
  <c r="BN137" i="6" s="1"/>
  <c r="BF137" i="6"/>
  <c r="BQ137" i="6" s="1"/>
  <c r="BA137" i="6"/>
  <c r="BL137" i="6" s="1"/>
  <c r="P464" i="5" l="1"/>
  <c r="Y463" i="5"/>
  <c r="BU137" i="6"/>
  <c r="AY137" i="6"/>
  <c r="BH137" i="6"/>
  <c r="BW137" i="6"/>
  <c r="BX137" i="6"/>
  <c r="BV137" i="6"/>
  <c r="BY137" i="6"/>
  <c r="BT137" i="6"/>
  <c r="BZ137" i="6"/>
  <c r="P465" i="5" l="1"/>
  <c r="Y464" i="5"/>
  <c r="BJ137" i="6"/>
  <c r="BK137" i="6" s="1"/>
  <c r="BI137" i="6"/>
  <c r="P466" i="5" l="1"/>
  <c r="Y465" i="5"/>
  <c r="BS137" i="6"/>
  <c r="CA137" i="6" s="1"/>
  <c r="P467" i="5" l="1"/>
  <c r="Y466" i="5"/>
  <c r="AG138" i="6"/>
  <c r="CI137" i="6"/>
  <c r="CB137" i="6" s="1"/>
  <c r="P468" i="5" l="1"/>
  <c r="Y467" i="5"/>
  <c r="Q138" i="6"/>
  <c r="R138" i="6" s="1"/>
  <c r="S138" i="6" s="1"/>
  <c r="AO138" i="6"/>
  <c r="AH138" i="6"/>
  <c r="CJ137" i="6"/>
  <c r="CC137" i="6" s="1"/>
  <c r="P469" i="5" l="1"/>
  <c r="Y468" i="5"/>
  <c r="AP138" i="6"/>
  <c r="AI138" i="6"/>
  <c r="CK137" i="6"/>
  <c r="CD137" i="6" s="1"/>
  <c r="P470" i="5" l="1"/>
  <c r="Y469" i="5"/>
  <c r="AQ138" i="6"/>
  <c r="AJ138" i="6"/>
  <c r="W138" i="6" s="1"/>
  <c r="Z138" i="6" s="1"/>
  <c r="CL137" i="6"/>
  <c r="CE137" i="6" s="1"/>
  <c r="P471" i="5" l="1"/>
  <c r="Y470" i="5"/>
  <c r="AR138" i="6"/>
  <c r="AC138" i="6"/>
  <c r="AK138" i="6"/>
  <c r="CM137" i="6"/>
  <c r="CF137" i="6" s="1"/>
  <c r="P472" i="5" l="1"/>
  <c r="Y471" i="5"/>
  <c r="AS138" i="6"/>
  <c r="CN137" i="6"/>
  <c r="CG137" i="6" s="1"/>
  <c r="AL138" i="6"/>
  <c r="P473" i="5" l="1"/>
  <c r="Y472" i="5"/>
  <c r="CO137" i="6"/>
  <c r="CH137" i="6" s="1"/>
  <c r="AM138" i="6"/>
  <c r="AT138" i="6"/>
  <c r="P474" i="5" l="1"/>
  <c r="Y473" i="5"/>
  <c r="AN138" i="6"/>
  <c r="CP137" i="6"/>
  <c r="T137" i="6" s="1"/>
  <c r="X138" i="6"/>
  <c r="AU138" i="6"/>
  <c r="P475" i="5" l="1"/>
  <c r="Y474" i="5"/>
  <c r="AV138" i="6"/>
  <c r="AW138" i="6" s="1"/>
  <c r="AA138" i="6"/>
  <c r="Y138" i="6"/>
  <c r="AB138" i="6" s="1"/>
  <c r="P476" i="5" l="1"/>
  <c r="Y475" i="5"/>
  <c r="BA138" i="6"/>
  <c r="BL138" i="6" s="1"/>
  <c r="BC138" i="6"/>
  <c r="BN138" i="6" s="1"/>
  <c r="BE138" i="6"/>
  <c r="BP138" i="6" s="1"/>
  <c r="BB138" i="6"/>
  <c r="BM138" i="6" s="1"/>
  <c r="BF138" i="6"/>
  <c r="BQ138" i="6" s="1"/>
  <c r="AX138" i="6"/>
  <c r="AZ138" i="6"/>
  <c r="BD138" i="6"/>
  <c r="BO138" i="6" s="1"/>
  <c r="BG138" i="6"/>
  <c r="BR138" i="6" s="1"/>
  <c r="BZ138" i="6"/>
  <c r="P477" i="5" l="1"/>
  <c r="Y476" i="5"/>
  <c r="BT138" i="6"/>
  <c r="BV138" i="6"/>
  <c r="BX138" i="6"/>
  <c r="BU138" i="6"/>
  <c r="BY138" i="6"/>
  <c r="AY138" i="6"/>
  <c r="BH138" i="6"/>
  <c r="BW138" i="6"/>
  <c r="P478" i="5" l="1"/>
  <c r="Y477" i="5"/>
  <c r="BJ138" i="6"/>
  <c r="BK138" i="6" s="1"/>
  <c r="BI138" i="6"/>
  <c r="P479" i="5" l="1"/>
  <c r="Y478" i="5"/>
  <c r="BS138" i="6"/>
  <c r="CA138" i="6"/>
  <c r="P480" i="5" l="1"/>
  <c r="Y479" i="5"/>
  <c r="CI138" i="6"/>
  <c r="CB138" i="6" s="1"/>
  <c r="AG139" i="6"/>
  <c r="P481" i="5" l="1"/>
  <c r="Y480" i="5"/>
  <c r="AH139" i="6"/>
  <c r="CJ138" i="6"/>
  <c r="CC138" i="6" s="1"/>
  <c r="Q139" i="6"/>
  <c r="R139" i="6" s="1"/>
  <c r="S139" i="6" s="1"/>
  <c r="AO139" i="6"/>
  <c r="P482" i="5" l="1"/>
  <c r="Y481" i="5"/>
  <c r="AP139" i="6"/>
  <c r="AI139" i="6"/>
  <c r="CK138" i="6"/>
  <c r="CD138" i="6" s="1"/>
  <c r="P483" i="5" l="1"/>
  <c r="Y482" i="5"/>
  <c r="W139" i="6"/>
  <c r="Z139" i="6" s="1"/>
  <c r="AQ139" i="6"/>
  <c r="CL138" i="6"/>
  <c r="CE138" i="6" s="1"/>
  <c r="AJ139" i="6"/>
  <c r="P484" i="5" l="1"/>
  <c r="Y483" i="5"/>
  <c r="CM138" i="6"/>
  <c r="CF138" i="6" s="1"/>
  <c r="AK139" i="6"/>
  <c r="AR139" i="6"/>
  <c r="AC139" i="6"/>
  <c r="P485" i="5" l="1"/>
  <c r="Y484" i="5"/>
  <c r="AL139" i="6"/>
  <c r="CN138" i="6"/>
  <c r="CG138" i="6" s="1"/>
  <c r="AS139" i="6"/>
  <c r="P486" i="5" l="1"/>
  <c r="Y485" i="5"/>
  <c r="AT139" i="6"/>
  <c r="CO138" i="6"/>
  <c r="CH138" i="6" s="1"/>
  <c r="AM139" i="6"/>
  <c r="P487" i="5" l="1"/>
  <c r="Y486" i="5"/>
  <c r="CP138" i="6"/>
  <c r="T138" i="6" s="1"/>
  <c r="AN139" i="6"/>
  <c r="X139" i="6"/>
  <c r="AU139" i="6"/>
  <c r="P488" i="5" l="1"/>
  <c r="Y487" i="5"/>
  <c r="AV139" i="6"/>
  <c r="AW139" i="6" s="1"/>
  <c r="Y139" i="6"/>
  <c r="AB139" i="6" s="1"/>
  <c r="AA139" i="6"/>
  <c r="BC139" i="6"/>
  <c r="BN139" i="6" s="1"/>
  <c r="P489" i="5" l="1"/>
  <c r="Y488" i="5"/>
  <c r="BV139" i="6"/>
  <c r="AZ139" i="6"/>
  <c r="BG139" i="6"/>
  <c r="BR139" i="6" s="1"/>
  <c r="AX139" i="6"/>
  <c r="BA139" i="6"/>
  <c r="BL139" i="6" s="1"/>
  <c r="BD139" i="6"/>
  <c r="BO139" i="6" s="1"/>
  <c r="BB139" i="6"/>
  <c r="BM139" i="6" s="1"/>
  <c r="BE139" i="6"/>
  <c r="BP139" i="6" s="1"/>
  <c r="BF139" i="6"/>
  <c r="BQ139" i="6" s="1"/>
  <c r="P490" i="5" l="1"/>
  <c r="Y489" i="5"/>
  <c r="BZ139" i="6"/>
  <c r="AY139" i="6"/>
  <c r="BH139" i="6"/>
  <c r="BT139" i="6"/>
  <c r="BW139" i="6"/>
  <c r="BU139" i="6"/>
  <c r="BX139" i="6"/>
  <c r="BY139" i="6"/>
  <c r="P491" i="5" l="1"/>
  <c r="Y490" i="5"/>
  <c r="BI139" i="6"/>
  <c r="BJ139" i="6" s="1"/>
  <c r="BK139" i="6" s="1"/>
  <c r="P492" i="5" l="1"/>
  <c r="Y491" i="5"/>
  <c r="BS139" i="6"/>
  <c r="CA139" i="6"/>
  <c r="P493" i="5" l="1"/>
  <c r="Y492" i="5"/>
  <c r="CI139" i="6"/>
  <c r="CB139" i="6" s="1"/>
  <c r="AG140" i="6"/>
  <c r="P494" i="5" l="1"/>
  <c r="Y493" i="5"/>
  <c r="CJ139" i="6"/>
  <c r="CC139" i="6" s="1"/>
  <c r="AH140" i="6"/>
  <c r="Q140" i="6"/>
  <c r="R140" i="6" s="1"/>
  <c r="S140" i="6" s="1"/>
  <c r="AO140" i="6"/>
  <c r="P495" i="5" l="1"/>
  <c r="Y494" i="5"/>
  <c r="CK139" i="6"/>
  <c r="CD139" i="6" s="1"/>
  <c r="AI140" i="6"/>
  <c r="AP140" i="6"/>
  <c r="P496" i="5" l="1"/>
  <c r="Y495" i="5"/>
  <c r="AJ140" i="6"/>
  <c r="CL139" i="6"/>
  <c r="CE139" i="6" s="1"/>
  <c r="W140" i="6"/>
  <c r="Z140" i="6" s="1"/>
  <c r="AQ140" i="6"/>
  <c r="P497" i="5" l="1"/>
  <c r="Y496" i="5"/>
  <c r="AC140" i="6"/>
  <c r="AR140" i="6"/>
  <c r="AK140" i="6"/>
  <c r="CM139" i="6"/>
  <c r="CF139" i="6" s="1"/>
  <c r="P498" i="5" l="1"/>
  <c r="Y497" i="5"/>
  <c r="AS140" i="6"/>
  <c r="CN139" i="6"/>
  <c r="CG139" i="6" s="1"/>
  <c r="AL140" i="6"/>
  <c r="P499" i="5" l="1"/>
  <c r="Y498" i="5"/>
  <c r="CO139" i="6"/>
  <c r="CH139" i="6" s="1"/>
  <c r="AM140" i="6"/>
  <c r="AT140" i="6"/>
  <c r="P500" i="5" l="1"/>
  <c r="Y499" i="5"/>
  <c r="CP139" i="6"/>
  <c r="T139" i="6" s="1"/>
  <c r="AN140" i="6"/>
  <c r="X140" i="6"/>
  <c r="AU140" i="6"/>
  <c r="P501" i="5" l="1"/>
  <c r="Y500" i="5"/>
  <c r="AV140" i="6"/>
  <c r="AW140" i="6" s="1"/>
  <c r="Y140" i="6"/>
  <c r="AB140" i="6" s="1"/>
  <c r="AA140" i="6"/>
  <c r="B7" i="5" l="1"/>
  <c r="B6" i="5"/>
  <c r="Y501" i="5"/>
  <c r="BB140" i="6"/>
  <c r="BM140" i="6" s="1"/>
  <c r="BD140" i="6"/>
  <c r="BO140" i="6" s="1"/>
  <c r="BE140" i="6"/>
  <c r="BP140" i="6" s="1"/>
  <c r="BF140" i="6"/>
  <c r="BQ140" i="6" s="1"/>
  <c r="BG140" i="6"/>
  <c r="BR140" i="6" s="1"/>
  <c r="AZ140" i="6"/>
  <c r="BA140" i="6"/>
  <c r="BL140" i="6" s="1"/>
  <c r="AX140" i="6"/>
  <c r="BC140" i="6"/>
  <c r="BN140" i="6" s="1"/>
  <c r="BU140" i="6" l="1"/>
  <c r="BW140" i="6"/>
  <c r="BX140" i="6"/>
  <c r="BY140" i="6"/>
  <c r="BZ140" i="6"/>
  <c r="BT140" i="6"/>
  <c r="AY140" i="6"/>
  <c r="BH140" i="6"/>
  <c r="BV140" i="6"/>
  <c r="BJ140" i="6" l="1"/>
  <c r="BK140" i="6" s="1"/>
  <c r="BI140" i="6"/>
  <c r="BS140" i="6" l="1"/>
  <c r="CA140" i="6" s="1"/>
  <c r="AG141" i="6" l="1"/>
  <c r="CI140" i="6"/>
  <c r="CB140" i="6" s="1"/>
  <c r="AH141" i="6"/>
  <c r="CJ140" i="6"/>
  <c r="CC140" i="6" s="1"/>
  <c r="Q141" i="6" l="1"/>
  <c r="R141" i="6" s="1"/>
  <c r="S141" i="6" s="1"/>
  <c r="AO141" i="6"/>
  <c r="AP141" i="6"/>
  <c r="AI141" i="6"/>
  <c r="CK140" i="6"/>
  <c r="CD140" i="6" s="1"/>
  <c r="AQ141" i="6" l="1"/>
  <c r="AJ141" i="6"/>
  <c r="CL140" i="6"/>
  <c r="CE140" i="6" s="1"/>
  <c r="W141" i="6" l="1"/>
  <c r="Z141" i="6" s="1"/>
  <c r="AR141" i="6"/>
  <c r="AC141" i="6"/>
  <c r="AK141" i="6"/>
  <c r="CM140" i="6"/>
  <c r="CF140" i="6" s="1"/>
  <c r="AS141" i="6" l="1"/>
  <c r="CN140" i="6"/>
  <c r="CG140" i="6" s="1"/>
  <c r="AL141" i="6"/>
  <c r="CO140" i="6" l="1"/>
  <c r="CH140" i="6" s="1"/>
  <c r="AM141" i="6"/>
  <c r="AT141" i="6"/>
  <c r="AN141" i="6" l="1"/>
  <c r="CP140" i="6"/>
  <c r="T140" i="6" s="1"/>
  <c r="X141" i="6"/>
  <c r="AU141" i="6"/>
  <c r="AV141" i="6" l="1"/>
  <c r="AW141" i="6" s="1"/>
  <c r="Y141" i="6"/>
  <c r="AB141" i="6" s="1"/>
  <c r="AA141" i="6"/>
  <c r="AZ141" i="6" l="1"/>
  <c r="BB141" i="6"/>
  <c r="BM141" i="6" s="1"/>
  <c r="BD141" i="6"/>
  <c r="BO141" i="6" s="1"/>
  <c r="BE141" i="6"/>
  <c r="BP141" i="6" s="1"/>
  <c r="BC141" i="6"/>
  <c r="BN141" i="6" s="1"/>
  <c r="BF141" i="6"/>
  <c r="BQ141" i="6" s="1"/>
  <c r="BA141" i="6"/>
  <c r="BL141" i="6" s="1"/>
  <c r="AX141" i="6"/>
  <c r="BG141" i="6"/>
  <c r="BR141" i="6" s="1"/>
  <c r="BU141" i="6" l="1"/>
  <c r="BW141" i="6"/>
  <c r="BX141" i="6"/>
  <c r="BV141" i="6"/>
  <c r="BY141" i="6"/>
  <c r="BT141" i="6"/>
  <c r="BH141" i="6"/>
  <c r="AY141" i="6"/>
  <c r="BZ141" i="6"/>
  <c r="BI141" i="6" l="1"/>
  <c r="BJ141" i="6" s="1"/>
  <c r="BK141" i="6" s="1"/>
  <c r="BS141" i="6" l="1"/>
  <c r="CA141" i="6" s="1"/>
  <c r="AG142" i="6" l="1"/>
  <c r="CI141" i="6"/>
  <c r="CB141" i="6" s="1"/>
  <c r="AH142" i="6"/>
  <c r="CJ141" i="6"/>
  <c r="CC141" i="6" s="1"/>
  <c r="AO142" i="6" l="1"/>
  <c r="Q142" i="6"/>
  <c r="R142" i="6" s="1"/>
  <c r="S142" i="6" s="1"/>
  <c r="AP142" i="6"/>
  <c r="AI142" i="6"/>
  <c r="CK141" i="6"/>
  <c r="CD141" i="6" s="1"/>
  <c r="AQ142" i="6" l="1"/>
  <c r="CL141" i="6"/>
  <c r="CE141" i="6" s="1"/>
  <c r="AJ142" i="6"/>
  <c r="AK142" i="6" l="1"/>
  <c r="CM141" i="6"/>
  <c r="CF141" i="6" s="1"/>
  <c r="W142" i="6"/>
  <c r="Z142" i="6" s="1"/>
  <c r="AR142" i="6"/>
  <c r="AC142" i="6"/>
  <c r="AS142" i="6" l="1"/>
  <c r="AL142" i="6"/>
  <c r="CN141" i="6"/>
  <c r="CG141" i="6" s="1"/>
  <c r="AT142" i="6" l="1"/>
  <c r="AM142" i="6"/>
  <c r="CO141" i="6"/>
  <c r="CH141" i="6" s="1"/>
  <c r="AU142" i="6" l="1"/>
  <c r="CP141" i="6"/>
  <c r="T141" i="6" s="1"/>
  <c r="AN142" i="6"/>
  <c r="X142" i="6" s="1"/>
  <c r="AA142" i="6" l="1"/>
  <c r="Y142" i="6"/>
  <c r="AB142" i="6" s="1"/>
  <c r="AV142" i="6"/>
  <c r="AW142" i="6" s="1"/>
  <c r="BG142" i="6" l="1"/>
  <c r="BR142" i="6" s="1"/>
  <c r="BF142" i="6"/>
  <c r="BQ142" i="6" s="1"/>
  <c r="BE142" i="6"/>
  <c r="BP142" i="6" s="1"/>
  <c r="BD142" i="6"/>
  <c r="BO142" i="6" s="1"/>
  <c r="BC142" i="6"/>
  <c r="BN142" i="6" s="1"/>
  <c r="BB142" i="6"/>
  <c r="BM142" i="6" s="1"/>
  <c r="BA142" i="6"/>
  <c r="BL142" i="6" s="1"/>
  <c r="AZ142" i="6"/>
  <c r="AX142" i="6"/>
  <c r="BY142" i="6" l="1"/>
  <c r="BX142" i="6"/>
  <c r="BW142" i="6"/>
  <c r="BV142" i="6"/>
  <c r="BU142" i="6"/>
  <c r="BT142" i="6"/>
  <c r="AY142" i="6"/>
  <c r="BH142" i="6"/>
  <c r="BZ142" i="6"/>
  <c r="BI142" i="6" l="1"/>
  <c r="BJ142" i="6" s="1"/>
  <c r="BK142" i="6" s="1"/>
  <c r="CA142" i="6" l="1"/>
  <c r="BS142" i="6"/>
  <c r="CI142" i="6" l="1"/>
  <c r="CB142" i="6" s="1"/>
  <c r="AG143" i="6"/>
  <c r="AH143" i="6"/>
  <c r="CJ142" i="6"/>
  <c r="CC142" i="6" s="1"/>
  <c r="AO143" i="6" l="1"/>
  <c r="Q143" i="6"/>
  <c r="R143" i="6" s="1"/>
  <c r="S143" i="6" s="1"/>
  <c r="AP143" i="6"/>
  <c r="AI143" i="6"/>
  <c r="CK142" i="6"/>
  <c r="CD142" i="6" s="1"/>
  <c r="AQ143" i="6" l="1"/>
  <c r="AJ143" i="6"/>
  <c r="CL142" i="6"/>
  <c r="CE142" i="6" s="1"/>
  <c r="W143" i="6" l="1"/>
  <c r="Z143" i="6" s="1"/>
  <c r="AR143" i="6"/>
  <c r="AC143" i="6"/>
  <c r="AK143" i="6"/>
  <c r="CM142" i="6"/>
  <c r="CF142" i="6" s="1"/>
  <c r="AS143" i="6" l="1"/>
  <c r="AL143" i="6"/>
  <c r="CN142" i="6"/>
  <c r="CG142" i="6" s="1"/>
  <c r="AT143" i="6" l="1"/>
  <c r="CO142" i="6"/>
  <c r="CH142" i="6" s="1"/>
  <c r="AM143" i="6"/>
  <c r="AN143" i="6" l="1"/>
  <c r="X143" i="6" s="1"/>
  <c r="CP142" i="6"/>
  <c r="T142" i="6" s="1"/>
  <c r="AU143" i="6"/>
  <c r="AV143" i="6" l="1"/>
  <c r="AW143" i="6" s="1"/>
  <c r="AX143" i="6" s="1"/>
  <c r="AA143" i="6"/>
  <c r="Y143" i="6"/>
  <c r="AB143" i="6" s="1"/>
  <c r="BG143" i="6"/>
  <c r="BR143" i="6" s="1"/>
  <c r="BF143" i="6"/>
  <c r="BQ143" i="6" s="1"/>
  <c r="BE143" i="6"/>
  <c r="BP143" i="6" s="1"/>
  <c r="BD143" i="6"/>
  <c r="BO143" i="6" s="1"/>
  <c r="BC143" i="6"/>
  <c r="BN143" i="6" s="1"/>
  <c r="BB143" i="6"/>
  <c r="BM143" i="6" s="1"/>
  <c r="BA143" i="6"/>
  <c r="BL143" i="6" s="1"/>
  <c r="AZ143" i="6"/>
  <c r="BZ143" i="6" l="1"/>
  <c r="BX143" i="6"/>
  <c r="BW143" i="6"/>
  <c r="BV143" i="6"/>
  <c r="BU143" i="6"/>
  <c r="BT143" i="6"/>
  <c r="BH143" i="6"/>
  <c r="AY143" i="6"/>
  <c r="BY143" i="6"/>
  <c r="BI143" i="6" l="1"/>
  <c r="BJ143" i="6" s="1"/>
  <c r="BK143" i="6" s="1"/>
  <c r="BS143" i="6" l="1"/>
  <c r="CA143" i="6"/>
  <c r="CI143" i="6" l="1"/>
  <c r="CB143" i="6" s="1"/>
  <c r="AG144" i="6"/>
  <c r="CJ143" i="6" l="1"/>
  <c r="CC143" i="6" s="1"/>
  <c r="AH144" i="6"/>
  <c r="AO144" i="6"/>
  <c r="Q144" i="6"/>
  <c r="R144" i="6" s="1"/>
  <c r="S144" i="6" s="1"/>
  <c r="AI144" i="6" l="1"/>
  <c r="CK143" i="6"/>
  <c r="CD143" i="6" s="1"/>
  <c r="AP144" i="6"/>
  <c r="W144" i="6" l="1"/>
  <c r="Z144" i="6" s="1"/>
  <c r="AQ144" i="6"/>
  <c r="CL143" i="6"/>
  <c r="CE143" i="6" s="1"/>
  <c r="AJ144" i="6"/>
  <c r="CM143" i="6" l="1"/>
  <c r="CF143" i="6" s="1"/>
  <c r="AK144" i="6"/>
  <c r="AR144" i="6"/>
  <c r="AC144" i="6"/>
  <c r="CN143" i="6" l="1"/>
  <c r="CG143" i="6" s="1"/>
  <c r="AL144" i="6"/>
  <c r="AS144" i="6"/>
  <c r="AM144" i="6" l="1"/>
  <c r="CO143" i="6"/>
  <c r="CH143" i="6" s="1"/>
  <c r="AT144" i="6"/>
  <c r="AU144" i="6" l="1"/>
  <c r="AN144" i="6"/>
  <c r="X144" i="6" s="1"/>
  <c r="CP143" i="6"/>
  <c r="T143" i="6" s="1"/>
  <c r="AA144" i="6" l="1"/>
  <c r="Y144" i="6"/>
  <c r="AB144" i="6" s="1"/>
  <c r="AV144" i="6"/>
  <c r="AW144" i="6" s="1"/>
  <c r="BD144" i="6" l="1"/>
  <c r="BO144" i="6" s="1"/>
  <c r="BE144" i="6"/>
  <c r="BP144" i="6" s="1"/>
  <c r="BA144" i="6"/>
  <c r="BL144" i="6" s="1"/>
  <c r="BB144" i="6"/>
  <c r="BM144" i="6" s="1"/>
  <c r="BC144" i="6"/>
  <c r="BN144" i="6" s="1"/>
  <c r="BF144" i="6"/>
  <c r="BQ144" i="6" s="1"/>
  <c r="BG144" i="6"/>
  <c r="BR144" i="6" s="1"/>
  <c r="AZ144" i="6"/>
  <c r="AX144" i="6"/>
  <c r="BZ144" i="6"/>
  <c r="BW144" i="6" l="1"/>
  <c r="BX144" i="6"/>
  <c r="BT144" i="6"/>
  <c r="BU144" i="6"/>
  <c r="BV144" i="6"/>
  <c r="BY144" i="6"/>
  <c r="AY144" i="6"/>
  <c r="BH144" i="6"/>
  <c r="BI144" i="6" l="1"/>
  <c r="BJ144" i="6" s="1"/>
  <c r="BK144" i="6" s="1"/>
  <c r="BS144" i="6" l="1"/>
  <c r="CA144" i="6"/>
  <c r="CI144" i="6" l="1"/>
  <c r="CB144" i="6" s="1"/>
  <c r="AG145" i="6"/>
  <c r="AH145" i="6" l="1"/>
  <c r="CJ144" i="6"/>
  <c r="CC144" i="6" s="1"/>
  <c r="AO145" i="6"/>
  <c r="Q145" i="6"/>
  <c r="R145" i="6" s="1"/>
  <c r="S145" i="6" s="1"/>
  <c r="AP145" i="6" l="1"/>
  <c r="CK144" i="6"/>
  <c r="CD144" i="6" s="1"/>
  <c r="AI145" i="6"/>
  <c r="AJ145" i="6" l="1"/>
  <c r="CL144" i="6"/>
  <c r="CE144" i="6" s="1"/>
  <c r="W145" i="6"/>
  <c r="Z145" i="6" s="1"/>
  <c r="AQ145" i="6"/>
  <c r="AC145" i="6" l="1"/>
  <c r="AR145" i="6"/>
  <c r="CM144" i="6"/>
  <c r="CF144" i="6" s="1"/>
  <c r="AK145" i="6"/>
  <c r="AL145" i="6" l="1"/>
  <c r="CN144" i="6"/>
  <c r="CG144" i="6" s="1"/>
  <c r="AS145" i="6"/>
  <c r="AT145" i="6" l="1"/>
  <c r="CO144" i="6"/>
  <c r="CH144" i="6" s="1"/>
  <c r="AM145" i="6"/>
  <c r="CP144" i="6" l="1"/>
  <c r="T144" i="6" s="1"/>
  <c r="AN145" i="6"/>
  <c r="X145" i="6"/>
  <c r="AU145" i="6"/>
  <c r="AV145" i="6" l="1"/>
  <c r="AW145" i="6" s="1"/>
  <c r="AA145" i="6"/>
  <c r="Y145" i="6"/>
  <c r="AB145" i="6" s="1"/>
  <c r="BE145" i="6"/>
  <c r="BP145" i="6" s="1"/>
  <c r="BC145" i="6"/>
  <c r="BN145" i="6" s="1"/>
  <c r="BG145" i="6"/>
  <c r="BR145" i="6" s="1"/>
  <c r="BB145" i="6"/>
  <c r="BM145" i="6" s="1"/>
  <c r="AZ145" i="6"/>
  <c r="AX145" i="6"/>
  <c r="BD145" i="6"/>
  <c r="BO145" i="6" s="1"/>
  <c r="BZ145" i="6" l="1"/>
  <c r="BX145" i="6"/>
  <c r="BV145" i="6"/>
  <c r="BU145" i="6"/>
  <c r="AY145" i="6"/>
  <c r="BH145" i="6"/>
  <c r="BW145" i="6"/>
  <c r="BF145" i="6"/>
  <c r="BQ145" i="6" s="1"/>
  <c r="BA145" i="6"/>
  <c r="BL145" i="6" s="1"/>
  <c r="BI145" i="6" l="1"/>
  <c r="BJ145" i="6" s="1"/>
  <c r="BK145" i="6" s="1"/>
  <c r="BY145" i="6"/>
  <c r="BT145" i="6"/>
  <c r="BS145" i="6" l="1"/>
  <c r="CA145" i="6" s="1"/>
  <c r="AG146" i="6" l="1"/>
  <c r="CI145" i="6"/>
  <c r="CB145" i="6" s="1"/>
  <c r="AO146" i="6" l="1"/>
  <c r="Q146" i="6"/>
  <c r="R146" i="6" s="1"/>
  <c r="S146" i="6" s="1"/>
  <c r="CJ145" i="6"/>
  <c r="CC145" i="6" s="1"/>
  <c r="AH146" i="6"/>
  <c r="CK145" i="6" l="1"/>
  <c r="CD145" i="6" s="1"/>
  <c r="AI146" i="6"/>
  <c r="AP146" i="6"/>
  <c r="AJ146" i="6" l="1"/>
  <c r="CL145" i="6"/>
  <c r="CE145" i="6" s="1"/>
  <c r="W146" i="6"/>
  <c r="Z146" i="6" s="1"/>
  <c r="AQ146" i="6"/>
  <c r="AC146" i="6" l="1"/>
  <c r="AR146" i="6"/>
  <c r="AK146" i="6"/>
  <c r="CM145" i="6"/>
  <c r="CF145" i="6" s="1"/>
  <c r="AS146" i="6" l="1"/>
  <c r="CN145" i="6"/>
  <c r="CG145" i="6" s="1"/>
  <c r="AL146" i="6"/>
  <c r="CO145" i="6" l="1"/>
  <c r="CH145" i="6" s="1"/>
  <c r="AM146" i="6"/>
  <c r="AT146" i="6"/>
  <c r="AN146" i="6" l="1"/>
  <c r="CP145" i="6"/>
  <c r="T145" i="6" s="1"/>
  <c r="X146" i="6"/>
  <c r="AU146" i="6"/>
  <c r="AV146" i="6" l="1"/>
  <c r="AW146" i="6" s="1"/>
  <c r="AA146" i="6"/>
  <c r="Y146" i="6"/>
  <c r="AB146" i="6" s="1"/>
  <c r="AZ146" i="6" l="1"/>
  <c r="BG146" i="6"/>
  <c r="BR146" i="6" s="1"/>
  <c r="BF146" i="6"/>
  <c r="BQ146" i="6" s="1"/>
  <c r="BE146" i="6"/>
  <c r="BP146" i="6" s="1"/>
  <c r="BD146" i="6"/>
  <c r="BO146" i="6" s="1"/>
  <c r="BC146" i="6"/>
  <c r="BN146" i="6" s="1"/>
  <c r="BB146" i="6"/>
  <c r="BM146" i="6" s="1"/>
  <c r="BA146" i="6"/>
  <c r="BL146" i="6" s="1"/>
  <c r="AX146" i="6"/>
  <c r="BZ146" i="6" l="1"/>
  <c r="BY146" i="6"/>
  <c r="BX146" i="6"/>
  <c r="BW146" i="6"/>
  <c r="BV146" i="6"/>
  <c r="BU146" i="6"/>
  <c r="BT146" i="6"/>
  <c r="BH146" i="6"/>
  <c r="AY146" i="6"/>
  <c r="BI146" i="6" l="1"/>
  <c r="BJ146" i="6" s="1"/>
  <c r="BK146" i="6" s="1"/>
  <c r="BS146" i="6" l="1"/>
  <c r="CA146" i="6" s="1"/>
  <c r="AG147" i="6" l="1"/>
  <c r="CI146" i="6"/>
  <c r="CB146" i="6" s="1"/>
  <c r="AO147" i="6" l="1"/>
  <c r="Q147" i="6"/>
  <c r="R147" i="6" s="1"/>
  <c r="S147" i="6" s="1"/>
  <c r="CJ146" i="6"/>
  <c r="CC146" i="6" s="1"/>
  <c r="AH147" i="6"/>
  <c r="AI147" i="6" l="1"/>
  <c r="CK146" i="6"/>
  <c r="CD146" i="6" s="1"/>
  <c r="AP147" i="6"/>
  <c r="AQ147" i="6" l="1"/>
  <c r="AJ147" i="6"/>
  <c r="W147" i="6" s="1"/>
  <c r="Z147" i="6" s="1"/>
  <c r="CL146" i="6"/>
  <c r="CE146" i="6" s="1"/>
  <c r="AC147" i="6" l="1"/>
  <c r="AR147" i="6"/>
  <c r="CM146" i="6"/>
  <c r="CF146" i="6" s="1"/>
  <c r="AK147" i="6"/>
  <c r="CN146" i="6" l="1"/>
  <c r="CG146" i="6" s="1"/>
  <c r="AL147" i="6"/>
  <c r="AS147" i="6"/>
  <c r="CO146" i="6" l="1"/>
  <c r="CH146" i="6" s="1"/>
  <c r="AM147" i="6"/>
  <c r="AT147" i="6"/>
  <c r="CP146" i="6" l="1"/>
  <c r="T146" i="6" s="1"/>
  <c r="AN147" i="6"/>
  <c r="X147" i="6"/>
  <c r="AU147" i="6"/>
  <c r="AV147" i="6" l="1"/>
  <c r="AW147" i="6" s="1"/>
  <c r="AA147" i="6"/>
  <c r="Y147" i="6"/>
  <c r="AB147" i="6" s="1"/>
  <c r="AX147" i="6" l="1"/>
  <c r="AZ147" i="6"/>
  <c r="BA147" i="6"/>
  <c r="BL147" i="6" s="1"/>
  <c r="BD147" i="6"/>
  <c r="BO147" i="6" s="1"/>
  <c r="BF147" i="6"/>
  <c r="BQ147" i="6" s="1"/>
  <c r="BG147" i="6"/>
  <c r="BR147" i="6" s="1"/>
  <c r="BB147" i="6"/>
  <c r="BM147" i="6" s="1"/>
  <c r="BC147" i="6"/>
  <c r="BN147" i="6" s="1"/>
  <c r="BE147" i="6"/>
  <c r="BP147" i="6" s="1"/>
  <c r="AY147" i="6" l="1"/>
  <c r="BH147" i="6"/>
  <c r="BT147" i="6"/>
  <c r="BW147" i="6"/>
  <c r="BY147" i="6"/>
  <c r="BZ147" i="6"/>
  <c r="BU147" i="6"/>
  <c r="BV147" i="6"/>
  <c r="BX147" i="6"/>
  <c r="BI147" i="6" l="1"/>
  <c r="BJ147" i="6" s="1"/>
  <c r="BK147" i="6" s="1"/>
  <c r="BS147" i="6" l="1"/>
  <c r="CA147" i="6" s="1"/>
  <c r="AG148" i="6" l="1"/>
  <c r="CI147" i="6"/>
  <c r="CB147" i="6" s="1"/>
  <c r="AH148" i="6" s="1"/>
  <c r="CJ147" i="6"/>
  <c r="CC147" i="6" s="1"/>
  <c r="AO148" i="6" l="1"/>
  <c r="Q148" i="6"/>
  <c r="R148" i="6" s="1"/>
  <c r="S148" i="6" s="1"/>
  <c r="CK147" i="6"/>
  <c r="CD147" i="6" s="1"/>
  <c r="AI148" i="6"/>
  <c r="AP148" i="6"/>
  <c r="CL147" i="6" l="1"/>
  <c r="CE147" i="6" s="1"/>
  <c r="AJ148" i="6"/>
  <c r="AQ148" i="6"/>
  <c r="AK148" i="6" l="1"/>
  <c r="CM147" i="6"/>
  <c r="CF147" i="6" s="1"/>
  <c r="W148" i="6"/>
  <c r="Z148" i="6" s="1"/>
  <c r="AC148" i="6"/>
  <c r="AR148" i="6"/>
  <c r="AS148" i="6" l="1"/>
  <c r="AL148" i="6"/>
  <c r="CN147" i="6"/>
  <c r="CG147" i="6" s="1"/>
  <c r="AT148" i="6" l="1"/>
  <c r="CO147" i="6"/>
  <c r="CH147" i="6" s="1"/>
  <c r="AM148" i="6"/>
  <c r="CP147" i="6" l="1"/>
  <c r="T147" i="6" s="1"/>
  <c r="AN148" i="6"/>
  <c r="X148" i="6" s="1"/>
  <c r="AU148" i="6"/>
  <c r="AV148" i="6" l="1"/>
  <c r="AW148" i="6" s="1"/>
  <c r="AA148" i="6"/>
  <c r="Y148" i="6"/>
  <c r="AB148" i="6" s="1"/>
  <c r="AZ148" i="6" l="1"/>
  <c r="BA148" i="6"/>
  <c r="BL148" i="6" s="1"/>
  <c r="BB148" i="6"/>
  <c r="BM148" i="6" s="1"/>
  <c r="BC148" i="6"/>
  <c r="BN148" i="6" s="1"/>
  <c r="BG148" i="6"/>
  <c r="BR148" i="6" s="1"/>
  <c r="AX148" i="6"/>
  <c r="BD148" i="6"/>
  <c r="BO148" i="6" s="1"/>
  <c r="BE148" i="6"/>
  <c r="BP148" i="6" s="1"/>
  <c r="BF148" i="6"/>
  <c r="BQ148" i="6" s="1"/>
  <c r="BT148" i="6" l="1"/>
  <c r="BU148" i="6"/>
  <c r="BV148" i="6"/>
  <c r="BZ148" i="6"/>
  <c r="BH148" i="6"/>
  <c r="AY148" i="6"/>
  <c r="BW148" i="6"/>
  <c r="BX148" i="6"/>
  <c r="BY148" i="6"/>
  <c r="BJ148" i="6" l="1"/>
  <c r="BK148" i="6" s="1"/>
  <c r="BI148" i="6"/>
  <c r="BS148" i="6" l="1"/>
  <c r="CA148" i="6"/>
  <c r="AG149" i="6" l="1"/>
  <c r="CI148" i="6"/>
  <c r="CB148" i="6" s="1"/>
  <c r="AO149" i="6" l="1"/>
  <c r="Q149" i="6"/>
  <c r="R149" i="6" s="1"/>
  <c r="S149" i="6" s="1"/>
  <c r="AH149" i="6"/>
  <c r="CJ148" i="6"/>
  <c r="CC148" i="6" s="1"/>
  <c r="AP149" i="6" l="1"/>
  <c r="CK148" i="6"/>
  <c r="CD148" i="6" s="1"/>
  <c r="AI149" i="6"/>
  <c r="CL148" i="6" l="1"/>
  <c r="CE148" i="6" s="1"/>
  <c r="AJ149" i="6"/>
  <c r="W149" i="6" s="1"/>
  <c r="Z149" i="6" s="1"/>
  <c r="AQ149" i="6"/>
  <c r="AK149" i="6" l="1"/>
  <c r="CM148" i="6"/>
  <c r="CF148" i="6" s="1"/>
  <c r="AC149" i="6"/>
  <c r="AR149" i="6"/>
  <c r="AS149" i="6" l="1"/>
  <c r="AL149" i="6"/>
  <c r="CN148" i="6"/>
  <c r="CG148" i="6" s="1"/>
  <c r="AT149" i="6" l="1"/>
  <c r="CO148" i="6"/>
  <c r="CH148" i="6" s="1"/>
  <c r="AM149" i="6"/>
  <c r="CP148" i="6" l="1"/>
  <c r="T148" i="6" s="1"/>
  <c r="AN149" i="6"/>
  <c r="X149" i="6" s="1"/>
  <c r="AU149" i="6"/>
  <c r="AV149" i="6" l="1"/>
  <c r="AW149" i="6" s="1"/>
  <c r="AA149" i="6"/>
  <c r="Y149" i="6"/>
  <c r="AB149" i="6" s="1"/>
  <c r="BB149" i="6"/>
  <c r="BM149" i="6" s="1"/>
  <c r="BA149" i="6"/>
  <c r="BL149" i="6" s="1"/>
  <c r="AZ149" i="6"/>
  <c r="AX149" i="6"/>
  <c r="BU149" i="6" l="1"/>
  <c r="BT149" i="6"/>
  <c r="AY149" i="6"/>
  <c r="BH149" i="6"/>
  <c r="BG149" i="6"/>
  <c r="BR149" i="6" s="1"/>
  <c r="BF149" i="6"/>
  <c r="BQ149" i="6" s="1"/>
  <c r="BE149" i="6"/>
  <c r="BP149" i="6" s="1"/>
  <c r="BD149" i="6"/>
  <c r="BO149" i="6" s="1"/>
  <c r="BC149" i="6"/>
  <c r="BN149" i="6" s="1"/>
  <c r="BI149" i="6" l="1"/>
  <c r="BJ149" i="6" s="1"/>
  <c r="BK149" i="6" s="1"/>
  <c r="BZ149" i="6"/>
  <c r="BY149" i="6"/>
  <c r="BX149" i="6"/>
  <c r="BW149" i="6"/>
  <c r="BV149" i="6"/>
  <c r="CA149" i="6" l="1"/>
  <c r="BS149" i="6"/>
  <c r="AG150" i="6" l="1"/>
  <c r="CI149" i="6"/>
  <c r="CB149" i="6" s="1"/>
  <c r="AO150" i="6" l="1"/>
  <c r="Q150" i="6"/>
  <c r="R150" i="6" s="1"/>
  <c r="S150" i="6" s="1"/>
  <c r="CJ149" i="6"/>
  <c r="CC149" i="6" s="1"/>
  <c r="AH150" i="6"/>
  <c r="AI150" i="6" l="1"/>
  <c r="CK149" i="6"/>
  <c r="CD149" i="6" s="1"/>
  <c r="AP150" i="6"/>
  <c r="AQ150" i="6" l="1"/>
  <c r="CL149" i="6"/>
  <c r="CE149" i="6" s="1"/>
  <c r="AJ150" i="6"/>
  <c r="W150" i="6" s="1"/>
  <c r="Z150" i="6" s="1"/>
  <c r="CM149" i="6" l="1"/>
  <c r="CF149" i="6" s="1"/>
  <c r="AK150" i="6"/>
  <c r="AC150" i="6"/>
  <c r="AR150" i="6"/>
  <c r="CN149" i="6" l="1"/>
  <c r="CG149" i="6" s="1"/>
  <c r="AL150" i="6"/>
  <c r="AS150" i="6"/>
  <c r="CO149" i="6" l="1"/>
  <c r="CH149" i="6" s="1"/>
  <c r="AM150" i="6"/>
  <c r="AT150" i="6"/>
  <c r="CP149" i="6" l="1"/>
  <c r="T149" i="6" s="1"/>
  <c r="AN150" i="6"/>
  <c r="X150" i="6"/>
  <c r="AU150" i="6"/>
  <c r="AV150" i="6" l="1"/>
  <c r="AW150" i="6" s="1"/>
  <c r="AA150" i="6"/>
  <c r="Y150" i="6"/>
  <c r="AB150" i="6" s="1"/>
  <c r="AX150" i="6" l="1"/>
  <c r="AZ150" i="6"/>
  <c r="BA150" i="6"/>
  <c r="BL150" i="6" s="1"/>
  <c r="BB150" i="6"/>
  <c r="BM150" i="6" s="1"/>
  <c r="BC150" i="6"/>
  <c r="BN150" i="6" s="1"/>
  <c r="BD150" i="6"/>
  <c r="BO150" i="6" s="1"/>
  <c r="BE150" i="6"/>
  <c r="BP150" i="6" s="1"/>
  <c r="BG150" i="6"/>
  <c r="BR150" i="6" s="1"/>
  <c r="BF150" i="6"/>
  <c r="BQ150" i="6" s="1"/>
  <c r="AY150" i="6" l="1"/>
  <c r="BH150" i="6"/>
  <c r="BT150" i="6"/>
  <c r="BU150" i="6"/>
  <c r="BV150" i="6"/>
  <c r="BW150" i="6"/>
  <c r="BX150" i="6"/>
  <c r="BZ150" i="6"/>
  <c r="BY150" i="6"/>
  <c r="BJ150" i="6" l="1"/>
  <c r="BK150" i="6" s="1"/>
  <c r="BI150" i="6"/>
  <c r="CA150" i="6" l="1"/>
  <c r="BS150" i="6"/>
  <c r="AG151" i="6" l="1"/>
  <c r="CI150" i="6"/>
  <c r="CB150" i="6" s="1"/>
  <c r="AO151" i="6" l="1"/>
  <c r="Q151" i="6"/>
  <c r="R151" i="6" s="1"/>
  <c r="S151" i="6" s="1"/>
  <c r="AH151" i="6"/>
  <c r="CJ150" i="6"/>
  <c r="CC150" i="6" s="1"/>
  <c r="AP151" i="6" l="1"/>
  <c r="AI151" i="6"/>
  <c r="CK150" i="6"/>
  <c r="CD150" i="6" s="1"/>
  <c r="W151" i="6" l="1"/>
  <c r="Z151" i="6" s="1"/>
  <c r="AQ151" i="6"/>
  <c r="CL150" i="6"/>
  <c r="CE150" i="6" s="1"/>
  <c r="AJ151" i="6"/>
  <c r="CM150" i="6" l="1"/>
  <c r="CF150" i="6" s="1"/>
  <c r="AK151" i="6"/>
  <c r="AC151" i="6"/>
  <c r="AR151" i="6"/>
  <c r="CN150" i="6" l="1"/>
  <c r="CG150" i="6" s="1"/>
  <c r="AL151" i="6"/>
  <c r="AS151" i="6"/>
  <c r="CO150" i="6" l="1"/>
  <c r="CH150" i="6" s="1"/>
  <c r="AM151" i="6"/>
  <c r="AT151" i="6"/>
  <c r="CP150" i="6" l="1"/>
  <c r="T150" i="6" s="1"/>
  <c r="AN151" i="6"/>
  <c r="X151" i="6"/>
  <c r="AU151" i="6"/>
  <c r="AV151" i="6" l="1"/>
  <c r="AW151" i="6" s="1"/>
  <c r="AA151" i="6"/>
  <c r="Y151" i="6"/>
  <c r="AB151" i="6" s="1"/>
  <c r="BG151" i="6" l="1"/>
  <c r="BR151" i="6" s="1"/>
  <c r="BF151" i="6"/>
  <c r="BQ151" i="6" s="1"/>
  <c r="BE151" i="6"/>
  <c r="BP151" i="6" s="1"/>
  <c r="BD151" i="6"/>
  <c r="BO151" i="6" s="1"/>
  <c r="BC151" i="6"/>
  <c r="BN151" i="6" s="1"/>
  <c r="BB151" i="6"/>
  <c r="BM151" i="6" s="1"/>
  <c r="BA151" i="6"/>
  <c r="BL151" i="6" s="1"/>
  <c r="AZ151" i="6"/>
  <c r="AX151" i="6"/>
  <c r="BZ151" i="6" l="1"/>
  <c r="BY151" i="6"/>
  <c r="BX151" i="6"/>
  <c r="BW151" i="6"/>
  <c r="BV151" i="6"/>
  <c r="BU151" i="6"/>
  <c r="BT151" i="6"/>
  <c r="BH151" i="6"/>
  <c r="AY151" i="6"/>
  <c r="BI151" i="6" l="1"/>
  <c r="BJ151" i="6" s="1"/>
  <c r="BK151" i="6" s="1"/>
  <c r="BS151" i="6" l="1"/>
  <c r="CA151" i="6"/>
  <c r="AG152" i="6" l="1"/>
  <c r="CI151" i="6"/>
  <c r="CB151" i="6" s="1"/>
  <c r="AO152" i="6" l="1"/>
  <c r="Q152" i="6"/>
  <c r="R152" i="6" s="1"/>
  <c r="S152" i="6" s="1"/>
  <c r="AH152" i="6"/>
  <c r="CJ151" i="6"/>
  <c r="CC151" i="6" s="1"/>
  <c r="AP152" i="6" l="1"/>
  <c r="CK151" i="6"/>
  <c r="CD151" i="6" s="1"/>
  <c r="AI152" i="6"/>
  <c r="AJ152" i="6" l="1"/>
  <c r="W152" i="6" s="1"/>
  <c r="Z152" i="6" s="1"/>
  <c r="CL151" i="6"/>
  <c r="CE151" i="6" s="1"/>
  <c r="AQ152" i="6"/>
  <c r="AC152" i="6" l="1"/>
  <c r="AR152" i="6"/>
  <c r="AK152" i="6"/>
  <c r="CM151" i="6"/>
  <c r="CF151" i="6" s="1"/>
  <c r="AS152" i="6" l="1"/>
  <c r="CN151" i="6"/>
  <c r="CG151" i="6" s="1"/>
  <c r="AL152" i="6"/>
  <c r="CO151" i="6" l="1"/>
  <c r="CH151" i="6" s="1"/>
  <c r="AM152" i="6"/>
  <c r="AT152" i="6"/>
  <c r="CP151" i="6" l="1"/>
  <c r="T151" i="6" s="1"/>
  <c r="AN152" i="6"/>
  <c r="X152" i="6"/>
  <c r="AU152" i="6"/>
  <c r="AV152" i="6" l="1"/>
  <c r="AW152" i="6" s="1"/>
  <c r="AA152" i="6"/>
  <c r="Y152" i="6"/>
  <c r="AB152" i="6" s="1"/>
  <c r="BB152" i="6" l="1"/>
  <c r="BM152" i="6" s="1"/>
  <c r="AZ152" i="6"/>
  <c r="BG152" i="6"/>
  <c r="BR152" i="6" s="1"/>
  <c r="BF152" i="6"/>
  <c r="BQ152" i="6" s="1"/>
  <c r="BE152" i="6"/>
  <c r="BP152" i="6" s="1"/>
  <c r="BD152" i="6"/>
  <c r="BO152" i="6" s="1"/>
  <c r="BC152" i="6"/>
  <c r="BN152" i="6" s="1"/>
  <c r="BA152" i="6"/>
  <c r="BL152" i="6" s="1"/>
  <c r="AX152" i="6"/>
  <c r="BU152" i="6" l="1"/>
  <c r="BZ152" i="6"/>
  <c r="BY152" i="6"/>
  <c r="BX152" i="6"/>
  <c r="BW152" i="6"/>
  <c r="BV152" i="6"/>
  <c r="BT152" i="6"/>
  <c r="BH152" i="6"/>
  <c r="AY152" i="6"/>
  <c r="BJ152" i="6" l="1"/>
  <c r="BK152" i="6" s="1"/>
  <c r="BI152" i="6"/>
  <c r="BS152" i="6" l="1"/>
  <c r="CA152" i="6"/>
  <c r="AG153" i="6" l="1"/>
  <c r="CI152" i="6"/>
  <c r="CB152" i="6" s="1"/>
  <c r="AO153" i="6" l="1"/>
  <c r="Q153" i="6"/>
  <c r="R153" i="6" s="1"/>
  <c r="S153" i="6" s="1"/>
  <c r="AH153" i="6"/>
  <c r="CJ152" i="6"/>
  <c r="CC152" i="6" s="1"/>
  <c r="AP153" i="6" l="1"/>
  <c r="CK152" i="6"/>
  <c r="CD152" i="6" s="1"/>
  <c r="AI153" i="6"/>
  <c r="CL152" i="6" l="1"/>
  <c r="CE152" i="6" s="1"/>
  <c r="AJ153" i="6"/>
  <c r="W153" i="6" s="1"/>
  <c r="Z153" i="6" s="1"/>
  <c r="AQ153" i="6"/>
  <c r="CM152" i="6" l="1"/>
  <c r="CF152" i="6" s="1"/>
  <c r="AK153" i="6"/>
  <c r="AC153" i="6"/>
  <c r="AR153" i="6"/>
  <c r="CN152" i="6" l="1"/>
  <c r="CG152" i="6" s="1"/>
  <c r="AL153" i="6"/>
  <c r="AS153" i="6"/>
  <c r="CO152" i="6" l="1"/>
  <c r="CH152" i="6" s="1"/>
  <c r="AM153" i="6"/>
  <c r="AT153" i="6"/>
  <c r="CP152" i="6" l="1"/>
  <c r="T152" i="6" s="1"/>
  <c r="AN153" i="6"/>
  <c r="X153" i="6" s="1"/>
  <c r="AU153" i="6"/>
  <c r="AV153" i="6" l="1"/>
  <c r="AW153" i="6" s="1"/>
  <c r="AA153" i="6"/>
  <c r="Y153" i="6"/>
  <c r="AB153" i="6" s="1"/>
  <c r="AX153" i="6"/>
  <c r="AZ153" i="6"/>
  <c r="BH153" i="6" l="1"/>
  <c r="AY153" i="6"/>
  <c r="BA153" i="6"/>
  <c r="BL153" i="6" s="1"/>
  <c r="BB153" i="6"/>
  <c r="BM153" i="6" s="1"/>
  <c r="BC153" i="6"/>
  <c r="BN153" i="6" s="1"/>
  <c r="BE153" i="6"/>
  <c r="BP153" i="6" s="1"/>
  <c r="BG153" i="6"/>
  <c r="BR153" i="6" s="1"/>
  <c r="BD153" i="6"/>
  <c r="BO153" i="6" s="1"/>
  <c r="BF153" i="6"/>
  <c r="BQ153" i="6" s="1"/>
  <c r="BI153" i="6" l="1"/>
  <c r="BJ153" i="6" s="1"/>
  <c r="BK153" i="6" s="1"/>
  <c r="BT153" i="6"/>
  <c r="BU153" i="6"/>
  <c r="BV153" i="6"/>
  <c r="BX153" i="6"/>
  <c r="BZ153" i="6"/>
  <c r="BW153" i="6"/>
  <c r="BY153" i="6"/>
  <c r="BS153" i="6" l="1"/>
  <c r="CA153" i="6"/>
  <c r="AG154" i="6" l="1"/>
  <c r="CI153" i="6"/>
  <c r="CB153" i="6" s="1"/>
  <c r="AO154" i="6" l="1"/>
  <c r="Q154" i="6"/>
  <c r="R154" i="6" s="1"/>
  <c r="S154" i="6" s="1"/>
  <c r="CJ153" i="6"/>
  <c r="CC153" i="6" s="1"/>
  <c r="AH154" i="6"/>
  <c r="CK153" i="6" l="1"/>
  <c r="CD153" i="6" s="1"/>
  <c r="AI154" i="6"/>
  <c r="AP154" i="6"/>
  <c r="CL153" i="6" l="1"/>
  <c r="CE153" i="6" s="1"/>
  <c r="AJ154" i="6"/>
  <c r="W154" i="6"/>
  <c r="Z154" i="6" s="1"/>
  <c r="AQ154" i="6"/>
  <c r="CM153" i="6" l="1"/>
  <c r="CF153" i="6" s="1"/>
  <c r="AK154" i="6"/>
  <c r="AR154" i="6"/>
  <c r="AC154" i="6"/>
  <c r="AL154" i="6" l="1"/>
  <c r="CN153" i="6"/>
  <c r="CG153" i="6" s="1"/>
  <c r="AS154" i="6"/>
  <c r="AT154" i="6" l="1"/>
  <c r="CO153" i="6"/>
  <c r="CH153" i="6" s="1"/>
  <c r="AM154" i="6"/>
  <c r="CP153" i="6" l="1"/>
  <c r="T153" i="6" s="1"/>
  <c r="AN154" i="6"/>
  <c r="X154" i="6"/>
  <c r="AU154" i="6"/>
  <c r="AV154" i="6" l="1"/>
  <c r="AW154" i="6" s="1"/>
  <c r="AA154" i="6"/>
  <c r="Y154" i="6"/>
  <c r="AB154" i="6" s="1"/>
  <c r="AX154" i="6" l="1"/>
  <c r="AZ154" i="6"/>
  <c r="BA154" i="6"/>
  <c r="BL154" i="6" s="1"/>
  <c r="BB154" i="6"/>
  <c r="BM154" i="6" s="1"/>
  <c r="BD154" i="6"/>
  <c r="BO154" i="6" s="1"/>
  <c r="BF154" i="6"/>
  <c r="BQ154" i="6" s="1"/>
  <c r="BC154" i="6"/>
  <c r="BN154" i="6" s="1"/>
  <c r="BE154" i="6"/>
  <c r="BP154" i="6" s="1"/>
  <c r="BG154" i="6"/>
  <c r="BR154" i="6" s="1"/>
  <c r="AY154" i="6" l="1"/>
  <c r="BH154" i="6"/>
  <c r="BT154" i="6"/>
  <c r="BU154" i="6"/>
  <c r="BW154" i="6"/>
  <c r="BY154" i="6"/>
  <c r="BV154" i="6"/>
  <c r="BX154" i="6"/>
  <c r="BZ154" i="6"/>
  <c r="BJ154" i="6" l="1"/>
  <c r="BK154" i="6" s="1"/>
  <c r="BI154" i="6"/>
  <c r="BS154" i="6" l="1"/>
  <c r="CA154" i="6" s="1"/>
  <c r="AG155" i="6" l="1"/>
  <c r="CI154" i="6"/>
  <c r="CB154" i="6" s="1"/>
  <c r="AO155" i="6" l="1"/>
  <c r="Q155" i="6"/>
  <c r="R155" i="6" s="1"/>
  <c r="S155" i="6" s="1"/>
  <c r="AH155" i="6"/>
  <c r="CJ154" i="6"/>
  <c r="CC154" i="6" s="1"/>
  <c r="AP155" i="6" l="1"/>
  <c r="CK154" i="6"/>
  <c r="CD154" i="6" s="1"/>
  <c r="AI155" i="6"/>
  <c r="CL154" i="6" l="1"/>
  <c r="CE154" i="6" s="1"/>
  <c r="AJ155" i="6"/>
  <c r="W155" i="6"/>
  <c r="Z155" i="6" s="1"/>
  <c r="AQ155" i="6"/>
  <c r="AK155" i="6" l="1"/>
  <c r="CM154" i="6"/>
  <c r="CF154" i="6" s="1"/>
  <c r="AC155" i="6"/>
  <c r="AR155" i="6"/>
  <c r="AS155" i="6" l="1"/>
  <c r="AL155" i="6"/>
  <c r="CN154" i="6"/>
  <c r="CG154" i="6" s="1"/>
  <c r="AT155" i="6" l="1"/>
  <c r="CO154" i="6"/>
  <c r="CH154" i="6" s="1"/>
  <c r="AM155" i="6"/>
  <c r="CP154" i="6" l="1"/>
  <c r="T154" i="6" s="1"/>
  <c r="AN155" i="6"/>
  <c r="X155" i="6"/>
  <c r="AU155" i="6"/>
  <c r="AV155" i="6" l="1"/>
  <c r="AW155" i="6" s="1"/>
  <c r="AA155" i="6"/>
  <c r="Y155" i="6"/>
  <c r="AB155" i="6" s="1"/>
  <c r="BG155" i="6" l="1"/>
  <c r="BR155" i="6" s="1"/>
  <c r="BF155" i="6"/>
  <c r="BQ155" i="6" s="1"/>
  <c r="BE155" i="6"/>
  <c r="BP155" i="6" s="1"/>
  <c r="BD155" i="6"/>
  <c r="BO155" i="6" s="1"/>
  <c r="BC155" i="6"/>
  <c r="BN155" i="6" s="1"/>
  <c r="BB155" i="6"/>
  <c r="BM155" i="6" s="1"/>
  <c r="BA155" i="6"/>
  <c r="BL155" i="6" s="1"/>
  <c r="AZ155" i="6"/>
  <c r="AX155" i="6"/>
  <c r="BZ155" i="6" l="1"/>
  <c r="BY155" i="6"/>
  <c r="BX155" i="6"/>
  <c r="BW155" i="6"/>
  <c r="BV155" i="6"/>
  <c r="BU155" i="6"/>
  <c r="BT155" i="6"/>
  <c r="BH155" i="6"/>
  <c r="AY155" i="6"/>
  <c r="BI155" i="6" l="1"/>
  <c r="BJ155" i="6" s="1"/>
  <c r="BK155" i="6" s="1"/>
  <c r="BS155" i="6" l="1"/>
  <c r="CA155" i="6" s="1"/>
  <c r="AG156" i="6" l="1"/>
  <c r="CI155" i="6"/>
  <c r="CB155" i="6" s="1"/>
  <c r="AO156" i="6" l="1"/>
  <c r="Q156" i="6"/>
  <c r="R156" i="6" s="1"/>
  <c r="S156" i="6" s="1"/>
  <c r="AH156" i="6"/>
  <c r="CJ155" i="6"/>
  <c r="CC155" i="6" s="1"/>
  <c r="AP156" i="6" l="1"/>
  <c r="AI156" i="6"/>
  <c r="CK155" i="6"/>
  <c r="CD155" i="6" s="1"/>
  <c r="AQ156" i="6" l="1"/>
  <c r="AJ156" i="6"/>
  <c r="W156" i="6" s="1"/>
  <c r="Z156" i="6" s="1"/>
  <c r="CL155" i="6"/>
  <c r="CE155" i="6" s="1"/>
  <c r="AC156" i="6" l="1"/>
  <c r="AR156" i="6"/>
  <c r="CM155" i="6"/>
  <c r="CF155" i="6" s="1"/>
  <c r="AK156" i="6"/>
  <c r="CN155" i="6" l="1"/>
  <c r="CG155" i="6" s="1"/>
  <c r="AL156" i="6"/>
  <c r="AS156" i="6"/>
  <c r="CO155" i="6" l="1"/>
  <c r="CH155" i="6" s="1"/>
  <c r="AM156" i="6"/>
  <c r="AT156" i="6"/>
  <c r="CP155" i="6" l="1"/>
  <c r="T155" i="6" s="1"/>
  <c r="AN156" i="6"/>
  <c r="X156" i="6"/>
  <c r="AU156" i="6"/>
  <c r="AV156" i="6" l="1"/>
  <c r="AW156" i="6" s="1"/>
  <c r="AA156" i="6"/>
  <c r="Y156" i="6"/>
  <c r="AB156" i="6" s="1"/>
  <c r="AX156" i="6"/>
  <c r="BG156" i="6"/>
  <c r="BR156" i="6" s="1"/>
  <c r="BF156" i="6"/>
  <c r="BQ156" i="6" s="1"/>
  <c r="BE156" i="6"/>
  <c r="BP156" i="6" s="1"/>
  <c r="BD156" i="6"/>
  <c r="BO156" i="6" s="1"/>
  <c r="BC156" i="6"/>
  <c r="BN156" i="6" s="1"/>
  <c r="BZ156" i="6" l="1"/>
  <c r="AY156" i="6"/>
  <c r="BH156" i="6"/>
  <c r="BY156" i="6"/>
  <c r="BX156" i="6"/>
  <c r="BW156" i="6"/>
  <c r="BV156" i="6"/>
  <c r="BB156" i="6"/>
  <c r="BM156" i="6" s="1"/>
  <c r="BA156" i="6"/>
  <c r="BL156" i="6" s="1"/>
  <c r="AZ156" i="6"/>
  <c r="BI156" i="6" l="1"/>
  <c r="BJ156" i="6" s="1"/>
  <c r="BK156" i="6" s="1"/>
  <c r="BU156" i="6"/>
  <c r="BT156" i="6"/>
  <c r="BS156" i="6" l="1"/>
  <c r="CA156" i="6" s="1"/>
  <c r="CI156" i="6" l="1"/>
  <c r="CB156" i="6" s="1"/>
  <c r="AG157" i="6"/>
  <c r="AH157" i="6" l="1"/>
  <c r="CJ156" i="6"/>
  <c r="CC156" i="6" s="1"/>
  <c r="AO157" i="6"/>
  <c r="Q157" i="6"/>
  <c r="R157" i="6" s="1"/>
  <c r="S157" i="6" s="1"/>
  <c r="AP157" i="6" l="1"/>
  <c r="CK156" i="6"/>
  <c r="CD156" i="6" s="1"/>
  <c r="AI157" i="6"/>
  <c r="AJ157" i="6" l="1"/>
  <c r="CL156" i="6"/>
  <c r="CE156" i="6" s="1"/>
  <c r="W157" i="6"/>
  <c r="Z157" i="6" s="1"/>
  <c r="AQ157" i="6"/>
  <c r="AC157" i="6" l="1"/>
  <c r="AR157" i="6"/>
  <c r="CM156" i="6"/>
  <c r="CF156" i="6" s="1"/>
  <c r="AK157" i="6"/>
  <c r="CN156" i="6" l="1"/>
  <c r="CG156" i="6" s="1"/>
  <c r="AL157" i="6"/>
  <c r="AS157" i="6"/>
  <c r="AM157" i="6" l="1"/>
  <c r="CO156" i="6"/>
  <c r="CH156" i="6" s="1"/>
  <c r="AT157" i="6"/>
  <c r="AU157" i="6" l="1"/>
  <c r="AN157" i="6"/>
  <c r="X157" i="6" s="1"/>
  <c r="CP156" i="6"/>
  <c r="T156" i="6" s="1"/>
  <c r="AA157" i="6" l="1"/>
  <c r="Y157" i="6"/>
  <c r="AB157" i="6" s="1"/>
  <c r="AV157" i="6"/>
  <c r="AW157" i="6" s="1"/>
  <c r="BB157" i="6" l="1"/>
  <c r="BM157" i="6" s="1"/>
  <c r="BC157" i="6"/>
  <c r="BN157" i="6" s="1"/>
  <c r="BD157" i="6"/>
  <c r="BO157" i="6" s="1"/>
  <c r="BG157" i="6"/>
  <c r="BR157" i="6" s="1"/>
  <c r="BE157" i="6"/>
  <c r="BP157" i="6" s="1"/>
  <c r="BF157" i="6"/>
  <c r="BQ157" i="6" s="1"/>
  <c r="AZ157" i="6"/>
  <c r="BA157" i="6"/>
  <c r="BL157" i="6" s="1"/>
  <c r="AX157" i="6"/>
  <c r="BU157" i="6" l="1"/>
  <c r="BV157" i="6"/>
  <c r="BW157" i="6"/>
  <c r="BZ157" i="6"/>
  <c r="BX157" i="6"/>
  <c r="BY157" i="6"/>
  <c r="BT157" i="6"/>
  <c r="AY157" i="6"/>
  <c r="BH157" i="6"/>
  <c r="BJ157" i="6" l="1"/>
  <c r="BK157" i="6" s="1"/>
  <c r="BI157" i="6"/>
  <c r="CA157" i="6" l="1"/>
  <c r="BS157" i="6"/>
  <c r="AG158" i="6" l="1"/>
  <c r="CI157" i="6"/>
  <c r="CB157" i="6" s="1"/>
  <c r="AO158" i="6" l="1"/>
  <c r="Q158" i="6"/>
  <c r="R158" i="6" s="1"/>
  <c r="S158" i="6" s="1"/>
  <c r="CJ157" i="6"/>
  <c r="CC157" i="6" s="1"/>
  <c r="AH158" i="6"/>
  <c r="CK157" i="6" l="1"/>
  <c r="CD157" i="6" s="1"/>
  <c r="AI158" i="6"/>
  <c r="AP158" i="6"/>
  <c r="AJ158" i="6" l="1"/>
  <c r="CL157" i="6"/>
  <c r="CE157" i="6" s="1"/>
  <c r="W158" i="6"/>
  <c r="Z158" i="6" s="1"/>
  <c r="AQ158" i="6"/>
  <c r="AC158" i="6" l="1"/>
  <c r="AR158" i="6"/>
  <c r="CM157" i="6"/>
  <c r="CF157" i="6" s="1"/>
  <c r="AK158" i="6"/>
  <c r="CN157" i="6" l="1"/>
  <c r="CG157" i="6" s="1"/>
  <c r="AL158" i="6"/>
  <c r="AS158" i="6"/>
  <c r="CO157" i="6" l="1"/>
  <c r="CH157" i="6" s="1"/>
  <c r="AM158" i="6"/>
  <c r="AT158" i="6"/>
  <c r="CP157" i="6" l="1"/>
  <c r="T157" i="6" s="1"/>
  <c r="AN158" i="6"/>
  <c r="X158" i="6"/>
  <c r="AU158" i="6"/>
  <c r="AV158" i="6" l="1"/>
  <c r="AW158" i="6" s="1"/>
  <c r="AA158" i="6"/>
  <c r="Y158" i="6"/>
  <c r="AB158" i="6" s="1"/>
  <c r="BA158" i="6" l="1"/>
  <c r="BL158" i="6" s="1"/>
  <c r="BB158" i="6"/>
  <c r="BM158" i="6" s="1"/>
  <c r="BC158" i="6"/>
  <c r="BN158" i="6" s="1"/>
  <c r="BD158" i="6"/>
  <c r="BO158" i="6" s="1"/>
  <c r="BE158" i="6"/>
  <c r="BP158" i="6" s="1"/>
  <c r="BF158" i="6"/>
  <c r="BQ158" i="6" s="1"/>
  <c r="BG158" i="6"/>
  <c r="BR158" i="6" s="1"/>
  <c r="AX158" i="6"/>
  <c r="AZ158" i="6"/>
  <c r="BT158" i="6" l="1"/>
  <c r="BU158" i="6"/>
  <c r="BV158" i="6"/>
  <c r="BW158" i="6"/>
  <c r="BX158" i="6"/>
  <c r="BY158" i="6"/>
  <c r="BZ158" i="6"/>
  <c r="AY158" i="6"/>
  <c r="BH158" i="6"/>
  <c r="BJ158" i="6" l="1"/>
  <c r="BK158" i="6" s="1"/>
  <c r="BI158" i="6"/>
  <c r="BS158" i="6" l="1"/>
  <c r="CA158" i="6" s="1"/>
  <c r="AG159" i="6" l="1"/>
  <c r="CI158" i="6"/>
  <c r="CB158" i="6" s="1"/>
  <c r="CJ158" i="6" s="1"/>
  <c r="CC158" i="6" s="1"/>
  <c r="AH159" i="6"/>
  <c r="AO159" i="6" l="1"/>
  <c r="Q159" i="6"/>
  <c r="R159" i="6" s="1"/>
  <c r="S159" i="6" s="1"/>
  <c r="AP159" i="6"/>
  <c r="CK158" i="6"/>
  <c r="CD158" i="6" s="1"/>
  <c r="AI159" i="6"/>
  <c r="CL158" i="6" l="1"/>
  <c r="CE158" i="6" s="1"/>
  <c r="AJ159" i="6"/>
  <c r="AQ159" i="6"/>
  <c r="AK159" i="6" l="1"/>
  <c r="CM158" i="6"/>
  <c r="CF158" i="6" s="1"/>
  <c r="W159" i="6"/>
  <c r="Z159" i="6" s="1"/>
  <c r="AC159" i="6"/>
  <c r="AR159" i="6"/>
  <c r="AS159" i="6" l="1"/>
  <c r="AL159" i="6"/>
  <c r="CN158" i="6"/>
  <c r="CG158" i="6" s="1"/>
  <c r="AT159" i="6" l="1"/>
  <c r="CO158" i="6"/>
  <c r="CH158" i="6" s="1"/>
  <c r="AM159" i="6"/>
  <c r="CP158" i="6" l="1"/>
  <c r="T158" i="6" s="1"/>
  <c r="AN159" i="6"/>
  <c r="X159" i="6"/>
  <c r="AU159" i="6"/>
  <c r="AV159" i="6" l="1"/>
  <c r="AW159" i="6" s="1"/>
  <c r="AA159" i="6"/>
  <c r="Y159" i="6"/>
  <c r="AB159" i="6" s="1"/>
  <c r="BG159" i="6"/>
  <c r="BR159" i="6" s="1"/>
  <c r="AX159" i="6"/>
  <c r="AZ159" i="6"/>
  <c r="BA159" i="6"/>
  <c r="BL159" i="6" s="1"/>
  <c r="BB159" i="6"/>
  <c r="BM159" i="6" s="1"/>
  <c r="BZ159" i="6" l="1"/>
  <c r="AY159" i="6"/>
  <c r="BH159" i="6"/>
  <c r="BT159" i="6"/>
  <c r="BU159" i="6"/>
  <c r="BC159" i="6"/>
  <c r="BN159" i="6" s="1"/>
  <c r="BD159" i="6"/>
  <c r="BO159" i="6" s="1"/>
  <c r="BE159" i="6"/>
  <c r="BP159" i="6" s="1"/>
  <c r="BF159" i="6"/>
  <c r="BQ159" i="6" s="1"/>
  <c r="BI159" i="6" l="1"/>
  <c r="BJ159" i="6" s="1"/>
  <c r="BK159" i="6" s="1"/>
  <c r="BV159" i="6"/>
  <c r="BW159" i="6"/>
  <c r="BX159" i="6"/>
  <c r="BY159" i="6"/>
  <c r="CA159" i="6" l="1"/>
  <c r="BS159" i="6"/>
  <c r="AG160" i="6" l="1"/>
  <c r="CI159" i="6"/>
  <c r="CB159" i="6" s="1"/>
  <c r="AO160" i="6" l="1"/>
  <c r="Q160" i="6"/>
  <c r="R160" i="6" s="1"/>
  <c r="S160" i="6" s="1"/>
  <c r="CJ159" i="6"/>
  <c r="CC159" i="6" s="1"/>
  <c r="AH160" i="6"/>
  <c r="AI160" i="6" l="1"/>
  <c r="CK159" i="6"/>
  <c r="CD159" i="6" s="1"/>
  <c r="AP160" i="6"/>
  <c r="AQ160" i="6" l="1"/>
  <c r="CL159" i="6"/>
  <c r="CE159" i="6" s="1"/>
  <c r="AJ160" i="6"/>
  <c r="W160" i="6" s="1"/>
  <c r="Z160" i="6" s="1"/>
  <c r="AK160" i="6" l="1"/>
  <c r="CM159" i="6"/>
  <c r="CF159" i="6" s="1"/>
  <c r="AC160" i="6"/>
  <c r="AR160" i="6"/>
  <c r="AS160" i="6" l="1"/>
  <c r="AL160" i="6"/>
  <c r="CN159" i="6"/>
  <c r="CG159" i="6" s="1"/>
  <c r="AT160" i="6" l="1"/>
  <c r="CO159" i="6"/>
  <c r="CH159" i="6" s="1"/>
  <c r="AM160" i="6"/>
  <c r="AN160" i="6" l="1"/>
  <c r="X160" i="6" s="1"/>
  <c r="CP159" i="6"/>
  <c r="T159" i="6" s="1"/>
  <c r="AU160" i="6"/>
  <c r="AV160" i="6" l="1"/>
  <c r="AW160" i="6" s="1"/>
  <c r="AA160" i="6"/>
  <c r="Y160" i="6"/>
  <c r="AB160" i="6" s="1"/>
  <c r="AX160" i="6" l="1"/>
  <c r="AZ160" i="6"/>
  <c r="BA160" i="6"/>
  <c r="BL160" i="6" s="1"/>
  <c r="BB160" i="6"/>
  <c r="BM160" i="6" s="1"/>
  <c r="BC160" i="6"/>
  <c r="BN160" i="6" s="1"/>
  <c r="BD160" i="6"/>
  <c r="BO160" i="6" s="1"/>
  <c r="BE160" i="6"/>
  <c r="BP160" i="6" s="1"/>
  <c r="BF160" i="6"/>
  <c r="BQ160" i="6" s="1"/>
  <c r="BG160" i="6"/>
  <c r="BR160" i="6" s="1"/>
  <c r="AY160" i="6" l="1"/>
  <c r="BH160" i="6"/>
  <c r="BT160" i="6"/>
  <c r="BU160" i="6"/>
  <c r="BV160" i="6"/>
  <c r="BW160" i="6"/>
  <c r="BX160" i="6"/>
  <c r="BY160" i="6"/>
  <c r="BZ160" i="6"/>
  <c r="BJ160" i="6" l="1"/>
  <c r="BK160" i="6" s="1"/>
  <c r="BI160" i="6"/>
  <c r="BS160" i="6" l="1"/>
  <c r="CA160" i="6" s="1"/>
  <c r="CI160" i="6" l="1"/>
  <c r="CB160" i="6" s="1"/>
  <c r="AG161" i="6"/>
  <c r="Q161" i="6" l="1"/>
  <c r="R161" i="6" s="1"/>
  <c r="S161" i="6" s="1"/>
  <c r="AO161" i="6"/>
  <c r="CJ160" i="6"/>
  <c r="CC160" i="6" s="1"/>
  <c r="AH161" i="6"/>
  <c r="CK160" i="6" l="1"/>
  <c r="CD160" i="6" s="1"/>
  <c r="AI161" i="6"/>
  <c r="AP161" i="6"/>
  <c r="CL160" i="6" l="1"/>
  <c r="CE160" i="6" s="1"/>
  <c r="AJ161" i="6"/>
  <c r="W161" i="6"/>
  <c r="Z161" i="6" s="1"/>
  <c r="AQ161" i="6"/>
  <c r="AK161" i="6" l="1"/>
  <c r="CM160" i="6"/>
  <c r="CF160" i="6" s="1"/>
  <c r="AC161" i="6"/>
  <c r="AR161" i="6"/>
  <c r="AS161" i="6" l="1"/>
  <c r="AL161" i="6"/>
  <c r="CN160" i="6"/>
  <c r="CG160" i="6" s="1"/>
  <c r="AT161" i="6" l="1"/>
  <c r="CO160" i="6"/>
  <c r="CH160" i="6" s="1"/>
  <c r="AM161" i="6"/>
  <c r="AN161" i="6" l="1"/>
  <c r="CP160" i="6"/>
  <c r="T160" i="6" s="1"/>
  <c r="X161" i="6"/>
  <c r="AU161" i="6"/>
  <c r="AV161" i="6" l="1"/>
  <c r="AW161" i="6" s="1"/>
  <c r="AA161" i="6"/>
  <c r="Y161" i="6"/>
  <c r="AB161" i="6" s="1"/>
  <c r="BB161" i="6" l="1"/>
  <c r="BM161" i="6" s="1"/>
  <c r="BD161" i="6"/>
  <c r="BO161" i="6" s="1"/>
  <c r="BC161" i="6"/>
  <c r="BN161" i="6" s="1"/>
  <c r="BE161" i="6"/>
  <c r="BP161" i="6" s="1"/>
  <c r="BG161" i="6"/>
  <c r="BR161" i="6" s="1"/>
  <c r="AX161" i="6"/>
  <c r="AZ161" i="6"/>
  <c r="BA161" i="6"/>
  <c r="BL161" i="6" s="1"/>
  <c r="BF161" i="6"/>
  <c r="BQ161" i="6" s="1"/>
  <c r="BU161" i="6" l="1"/>
  <c r="BW161" i="6"/>
  <c r="BV161" i="6"/>
  <c r="BX161" i="6"/>
  <c r="BZ161" i="6"/>
  <c r="AY161" i="6"/>
  <c r="BH161" i="6"/>
  <c r="BT161" i="6"/>
  <c r="BY161" i="6"/>
  <c r="BJ161" i="6" l="1"/>
  <c r="BK161" i="6" s="1"/>
  <c r="BI161" i="6"/>
  <c r="CA161" i="6" l="1"/>
  <c r="BS161" i="6"/>
  <c r="CI161" i="6" l="1"/>
  <c r="CB161" i="6" s="1"/>
  <c r="AG162" i="6"/>
  <c r="AO162" i="6" l="1"/>
  <c r="Q162" i="6"/>
  <c r="R162" i="6" s="1"/>
  <c r="S162" i="6" s="1"/>
  <c r="CJ161" i="6"/>
  <c r="CC161" i="6" s="1"/>
  <c r="AH162" i="6"/>
  <c r="CK161" i="6" l="1"/>
  <c r="CD161" i="6" s="1"/>
  <c r="AI162" i="6"/>
  <c r="AP162" i="6"/>
  <c r="CL161" i="6" l="1"/>
  <c r="CE161" i="6" s="1"/>
  <c r="AJ162" i="6"/>
  <c r="W162" i="6"/>
  <c r="Z162" i="6" s="1"/>
  <c r="AQ162" i="6"/>
  <c r="AK162" i="6" l="1"/>
  <c r="CM161" i="6"/>
  <c r="CF161" i="6" s="1"/>
  <c r="AR162" i="6"/>
  <c r="AC162" i="6"/>
  <c r="AS162" i="6" l="1"/>
  <c r="AL162" i="6"/>
  <c r="CN161" i="6"/>
  <c r="CG161" i="6" s="1"/>
  <c r="AT162" i="6" l="1"/>
  <c r="CO161" i="6"/>
  <c r="CH161" i="6" s="1"/>
  <c r="AM162" i="6"/>
  <c r="AN162" i="6" l="1"/>
  <c r="CP161" i="6"/>
  <c r="T161" i="6" s="1"/>
  <c r="X162" i="6"/>
  <c r="AU162" i="6"/>
  <c r="AV162" i="6" l="1"/>
  <c r="AW162" i="6" s="1"/>
  <c r="AA162" i="6"/>
  <c r="Y162" i="6"/>
  <c r="AB162" i="6" s="1"/>
  <c r="BB162" i="6"/>
  <c r="BM162" i="6" s="1"/>
  <c r="BF162" i="6"/>
  <c r="BQ162" i="6" s="1"/>
  <c r="AZ162" i="6"/>
  <c r="BC162" i="6"/>
  <c r="BN162" i="6" s="1"/>
  <c r="BE162" i="6"/>
  <c r="BP162" i="6" s="1"/>
  <c r="BU162" i="6" l="1"/>
  <c r="BV162" i="6"/>
  <c r="BX162" i="6"/>
  <c r="BG162" i="6"/>
  <c r="BR162" i="6" s="1"/>
  <c r="BA162" i="6"/>
  <c r="BL162" i="6" s="1"/>
  <c r="AX162" i="6"/>
  <c r="BD162" i="6"/>
  <c r="BO162" i="6" s="1"/>
  <c r="BY162" i="6"/>
  <c r="BZ162" i="6" l="1"/>
  <c r="BT162" i="6"/>
  <c r="AY162" i="6"/>
  <c r="BH162" i="6"/>
  <c r="BW162" i="6"/>
  <c r="BI162" i="6" l="1"/>
  <c r="BJ162" i="6" s="1"/>
  <c r="BK162" i="6" s="1"/>
  <c r="BS162" i="6" l="1"/>
  <c r="CA162" i="6"/>
  <c r="CI162" i="6" l="1"/>
  <c r="CB162" i="6" s="1"/>
  <c r="AG163" i="6"/>
  <c r="CJ162" i="6" l="1"/>
  <c r="CC162" i="6" s="1"/>
  <c r="AH163" i="6"/>
  <c r="AO163" i="6"/>
  <c r="Q163" i="6"/>
  <c r="R163" i="6" s="1"/>
  <c r="S163" i="6" s="1"/>
  <c r="CK162" i="6" l="1"/>
  <c r="CD162" i="6" s="1"/>
  <c r="AI163" i="6"/>
  <c r="AP163" i="6"/>
  <c r="CL162" i="6" l="1"/>
  <c r="CE162" i="6" s="1"/>
  <c r="AJ163" i="6"/>
  <c r="W163" i="6" s="1"/>
  <c r="Z163" i="6" s="1"/>
  <c r="AQ163" i="6"/>
  <c r="AK163" i="6" l="1"/>
  <c r="CM162" i="6"/>
  <c r="CF162" i="6" s="1"/>
  <c r="AR163" i="6"/>
  <c r="AC163" i="6"/>
  <c r="AS163" i="6" l="1"/>
  <c r="CN162" i="6"/>
  <c r="CG162" i="6" s="1"/>
  <c r="AL163" i="6"/>
  <c r="CO162" i="6" l="1"/>
  <c r="CH162" i="6" s="1"/>
  <c r="AM163" i="6"/>
  <c r="AT163" i="6"/>
  <c r="AN163" i="6" l="1"/>
  <c r="CP162" i="6"/>
  <c r="T162" i="6" s="1"/>
  <c r="X163" i="6"/>
  <c r="AU163" i="6"/>
  <c r="AV163" i="6" l="1"/>
  <c r="AW163" i="6" s="1"/>
  <c r="AA163" i="6"/>
  <c r="Y163" i="6"/>
  <c r="AB163" i="6" s="1"/>
  <c r="BG163" i="6" l="1"/>
  <c r="BR163" i="6" s="1"/>
  <c r="AX163" i="6"/>
  <c r="AZ163" i="6"/>
  <c r="BA163" i="6"/>
  <c r="BL163" i="6" s="1"/>
  <c r="BB163" i="6"/>
  <c r="BM163" i="6" s="1"/>
  <c r="BC163" i="6"/>
  <c r="BN163" i="6" s="1"/>
  <c r="BD163" i="6"/>
  <c r="BO163" i="6" s="1"/>
  <c r="BE163" i="6"/>
  <c r="BP163" i="6" s="1"/>
  <c r="BF163" i="6"/>
  <c r="BQ163" i="6" s="1"/>
  <c r="BZ163" i="6"/>
  <c r="AY163" i="6" l="1"/>
  <c r="BH163" i="6"/>
  <c r="BT163" i="6"/>
  <c r="BU163" i="6"/>
  <c r="BV163" i="6"/>
  <c r="BW163" i="6"/>
  <c r="BX163" i="6"/>
  <c r="BY163" i="6"/>
  <c r="BJ163" i="6" l="1"/>
  <c r="BK163" i="6" s="1"/>
  <c r="BI163" i="6"/>
  <c r="BS163" i="6" l="1"/>
  <c r="CA163" i="6"/>
  <c r="AG164" i="6" l="1"/>
  <c r="CI163" i="6"/>
  <c r="CB163" i="6" s="1"/>
  <c r="AO164" i="6" l="1"/>
  <c r="Q164" i="6"/>
  <c r="R164" i="6" s="1"/>
  <c r="S164" i="6" s="1"/>
  <c r="CJ163" i="6"/>
  <c r="CC163" i="6" s="1"/>
  <c r="AH164" i="6"/>
  <c r="CK163" i="6" l="1"/>
  <c r="CD163" i="6" s="1"/>
  <c r="AI164" i="6"/>
  <c r="AP164" i="6"/>
  <c r="AJ164" i="6" l="1"/>
  <c r="CL163" i="6"/>
  <c r="CE163" i="6" s="1"/>
  <c r="W164" i="6"/>
  <c r="Z164" i="6" s="1"/>
  <c r="AQ164" i="6"/>
  <c r="AR164" i="6" l="1"/>
  <c r="AC164" i="6"/>
  <c r="CM163" i="6"/>
  <c r="CF163" i="6" s="1"/>
  <c r="AK164" i="6"/>
  <c r="AL164" i="6" l="1"/>
  <c r="CN163" i="6"/>
  <c r="CG163" i="6" s="1"/>
  <c r="AS164" i="6"/>
  <c r="AT164" i="6" l="1"/>
  <c r="AM164" i="6"/>
  <c r="CO163" i="6"/>
  <c r="CH163" i="6" s="1"/>
  <c r="X164" i="6" l="1"/>
  <c r="AU164" i="6"/>
  <c r="CP163" i="6"/>
  <c r="T163" i="6" s="1"/>
  <c r="AN164" i="6"/>
  <c r="AA164" i="6" l="1"/>
  <c r="Y164" i="6"/>
  <c r="AB164" i="6" s="1"/>
  <c r="AV164" i="6"/>
  <c r="AW164" i="6" s="1"/>
  <c r="BG164" i="6" l="1"/>
  <c r="BR164" i="6" s="1"/>
  <c r="BF164" i="6"/>
  <c r="BQ164" i="6" s="1"/>
  <c r="BE164" i="6"/>
  <c r="BP164" i="6" s="1"/>
  <c r="BD164" i="6"/>
  <c r="BO164" i="6" s="1"/>
  <c r="BC164" i="6"/>
  <c r="BN164" i="6" s="1"/>
  <c r="BB164" i="6"/>
  <c r="BM164" i="6" s="1"/>
  <c r="BA164" i="6"/>
  <c r="BL164" i="6" s="1"/>
  <c r="AZ164" i="6"/>
  <c r="AX164" i="6"/>
  <c r="BZ164" i="6" l="1"/>
  <c r="BY164" i="6"/>
  <c r="BX164" i="6"/>
  <c r="BW164" i="6"/>
  <c r="BV164" i="6"/>
  <c r="BU164" i="6"/>
  <c r="BT164" i="6"/>
  <c r="BH164" i="6"/>
  <c r="AY164" i="6"/>
  <c r="BJ164" i="6" l="1"/>
  <c r="BK164" i="6" s="1"/>
  <c r="BI164" i="6"/>
  <c r="BS164" i="6" l="1"/>
  <c r="CA164" i="6" s="1"/>
  <c r="CI164" i="6" l="1"/>
  <c r="CB164" i="6" s="1"/>
  <c r="AG165" i="6"/>
  <c r="AH165" i="6" l="1"/>
  <c r="CJ164" i="6"/>
  <c r="CC164" i="6" s="1"/>
  <c r="AO165" i="6"/>
  <c r="Q165" i="6"/>
  <c r="R165" i="6" s="1"/>
  <c r="S165" i="6" s="1"/>
  <c r="AP165" i="6" l="1"/>
  <c r="AI165" i="6"/>
  <c r="CK164" i="6"/>
  <c r="CD164" i="6" s="1"/>
  <c r="W165" i="6" l="1"/>
  <c r="Z165" i="6" s="1"/>
  <c r="AQ165" i="6"/>
  <c r="AJ165" i="6"/>
  <c r="CL164" i="6"/>
  <c r="CE164" i="6" s="1"/>
  <c r="AR165" i="6" l="1"/>
  <c r="AC165" i="6"/>
  <c r="CM164" i="6"/>
  <c r="CF164" i="6" s="1"/>
  <c r="AK165" i="6"/>
  <c r="AL165" i="6" l="1"/>
  <c r="CN164" i="6"/>
  <c r="CG164" i="6" s="1"/>
  <c r="AS165" i="6"/>
  <c r="AT165" i="6" l="1"/>
  <c r="AM165" i="6"/>
  <c r="CO164" i="6"/>
  <c r="CH164" i="6" s="1"/>
  <c r="AU165" i="6" l="1"/>
  <c r="AN165" i="6"/>
  <c r="X165" i="6" s="1"/>
  <c r="CP164" i="6"/>
  <c r="T164" i="6" s="1"/>
  <c r="AA165" i="6" l="1"/>
  <c r="Y165" i="6"/>
  <c r="AB165" i="6" s="1"/>
  <c r="AV165" i="6"/>
  <c r="AW165" i="6" s="1"/>
  <c r="BG165" i="6" l="1"/>
  <c r="BR165" i="6" s="1"/>
  <c r="BF165" i="6"/>
  <c r="BQ165" i="6" s="1"/>
  <c r="BE165" i="6"/>
  <c r="BP165" i="6" s="1"/>
  <c r="BD165" i="6"/>
  <c r="BO165" i="6" s="1"/>
  <c r="BC165" i="6"/>
  <c r="BN165" i="6" s="1"/>
  <c r="BB165" i="6"/>
  <c r="BM165" i="6" s="1"/>
  <c r="BA165" i="6"/>
  <c r="BL165" i="6" s="1"/>
  <c r="AZ165" i="6"/>
  <c r="AX165" i="6"/>
  <c r="BZ165" i="6"/>
  <c r="BY165" i="6" l="1"/>
  <c r="BX165" i="6"/>
  <c r="BW165" i="6"/>
  <c r="BV165" i="6"/>
  <c r="BU165" i="6"/>
  <c r="BT165" i="6"/>
  <c r="BH165" i="6"/>
  <c r="AY165" i="6"/>
  <c r="BI165" i="6" l="1"/>
  <c r="BJ165" i="6" s="1"/>
  <c r="BK165" i="6" s="1"/>
  <c r="BS165" i="6" l="1"/>
  <c r="CA165" i="6" s="1"/>
  <c r="AG166" i="6" l="1"/>
  <c r="CI165" i="6"/>
  <c r="CB165" i="6" s="1"/>
  <c r="CJ165" i="6" s="1"/>
  <c r="CC165" i="6" s="1"/>
  <c r="AH166" i="6"/>
  <c r="AO166" i="6" l="1"/>
  <c r="Q166" i="6"/>
  <c r="R166" i="6" s="1"/>
  <c r="S166" i="6" s="1"/>
  <c r="AP166" i="6"/>
  <c r="CK165" i="6"/>
  <c r="CD165" i="6" s="1"/>
  <c r="AI166" i="6"/>
  <c r="CL165" i="6" l="1"/>
  <c r="CE165" i="6" s="1"/>
  <c r="AJ166" i="6"/>
  <c r="AQ166" i="6"/>
  <c r="CM165" i="6" l="1"/>
  <c r="CF165" i="6" s="1"/>
  <c r="AK166" i="6"/>
  <c r="W166" i="6"/>
  <c r="Z166" i="6" s="1"/>
  <c r="AR166" i="6"/>
  <c r="AC166" i="6"/>
  <c r="AL166" i="6" l="1"/>
  <c r="CN165" i="6"/>
  <c r="CG165" i="6" s="1"/>
  <c r="AS166" i="6"/>
  <c r="AT166" i="6" l="1"/>
  <c r="AM166" i="6"/>
  <c r="CO165" i="6"/>
  <c r="CH165" i="6" s="1"/>
  <c r="AU166" i="6" l="1"/>
  <c r="AN166" i="6"/>
  <c r="X166" i="6" s="1"/>
  <c r="CP165" i="6"/>
  <c r="T165" i="6" s="1"/>
  <c r="AA166" i="6" l="1"/>
  <c r="Y166" i="6"/>
  <c r="AB166" i="6" s="1"/>
  <c r="AV166" i="6"/>
  <c r="AW166" i="6" s="1"/>
  <c r="AX166" i="6" l="1"/>
  <c r="AZ166" i="6"/>
  <c r="BA166" i="6"/>
  <c r="BL166" i="6" s="1"/>
  <c r="BB166" i="6"/>
  <c r="BM166" i="6" s="1"/>
  <c r="BC166" i="6"/>
  <c r="BN166" i="6" s="1"/>
  <c r="BD166" i="6"/>
  <c r="BO166" i="6" s="1"/>
  <c r="BE166" i="6"/>
  <c r="BP166" i="6" s="1"/>
  <c r="BF166" i="6"/>
  <c r="BQ166" i="6" s="1"/>
  <c r="BG166" i="6"/>
  <c r="BR166" i="6" s="1"/>
  <c r="BH166" i="6" l="1"/>
  <c r="AY166" i="6"/>
  <c r="BT166" i="6"/>
  <c r="BU166" i="6"/>
  <c r="BV166" i="6"/>
  <c r="BW166" i="6"/>
  <c r="BX166" i="6"/>
  <c r="BY166" i="6"/>
  <c r="BZ166" i="6"/>
  <c r="BI166" i="6" l="1"/>
  <c r="BJ166" i="6" s="1"/>
  <c r="BK166" i="6" s="1"/>
  <c r="BS166" i="6" l="1"/>
  <c r="CA166" i="6" s="1"/>
  <c r="CI166" i="6" l="1"/>
  <c r="CB166" i="6" s="1"/>
  <c r="AG167" i="6"/>
  <c r="CJ166" i="6" l="1"/>
  <c r="CC166" i="6" s="1"/>
  <c r="AH167" i="6"/>
  <c r="AO167" i="6"/>
  <c r="Q167" i="6"/>
  <c r="R167" i="6" s="1"/>
  <c r="S167" i="6" s="1"/>
  <c r="CK166" i="6" l="1"/>
  <c r="CD166" i="6" s="1"/>
  <c r="AI167" i="6"/>
  <c r="AP167" i="6"/>
  <c r="AJ167" i="6" l="1"/>
  <c r="CL166" i="6"/>
  <c r="CE166" i="6" s="1"/>
  <c r="W167" i="6"/>
  <c r="Z167" i="6" s="1"/>
  <c r="AQ167" i="6"/>
  <c r="AR167" i="6" l="1"/>
  <c r="AC167" i="6"/>
  <c r="CM166" i="6"/>
  <c r="CF166" i="6" s="1"/>
  <c r="AK167" i="6"/>
  <c r="AL167" i="6" l="1"/>
  <c r="CN166" i="6"/>
  <c r="CG166" i="6" s="1"/>
  <c r="AS167" i="6"/>
  <c r="AT167" i="6" l="1"/>
  <c r="AM167" i="6"/>
  <c r="CO166" i="6"/>
  <c r="CH166" i="6" s="1"/>
  <c r="AU167" i="6" l="1"/>
  <c r="AN167" i="6"/>
  <c r="X167" i="6" s="1"/>
  <c r="CP166" i="6"/>
  <c r="T166" i="6" s="1"/>
  <c r="AA167" i="6" l="1"/>
  <c r="Y167" i="6"/>
  <c r="AB167" i="6" s="1"/>
  <c r="AV167" i="6"/>
  <c r="AW167" i="6" s="1"/>
  <c r="AZ167" i="6" l="1"/>
  <c r="BA167" i="6"/>
  <c r="BL167" i="6" s="1"/>
  <c r="AX167" i="6"/>
  <c r="BB167" i="6"/>
  <c r="BM167" i="6" s="1"/>
  <c r="BC167" i="6"/>
  <c r="BN167" i="6" s="1"/>
  <c r="BD167" i="6"/>
  <c r="BO167" i="6" s="1"/>
  <c r="BE167" i="6"/>
  <c r="BP167" i="6" s="1"/>
  <c r="BF167" i="6"/>
  <c r="BQ167" i="6" s="1"/>
  <c r="BG167" i="6"/>
  <c r="BR167" i="6" s="1"/>
  <c r="BZ167" i="6" s="1"/>
  <c r="BT167" i="6" l="1"/>
  <c r="AY167" i="6"/>
  <c r="BH167" i="6"/>
  <c r="BU167" i="6"/>
  <c r="BV167" i="6"/>
  <c r="BW167" i="6"/>
  <c r="BX167" i="6"/>
  <c r="BY167" i="6"/>
  <c r="BI167" i="6" l="1"/>
  <c r="BJ167" i="6" s="1"/>
  <c r="BK167" i="6" s="1"/>
  <c r="BS167" i="6" l="1"/>
  <c r="CA167" i="6" s="1"/>
  <c r="AG168" i="6" l="1"/>
  <c r="CI167" i="6"/>
  <c r="CB167" i="6" s="1"/>
  <c r="AO168" i="6" l="1"/>
  <c r="Q168" i="6"/>
  <c r="R168" i="6" s="1"/>
  <c r="S168" i="6" s="1"/>
  <c r="CJ167" i="6"/>
  <c r="CC167" i="6" s="1"/>
  <c r="AH168" i="6"/>
  <c r="CK167" i="6" l="1"/>
  <c r="CD167" i="6" s="1"/>
  <c r="AI168" i="6"/>
  <c r="AP168" i="6"/>
  <c r="AJ168" i="6" l="1"/>
  <c r="CL167" i="6"/>
  <c r="CE167" i="6" s="1"/>
  <c r="W168" i="6"/>
  <c r="Z168" i="6" s="1"/>
  <c r="AQ168" i="6"/>
  <c r="AR168" i="6" l="1"/>
  <c r="AC168" i="6"/>
  <c r="CM167" i="6"/>
  <c r="CF167" i="6" s="1"/>
  <c r="AK168" i="6"/>
  <c r="AL168" i="6" l="1"/>
  <c r="CN167" i="6"/>
  <c r="CG167" i="6" s="1"/>
  <c r="AS168" i="6"/>
  <c r="AT168" i="6" l="1"/>
  <c r="CO167" i="6"/>
  <c r="CH167" i="6" s="1"/>
  <c r="AM168" i="6"/>
  <c r="AN168" i="6" l="1"/>
  <c r="CP167" i="6"/>
  <c r="T167" i="6" s="1"/>
  <c r="X168" i="6"/>
  <c r="AU168" i="6"/>
  <c r="AV168" i="6" l="1"/>
  <c r="AW168" i="6" s="1"/>
  <c r="AA168" i="6"/>
  <c r="Y168" i="6"/>
  <c r="AB168" i="6" s="1"/>
  <c r="BA168" i="6"/>
  <c r="BL168" i="6" s="1"/>
  <c r="BB168" i="6"/>
  <c r="BM168" i="6" s="1"/>
  <c r="BC168" i="6"/>
  <c r="BN168" i="6" s="1"/>
  <c r="BD168" i="6"/>
  <c r="BO168" i="6" s="1"/>
  <c r="BE168" i="6"/>
  <c r="BP168" i="6" s="1"/>
  <c r="BF168" i="6"/>
  <c r="BQ168" i="6" s="1"/>
  <c r="BG168" i="6"/>
  <c r="BR168" i="6" s="1"/>
  <c r="AX168" i="6"/>
  <c r="AZ168" i="6"/>
  <c r="BZ168" i="6" l="1"/>
  <c r="BT168" i="6"/>
  <c r="BU168" i="6"/>
  <c r="BV168" i="6"/>
  <c r="BW168" i="6"/>
  <c r="BX168" i="6"/>
  <c r="BH168" i="6"/>
  <c r="AY168" i="6"/>
  <c r="BY168" i="6"/>
  <c r="BI168" i="6" l="1"/>
  <c r="BJ168" i="6" s="1"/>
  <c r="BK168" i="6" s="1"/>
  <c r="BS168" i="6" l="1"/>
  <c r="CA168" i="6"/>
  <c r="CI168" i="6" l="1"/>
  <c r="CB168" i="6" s="1"/>
  <c r="AG169" i="6"/>
  <c r="AH169" i="6" l="1"/>
  <c r="CJ168" i="6"/>
  <c r="CC168" i="6" s="1"/>
  <c r="AO169" i="6"/>
  <c r="Q169" i="6"/>
  <c r="R169" i="6" s="1"/>
  <c r="S169" i="6" s="1"/>
  <c r="AP169" i="6" l="1"/>
  <c r="AI169" i="6"/>
  <c r="CK168" i="6"/>
  <c r="CD168" i="6" s="1"/>
  <c r="AQ169" i="6" l="1"/>
  <c r="AJ169" i="6"/>
  <c r="W169" i="6" s="1"/>
  <c r="Z169" i="6" s="1"/>
  <c r="CL168" i="6"/>
  <c r="CE168" i="6" s="1"/>
  <c r="AR169" i="6" l="1"/>
  <c r="AC169" i="6"/>
  <c r="CM168" i="6"/>
  <c r="CF168" i="6" s="1"/>
  <c r="AK169" i="6"/>
  <c r="AL169" i="6" l="1"/>
  <c r="CN168" i="6"/>
  <c r="CG168" i="6" s="1"/>
  <c r="AS169" i="6"/>
  <c r="AT169" i="6" l="1"/>
  <c r="AM169" i="6"/>
  <c r="CO168" i="6"/>
  <c r="CH168" i="6" s="1"/>
  <c r="AU169" i="6" l="1"/>
  <c r="CP168" i="6"/>
  <c r="T168" i="6" s="1"/>
  <c r="AN169" i="6"/>
  <c r="X169" i="6" s="1"/>
  <c r="AA169" i="6" l="1"/>
  <c r="Y169" i="6"/>
  <c r="AB169" i="6" s="1"/>
  <c r="AV169" i="6"/>
  <c r="AW169" i="6" s="1"/>
  <c r="BA169" i="6" l="1"/>
  <c r="BL169" i="6" s="1"/>
  <c r="BG169" i="6"/>
  <c r="BR169" i="6" s="1"/>
  <c r="BF169" i="6"/>
  <c r="BQ169" i="6" s="1"/>
  <c r="BE169" i="6"/>
  <c r="BP169" i="6" s="1"/>
  <c r="BD169" i="6"/>
  <c r="BO169" i="6" s="1"/>
  <c r="BC169" i="6"/>
  <c r="BN169" i="6" s="1"/>
  <c r="BB169" i="6"/>
  <c r="BM169" i="6" s="1"/>
  <c r="AZ169" i="6"/>
  <c r="AX169" i="6"/>
  <c r="BT169" i="6" l="1"/>
  <c r="BY169" i="6"/>
  <c r="BX169" i="6"/>
  <c r="BW169" i="6"/>
  <c r="BV169" i="6"/>
  <c r="BU169" i="6"/>
  <c r="BH169" i="6"/>
  <c r="AY169" i="6"/>
  <c r="BZ169" i="6"/>
  <c r="BJ169" i="6" l="1"/>
  <c r="BK169" i="6" s="1"/>
  <c r="BI169" i="6"/>
  <c r="BS169" i="6" l="1"/>
  <c r="CA169" i="6" s="1"/>
  <c r="AG170" i="6" l="1"/>
  <c r="CI169" i="6"/>
  <c r="CB169" i="6" s="1"/>
  <c r="CJ169" i="6" s="1"/>
  <c r="CC169" i="6" s="1"/>
  <c r="AH170" i="6"/>
  <c r="AO170" i="6" l="1"/>
  <c r="Q170" i="6"/>
  <c r="R170" i="6" s="1"/>
  <c r="S170" i="6" s="1"/>
  <c r="AP170" i="6"/>
  <c r="AI170" i="6"/>
  <c r="CK169" i="6"/>
  <c r="CD169" i="6" s="1"/>
  <c r="AQ170" i="6" l="1"/>
  <c r="AJ170" i="6"/>
  <c r="CL169" i="6"/>
  <c r="CE169" i="6" s="1"/>
  <c r="W170" i="6" l="1"/>
  <c r="Z170" i="6" s="1"/>
  <c r="AR170" i="6"/>
  <c r="AC170" i="6"/>
  <c r="CM169" i="6"/>
  <c r="CF169" i="6" s="1"/>
  <c r="AK170" i="6"/>
  <c r="AL170" i="6" l="1"/>
  <c r="CN169" i="6"/>
  <c r="CG169" i="6" s="1"/>
  <c r="AS170" i="6"/>
  <c r="AT170" i="6" l="1"/>
  <c r="CO169" i="6"/>
  <c r="CH169" i="6" s="1"/>
  <c r="AM170" i="6"/>
  <c r="AN170" i="6" l="1"/>
  <c r="CP169" i="6"/>
  <c r="T169" i="6" s="1"/>
  <c r="X170" i="6"/>
  <c r="AU170" i="6"/>
  <c r="AV170" i="6" l="1"/>
  <c r="AW170" i="6" s="1"/>
  <c r="AA170" i="6"/>
  <c r="Y170" i="6"/>
  <c r="AB170" i="6" s="1"/>
  <c r="BF170" i="6"/>
  <c r="BQ170" i="6" s="1"/>
  <c r="BG170" i="6" l="1"/>
  <c r="BR170" i="6" s="1"/>
  <c r="BE170" i="6"/>
  <c r="BP170" i="6" s="1"/>
  <c r="BC170" i="6"/>
  <c r="BN170" i="6" s="1"/>
  <c r="BA170" i="6"/>
  <c r="BL170" i="6" s="1"/>
  <c r="AZ170" i="6"/>
  <c r="AX170" i="6"/>
  <c r="BD170" i="6"/>
  <c r="BO170" i="6" s="1"/>
  <c r="BB170" i="6"/>
  <c r="BM170" i="6" s="1"/>
  <c r="BY170" i="6"/>
  <c r="BZ170" i="6" l="1"/>
  <c r="BX170" i="6"/>
  <c r="BV170" i="6"/>
  <c r="BT170" i="6"/>
  <c r="AY170" i="6"/>
  <c r="BH170" i="6"/>
  <c r="BW170" i="6"/>
  <c r="BU170" i="6"/>
  <c r="BI170" i="6" l="1"/>
  <c r="BJ170" i="6" s="1"/>
  <c r="BK170" i="6" s="1"/>
  <c r="CA170" i="6" l="1"/>
  <c r="BS170" i="6"/>
  <c r="CI170" i="6" l="1"/>
  <c r="CB170" i="6" s="1"/>
  <c r="AG171" i="6"/>
  <c r="AO171" i="6" l="1"/>
  <c r="Q171" i="6"/>
  <c r="R171" i="6" s="1"/>
  <c r="S171" i="6" s="1"/>
  <c r="AH171" i="6"/>
  <c r="CJ170" i="6"/>
  <c r="CC170" i="6" s="1"/>
  <c r="AP171" i="6" l="1"/>
  <c r="CK170" i="6"/>
  <c r="CD170" i="6" s="1"/>
  <c r="AI171" i="6"/>
  <c r="AJ171" i="6" l="1"/>
  <c r="W171" i="6" s="1"/>
  <c r="Z171" i="6" s="1"/>
  <c r="CL170" i="6"/>
  <c r="CE170" i="6" s="1"/>
  <c r="AQ171" i="6"/>
  <c r="AR171" i="6" l="1"/>
  <c r="AC171" i="6"/>
  <c r="AK171" i="6"/>
  <c r="CM170" i="6"/>
  <c r="CF170" i="6" s="1"/>
  <c r="AS171" i="6" l="1"/>
  <c r="CN170" i="6"/>
  <c r="CG170" i="6" s="1"/>
  <c r="AL171" i="6"/>
  <c r="CO170" i="6" l="1"/>
  <c r="CH170" i="6" s="1"/>
  <c r="AM171" i="6"/>
  <c r="AT171" i="6"/>
  <c r="AN171" i="6" l="1"/>
  <c r="CP170" i="6"/>
  <c r="T170" i="6" s="1"/>
  <c r="X171" i="6"/>
  <c r="AU171" i="6"/>
  <c r="AV171" i="6" l="1"/>
  <c r="AW171" i="6" s="1"/>
  <c r="AA171" i="6"/>
  <c r="Y171" i="6"/>
  <c r="AB171" i="6" s="1"/>
  <c r="BG171" i="6" l="1"/>
  <c r="BR171" i="6" s="1"/>
  <c r="BF171" i="6"/>
  <c r="BQ171" i="6" s="1"/>
  <c r="BE171" i="6"/>
  <c r="BP171" i="6" s="1"/>
  <c r="BD171" i="6"/>
  <c r="BO171" i="6" s="1"/>
  <c r="BC171" i="6"/>
  <c r="BN171" i="6" s="1"/>
  <c r="BB171" i="6"/>
  <c r="BM171" i="6" s="1"/>
  <c r="BA171" i="6"/>
  <c r="BL171" i="6" s="1"/>
  <c r="AZ171" i="6"/>
  <c r="AX171" i="6"/>
  <c r="BY171" i="6" l="1"/>
  <c r="BX171" i="6"/>
  <c r="BW171" i="6"/>
  <c r="BV171" i="6"/>
  <c r="BU171" i="6"/>
  <c r="BT171" i="6"/>
  <c r="BH171" i="6"/>
  <c r="AY171" i="6"/>
  <c r="BZ171" i="6"/>
  <c r="BI171" i="6" l="1"/>
  <c r="BJ171" i="6" s="1"/>
  <c r="BK171" i="6" s="1"/>
  <c r="BS171" i="6" l="1"/>
  <c r="CA171" i="6"/>
  <c r="CI171" i="6" l="1"/>
  <c r="CB171" i="6" s="1"/>
  <c r="AG172" i="6"/>
  <c r="CJ171" i="6" l="1"/>
  <c r="CC171" i="6" s="1"/>
  <c r="AH172" i="6"/>
  <c r="AO172" i="6"/>
  <c r="Q172" i="6"/>
  <c r="R172" i="6" s="1"/>
  <c r="S172" i="6" s="1"/>
  <c r="CK171" i="6" l="1"/>
  <c r="CD171" i="6" s="1"/>
  <c r="AI172" i="6"/>
  <c r="AP172" i="6"/>
  <c r="AJ172" i="6" l="1"/>
  <c r="CL171" i="6"/>
  <c r="CE171" i="6" s="1"/>
  <c r="W172" i="6"/>
  <c r="Z172" i="6" s="1"/>
  <c r="AQ172" i="6"/>
  <c r="AR172" i="6" l="1"/>
  <c r="AC172" i="6"/>
  <c r="AK172" i="6"/>
  <c r="CM171" i="6"/>
  <c r="CF171" i="6" s="1"/>
  <c r="AS172" i="6" l="1"/>
  <c r="CN171" i="6"/>
  <c r="CG171" i="6" s="1"/>
  <c r="AL172" i="6"/>
  <c r="AM172" i="6" l="1"/>
  <c r="CO171" i="6"/>
  <c r="CH171" i="6" s="1"/>
  <c r="AT172" i="6"/>
  <c r="AU172" i="6" l="1"/>
  <c r="CP171" i="6"/>
  <c r="T171" i="6" s="1"/>
  <c r="AN172" i="6"/>
  <c r="X172" i="6" s="1"/>
  <c r="AA172" i="6" l="1"/>
  <c r="Y172" i="6"/>
  <c r="AB172" i="6" s="1"/>
  <c r="AV172" i="6"/>
  <c r="AW172" i="6" s="1"/>
  <c r="AX172" i="6" l="1"/>
  <c r="AZ172" i="6"/>
  <c r="BA172" i="6"/>
  <c r="BL172" i="6" s="1"/>
  <c r="BB172" i="6"/>
  <c r="BM172" i="6" s="1"/>
  <c r="BE172" i="6"/>
  <c r="BP172" i="6" s="1"/>
  <c r="BC172" i="6"/>
  <c r="BN172" i="6" s="1"/>
  <c r="BD172" i="6"/>
  <c r="BO172" i="6" s="1"/>
  <c r="BF172" i="6"/>
  <c r="BQ172" i="6" s="1"/>
  <c r="BG172" i="6"/>
  <c r="BR172" i="6" s="1"/>
  <c r="BZ172" i="6"/>
  <c r="AY172" i="6" l="1"/>
  <c r="BH172" i="6"/>
  <c r="BT172" i="6"/>
  <c r="BU172" i="6"/>
  <c r="BX172" i="6"/>
  <c r="BV172" i="6"/>
  <c r="BW172" i="6"/>
  <c r="BY172" i="6"/>
  <c r="BI172" i="6" l="1"/>
  <c r="BJ172" i="6" s="1"/>
  <c r="BK172" i="6" s="1"/>
  <c r="BS172" i="6" l="1"/>
  <c r="CA172" i="6"/>
  <c r="AG173" i="6" l="1"/>
  <c r="CI172" i="6"/>
  <c r="CB172" i="6" s="1"/>
  <c r="AO173" i="6" l="1"/>
  <c r="Q173" i="6"/>
  <c r="R173" i="6" s="1"/>
  <c r="S173" i="6" s="1"/>
  <c r="CJ172" i="6"/>
  <c r="CC172" i="6" s="1"/>
  <c r="AH173" i="6"/>
  <c r="CK172" i="6" l="1"/>
  <c r="CD172" i="6" s="1"/>
  <c r="AI173" i="6"/>
  <c r="AP173" i="6"/>
  <c r="AJ173" i="6" l="1"/>
  <c r="CL172" i="6"/>
  <c r="CE172" i="6" s="1"/>
  <c r="W173" i="6"/>
  <c r="Z173" i="6" s="1"/>
  <c r="AQ173" i="6"/>
  <c r="AR173" i="6" l="1"/>
  <c r="AC173" i="6"/>
  <c r="AK173" i="6"/>
  <c r="CM172" i="6"/>
  <c r="CF172" i="6" s="1"/>
  <c r="AS173" i="6" l="1"/>
  <c r="CN172" i="6"/>
  <c r="CG172" i="6" s="1"/>
  <c r="AL173" i="6"/>
  <c r="AM173" i="6" l="1"/>
  <c r="CO172" i="6"/>
  <c r="CH172" i="6" s="1"/>
  <c r="AT173" i="6"/>
  <c r="X173" i="6" l="1"/>
  <c r="AU173" i="6"/>
  <c r="AN173" i="6"/>
  <c r="CP172" i="6"/>
  <c r="T172" i="6" s="1"/>
  <c r="AA173" i="6" l="1"/>
  <c r="Y173" i="6"/>
  <c r="AB173" i="6" s="1"/>
  <c r="AV173" i="6"/>
  <c r="AW173" i="6" s="1"/>
  <c r="BG173" i="6" l="1"/>
  <c r="BR173" i="6" s="1"/>
  <c r="BF173" i="6"/>
  <c r="BQ173" i="6" s="1"/>
  <c r="BE173" i="6"/>
  <c r="BP173" i="6" s="1"/>
  <c r="BD173" i="6"/>
  <c r="BO173" i="6" s="1"/>
  <c r="BC173" i="6"/>
  <c r="BN173" i="6" s="1"/>
  <c r="BB173" i="6"/>
  <c r="BM173" i="6" s="1"/>
  <c r="BA173" i="6"/>
  <c r="BL173" i="6" s="1"/>
  <c r="AZ173" i="6"/>
  <c r="AX173" i="6"/>
  <c r="BZ173" i="6" l="1"/>
  <c r="BY173" i="6"/>
  <c r="BX173" i="6"/>
  <c r="BW173" i="6"/>
  <c r="BV173" i="6"/>
  <c r="BU173" i="6"/>
  <c r="BT173" i="6"/>
  <c r="BH173" i="6"/>
  <c r="AY173" i="6"/>
  <c r="BI173" i="6" l="1"/>
  <c r="BJ173" i="6" s="1"/>
  <c r="BK173" i="6" s="1"/>
  <c r="BS173" i="6" l="1"/>
  <c r="CA173" i="6" s="1"/>
  <c r="CI173" i="6" l="1"/>
  <c r="CB173" i="6" s="1"/>
  <c r="AG174" i="6"/>
  <c r="CJ173" i="6" l="1"/>
  <c r="CC173" i="6" s="1"/>
  <c r="AH174" i="6"/>
  <c r="AO174" i="6"/>
  <c r="Q174" i="6"/>
  <c r="R174" i="6" s="1"/>
  <c r="S174" i="6" s="1"/>
  <c r="AI174" i="6" l="1"/>
  <c r="CK173" i="6"/>
  <c r="CD173" i="6" s="1"/>
  <c r="AP174" i="6"/>
  <c r="AQ174" i="6" l="1"/>
  <c r="AJ174" i="6"/>
  <c r="W174" i="6" s="1"/>
  <c r="Z174" i="6" s="1"/>
  <c r="CL173" i="6"/>
  <c r="CE173" i="6" s="1"/>
  <c r="AR174" i="6" l="1"/>
  <c r="AC174" i="6"/>
  <c r="AK174" i="6"/>
  <c r="CM173" i="6"/>
  <c r="CF173" i="6" s="1"/>
  <c r="AS174" i="6" l="1"/>
  <c r="CN173" i="6"/>
  <c r="CG173" i="6" s="1"/>
  <c r="AL174" i="6"/>
  <c r="AM174" i="6" l="1"/>
  <c r="CO173" i="6"/>
  <c r="CH173" i="6" s="1"/>
  <c r="AT174" i="6"/>
  <c r="X174" i="6" l="1"/>
  <c r="AU174" i="6"/>
  <c r="AN174" i="6"/>
  <c r="CP173" i="6"/>
  <c r="T173" i="6" s="1"/>
  <c r="AA174" i="6" l="1"/>
  <c r="Y174" i="6"/>
  <c r="AB174" i="6" s="1"/>
  <c r="AV174" i="6"/>
  <c r="AW174" i="6" s="1"/>
  <c r="BD174" i="6" l="1"/>
  <c r="BO174" i="6" s="1"/>
  <c r="BC174" i="6"/>
  <c r="BN174" i="6" s="1"/>
  <c r="BB174" i="6"/>
  <c r="BM174" i="6" s="1"/>
  <c r="BA174" i="6"/>
  <c r="BL174" i="6" s="1"/>
  <c r="AZ174" i="6"/>
  <c r="AX174" i="6"/>
  <c r="BG174" i="6"/>
  <c r="BR174" i="6" s="1"/>
  <c r="BF174" i="6"/>
  <c r="BQ174" i="6" s="1"/>
  <c r="BE174" i="6"/>
  <c r="BP174" i="6" s="1"/>
  <c r="BW174" i="6" l="1"/>
  <c r="BV174" i="6"/>
  <c r="BU174" i="6"/>
  <c r="BT174" i="6"/>
  <c r="BH174" i="6"/>
  <c r="AY174" i="6"/>
  <c r="BY174" i="6"/>
  <c r="BX174" i="6"/>
  <c r="BZ174" i="6"/>
  <c r="BJ174" i="6" l="1"/>
  <c r="BK174" i="6" s="1"/>
  <c r="BI174" i="6"/>
  <c r="CA174" i="6" l="1"/>
  <c r="BS174" i="6"/>
  <c r="AG175" i="6" l="1"/>
  <c r="CI174" i="6"/>
  <c r="CB174" i="6" s="1"/>
  <c r="AO175" i="6" l="1"/>
  <c r="Q175" i="6"/>
  <c r="R175" i="6" s="1"/>
  <c r="S175" i="6" s="1"/>
  <c r="AH175" i="6"/>
  <c r="CJ174" i="6"/>
  <c r="CC174" i="6" s="1"/>
  <c r="AP175" i="6" l="1"/>
  <c r="AI175" i="6"/>
  <c r="CK174" i="6"/>
  <c r="CD174" i="6" s="1"/>
  <c r="W175" i="6" l="1"/>
  <c r="Z175" i="6" s="1"/>
  <c r="AQ175" i="6"/>
  <c r="CL174" i="6"/>
  <c r="CE174" i="6" s="1"/>
  <c r="AJ175" i="6"/>
  <c r="AK175" i="6" l="1"/>
  <c r="CM174" i="6"/>
  <c r="CF174" i="6" s="1"/>
  <c r="AR175" i="6"/>
  <c r="AC175" i="6"/>
  <c r="AS175" i="6" l="1"/>
  <c r="CN174" i="6"/>
  <c r="CG174" i="6" s="1"/>
  <c r="AL175" i="6"/>
  <c r="AM175" i="6" l="1"/>
  <c r="CO174" i="6"/>
  <c r="CH174" i="6" s="1"/>
  <c r="AT175" i="6"/>
  <c r="AU175" i="6" l="1"/>
  <c r="CP174" i="6"/>
  <c r="T174" i="6" s="1"/>
  <c r="AN175" i="6"/>
  <c r="X175" i="6" s="1"/>
  <c r="AA175" i="6" l="1"/>
  <c r="Y175" i="6"/>
  <c r="AB175" i="6" s="1"/>
  <c r="AV175" i="6"/>
  <c r="AW175" i="6" s="1"/>
  <c r="BG175" i="6" l="1"/>
  <c r="BR175" i="6" s="1"/>
  <c r="BF175" i="6"/>
  <c r="BQ175" i="6" s="1"/>
  <c r="BE175" i="6"/>
  <c r="BP175" i="6" s="1"/>
  <c r="BD175" i="6"/>
  <c r="BO175" i="6" s="1"/>
  <c r="BC175" i="6"/>
  <c r="BN175" i="6" s="1"/>
  <c r="BB175" i="6"/>
  <c r="BM175" i="6" s="1"/>
  <c r="AZ175" i="6"/>
  <c r="BA175" i="6"/>
  <c r="BL175" i="6" s="1"/>
  <c r="AX175" i="6"/>
  <c r="BY175" i="6" l="1"/>
  <c r="BX175" i="6"/>
  <c r="BW175" i="6"/>
  <c r="BV175" i="6"/>
  <c r="BU175" i="6"/>
  <c r="BT175" i="6"/>
  <c r="BH175" i="6"/>
  <c r="AY175" i="6"/>
  <c r="BZ175" i="6"/>
  <c r="BJ175" i="6" l="1"/>
  <c r="BK175" i="6" s="1"/>
  <c r="BI175" i="6"/>
  <c r="BS175" i="6" l="1"/>
  <c r="CA175" i="6" s="1"/>
  <c r="CI175" i="6" l="1"/>
  <c r="CB175" i="6" s="1"/>
  <c r="AG176" i="6"/>
  <c r="CJ175" i="6" l="1"/>
  <c r="CC175" i="6" s="1"/>
  <c r="AH176" i="6"/>
  <c r="AO176" i="6"/>
  <c r="Q176" i="6"/>
  <c r="R176" i="6" s="1"/>
  <c r="S176" i="6" s="1"/>
  <c r="AI176" i="6" l="1"/>
  <c r="CK175" i="6"/>
  <c r="CD175" i="6" s="1"/>
  <c r="AP176" i="6"/>
  <c r="W176" i="6" l="1"/>
  <c r="Z176" i="6" s="1"/>
  <c r="AQ176" i="6"/>
  <c r="AJ176" i="6"/>
  <c r="CL175" i="6"/>
  <c r="CE175" i="6" s="1"/>
  <c r="AR176" i="6" l="1"/>
  <c r="AC176" i="6"/>
  <c r="CM175" i="6"/>
  <c r="CF175" i="6" s="1"/>
  <c r="AK176" i="6"/>
  <c r="CN175" i="6" l="1"/>
  <c r="CG175" i="6" s="1"/>
  <c r="AL176" i="6"/>
  <c r="AS176" i="6"/>
  <c r="AM176" i="6" l="1"/>
  <c r="CO175" i="6"/>
  <c r="CH175" i="6" s="1"/>
  <c r="AT176" i="6"/>
  <c r="X176" i="6" l="1"/>
  <c r="AU176" i="6"/>
  <c r="CP175" i="6"/>
  <c r="T175" i="6" s="1"/>
  <c r="AN176" i="6"/>
  <c r="AA176" i="6" l="1"/>
  <c r="Y176" i="6"/>
  <c r="AB176" i="6" s="1"/>
  <c r="AV176" i="6"/>
  <c r="AW176" i="6" s="1"/>
  <c r="BG176" i="6" l="1"/>
  <c r="BR176" i="6" s="1"/>
  <c r="BF176" i="6"/>
  <c r="BQ176" i="6" s="1"/>
  <c r="BE176" i="6"/>
  <c r="BP176" i="6" s="1"/>
  <c r="BC176" i="6"/>
  <c r="BN176" i="6" s="1"/>
  <c r="BB176" i="6"/>
  <c r="BM176" i="6" s="1"/>
  <c r="BA176" i="6"/>
  <c r="BL176" i="6" s="1"/>
  <c r="AZ176" i="6"/>
  <c r="AX176" i="6"/>
  <c r="BD176" i="6"/>
  <c r="BO176" i="6" s="1"/>
  <c r="BZ176" i="6"/>
  <c r="BY176" i="6" l="1"/>
  <c r="BX176" i="6"/>
  <c r="BV176" i="6"/>
  <c r="BU176" i="6"/>
  <c r="BT176" i="6"/>
  <c r="BH176" i="6"/>
  <c r="AY176" i="6"/>
  <c r="BW176" i="6"/>
  <c r="BJ176" i="6" l="1"/>
  <c r="BK176" i="6" s="1"/>
  <c r="BI176" i="6"/>
  <c r="BS176" i="6" l="1"/>
  <c r="CA176" i="6" s="1"/>
  <c r="AG177" i="6" l="1"/>
  <c r="CI176" i="6"/>
  <c r="CB176" i="6" s="1"/>
  <c r="AH177" i="6"/>
  <c r="CJ176" i="6"/>
  <c r="CC176" i="6" s="1"/>
  <c r="AO177" i="6" l="1"/>
  <c r="Q177" i="6"/>
  <c r="R177" i="6" s="1"/>
  <c r="S177" i="6" s="1"/>
  <c r="AP177" i="6"/>
  <c r="AI177" i="6"/>
  <c r="CK176" i="6"/>
  <c r="CD176" i="6" s="1"/>
  <c r="AQ177" i="6" l="1"/>
  <c r="AJ177" i="6"/>
  <c r="CL176" i="6"/>
  <c r="CE176" i="6" s="1"/>
  <c r="W177" i="6" l="1"/>
  <c r="Z177" i="6" s="1"/>
  <c r="AR177" i="6"/>
  <c r="AC177" i="6"/>
  <c r="CM176" i="6"/>
  <c r="CF176" i="6" s="1"/>
  <c r="AK177" i="6"/>
  <c r="AL177" i="6" l="1"/>
  <c r="CN176" i="6"/>
  <c r="CG176" i="6" s="1"/>
  <c r="AS177" i="6"/>
  <c r="AT177" i="6" l="1"/>
  <c r="AM177" i="6"/>
  <c r="CO176" i="6"/>
  <c r="CH176" i="6" s="1"/>
  <c r="AU177" i="6" l="1"/>
  <c r="AN177" i="6"/>
  <c r="X177" i="6" s="1"/>
  <c r="CP176" i="6"/>
  <c r="T176" i="6" s="1"/>
  <c r="AA177" i="6" l="1"/>
  <c r="Y177" i="6"/>
  <c r="AB177" i="6" s="1"/>
  <c r="AV177" i="6"/>
  <c r="AW177" i="6" s="1"/>
  <c r="BG177" i="6" l="1"/>
  <c r="BR177" i="6" s="1"/>
  <c r="BF177" i="6"/>
  <c r="BQ177" i="6" s="1"/>
  <c r="BE177" i="6"/>
  <c r="BP177" i="6" s="1"/>
  <c r="BD177" i="6"/>
  <c r="BO177" i="6" s="1"/>
  <c r="BC177" i="6"/>
  <c r="BN177" i="6" s="1"/>
  <c r="BB177" i="6"/>
  <c r="BM177" i="6" s="1"/>
  <c r="BA177" i="6"/>
  <c r="BL177" i="6" s="1"/>
  <c r="AZ177" i="6"/>
  <c r="AX177" i="6"/>
  <c r="BZ177" i="6" l="1"/>
  <c r="BY177" i="6"/>
  <c r="BX177" i="6"/>
  <c r="BW177" i="6"/>
  <c r="BV177" i="6"/>
  <c r="BU177" i="6"/>
  <c r="BT177" i="6"/>
  <c r="AY177" i="6"/>
  <c r="BH177" i="6"/>
  <c r="BJ177" i="6" l="1"/>
  <c r="BK177" i="6" s="1"/>
  <c r="BI177" i="6"/>
  <c r="BS177" i="6" l="1"/>
  <c r="CA177" i="6" s="1"/>
  <c r="CI177" i="6" l="1"/>
  <c r="CB177" i="6" s="1"/>
  <c r="AG178" i="6"/>
  <c r="AO178" i="6" l="1"/>
  <c r="Q178" i="6"/>
  <c r="R178" i="6" s="1"/>
  <c r="S178" i="6" s="1"/>
  <c r="AH178" i="6"/>
  <c r="CJ177" i="6"/>
  <c r="CC177" i="6" s="1"/>
  <c r="AP178" i="6" l="1"/>
  <c r="CK177" i="6"/>
  <c r="CD177" i="6" s="1"/>
  <c r="AI178" i="6"/>
  <c r="AJ178" i="6" l="1"/>
  <c r="CL177" i="6"/>
  <c r="CE177" i="6" s="1"/>
  <c r="W178" i="6"/>
  <c r="Z178" i="6" s="1"/>
  <c r="AQ178" i="6"/>
  <c r="AR178" i="6" l="1"/>
  <c r="AC178" i="6"/>
  <c r="CM177" i="6"/>
  <c r="CF177" i="6" s="1"/>
  <c r="AK178" i="6"/>
  <c r="AL178" i="6" l="1"/>
  <c r="CN177" i="6"/>
  <c r="CG177" i="6" s="1"/>
  <c r="AS178" i="6"/>
  <c r="AT178" i="6" l="1"/>
  <c r="AM178" i="6"/>
  <c r="CO177" i="6"/>
  <c r="CH177" i="6" s="1"/>
  <c r="AU178" i="6" l="1"/>
  <c r="AN178" i="6"/>
  <c r="X178" i="6" s="1"/>
  <c r="CP177" i="6"/>
  <c r="T177" i="6" s="1"/>
  <c r="AA178" i="6" l="1"/>
  <c r="Y178" i="6"/>
  <c r="AB178" i="6" s="1"/>
  <c r="AV178" i="6"/>
  <c r="AW178" i="6" s="1"/>
  <c r="BG178" i="6" l="1"/>
  <c r="BR178" i="6" s="1"/>
  <c r="BF178" i="6"/>
  <c r="BQ178" i="6" s="1"/>
  <c r="BE178" i="6"/>
  <c r="BP178" i="6" s="1"/>
  <c r="BD178" i="6"/>
  <c r="BO178" i="6" s="1"/>
  <c r="BC178" i="6"/>
  <c r="BN178" i="6" s="1"/>
  <c r="BA178" i="6"/>
  <c r="BL178" i="6" s="1"/>
  <c r="AX178" i="6"/>
  <c r="BB178" i="6"/>
  <c r="BM178" i="6" s="1"/>
  <c r="AZ178" i="6"/>
  <c r="BY178" i="6" l="1"/>
  <c r="BX178" i="6"/>
  <c r="BW178" i="6"/>
  <c r="BV178" i="6"/>
  <c r="BT178" i="6"/>
  <c r="BH178" i="6"/>
  <c r="AY178" i="6"/>
  <c r="BU178" i="6"/>
  <c r="BZ178" i="6"/>
  <c r="BI178" i="6" l="1"/>
  <c r="BJ178" i="6" s="1"/>
  <c r="BK178" i="6" s="1"/>
  <c r="BS178" i="6" l="1"/>
  <c r="CA178" i="6" s="1"/>
  <c r="CI178" i="6" l="1"/>
  <c r="CB178" i="6" s="1"/>
  <c r="AG179" i="6"/>
  <c r="CJ178" i="6" l="1"/>
  <c r="CC178" i="6" s="1"/>
  <c r="AH179" i="6"/>
  <c r="AO179" i="6"/>
  <c r="Q179" i="6"/>
  <c r="R179" i="6" s="1"/>
  <c r="S179" i="6" s="1"/>
  <c r="CK178" i="6" l="1"/>
  <c r="CD178" i="6" s="1"/>
  <c r="AI179" i="6"/>
  <c r="AP179" i="6"/>
  <c r="AJ179" i="6" l="1"/>
  <c r="CL178" i="6"/>
  <c r="CE178" i="6" s="1"/>
  <c r="W179" i="6"/>
  <c r="Z179" i="6" s="1"/>
  <c r="AQ179" i="6"/>
  <c r="AR179" i="6" l="1"/>
  <c r="AC179" i="6"/>
  <c r="CM178" i="6"/>
  <c r="CF178" i="6" s="1"/>
  <c r="AK179" i="6"/>
  <c r="AL179" i="6" l="1"/>
  <c r="CN178" i="6"/>
  <c r="CG178" i="6" s="1"/>
  <c r="AS179" i="6"/>
  <c r="AT179" i="6" l="1"/>
  <c r="AM179" i="6"/>
  <c r="CO178" i="6"/>
  <c r="CH178" i="6" s="1"/>
  <c r="AU179" i="6" l="1"/>
  <c r="CP178" i="6"/>
  <c r="T178" i="6" s="1"/>
  <c r="AN179" i="6"/>
  <c r="X179" i="6" s="1"/>
  <c r="AA179" i="6" l="1"/>
  <c r="Y179" i="6"/>
  <c r="AB179" i="6" s="1"/>
  <c r="AV179" i="6"/>
  <c r="AW179" i="6" s="1"/>
  <c r="AX179" i="6" l="1"/>
  <c r="AZ179" i="6"/>
  <c r="BA179" i="6"/>
  <c r="BL179" i="6" s="1"/>
  <c r="BB179" i="6"/>
  <c r="BM179" i="6" s="1"/>
  <c r="BE179" i="6"/>
  <c r="BP179" i="6" s="1"/>
  <c r="BG179" i="6"/>
  <c r="BR179" i="6" s="1"/>
  <c r="BD179" i="6"/>
  <c r="BO179" i="6" s="1"/>
  <c r="BC179" i="6"/>
  <c r="BN179" i="6" s="1"/>
  <c r="BF179" i="6"/>
  <c r="BQ179" i="6" s="1"/>
  <c r="AY179" i="6" l="1"/>
  <c r="BH179" i="6"/>
  <c r="BT179" i="6"/>
  <c r="BU179" i="6"/>
  <c r="BX179" i="6"/>
  <c r="BW179" i="6"/>
  <c r="BV179" i="6"/>
  <c r="BY179" i="6"/>
  <c r="BZ179" i="6"/>
  <c r="BJ179" i="6" l="1"/>
  <c r="BK179" i="6" s="1"/>
  <c r="BI179" i="6"/>
  <c r="BS179" i="6" l="1"/>
  <c r="CA179" i="6" s="1"/>
  <c r="AG180" i="6" l="1"/>
  <c r="CI179" i="6"/>
  <c r="CB179" i="6" s="1"/>
  <c r="AO180" i="6" l="1"/>
  <c r="Q180" i="6"/>
  <c r="R180" i="6" s="1"/>
  <c r="S180" i="6" s="1"/>
  <c r="CJ179" i="6"/>
  <c r="CC179" i="6" s="1"/>
  <c r="AH180" i="6"/>
  <c r="CK179" i="6" l="1"/>
  <c r="CD179" i="6" s="1"/>
  <c r="AI180" i="6"/>
  <c r="AP180" i="6"/>
  <c r="AJ180" i="6" l="1"/>
  <c r="CL179" i="6"/>
  <c r="CE179" i="6" s="1"/>
  <c r="W180" i="6"/>
  <c r="Z180" i="6" s="1"/>
  <c r="AQ180" i="6"/>
  <c r="AR180" i="6" l="1"/>
  <c r="AC180" i="6"/>
  <c r="CM179" i="6"/>
  <c r="CF179" i="6" s="1"/>
  <c r="AK180" i="6"/>
  <c r="AL180" i="6" l="1"/>
  <c r="CN179" i="6"/>
  <c r="CG179" i="6" s="1"/>
  <c r="AS180" i="6"/>
  <c r="AT180" i="6" l="1"/>
  <c r="CO179" i="6"/>
  <c r="CH179" i="6" s="1"/>
  <c r="AM180" i="6"/>
  <c r="AN180" i="6" l="1"/>
  <c r="CP179" i="6"/>
  <c r="T179" i="6" s="1"/>
  <c r="X180" i="6"/>
  <c r="AU180" i="6"/>
  <c r="AV180" i="6" l="1"/>
  <c r="AW180" i="6" s="1"/>
  <c r="AA180" i="6"/>
  <c r="Y180" i="6"/>
  <c r="AB180" i="6" s="1"/>
  <c r="BF180" i="6" l="1"/>
  <c r="BQ180" i="6" s="1"/>
  <c r="BG180" i="6"/>
  <c r="BR180" i="6" s="1"/>
  <c r="AX180" i="6"/>
  <c r="AZ180" i="6"/>
  <c r="BC180" i="6"/>
  <c r="BN180" i="6" s="1"/>
  <c r="BE180" i="6"/>
  <c r="BP180" i="6" s="1"/>
  <c r="BA180" i="6"/>
  <c r="BL180" i="6" s="1"/>
  <c r="BB180" i="6"/>
  <c r="BM180" i="6" s="1"/>
  <c r="BD180" i="6"/>
  <c r="BO180" i="6" s="1"/>
  <c r="BY180" i="6" l="1"/>
  <c r="BZ180" i="6"/>
  <c r="AY180" i="6"/>
  <c r="BH180" i="6"/>
  <c r="BV180" i="6"/>
  <c r="BX180" i="6"/>
  <c r="BT180" i="6"/>
  <c r="BU180" i="6"/>
  <c r="BW180" i="6"/>
  <c r="BI180" i="6" l="1"/>
  <c r="BJ180" i="6" s="1"/>
  <c r="BK180" i="6" s="1"/>
  <c r="BS180" i="6" l="1"/>
  <c r="CA180" i="6" s="1"/>
  <c r="CI180" i="6" l="1"/>
  <c r="CB180" i="6" s="1"/>
  <c r="AG181" i="6"/>
  <c r="AO181" i="6" l="1"/>
  <c r="Q181" i="6"/>
  <c r="R181" i="6" s="1"/>
  <c r="S181" i="6" s="1"/>
  <c r="AH181" i="6"/>
  <c r="CJ180" i="6"/>
  <c r="CC180" i="6" s="1"/>
  <c r="AP181" i="6" l="1"/>
  <c r="CK180" i="6"/>
  <c r="CD180" i="6" s="1"/>
  <c r="AI181" i="6"/>
  <c r="AJ181" i="6" l="1"/>
  <c r="W181" i="6" s="1"/>
  <c r="Z181" i="6" s="1"/>
  <c r="CL180" i="6"/>
  <c r="CE180" i="6" s="1"/>
  <c r="AQ181" i="6"/>
  <c r="AR181" i="6" l="1"/>
  <c r="AC181" i="6"/>
  <c r="AK181" i="6"/>
  <c r="CM180" i="6"/>
  <c r="CF180" i="6" s="1"/>
  <c r="AS181" i="6" l="1"/>
  <c r="CN180" i="6"/>
  <c r="CG180" i="6" s="1"/>
  <c r="AL181" i="6"/>
  <c r="CO180" i="6" l="1"/>
  <c r="CH180" i="6" s="1"/>
  <c r="AM181" i="6"/>
  <c r="AT181" i="6"/>
  <c r="AN181" i="6" l="1"/>
  <c r="CP180" i="6"/>
  <c r="T180" i="6" s="1"/>
  <c r="X181" i="6"/>
  <c r="AU181" i="6"/>
  <c r="AV181" i="6" l="1"/>
  <c r="AW181" i="6" s="1"/>
  <c r="AA181" i="6"/>
  <c r="Y181" i="6"/>
  <c r="AB181" i="6" s="1"/>
  <c r="BG181" i="6" l="1"/>
  <c r="BR181" i="6" s="1"/>
  <c r="BF181" i="6"/>
  <c r="BQ181" i="6" s="1"/>
  <c r="BE181" i="6"/>
  <c r="BP181" i="6" s="1"/>
  <c r="BD181" i="6"/>
  <c r="BO181" i="6" s="1"/>
  <c r="BC181" i="6"/>
  <c r="BN181" i="6" s="1"/>
  <c r="BB181" i="6"/>
  <c r="BM181" i="6" s="1"/>
  <c r="BA181" i="6"/>
  <c r="BL181" i="6" s="1"/>
  <c r="AX181" i="6"/>
  <c r="AZ181" i="6"/>
  <c r="BY181" i="6" l="1"/>
  <c r="BX181" i="6"/>
  <c r="BW181" i="6"/>
  <c r="BV181" i="6"/>
  <c r="BU181" i="6"/>
  <c r="BT181" i="6"/>
  <c r="BH181" i="6"/>
  <c r="AY181" i="6"/>
  <c r="BZ181" i="6"/>
  <c r="BJ181" i="6" l="1"/>
  <c r="BK181" i="6" s="1"/>
  <c r="BI181" i="6"/>
  <c r="BS181" i="6" l="1"/>
  <c r="CA181" i="6" s="1"/>
  <c r="CI181" i="6" l="1"/>
  <c r="CB181" i="6" s="1"/>
  <c r="AG182" i="6"/>
  <c r="AH182" i="6" l="1"/>
  <c r="CJ181" i="6"/>
  <c r="CC181" i="6" s="1"/>
  <c r="AO182" i="6"/>
  <c r="Q182" i="6"/>
  <c r="R182" i="6" s="1"/>
  <c r="S182" i="6" s="1"/>
  <c r="AP182" i="6" l="1"/>
  <c r="CK181" i="6"/>
  <c r="CD181" i="6" s="1"/>
  <c r="AI182" i="6"/>
  <c r="AJ182" i="6" l="1"/>
  <c r="CL181" i="6"/>
  <c r="CE181" i="6" s="1"/>
  <c r="W182" i="6"/>
  <c r="Z182" i="6" s="1"/>
  <c r="AQ182" i="6"/>
  <c r="AR182" i="6" l="1"/>
  <c r="AC182" i="6"/>
  <c r="AK182" i="6"/>
  <c r="CM181" i="6"/>
  <c r="CF181" i="6" s="1"/>
  <c r="AS182" i="6" l="1"/>
  <c r="CN181" i="6"/>
  <c r="CG181" i="6" s="1"/>
  <c r="AL182" i="6"/>
  <c r="AM182" i="6" l="1"/>
  <c r="CO181" i="6"/>
  <c r="CH181" i="6" s="1"/>
  <c r="AT182" i="6"/>
  <c r="AU182" i="6" l="1"/>
  <c r="CP181" i="6"/>
  <c r="T181" i="6" s="1"/>
  <c r="AN182" i="6"/>
  <c r="X182" i="6" s="1"/>
  <c r="AA182" i="6" l="1"/>
  <c r="Y182" i="6"/>
  <c r="AB182" i="6" s="1"/>
  <c r="AV182" i="6"/>
  <c r="AW182" i="6" s="1"/>
  <c r="AZ182" i="6" l="1"/>
  <c r="BB182" i="6"/>
  <c r="BM182" i="6" s="1"/>
  <c r="BD182" i="6"/>
  <c r="BO182" i="6" s="1"/>
  <c r="AX182" i="6"/>
  <c r="BG182" i="6"/>
  <c r="BR182" i="6" s="1"/>
  <c r="BA182" i="6"/>
  <c r="BL182" i="6" s="1"/>
  <c r="BE182" i="6"/>
  <c r="BP182" i="6" s="1"/>
  <c r="BF182" i="6"/>
  <c r="BQ182" i="6" s="1"/>
  <c r="BC182" i="6"/>
  <c r="BN182" i="6" s="1"/>
  <c r="BZ182" i="6"/>
  <c r="BU182" i="6" l="1"/>
  <c r="BW182" i="6"/>
  <c r="AY182" i="6"/>
  <c r="BH182" i="6"/>
  <c r="BT182" i="6"/>
  <c r="BX182" i="6"/>
  <c r="BY182" i="6"/>
  <c r="BV182" i="6"/>
  <c r="BJ182" i="6" l="1"/>
  <c r="BK182" i="6" s="1"/>
  <c r="BI182" i="6"/>
  <c r="BS182" i="6" l="1"/>
  <c r="CA182" i="6" s="1"/>
  <c r="AG183" i="6" l="1"/>
  <c r="CI182" i="6"/>
  <c r="CB182" i="6" s="1"/>
  <c r="AO183" i="6" l="1"/>
  <c r="Q183" i="6"/>
  <c r="R183" i="6" s="1"/>
  <c r="S183" i="6" s="1"/>
  <c r="CJ182" i="6"/>
  <c r="CC182" i="6" s="1"/>
  <c r="AH183" i="6"/>
  <c r="CK182" i="6" l="1"/>
  <c r="CD182" i="6" s="1"/>
  <c r="AI183" i="6"/>
  <c r="AP183" i="6"/>
  <c r="AJ183" i="6" l="1"/>
  <c r="CL182" i="6"/>
  <c r="CE182" i="6" s="1"/>
  <c r="W183" i="6"/>
  <c r="Z183" i="6" s="1"/>
  <c r="AQ183" i="6"/>
  <c r="AR183" i="6" l="1"/>
  <c r="AC183" i="6"/>
  <c r="AK183" i="6"/>
  <c r="CM182" i="6"/>
  <c r="CF182" i="6" s="1"/>
  <c r="AS183" i="6" l="1"/>
  <c r="AL183" i="6"/>
  <c r="CN182" i="6"/>
  <c r="CG182" i="6" s="1"/>
  <c r="AT183" i="6" l="1"/>
  <c r="CO182" i="6"/>
  <c r="CH182" i="6" s="1"/>
  <c r="AM183" i="6"/>
  <c r="AN183" i="6" l="1"/>
  <c r="X183" i="6" s="1"/>
  <c r="CP182" i="6"/>
  <c r="T182" i="6" s="1"/>
  <c r="AU183" i="6"/>
  <c r="AV183" i="6" l="1"/>
  <c r="AW183" i="6" s="1"/>
  <c r="AA183" i="6"/>
  <c r="Y183" i="6"/>
  <c r="AB183" i="6" s="1"/>
  <c r="BG183" i="6"/>
  <c r="BR183" i="6" s="1"/>
  <c r="BF183" i="6"/>
  <c r="BQ183" i="6" s="1"/>
  <c r="BE183" i="6"/>
  <c r="BP183" i="6" s="1"/>
  <c r="BD183" i="6"/>
  <c r="BO183" i="6" s="1"/>
  <c r="BC183" i="6"/>
  <c r="BN183" i="6" s="1"/>
  <c r="BZ183" i="6" l="1"/>
  <c r="BX183" i="6"/>
  <c r="BW183" i="6"/>
  <c r="BV183" i="6"/>
  <c r="BB183" i="6"/>
  <c r="BM183" i="6" s="1"/>
  <c r="BA183" i="6"/>
  <c r="BL183" i="6" s="1"/>
  <c r="AZ183" i="6"/>
  <c r="AX183" i="6"/>
  <c r="BY183" i="6"/>
  <c r="BU183" i="6" l="1"/>
  <c r="BT183" i="6"/>
  <c r="BH183" i="6"/>
  <c r="AY183" i="6"/>
  <c r="BI183" i="6" l="1"/>
  <c r="BJ183" i="6" s="1"/>
  <c r="BK183" i="6" s="1"/>
  <c r="BS183" i="6" l="1"/>
  <c r="CA183" i="6"/>
  <c r="CI183" i="6" l="1"/>
  <c r="CB183" i="6" s="1"/>
  <c r="AG184" i="6"/>
  <c r="CJ183" i="6" l="1"/>
  <c r="CC183" i="6" s="1"/>
  <c r="AH184" i="6"/>
  <c r="AO184" i="6"/>
  <c r="Q184" i="6"/>
  <c r="R184" i="6" s="1"/>
  <c r="S184" i="6" s="1"/>
  <c r="AI184" i="6" l="1"/>
  <c r="CK183" i="6"/>
  <c r="CD183" i="6" s="1"/>
  <c r="AP184" i="6"/>
  <c r="AQ184" i="6" l="1"/>
  <c r="CL183" i="6"/>
  <c r="CE183" i="6" s="1"/>
  <c r="AJ184" i="6"/>
  <c r="W184" i="6" s="1"/>
  <c r="Z184" i="6" s="1"/>
  <c r="AK184" i="6" l="1"/>
  <c r="CM183" i="6"/>
  <c r="CF183" i="6" s="1"/>
  <c r="AR184" i="6"/>
  <c r="AC184" i="6"/>
  <c r="AS184" i="6" l="1"/>
  <c r="CN183" i="6"/>
  <c r="CG183" i="6" s="1"/>
  <c r="AL184" i="6"/>
  <c r="AM184" i="6" l="1"/>
  <c r="CO183" i="6"/>
  <c r="CH183" i="6" s="1"/>
  <c r="AT184" i="6"/>
  <c r="AU184" i="6" l="1"/>
  <c r="AN184" i="6"/>
  <c r="X184" i="6" s="1"/>
  <c r="CP183" i="6"/>
  <c r="T183" i="6" s="1"/>
  <c r="AA184" i="6" l="1"/>
  <c r="Y184" i="6"/>
  <c r="AB184" i="6" s="1"/>
  <c r="AV184" i="6"/>
  <c r="AW184" i="6" s="1"/>
  <c r="AX184" i="6" l="1"/>
  <c r="AZ184" i="6"/>
  <c r="BC184" i="6"/>
  <c r="BN184" i="6" s="1"/>
  <c r="BD184" i="6"/>
  <c r="BO184" i="6" s="1"/>
  <c r="BE184" i="6"/>
  <c r="BP184" i="6" s="1"/>
  <c r="BA184" i="6"/>
  <c r="BL184" i="6" s="1"/>
  <c r="BF184" i="6"/>
  <c r="BQ184" i="6" s="1"/>
  <c r="BG184" i="6"/>
  <c r="BR184" i="6" s="1"/>
  <c r="BB184" i="6"/>
  <c r="BM184" i="6" s="1"/>
  <c r="AY184" i="6" l="1"/>
  <c r="BH184" i="6"/>
  <c r="BV184" i="6"/>
  <c r="BW184" i="6"/>
  <c r="BX184" i="6"/>
  <c r="BT184" i="6"/>
  <c r="BY184" i="6"/>
  <c r="BU184" i="6"/>
  <c r="BZ184" i="6"/>
  <c r="BI184" i="6" l="1"/>
  <c r="BJ184" i="6" s="1"/>
  <c r="BK184" i="6" s="1"/>
  <c r="BS184" i="6" l="1"/>
  <c r="CA184" i="6" s="1"/>
  <c r="AG185" i="6" l="1"/>
  <c r="CI184" i="6"/>
  <c r="CB184" i="6" s="1"/>
  <c r="AO185" i="6" l="1"/>
  <c r="Q185" i="6"/>
  <c r="R185" i="6" s="1"/>
  <c r="S185" i="6" s="1"/>
  <c r="CJ184" i="6"/>
  <c r="CC184" i="6" s="1"/>
  <c r="AH185" i="6"/>
  <c r="AI185" i="6" l="1"/>
  <c r="CK184" i="6"/>
  <c r="CD184" i="6" s="1"/>
  <c r="AP185" i="6"/>
  <c r="AQ185" i="6" l="1"/>
  <c r="CL184" i="6"/>
  <c r="CE184" i="6" s="1"/>
  <c r="AJ185" i="6"/>
  <c r="W185" i="6" s="1"/>
  <c r="Z185" i="6" s="1"/>
  <c r="AK185" i="6" l="1"/>
  <c r="CM184" i="6"/>
  <c r="CF184" i="6" s="1"/>
  <c r="AR185" i="6"/>
  <c r="AC185" i="6"/>
  <c r="AS185" i="6" l="1"/>
  <c r="CN184" i="6"/>
  <c r="CG184" i="6" s="1"/>
  <c r="AL185" i="6"/>
  <c r="CO184" i="6" l="1"/>
  <c r="CH184" i="6" s="1"/>
  <c r="AM185" i="6"/>
  <c r="AT185" i="6"/>
  <c r="AN185" i="6" l="1"/>
  <c r="CP184" i="6"/>
  <c r="T184" i="6" s="1"/>
  <c r="X185" i="6"/>
  <c r="AU185" i="6"/>
  <c r="AV185" i="6" l="1"/>
  <c r="AW185" i="6" s="1"/>
  <c r="AA185" i="6"/>
  <c r="Y185" i="6"/>
  <c r="AB185" i="6" s="1"/>
  <c r="AX185" i="6" l="1"/>
  <c r="BC185" i="6"/>
  <c r="BN185" i="6" s="1"/>
  <c r="BD185" i="6"/>
  <c r="BO185" i="6" s="1"/>
  <c r="BE185" i="6"/>
  <c r="BP185" i="6" s="1"/>
  <c r="BG185" i="6"/>
  <c r="BR185" i="6" s="1"/>
  <c r="AZ185" i="6"/>
  <c r="BA185" i="6"/>
  <c r="BL185" i="6" s="1"/>
  <c r="BB185" i="6"/>
  <c r="BM185" i="6" s="1"/>
  <c r="BF185" i="6"/>
  <c r="BQ185" i="6" s="1"/>
  <c r="AY185" i="6" l="1"/>
  <c r="BH185" i="6"/>
  <c r="BV185" i="6"/>
  <c r="BW185" i="6"/>
  <c r="BX185" i="6"/>
  <c r="BT185" i="6"/>
  <c r="BU185" i="6"/>
  <c r="BY185" i="6"/>
  <c r="BZ185" i="6"/>
  <c r="BJ185" i="6" l="1"/>
  <c r="BK185" i="6" s="1"/>
  <c r="BI185" i="6"/>
  <c r="BS185" i="6" l="1"/>
  <c r="CA185" i="6" s="1"/>
  <c r="CI185" i="6" l="1"/>
  <c r="CB185" i="6" s="1"/>
  <c r="AH186" i="6" s="1"/>
  <c r="AG186" i="6"/>
  <c r="CJ185" i="6"/>
  <c r="CC185" i="6" s="1"/>
  <c r="AO186" i="6" l="1"/>
  <c r="Q186" i="6"/>
  <c r="R186" i="6" s="1"/>
  <c r="S186" i="6" s="1"/>
  <c r="AI186" i="6"/>
  <c r="CK185" i="6"/>
  <c r="CD185" i="6" s="1"/>
  <c r="AP186" i="6"/>
  <c r="AQ186" i="6" l="1"/>
  <c r="CL185" i="6"/>
  <c r="CE185" i="6" s="1"/>
  <c r="AJ186" i="6"/>
  <c r="AK186" i="6" l="1"/>
  <c r="CM185" i="6"/>
  <c r="CF185" i="6" s="1"/>
  <c r="W186" i="6"/>
  <c r="Z186" i="6" s="1"/>
  <c r="AR186" i="6"/>
  <c r="AC186" i="6"/>
  <c r="AS186" i="6" l="1"/>
  <c r="CN185" i="6"/>
  <c r="CG185" i="6" s="1"/>
  <c r="AL186" i="6"/>
  <c r="AM186" i="6" l="1"/>
  <c r="CO185" i="6"/>
  <c r="CH185" i="6" s="1"/>
  <c r="AT186" i="6"/>
  <c r="AU186" i="6" l="1"/>
  <c r="CP185" i="6"/>
  <c r="T185" i="6" s="1"/>
  <c r="AN186" i="6"/>
  <c r="X186" i="6" s="1"/>
  <c r="AA186" i="6" l="1"/>
  <c r="Y186" i="6"/>
  <c r="AB186" i="6" s="1"/>
  <c r="AV186" i="6"/>
  <c r="AW186" i="6" s="1"/>
  <c r="AX186" i="6" l="1"/>
  <c r="AZ186" i="6"/>
  <c r="BA186" i="6"/>
  <c r="BL186" i="6" s="1"/>
  <c r="BB186" i="6"/>
  <c r="BM186" i="6" s="1"/>
  <c r="BC186" i="6"/>
  <c r="BN186" i="6" s="1"/>
  <c r="BD186" i="6"/>
  <c r="BO186" i="6" s="1"/>
  <c r="BE186" i="6"/>
  <c r="BP186" i="6" s="1"/>
  <c r="BF186" i="6"/>
  <c r="BQ186" i="6" s="1"/>
  <c r="BG186" i="6"/>
  <c r="BR186" i="6" s="1"/>
  <c r="BZ186" i="6"/>
  <c r="BH186" i="6" l="1"/>
  <c r="AY186" i="6"/>
  <c r="BT186" i="6"/>
  <c r="BU186" i="6"/>
  <c r="BV186" i="6"/>
  <c r="BW186" i="6"/>
  <c r="BX186" i="6"/>
  <c r="BY186" i="6"/>
  <c r="BJ186" i="6" l="1"/>
  <c r="BK186" i="6" s="1"/>
  <c r="BI186" i="6"/>
  <c r="BS186" i="6" l="1"/>
  <c r="CA186" i="6" s="1"/>
  <c r="CI186" i="6" l="1"/>
  <c r="CB186" i="6" s="1"/>
  <c r="AG187" i="6"/>
  <c r="CJ186" i="6" l="1"/>
  <c r="CC186" i="6" s="1"/>
  <c r="AH187" i="6"/>
  <c r="AO187" i="6"/>
  <c r="Q187" i="6"/>
  <c r="R187" i="6" s="1"/>
  <c r="S187" i="6" s="1"/>
  <c r="AI187" i="6" l="1"/>
  <c r="CK186" i="6"/>
  <c r="CD186" i="6" s="1"/>
  <c r="AP187" i="6"/>
  <c r="W187" i="6" l="1"/>
  <c r="Z187" i="6" s="1"/>
  <c r="AQ187" i="6"/>
  <c r="CL186" i="6"/>
  <c r="CE186" i="6" s="1"/>
  <c r="AJ187" i="6"/>
  <c r="AK187" i="6" l="1"/>
  <c r="CM186" i="6"/>
  <c r="CF186" i="6" s="1"/>
  <c r="AR187" i="6"/>
  <c r="AC187" i="6"/>
  <c r="AS187" i="6" l="1"/>
  <c r="CN186" i="6"/>
  <c r="CG186" i="6" s="1"/>
  <c r="AL187" i="6"/>
  <c r="AM187" i="6" l="1"/>
  <c r="CO186" i="6"/>
  <c r="CH186" i="6" s="1"/>
  <c r="AT187" i="6"/>
  <c r="AU187" i="6" l="1"/>
  <c r="AN187" i="6"/>
  <c r="X187" i="6" s="1"/>
  <c r="CP186" i="6"/>
  <c r="T186" i="6" s="1"/>
  <c r="AA187" i="6" l="1"/>
  <c r="Y187" i="6"/>
  <c r="AB187" i="6" s="1"/>
  <c r="AV187" i="6"/>
  <c r="AW187" i="6" s="1"/>
  <c r="AX187" i="6" l="1"/>
  <c r="AZ187" i="6"/>
  <c r="BA187" i="6"/>
  <c r="BL187" i="6" s="1"/>
  <c r="BB187" i="6"/>
  <c r="BM187" i="6" s="1"/>
  <c r="BC187" i="6"/>
  <c r="BN187" i="6" s="1"/>
  <c r="BD187" i="6"/>
  <c r="BO187" i="6" s="1"/>
  <c r="BE187" i="6"/>
  <c r="BP187" i="6" s="1"/>
  <c r="BF187" i="6"/>
  <c r="BQ187" i="6" s="1"/>
  <c r="BG187" i="6"/>
  <c r="BR187" i="6" s="1"/>
  <c r="AY187" i="6" l="1"/>
  <c r="BH187" i="6"/>
  <c r="BT187" i="6"/>
  <c r="BU187" i="6"/>
  <c r="BV187" i="6"/>
  <c r="BW187" i="6"/>
  <c r="BX187" i="6"/>
  <c r="BY187" i="6"/>
  <c r="BZ187" i="6"/>
  <c r="BJ187" i="6" l="1"/>
  <c r="BK187" i="6" s="1"/>
  <c r="BI187" i="6"/>
  <c r="BS187" i="6" l="1"/>
  <c r="CA187" i="6" s="1"/>
  <c r="AG188" i="6" l="1"/>
  <c r="CI187" i="6"/>
  <c r="CB187" i="6" s="1"/>
  <c r="AO188" i="6" l="1"/>
  <c r="Q188" i="6"/>
  <c r="R188" i="6" s="1"/>
  <c r="S188" i="6" s="1"/>
  <c r="CJ187" i="6"/>
  <c r="CC187" i="6" s="1"/>
  <c r="AH188" i="6"/>
  <c r="CK187" i="6" l="1"/>
  <c r="CD187" i="6" s="1"/>
  <c r="AI188" i="6"/>
  <c r="AP188" i="6"/>
  <c r="AJ188" i="6" l="1"/>
  <c r="W188" i="6" s="1"/>
  <c r="Z188" i="6" s="1"/>
  <c r="CL187" i="6"/>
  <c r="CE187" i="6" s="1"/>
  <c r="AQ188" i="6"/>
  <c r="AR188" i="6" l="1"/>
  <c r="AC188" i="6"/>
  <c r="AK188" i="6"/>
  <c r="CM187" i="6"/>
  <c r="CF187" i="6" s="1"/>
  <c r="AS188" i="6" l="1"/>
  <c r="CN187" i="6"/>
  <c r="CG187" i="6" s="1"/>
  <c r="AL188" i="6"/>
  <c r="AM188" i="6" l="1"/>
  <c r="CO187" i="6"/>
  <c r="CH187" i="6" s="1"/>
  <c r="AT188" i="6"/>
  <c r="AU188" i="6" l="1"/>
  <c r="AN188" i="6"/>
  <c r="X188" i="6" s="1"/>
  <c r="CP187" i="6"/>
  <c r="T187" i="6" s="1"/>
  <c r="AA188" i="6" l="1"/>
  <c r="Y188" i="6"/>
  <c r="AB188" i="6" s="1"/>
  <c r="AV188" i="6"/>
  <c r="AW188" i="6" s="1"/>
  <c r="AX188" i="6" l="1"/>
  <c r="BG188" i="6"/>
  <c r="BR188" i="6" s="1"/>
  <c r="BF188" i="6"/>
  <c r="BQ188" i="6" s="1"/>
  <c r="BE188" i="6"/>
  <c r="BP188" i="6" s="1"/>
  <c r="BD188" i="6"/>
  <c r="BO188" i="6" s="1"/>
  <c r="BC188" i="6"/>
  <c r="BN188" i="6" s="1"/>
  <c r="BB188" i="6"/>
  <c r="BM188" i="6" s="1"/>
  <c r="BA188" i="6"/>
  <c r="BL188" i="6" s="1"/>
  <c r="AZ188" i="6"/>
  <c r="BH188" i="6" l="1"/>
  <c r="AY188" i="6"/>
  <c r="BY188" i="6"/>
  <c r="BX188" i="6"/>
  <c r="BW188" i="6"/>
  <c r="BV188" i="6"/>
  <c r="BU188" i="6"/>
  <c r="BT188" i="6"/>
  <c r="BZ188" i="6"/>
  <c r="BI188" i="6" l="1"/>
  <c r="BJ188" i="6" s="1"/>
  <c r="BK188" i="6" s="1"/>
  <c r="BS188" i="6" l="1"/>
  <c r="CA188" i="6" s="1"/>
  <c r="CI188" i="6" l="1"/>
  <c r="CB188" i="6" s="1"/>
  <c r="AG189" i="6"/>
  <c r="AH189" i="6" l="1"/>
  <c r="CJ188" i="6"/>
  <c r="CC188" i="6" s="1"/>
  <c r="AO189" i="6"/>
  <c r="Q189" i="6"/>
  <c r="R189" i="6" s="1"/>
  <c r="S189" i="6" s="1"/>
  <c r="AP189" i="6" l="1"/>
  <c r="AI189" i="6"/>
  <c r="CK188" i="6"/>
  <c r="CD188" i="6" s="1"/>
  <c r="W189" i="6" l="1"/>
  <c r="Z189" i="6" s="1"/>
  <c r="AQ189" i="6"/>
  <c r="AJ189" i="6"/>
  <c r="CL188" i="6"/>
  <c r="CE188" i="6" s="1"/>
  <c r="AR189" i="6" l="1"/>
  <c r="AC189" i="6"/>
  <c r="AK189" i="6"/>
  <c r="CM188" i="6"/>
  <c r="CF188" i="6" s="1"/>
  <c r="AS189" i="6" l="1"/>
  <c r="CN188" i="6"/>
  <c r="CG188" i="6" s="1"/>
  <c r="AL189" i="6"/>
  <c r="CO188" i="6" l="1"/>
  <c r="CH188" i="6" s="1"/>
  <c r="AM189" i="6"/>
  <c r="AT189" i="6"/>
  <c r="AN189" i="6" l="1"/>
  <c r="CP188" i="6"/>
  <c r="T188" i="6" s="1"/>
  <c r="X189" i="6"/>
  <c r="AU189" i="6"/>
  <c r="AV189" i="6" l="1"/>
  <c r="AW189" i="6" s="1"/>
  <c r="AA189" i="6"/>
  <c r="Y189" i="6"/>
  <c r="AB189" i="6" s="1"/>
  <c r="BG189" i="6" l="1"/>
  <c r="BR189" i="6" s="1"/>
  <c r="BF189" i="6"/>
  <c r="BQ189" i="6" s="1"/>
  <c r="BE189" i="6"/>
  <c r="BP189" i="6" s="1"/>
  <c r="BD189" i="6"/>
  <c r="BO189" i="6" s="1"/>
  <c r="BC189" i="6"/>
  <c r="BN189" i="6" s="1"/>
  <c r="BB189" i="6"/>
  <c r="BM189" i="6" s="1"/>
  <c r="BA189" i="6"/>
  <c r="BL189" i="6" s="1"/>
  <c r="AZ189" i="6"/>
  <c r="AX189" i="6"/>
  <c r="BY189" i="6" l="1"/>
  <c r="BX189" i="6"/>
  <c r="BW189" i="6"/>
  <c r="BV189" i="6"/>
  <c r="BU189" i="6"/>
  <c r="BT189" i="6"/>
  <c r="BH189" i="6"/>
  <c r="AY189" i="6"/>
  <c r="BZ189" i="6"/>
  <c r="BI189" i="6" l="1"/>
  <c r="BJ189" i="6" s="1"/>
  <c r="BK189" i="6" s="1"/>
  <c r="BS189" i="6" l="1"/>
  <c r="CA189" i="6" s="1"/>
  <c r="AG190" i="6" l="1"/>
  <c r="CI189" i="6"/>
  <c r="CB189" i="6" s="1"/>
  <c r="AO190" i="6" l="1"/>
  <c r="Q190" i="6"/>
  <c r="R190" i="6" s="1"/>
  <c r="S190" i="6" s="1"/>
  <c r="AH190" i="6"/>
  <c r="CJ189" i="6"/>
  <c r="CC189" i="6" s="1"/>
  <c r="AP190" i="6" l="1"/>
  <c r="CK189" i="6"/>
  <c r="CD189" i="6" s="1"/>
  <c r="AI190" i="6"/>
  <c r="AJ190" i="6" l="1"/>
  <c r="W190" i="6" s="1"/>
  <c r="Z190" i="6" s="1"/>
  <c r="CL189" i="6"/>
  <c r="CE189" i="6" s="1"/>
  <c r="AQ190" i="6"/>
  <c r="AR190" i="6" l="1"/>
  <c r="AC190" i="6"/>
  <c r="AK190" i="6"/>
  <c r="CM189" i="6"/>
  <c r="CF189" i="6" s="1"/>
  <c r="AS190" i="6" l="1"/>
  <c r="CN189" i="6"/>
  <c r="CG189" i="6" s="1"/>
  <c r="AL190" i="6"/>
  <c r="AM190" i="6" l="1"/>
  <c r="CO189" i="6"/>
  <c r="CH189" i="6" s="1"/>
  <c r="AT190" i="6"/>
  <c r="AU190" i="6" l="1"/>
  <c r="CP189" i="6"/>
  <c r="T189" i="6" s="1"/>
  <c r="AN190" i="6"/>
  <c r="X190" i="6" s="1"/>
  <c r="AA190" i="6" l="1"/>
  <c r="Y190" i="6"/>
  <c r="AB190" i="6" s="1"/>
  <c r="AV190" i="6"/>
  <c r="AW190" i="6" s="1"/>
  <c r="BG190" i="6" l="1"/>
  <c r="BR190" i="6" s="1"/>
  <c r="BF190" i="6"/>
  <c r="BQ190" i="6" s="1"/>
  <c r="BE190" i="6"/>
  <c r="BP190" i="6" s="1"/>
  <c r="BD190" i="6"/>
  <c r="BO190" i="6" s="1"/>
  <c r="BC190" i="6"/>
  <c r="BN190" i="6" s="1"/>
  <c r="BB190" i="6"/>
  <c r="BM190" i="6" s="1"/>
  <c r="BA190" i="6"/>
  <c r="BL190" i="6" s="1"/>
  <c r="AZ190" i="6"/>
  <c r="AX190" i="6"/>
  <c r="BY190" i="6" l="1"/>
  <c r="BX190" i="6"/>
  <c r="BW190" i="6"/>
  <c r="BV190" i="6"/>
  <c r="BU190" i="6"/>
  <c r="BT190" i="6"/>
  <c r="BH190" i="6"/>
  <c r="AY190" i="6"/>
  <c r="BZ190" i="6"/>
  <c r="BI190" i="6" l="1"/>
  <c r="BJ190" i="6" s="1"/>
  <c r="BK190" i="6" s="1"/>
  <c r="BS190" i="6" l="1"/>
  <c r="CA190" i="6"/>
  <c r="CI190" i="6" l="1"/>
  <c r="CB190" i="6" s="1"/>
  <c r="AG191" i="6"/>
  <c r="CJ190" i="6" l="1"/>
  <c r="CC190" i="6" s="1"/>
  <c r="AH191" i="6"/>
  <c r="AO191" i="6"/>
  <c r="Q191" i="6"/>
  <c r="R191" i="6" s="1"/>
  <c r="S191" i="6" s="1"/>
  <c r="CK190" i="6" l="1"/>
  <c r="CD190" i="6" s="1"/>
  <c r="AI191" i="6"/>
  <c r="AP191" i="6"/>
  <c r="AJ191" i="6" l="1"/>
  <c r="W191" i="6" s="1"/>
  <c r="Z191" i="6" s="1"/>
  <c r="CL190" i="6"/>
  <c r="CE190" i="6" s="1"/>
  <c r="AQ191" i="6"/>
  <c r="AR191" i="6" l="1"/>
  <c r="AC191" i="6"/>
  <c r="AK191" i="6"/>
  <c r="CM190" i="6"/>
  <c r="CF190" i="6" s="1"/>
  <c r="AS191" i="6" l="1"/>
  <c r="CN190" i="6"/>
  <c r="CG190" i="6" s="1"/>
  <c r="AL191" i="6"/>
  <c r="CO190" i="6" l="1"/>
  <c r="CH190" i="6" s="1"/>
  <c r="AM191" i="6"/>
  <c r="AT191" i="6"/>
  <c r="AN191" i="6" l="1"/>
  <c r="CP190" i="6"/>
  <c r="T190" i="6" s="1"/>
  <c r="X191" i="6"/>
  <c r="AU191" i="6"/>
  <c r="AV191" i="6" l="1"/>
  <c r="AW191" i="6" s="1"/>
  <c r="AA191" i="6"/>
  <c r="Y191" i="6"/>
  <c r="AB191" i="6" s="1"/>
  <c r="BB191" i="6" l="1"/>
  <c r="BM191" i="6" s="1"/>
  <c r="BC191" i="6"/>
  <c r="BN191" i="6" s="1"/>
  <c r="BD191" i="6"/>
  <c r="BO191" i="6" s="1"/>
  <c r="BE191" i="6"/>
  <c r="BP191" i="6" s="1"/>
  <c r="BF191" i="6"/>
  <c r="BQ191" i="6" s="1"/>
  <c r="AX191" i="6"/>
  <c r="AZ191" i="6"/>
  <c r="BA191" i="6"/>
  <c r="BL191" i="6" s="1"/>
  <c r="BG191" i="6"/>
  <c r="BR191" i="6" s="1"/>
  <c r="BU191" i="6" l="1"/>
  <c r="BV191" i="6"/>
  <c r="BW191" i="6"/>
  <c r="BX191" i="6"/>
  <c r="BY191" i="6"/>
  <c r="AY191" i="6"/>
  <c r="BH191" i="6"/>
  <c r="BT191" i="6"/>
  <c r="BZ191" i="6"/>
  <c r="BI191" i="6" l="1"/>
  <c r="BJ191" i="6" s="1"/>
  <c r="BK191" i="6" s="1"/>
  <c r="BS191" i="6" l="1"/>
  <c r="CA191" i="6"/>
  <c r="AG192" i="6" l="1"/>
  <c r="CI191" i="6"/>
  <c r="CB191" i="6" s="1"/>
  <c r="AO192" i="6" l="1"/>
  <c r="Q192" i="6"/>
  <c r="R192" i="6" s="1"/>
  <c r="S192" i="6" s="1"/>
  <c r="CJ191" i="6"/>
  <c r="CC191" i="6" s="1"/>
  <c r="AH192" i="6"/>
  <c r="CK191" i="6" l="1"/>
  <c r="CD191" i="6" s="1"/>
  <c r="AI192" i="6"/>
  <c r="AP192" i="6"/>
  <c r="AJ192" i="6" l="1"/>
  <c r="CL191" i="6"/>
  <c r="CE191" i="6" s="1"/>
  <c r="W192" i="6"/>
  <c r="Z192" i="6" s="1"/>
  <c r="AQ192" i="6"/>
  <c r="AR192" i="6" l="1"/>
  <c r="AC192" i="6"/>
  <c r="AK192" i="6"/>
  <c r="CM191" i="6"/>
  <c r="CF191" i="6" s="1"/>
  <c r="AS192" i="6" l="1"/>
  <c r="CN191" i="6"/>
  <c r="CG191" i="6" s="1"/>
  <c r="AL192" i="6"/>
  <c r="CO191" i="6" l="1"/>
  <c r="CH191" i="6" s="1"/>
  <c r="AM192" i="6"/>
  <c r="AT192" i="6"/>
  <c r="AN192" i="6" l="1"/>
  <c r="X192" i="6" s="1"/>
  <c r="CP191" i="6"/>
  <c r="T191" i="6" s="1"/>
  <c r="AU192" i="6"/>
  <c r="AV192" i="6" l="1"/>
  <c r="AW192" i="6" s="1"/>
  <c r="AA192" i="6"/>
  <c r="Y192" i="6"/>
  <c r="AB192" i="6" s="1"/>
  <c r="BB192" i="6" l="1"/>
  <c r="BM192" i="6" s="1"/>
  <c r="BD192" i="6"/>
  <c r="BO192" i="6" s="1"/>
  <c r="BC192" i="6"/>
  <c r="BN192" i="6" s="1"/>
  <c r="BA192" i="6"/>
  <c r="BL192" i="6" s="1"/>
  <c r="BG192" i="6"/>
  <c r="BR192" i="6" s="1"/>
  <c r="BF192" i="6"/>
  <c r="BQ192" i="6" s="1"/>
  <c r="BE192" i="6"/>
  <c r="BP192" i="6" s="1"/>
  <c r="AZ192" i="6"/>
  <c r="AX192" i="6"/>
  <c r="BU192" i="6" l="1"/>
  <c r="BW192" i="6"/>
  <c r="BV192" i="6"/>
  <c r="BT192" i="6"/>
  <c r="BY192" i="6"/>
  <c r="BX192" i="6"/>
  <c r="BH192" i="6"/>
  <c r="AY192" i="6"/>
  <c r="BZ192" i="6"/>
  <c r="BJ192" i="6" l="1"/>
  <c r="BK192" i="6" s="1"/>
  <c r="BI192" i="6"/>
  <c r="BS192" i="6" l="1"/>
  <c r="CA192" i="6" s="1"/>
  <c r="CI192" i="6" l="1"/>
  <c r="CB192" i="6" s="1"/>
  <c r="AG193" i="6"/>
  <c r="CJ192" i="6" l="1"/>
  <c r="CC192" i="6" s="1"/>
  <c r="AH193" i="6"/>
  <c r="AO193" i="6"/>
  <c r="Q193" i="6"/>
  <c r="R193" i="6" s="1"/>
  <c r="S193" i="6" s="1"/>
  <c r="AI193" i="6" l="1"/>
  <c r="CK192" i="6"/>
  <c r="CD192" i="6" s="1"/>
  <c r="AP193" i="6"/>
  <c r="W193" i="6" l="1"/>
  <c r="Z193" i="6" s="1"/>
  <c r="AQ193" i="6"/>
  <c r="AJ193" i="6"/>
  <c r="CL192" i="6"/>
  <c r="CE192" i="6" s="1"/>
  <c r="AR193" i="6" l="1"/>
  <c r="AC193" i="6"/>
  <c r="AK193" i="6"/>
  <c r="CM192" i="6"/>
  <c r="CF192" i="6" s="1"/>
  <c r="AS193" i="6" l="1"/>
  <c r="CN192" i="6"/>
  <c r="CG192" i="6" s="1"/>
  <c r="AL193" i="6"/>
  <c r="CO192" i="6" l="1"/>
  <c r="CH192" i="6" s="1"/>
  <c r="AM193" i="6"/>
  <c r="AT193" i="6"/>
  <c r="AN193" i="6" l="1"/>
  <c r="CP192" i="6"/>
  <c r="T192" i="6" s="1"/>
  <c r="X193" i="6"/>
  <c r="AU193" i="6"/>
  <c r="AV193" i="6" l="1"/>
  <c r="AW193" i="6" s="1"/>
  <c r="AA193" i="6"/>
  <c r="Y193" i="6"/>
  <c r="AB193" i="6" s="1"/>
  <c r="BG193" i="6" l="1"/>
  <c r="BR193" i="6" s="1"/>
  <c r="BA193" i="6"/>
  <c r="BL193" i="6" s="1"/>
  <c r="BF193" i="6"/>
  <c r="BQ193" i="6" s="1"/>
  <c r="BE193" i="6"/>
  <c r="BP193" i="6" s="1"/>
  <c r="BD193" i="6"/>
  <c r="BO193" i="6" s="1"/>
  <c r="BB193" i="6"/>
  <c r="BM193" i="6" s="1"/>
  <c r="BC193" i="6"/>
  <c r="BN193" i="6" s="1"/>
  <c r="AZ193" i="6"/>
  <c r="AX193" i="6"/>
  <c r="BZ193" i="6"/>
  <c r="BT193" i="6" l="1"/>
  <c r="BY193" i="6"/>
  <c r="BX193" i="6"/>
  <c r="BW193" i="6"/>
  <c r="BU193" i="6"/>
  <c r="BV193" i="6"/>
  <c r="BH193" i="6"/>
  <c r="AY193" i="6"/>
  <c r="BI193" i="6" l="1"/>
  <c r="BJ193" i="6" s="1"/>
  <c r="BK193" i="6" s="1"/>
  <c r="BS193" i="6" l="1"/>
  <c r="CA193" i="6" s="1"/>
  <c r="AG194" i="6" l="1"/>
  <c r="CI193" i="6"/>
  <c r="CB193" i="6" s="1"/>
  <c r="AH194" i="6"/>
  <c r="CJ193" i="6"/>
  <c r="CC193" i="6" s="1"/>
  <c r="AO194" i="6" l="1"/>
  <c r="Q194" i="6"/>
  <c r="R194" i="6" s="1"/>
  <c r="S194" i="6" s="1"/>
  <c r="AP194" i="6"/>
  <c r="AI194" i="6"/>
  <c r="CK193" i="6"/>
  <c r="CD193" i="6" s="1"/>
  <c r="AQ194" i="6" l="1"/>
  <c r="AJ194" i="6"/>
  <c r="CL193" i="6"/>
  <c r="CE193" i="6" s="1"/>
  <c r="W194" i="6" l="1"/>
  <c r="Z194" i="6" s="1"/>
  <c r="AR194" i="6"/>
  <c r="AC194" i="6"/>
  <c r="AK194" i="6"/>
  <c r="CM193" i="6"/>
  <c r="CF193" i="6" s="1"/>
  <c r="AS194" i="6" l="1"/>
  <c r="CN193" i="6"/>
  <c r="CG193" i="6" s="1"/>
  <c r="AL194" i="6"/>
  <c r="AM194" i="6" l="1"/>
  <c r="CO193" i="6"/>
  <c r="CH193" i="6" s="1"/>
  <c r="AT194" i="6"/>
  <c r="AU194" i="6" l="1"/>
  <c r="AN194" i="6"/>
  <c r="X194" i="6" s="1"/>
  <c r="CP193" i="6"/>
  <c r="T193" i="6" s="1"/>
  <c r="AA194" i="6" l="1"/>
  <c r="Y194" i="6"/>
  <c r="AB194" i="6" s="1"/>
  <c r="AV194" i="6"/>
  <c r="AW194" i="6" s="1"/>
  <c r="AZ194" i="6" l="1"/>
  <c r="AX194" i="6"/>
  <c r="BG194" i="6"/>
  <c r="BR194" i="6" s="1"/>
  <c r="BF194" i="6"/>
  <c r="BQ194" i="6" s="1"/>
  <c r="BE194" i="6"/>
  <c r="BP194" i="6" s="1"/>
  <c r="BD194" i="6"/>
  <c r="BO194" i="6" s="1"/>
  <c r="BC194" i="6"/>
  <c r="BN194" i="6" s="1"/>
  <c r="BB194" i="6"/>
  <c r="BM194" i="6" s="1"/>
  <c r="BA194" i="6"/>
  <c r="BL194" i="6" s="1"/>
  <c r="AY194" i="6" l="1"/>
  <c r="BH194" i="6"/>
  <c r="BZ194" i="6"/>
  <c r="BY194" i="6"/>
  <c r="BX194" i="6"/>
  <c r="BW194" i="6"/>
  <c r="BV194" i="6"/>
  <c r="BU194" i="6"/>
  <c r="BT194" i="6"/>
  <c r="BJ194" i="6" l="1"/>
  <c r="BK194" i="6" s="1"/>
  <c r="BI194" i="6"/>
  <c r="BS194" i="6" l="1"/>
  <c r="CA194" i="6" s="1"/>
  <c r="CI194" i="6" l="1"/>
  <c r="CB194" i="6" s="1"/>
  <c r="CJ194" i="6" s="1"/>
  <c r="CC194" i="6" s="1"/>
  <c r="AG195" i="6"/>
  <c r="AH195" i="6"/>
  <c r="AO195" i="6" l="1"/>
  <c r="Q195" i="6"/>
  <c r="R195" i="6" s="1"/>
  <c r="S195" i="6" s="1"/>
  <c r="AP195" i="6"/>
  <c r="AI195" i="6"/>
  <c r="CK194" i="6"/>
  <c r="CD194" i="6" s="1"/>
  <c r="AQ195" i="6" l="1"/>
  <c r="AJ195" i="6"/>
  <c r="CL194" i="6"/>
  <c r="CE194" i="6" s="1"/>
  <c r="W195" i="6" l="1"/>
  <c r="Z195" i="6" s="1"/>
  <c r="AR195" i="6"/>
  <c r="AC195" i="6"/>
  <c r="AK195" i="6"/>
  <c r="CM194" i="6"/>
  <c r="CF194" i="6" s="1"/>
  <c r="AS195" i="6" l="1"/>
  <c r="CN194" i="6"/>
  <c r="CG194" i="6" s="1"/>
  <c r="AL195" i="6"/>
  <c r="AM195" i="6" l="1"/>
  <c r="CO194" i="6"/>
  <c r="CH194" i="6" s="1"/>
  <c r="AT195" i="6"/>
  <c r="AU195" i="6" l="1"/>
  <c r="AN195" i="6"/>
  <c r="X195" i="6" s="1"/>
  <c r="CP194" i="6"/>
  <c r="T194" i="6" s="1"/>
  <c r="AA195" i="6" l="1"/>
  <c r="Y195" i="6"/>
  <c r="AB195" i="6" s="1"/>
  <c r="AV195" i="6"/>
  <c r="AW195" i="6" s="1"/>
  <c r="BE195" i="6" l="1"/>
  <c r="BP195" i="6" s="1"/>
  <c r="AX195" i="6"/>
  <c r="AZ195" i="6"/>
  <c r="BG195" i="6"/>
  <c r="BR195" i="6" s="1"/>
  <c r="BA195" i="6"/>
  <c r="BL195" i="6" s="1"/>
  <c r="BB195" i="6"/>
  <c r="BM195" i="6" s="1"/>
  <c r="BC195" i="6"/>
  <c r="BN195" i="6" s="1"/>
  <c r="BF195" i="6"/>
  <c r="BQ195" i="6" s="1"/>
  <c r="BD195" i="6"/>
  <c r="BO195" i="6" s="1"/>
  <c r="BZ195" i="6"/>
  <c r="BX195" i="6" l="1"/>
  <c r="BH195" i="6"/>
  <c r="AY195" i="6"/>
  <c r="BT195" i="6"/>
  <c r="BU195" i="6"/>
  <c r="BV195" i="6"/>
  <c r="BY195" i="6"/>
  <c r="BW195" i="6"/>
  <c r="BI195" i="6" l="1"/>
  <c r="BJ195" i="6" s="1"/>
  <c r="BK195" i="6" s="1"/>
  <c r="BS195" i="6" l="1"/>
  <c r="CA195" i="6"/>
  <c r="CI195" i="6" l="1"/>
  <c r="CB195" i="6" s="1"/>
  <c r="AG196" i="6"/>
  <c r="CJ195" i="6" l="1"/>
  <c r="CC195" i="6" s="1"/>
  <c r="AH196" i="6"/>
  <c r="AO196" i="6"/>
  <c r="Q196" i="6"/>
  <c r="R196" i="6" s="1"/>
  <c r="S196" i="6" s="1"/>
  <c r="AI196" i="6" l="1"/>
  <c r="CK195" i="6"/>
  <c r="CD195" i="6" s="1"/>
  <c r="AP196" i="6"/>
  <c r="W196" i="6" l="1"/>
  <c r="Z196" i="6" s="1"/>
  <c r="AQ196" i="6"/>
  <c r="AJ196" i="6"/>
  <c r="CL195" i="6"/>
  <c r="CE195" i="6" s="1"/>
  <c r="AR196" i="6" l="1"/>
  <c r="AC196" i="6"/>
  <c r="AK196" i="6"/>
  <c r="CM195" i="6"/>
  <c r="CF195" i="6" s="1"/>
  <c r="AS196" i="6" l="1"/>
  <c r="CN195" i="6"/>
  <c r="CG195" i="6" s="1"/>
  <c r="AL196" i="6"/>
  <c r="AM196" i="6" l="1"/>
  <c r="CO195" i="6"/>
  <c r="CH195" i="6" s="1"/>
  <c r="AT196" i="6"/>
  <c r="AU196" i="6" l="1"/>
  <c r="AN196" i="6"/>
  <c r="X196" i="6" s="1"/>
  <c r="CP195" i="6"/>
  <c r="T195" i="6" s="1"/>
  <c r="AA196" i="6" l="1"/>
  <c r="Y196" i="6"/>
  <c r="AB196" i="6" s="1"/>
  <c r="AV196" i="6"/>
  <c r="AW196" i="6" s="1"/>
  <c r="BG196" i="6" l="1"/>
  <c r="BR196" i="6" s="1"/>
  <c r="BF196" i="6"/>
  <c r="BQ196" i="6" s="1"/>
  <c r="BE196" i="6"/>
  <c r="BP196" i="6" s="1"/>
  <c r="BD196" i="6"/>
  <c r="BO196" i="6" s="1"/>
  <c r="BC196" i="6"/>
  <c r="BN196" i="6" s="1"/>
  <c r="BB196" i="6"/>
  <c r="BM196" i="6" s="1"/>
  <c r="BA196" i="6"/>
  <c r="BL196" i="6" s="1"/>
  <c r="AZ196" i="6"/>
  <c r="AX196" i="6"/>
  <c r="BZ196" i="6" l="1"/>
  <c r="BY196" i="6"/>
  <c r="BX196" i="6"/>
  <c r="BW196" i="6"/>
  <c r="BV196" i="6"/>
  <c r="BU196" i="6"/>
  <c r="BT196" i="6"/>
  <c r="BH196" i="6"/>
  <c r="AY196" i="6"/>
  <c r="BI196" i="6" l="1"/>
  <c r="BJ196" i="6" s="1"/>
  <c r="BK196" i="6" s="1"/>
  <c r="BS196" i="6" l="1"/>
  <c r="CA196" i="6" s="1"/>
  <c r="AG197" i="6" l="1"/>
  <c r="CI196" i="6"/>
  <c r="CB196" i="6" s="1"/>
  <c r="AO197" i="6" l="1"/>
  <c r="Q197" i="6"/>
  <c r="R197" i="6" s="1"/>
  <c r="S197" i="6" s="1"/>
  <c r="AH197" i="6"/>
  <c r="CJ196" i="6"/>
  <c r="CC196" i="6" s="1"/>
  <c r="AP197" i="6" l="1"/>
  <c r="AI197" i="6"/>
  <c r="CK196" i="6"/>
  <c r="CD196" i="6" s="1"/>
  <c r="W197" i="6" l="1"/>
  <c r="Z197" i="6" s="1"/>
  <c r="AQ197" i="6"/>
  <c r="AJ197" i="6"/>
  <c r="CL196" i="6"/>
  <c r="CE196" i="6" s="1"/>
  <c r="AR197" i="6" l="1"/>
  <c r="AC197" i="6"/>
  <c r="AK197" i="6"/>
  <c r="CM196" i="6"/>
  <c r="CF196" i="6" s="1"/>
  <c r="AS197" i="6" l="1"/>
  <c r="CN196" i="6"/>
  <c r="CG196" i="6" s="1"/>
  <c r="AL197" i="6"/>
  <c r="AM197" i="6" l="1"/>
  <c r="CO196" i="6"/>
  <c r="CH196" i="6" s="1"/>
  <c r="AT197" i="6"/>
  <c r="AU197" i="6" l="1"/>
  <c r="AN197" i="6"/>
  <c r="X197" i="6" s="1"/>
  <c r="CP196" i="6"/>
  <c r="T196" i="6" s="1"/>
  <c r="AA197" i="6" l="1"/>
  <c r="Y197" i="6"/>
  <c r="AB197" i="6" s="1"/>
  <c r="AV197" i="6"/>
  <c r="AW197" i="6" s="1"/>
  <c r="AX197" i="6" l="1"/>
  <c r="AZ197" i="6"/>
  <c r="BA197" i="6"/>
  <c r="BL197" i="6" s="1"/>
  <c r="BB197" i="6"/>
  <c r="BM197" i="6" s="1"/>
  <c r="BC197" i="6"/>
  <c r="BN197" i="6" s="1"/>
  <c r="BD197" i="6"/>
  <c r="BO197" i="6" s="1"/>
  <c r="BE197" i="6"/>
  <c r="BP197" i="6" s="1"/>
  <c r="BF197" i="6"/>
  <c r="BQ197" i="6" s="1"/>
  <c r="BG197" i="6"/>
  <c r="BR197" i="6" s="1"/>
  <c r="BZ197" i="6"/>
  <c r="AY197" i="6" l="1"/>
  <c r="BH197" i="6"/>
  <c r="BT197" i="6"/>
  <c r="BU197" i="6"/>
  <c r="BV197" i="6"/>
  <c r="BW197" i="6"/>
  <c r="BX197" i="6"/>
  <c r="BY197" i="6"/>
  <c r="BI197" i="6" l="1"/>
  <c r="BJ197" i="6" s="1"/>
  <c r="BK197" i="6" s="1"/>
  <c r="BS197" i="6" l="1"/>
  <c r="CA197" i="6" s="1"/>
  <c r="CI197" i="6" l="1"/>
  <c r="CB197" i="6" s="1"/>
  <c r="AG198" i="6"/>
  <c r="AO198" i="6" l="1"/>
  <c r="Q198" i="6"/>
  <c r="R198" i="6" s="1"/>
  <c r="S198" i="6" s="1"/>
  <c r="AH198" i="6"/>
  <c r="CJ197" i="6"/>
  <c r="CC197" i="6" s="1"/>
  <c r="AP198" i="6" l="1"/>
  <c r="AI198" i="6"/>
  <c r="CK197" i="6"/>
  <c r="CD197" i="6" s="1"/>
  <c r="W198" i="6" l="1"/>
  <c r="Z198" i="6" s="1"/>
  <c r="AQ198" i="6"/>
  <c r="CL197" i="6"/>
  <c r="CE197" i="6" s="1"/>
  <c r="AJ198" i="6"/>
  <c r="AK198" i="6" l="1"/>
  <c r="CM197" i="6"/>
  <c r="CF197" i="6" s="1"/>
  <c r="AR198" i="6"/>
  <c r="AC198" i="6"/>
  <c r="AS198" i="6" l="1"/>
  <c r="CN197" i="6"/>
  <c r="CG197" i="6" s="1"/>
  <c r="AL198" i="6"/>
  <c r="AM198" i="6" l="1"/>
  <c r="CO197" i="6"/>
  <c r="CH197" i="6" s="1"/>
  <c r="AT198" i="6"/>
  <c r="AU198" i="6" l="1"/>
  <c r="AN198" i="6"/>
  <c r="X198" i="6" s="1"/>
  <c r="CP197" i="6"/>
  <c r="T197" i="6" s="1"/>
  <c r="AA198" i="6" l="1"/>
  <c r="Y198" i="6"/>
  <c r="AB198" i="6" s="1"/>
  <c r="AV198" i="6"/>
  <c r="AW198" i="6" s="1"/>
  <c r="BG198" i="6" l="1"/>
  <c r="BR198" i="6" s="1"/>
  <c r="BF198" i="6"/>
  <c r="BQ198" i="6" s="1"/>
  <c r="BE198" i="6"/>
  <c r="BP198" i="6" s="1"/>
  <c r="BD198" i="6"/>
  <c r="BO198" i="6" s="1"/>
  <c r="BC198" i="6"/>
  <c r="BN198" i="6" s="1"/>
  <c r="BB198" i="6"/>
  <c r="BM198" i="6" s="1"/>
  <c r="BA198" i="6"/>
  <c r="BL198" i="6" s="1"/>
  <c r="AZ198" i="6"/>
  <c r="AX198" i="6"/>
  <c r="BZ198" i="6" l="1"/>
  <c r="BY198" i="6"/>
  <c r="BX198" i="6"/>
  <c r="BW198" i="6"/>
  <c r="BV198" i="6"/>
  <c r="BU198" i="6"/>
  <c r="BT198" i="6"/>
  <c r="BH198" i="6"/>
  <c r="AY198" i="6"/>
  <c r="BJ198" i="6" l="1"/>
  <c r="BK198" i="6" s="1"/>
  <c r="BI198" i="6"/>
  <c r="BS198" i="6" l="1"/>
  <c r="CA198" i="6" s="1"/>
  <c r="CI198" i="6" l="1"/>
  <c r="CB198" i="6" s="1"/>
  <c r="AG199" i="6"/>
  <c r="CJ198" i="6" l="1"/>
  <c r="CC198" i="6" s="1"/>
  <c r="AH199" i="6"/>
  <c r="AO199" i="6"/>
  <c r="Q199" i="6"/>
  <c r="R199" i="6" s="1"/>
  <c r="S199" i="6" s="1"/>
  <c r="AI199" i="6" l="1"/>
  <c r="CK198" i="6"/>
  <c r="CD198" i="6" s="1"/>
  <c r="AP199" i="6"/>
  <c r="W199" i="6" l="1"/>
  <c r="Z199" i="6" s="1"/>
  <c r="AQ199" i="6"/>
  <c r="CL198" i="6"/>
  <c r="CE198" i="6" s="1"/>
  <c r="AJ199" i="6"/>
  <c r="AK199" i="6" l="1"/>
  <c r="CM198" i="6"/>
  <c r="CF198" i="6" s="1"/>
  <c r="AR199" i="6"/>
  <c r="AC199" i="6"/>
  <c r="AS199" i="6" l="1"/>
  <c r="CN198" i="6"/>
  <c r="CG198" i="6" s="1"/>
  <c r="AL199" i="6"/>
  <c r="AM199" i="6" l="1"/>
  <c r="CO198" i="6"/>
  <c r="CH198" i="6" s="1"/>
  <c r="AT199" i="6"/>
  <c r="AU199" i="6" l="1"/>
  <c r="AN199" i="6"/>
  <c r="X199" i="6" s="1"/>
  <c r="CP198" i="6"/>
  <c r="T198" i="6" s="1"/>
  <c r="AA199" i="6" l="1"/>
  <c r="Y199" i="6"/>
  <c r="AB199" i="6" s="1"/>
  <c r="AV199" i="6"/>
  <c r="AW199" i="6" s="1"/>
  <c r="BE199" i="6" l="1"/>
  <c r="BP199" i="6" s="1"/>
  <c r="BG199" i="6"/>
  <c r="BR199" i="6" s="1"/>
  <c r="BA199" i="6"/>
  <c r="BL199" i="6" s="1"/>
  <c r="BD199" i="6"/>
  <c r="BO199" i="6" s="1"/>
  <c r="AX199" i="6"/>
  <c r="BB199" i="6"/>
  <c r="BM199" i="6" s="1"/>
  <c r="BF199" i="6"/>
  <c r="BQ199" i="6" s="1"/>
  <c r="AZ199" i="6"/>
  <c r="BC199" i="6"/>
  <c r="BN199" i="6" s="1"/>
  <c r="BX199" i="6" l="1"/>
  <c r="BT199" i="6"/>
  <c r="BW199" i="6"/>
  <c r="AY199" i="6"/>
  <c r="BH199" i="6"/>
  <c r="BU199" i="6"/>
  <c r="BY199" i="6"/>
  <c r="BV199" i="6"/>
  <c r="BZ199" i="6"/>
  <c r="BI199" i="6" l="1"/>
  <c r="BJ199" i="6" s="1"/>
  <c r="BK199" i="6" s="1"/>
  <c r="BS199" i="6" l="1"/>
  <c r="CA199" i="6" s="1"/>
  <c r="AG200" i="6" l="1"/>
  <c r="CI199" i="6"/>
  <c r="CB199" i="6" s="1"/>
  <c r="AO200" i="6" l="1"/>
  <c r="Q200" i="6"/>
  <c r="R200" i="6" s="1"/>
  <c r="S200" i="6" s="1"/>
  <c r="CJ199" i="6"/>
  <c r="CC199" i="6" s="1"/>
  <c r="AH200" i="6"/>
  <c r="CK199" i="6" l="1"/>
  <c r="CD199" i="6" s="1"/>
  <c r="AI200" i="6"/>
  <c r="AP200" i="6"/>
  <c r="AJ200" i="6" l="1"/>
  <c r="CL199" i="6"/>
  <c r="CE199" i="6" s="1"/>
  <c r="W200" i="6"/>
  <c r="Z200" i="6" s="1"/>
  <c r="AQ200" i="6"/>
  <c r="AR200" i="6" l="1"/>
  <c r="AC200" i="6"/>
  <c r="AK200" i="6"/>
  <c r="CM199" i="6"/>
  <c r="CF199" i="6" s="1"/>
  <c r="AS200" i="6" l="1"/>
  <c r="CN199" i="6"/>
  <c r="CG199" i="6" s="1"/>
  <c r="AL200" i="6"/>
  <c r="AM200" i="6" l="1"/>
  <c r="CO199" i="6"/>
  <c r="CH199" i="6" s="1"/>
  <c r="AT200" i="6"/>
  <c r="AU200" i="6" l="1"/>
  <c r="CP199" i="6"/>
  <c r="T199" i="6" s="1"/>
  <c r="AN200" i="6"/>
  <c r="X200" i="6" s="1"/>
  <c r="AA200" i="6" l="1"/>
  <c r="Y200" i="6"/>
  <c r="AB200" i="6" s="1"/>
  <c r="AV200" i="6"/>
  <c r="AW200" i="6" s="1"/>
  <c r="BG200" i="6" l="1"/>
  <c r="BR200" i="6" s="1"/>
  <c r="BF200" i="6"/>
  <c r="BQ200" i="6" s="1"/>
  <c r="BE200" i="6"/>
  <c r="BP200" i="6" s="1"/>
  <c r="BD200" i="6"/>
  <c r="BO200" i="6" s="1"/>
  <c r="BC200" i="6"/>
  <c r="BN200" i="6" s="1"/>
  <c r="BB200" i="6"/>
  <c r="BM200" i="6" s="1"/>
  <c r="BA200" i="6"/>
  <c r="BL200" i="6" s="1"/>
  <c r="AZ200" i="6"/>
  <c r="AX200" i="6"/>
  <c r="BY200" i="6" l="1"/>
  <c r="BX200" i="6"/>
  <c r="BW200" i="6"/>
  <c r="BV200" i="6"/>
  <c r="BU200" i="6"/>
  <c r="BT200" i="6"/>
  <c r="BH200" i="6"/>
  <c r="AY200" i="6"/>
  <c r="BZ200" i="6"/>
  <c r="BI200" i="6" l="1"/>
  <c r="BJ200" i="6" s="1"/>
  <c r="BK200" i="6" s="1"/>
  <c r="BS200" i="6" l="1"/>
  <c r="CA200" i="6" s="1"/>
  <c r="CI200" i="6" l="1"/>
  <c r="CB200" i="6" s="1"/>
  <c r="AG201" i="6"/>
  <c r="AH201" i="6" l="1"/>
  <c r="CJ200" i="6"/>
  <c r="CC200" i="6" s="1"/>
  <c r="AO201" i="6"/>
  <c r="Q201" i="6"/>
  <c r="R201" i="6" s="1"/>
  <c r="S201" i="6" s="1"/>
  <c r="AP201" i="6" l="1"/>
  <c r="CK200" i="6"/>
  <c r="CD200" i="6" s="1"/>
  <c r="AI201" i="6"/>
  <c r="CL200" i="6" l="1"/>
  <c r="CE200" i="6" s="1"/>
  <c r="AJ201" i="6"/>
  <c r="W201" i="6"/>
  <c r="Z201" i="6" s="1"/>
  <c r="AQ201" i="6"/>
  <c r="AK201" i="6" l="1"/>
  <c r="CM200" i="6"/>
  <c r="CF200" i="6" s="1"/>
  <c r="AR201" i="6"/>
  <c r="AC201" i="6"/>
  <c r="AS201" i="6" l="1"/>
  <c r="CN200" i="6"/>
  <c r="CG200" i="6" s="1"/>
  <c r="AL201" i="6"/>
  <c r="CO200" i="6" l="1"/>
  <c r="CH200" i="6" s="1"/>
  <c r="AM201" i="6"/>
  <c r="AT201" i="6"/>
  <c r="AN201" i="6" l="1"/>
  <c r="CP200" i="6"/>
  <c r="T200" i="6" s="1"/>
  <c r="X201" i="6"/>
  <c r="AU201" i="6"/>
  <c r="AV201" i="6" l="1"/>
  <c r="AW201" i="6" s="1"/>
  <c r="AA201" i="6"/>
  <c r="Y201" i="6"/>
  <c r="AB201" i="6" s="1"/>
  <c r="BE201" i="6" l="1"/>
  <c r="BP201" i="6" s="1"/>
  <c r="BF201" i="6"/>
  <c r="BQ201" i="6" s="1"/>
  <c r="AX201" i="6"/>
  <c r="AZ201" i="6"/>
  <c r="BD201" i="6"/>
  <c r="BO201" i="6" s="1"/>
  <c r="BG201" i="6"/>
  <c r="BR201" i="6" s="1"/>
  <c r="BA201" i="6"/>
  <c r="BL201" i="6" s="1"/>
  <c r="BB201" i="6"/>
  <c r="BM201" i="6" s="1"/>
  <c r="BC201" i="6"/>
  <c r="BN201" i="6" s="1"/>
  <c r="BZ201" i="6"/>
  <c r="BX201" i="6" l="1"/>
  <c r="BY201" i="6"/>
  <c r="AY201" i="6"/>
  <c r="BH201" i="6"/>
  <c r="BW201" i="6"/>
  <c r="BT201" i="6"/>
  <c r="BU201" i="6"/>
  <c r="BV201" i="6"/>
  <c r="BJ201" i="6" l="1"/>
  <c r="BK201" i="6" s="1"/>
  <c r="BI201" i="6"/>
  <c r="BS201" i="6" l="1"/>
  <c r="CA201" i="6" s="1"/>
  <c r="AG202" i="6" l="1"/>
  <c r="CI201" i="6"/>
  <c r="CB201" i="6" s="1"/>
  <c r="AO202" i="6" l="1"/>
  <c r="Q202" i="6"/>
  <c r="R202" i="6" s="1"/>
  <c r="S202" i="6" s="1"/>
  <c r="CJ201" i="6"/>
  <c r="CC201" i="6" s="1"/>
  <c r="AH202" i="6"/>
  <c r="CK201" i="6" l="1"/>
  <c r="CD201" i="6" s="1"/>
  <c r="AI202" i="6"/>
  <c r="AP202" i="6"/>
  <c r="CL201" i="6" l="1"/>
  <c r="CE201" i="6" s="1"/>
  <c r="AJ202" i="6"/>
  <c r="W202" i="6"/>
  <c r="Z202" i="6" s="1"/>
  <c r="AQ202" i="6"/>
  <c r="CM201" i="6" l="1"/>
  <c r="CF201" i="6" s="1"/>
  <c r="AK202" i="6"/>
  <c r="AR202" i="6"/>
  <c r="AC202" i="6"/>
  <c r="CN201" i="6" l="1"/>
  <c r="CG201" i="6" s="1"/>
  <c r="AL202" i="6"/>
  <c r="AS202" i="6"/>
  <c r="AM202" i="6" l="1"/>
  <c r="CO201" i="6"/>
  <c r="CH201" i="6" s="1"/>
  <c r="AT202" i="6"/>
  <c r="AU202" i="6" l="1"/>
  <c r="AN202" i="6"/>
  <c r="X202" i="6" s="1"/>
  <c r="CP201" i="6"/>
  <c r="T201" i="6" s="1"/>
  <c r="AA202" i="6" l="1"/>
  <c r="Y202" i="6"/>
  <c r="AB202" i="6" s="1"/>
  <c r="AV202" i="6"/>
  <c r="AW202" i="6" s="1"/>
  <c r="BF202" i="6" l="1"/>
  <c r="BQ202" i="6" s="1"/>
  <c r="BG202" i="6"/>
  <c r="BR202" i="6" s="1"/>
  <c r="AX202" i="6"/>
  <c r="AZ202" i="6"/>
  <c r="BA202" i="6"/>
  <c r="BL202" i="6" s="1"/>
  <c r="BB202" i="6"/>
  <c r="BM202" i="6" s="1"/>
  <c r="BC202" i="6"/>
  <c r="BN202" i="6" s="1"/>
  <c r="BD202" i="6"/>
  <c r="BO202" i="6" s="1"/>
  <c r="BE202" i="6"/>
  <c r="BP202" i="6" s="1"/>
  <c r="BY202" i="6" l="1"/>
  <c r="BZ202" i="6"/>
  <c r="AY202" i="6"/>
  <c r="BH202" i="6"/>
  <c r="BT202" i="6"/>
  <c r="BU202" i="6"/>
  <c r="BV202" i="6"/>
  <c r="BW202" i="6"/>
  <c r="BX202" i="6"/>
  <c r="BI202" i="6" l="1"/>
  <c r="BJ202" i="6" s="1"/>
  <c r="BK202" i="6" s="1"/>
  <c r="BS202" i="6" l="1"/>
  <c r="CA202" i="6" s="1"/>
  <c r="CI202" i="6" l="1"/>
  <c r="CB202" i="6" s="1"/>
  <c r="AG203" i="6"/>
  <c r="CJ202" i="6"/>
  <c r="CC202" i="6" s="1"/>
  <c r="AH203" i="6"/>
  <c r="AO203" i="6" l="1"/>
  <c r="Q203" i="6"/>
  <c r="R203" i="6" s="1"/>
  <c r="S203" i="6" s="1"/>
  <c r="AI203" i="6"/>
  <c r="CK202" i="6"/>
  <c r="CD202" i="6" s="1"/>
  <c r="AP203" i="6"/>
  <c r="AQ203" i="6" l="1"/>
  <c r="AJ203" i="6"/>
  <c r="CL202" i="6"/>
  <c r="CE202" i="6" s="1"/>
  <c r="W203" i="6" l="1"/>
  <c r="Z203" i="6" s="1"/>
  <c r="AR203" i="6"/>
  <c r="AC203" i="6"/>
  <c r="CM202" i="6"/>
  <c r="CF202" i="6" s="1"/>
  <c r="AK203" i="6"/>
  <c r="CN202" i="6" l="1"/>
  <c r="CG202" i="6" s="1"/>
  <c r="AL203" i="6"/>
  <c r="AS203" i="6"/>
  <c r="AM203" i="6" l="1"/>
  <c r="CO202" i="6"/>
  <c r="CH202" i="6" s="1"/>
  <c r="AT203" i="6"/>
  <c r="AU203" i="6" l="1"/>
  <c r="AN203" i="6"/>
  <c r="X203" i="6" s="1"/>
  <c r="CP202" i="6"/>
  <c r="T202" i="6" s="1"/>
  <c r="AA203" i="6" l="1"/>
  <c r="Y203" i="6"/>
  <c r="AB203" i="6" s="1"/>
  <c r="AV203" i="6"/>
  <c r="AW203" i="6" s="1"/>
  <c r="BG203" i="6" l="1"/>
  <c r="BR203" i="6" s="1"/>
  <c r="BF203" i="6"/>
  <c r="BQ203" i="6" s="1"/>
  <c r="BE203" i="6"/>
  <c r="BP203" i="6" s="1"/>
  <c r="BD203" i="6"/>
  <c r="BO203" i="6" s="1"/>
  <c r="BC203" i="6"/>
  <c r="BN203" i="6" s="1"/>
  <c r="BB203" i="6"/>
  <c r="BM203" i="6" s="1"/>
  <c r="BA203" i="6"/>
  <c r="BL203" i="6" s="1"/>
  <c r="AZ203" i="6"/>
  <c r="AX203" i="6"/>
  <c r="BY203" i="6" l="1"/>
  <c r="BX203" i="6"/>
  <c r="BW203" i="6"/>
  <c r="BV203" i="6"/>
  <c r="BU203" i="6"/>
  <c r="BT203" i="6"/>
  <c r="AY203" i="6"/>
  <c r="BH203" i="6"/>
  <c r="BZ203" i="6"/>
  <c r="BJ203" i="6" l="1"/>
  <c r="BK203" i="6" s="1"/>
  <c r="BI203" i="6"/>
  <c r="CA203" i="6" l="1"/>
  <c r="BS203" i="6"/>
  <c r="CI203" i="6" l="1"/>
  <c r="CB203" i="6" s="1"/>
  <c r="AG204" i="6"/>
  <c r="AO204" i="6" l="1"/>
  <c r="Q204" i="6"/>
  <c r="R204" i="6" s="1"/>
  <c r="S204" i="6" s="1"/>
  <c r="AH204" i="6"/>
  <c r="CJ203" i="6"/>
  <c r="CC203" i="6" s="1"/>
  <c r="AP204" i="6" l="1"/>
  <c r="CK203" i="6"/>
  <c r="CD203" i="6" s="1"/>
  <c r="AI204" i="6"/>
  <c r="AJ204" i="6" l="1"/>
  <c r="CL203" i="6"/>
  <c r="CE203" i="6" s="1"/>
  <c r="W204" i="6"/>
  <c r="Z204" i="6" s="1"/>
  <c r="AQ204" i="6"/>
  <c r="AR204" i="6" l="1"/>
  <c r="AC204" i="6"/>
  <c r="CM203" i="6"/>
  <c r="CF203" i="6" s="1"/>
  <c r="AK204" i="6"/>
  <c r="AL204" i="6" l="1"/>
  <c r="CN203" i="6"/>
  <c r="CG203" i="6" s="1"/>
  <c r="AS204" i="6"/>
  <c r="AT204" i="6" l="1"/>
  <c r="AM204" i="6"/>
  <c r="CO203" i="6"/>
  <c r="CH203" i="6" s="1"/>
  <c r="AU204" i="6" l="1"/>
  <c r="CP203" i="6"/>
  <c r="T203" i="6" s="1"/>
  <c r="AN204" i="6"/>
  <c r="X204" i="6" s="1"/>
  <c r="AA204" i="6" l="1"/>
  <c r="Y204" i="6"/>
  <c r="AB204" i="6" s="1"/>
  <c r="AV204" i="6"/>
  <c r="AW204" i="6" s="1"/>
  <c r="BG204" i="6" l="1"/>
  <c r="BR204" i="6" s="1"/>
  <c r="BB204" i="6"/>
  <c r="BM204" i="6" s="1"/>
  <c r="BA204" i="6"/>
  <c r="BL204" i="6" s="1"/>
  <c r="AZ204" i="6"/>
  <c r="AX204" i="6"/>
  <c r="BF204" i="6"/>
  <c r="BQ204" i="6" s="1"/>
  <c r="BE204" i="6"/>
  <c r="BP204" i="6" s="1"/>
  <c r="BD204" i="6"/>
  <c r="BO204" i="6" s="1"/>
  <c r="BC204" i="6"/>
  <c r="BN204" i="6" s="1"/>
  <c r="BU204" i="6" l="1"/>
  <c r="BT204" i="6"/>
  <c r="BH204" i="6"/>
  <c r="AY204" i="6"/>
  <c r="BY204" i="6"/>
  <c r="BX204" i="6"/>
  <c r="BW204" i="6"/>
  <c r="BV204" i="6"/>
  <c r="BZ204" i="6"/>
  <c r="BJ204" i="6" l="1"/>
  <c r="BK204" i="6" s="1"/>
  <c r="BI204" i="6"/>
  <c r="BS204" i="6" l="1"/>
  <c r="CA204" i="6" s="1"/>
  <c r="CI204" i="6" l="1"/>
  <c r="CB204" i="6" s="1"/>
  <c r="AG205" i="6"/>
  <c r="CJ204" i="6" l="1"/>
  <c r="CC204" i="6" s="1"/>
  <c r="AH205" i="6"/>
  <c r="AO205" i="6"/>
  <c r="Q205" i="6"/>
  <c r="R205" i="6" s="1"/>
  <c r="S205" i="6" s="1"/>
  <c r="CK204" i="6" l="1"/>
  <c r="CD204" i="6" s="1"/>
  <c r="AI205" i="6"/>
  <c r="AP205" i="6"/>
  <c r="AJ205" i="6" l="1"/>
  <c r="CL204" i="6"/>
  <c r="CE204" i="6" s="1"/>
  <c r="W205" i="6"/>
  <c r="Z205" i="6" s="1"/>
  <c r="AQ205" i="6"/>
  <c r="AR205" i="6" l="1"/>
  <c r="AC205" i="6"/>
  <c r="CM204" i="6"/>
  <c r="CF204" i="6" s="1"/>
  <c r="AK205" i="6"/>
  <c r="AL205" i="6" l="1"/>
  <c r="CN204" i="6"/>
  <c r="CG204" i="6" s="1"/>
  <c r="AS205" i="6"/>
  <c r="AT205" i="6" l="1"/>
  <c r="AM205" i="6"/>
  <c r="CO204" i="6"/>
  <c r="CH204" i="6" s="1"/>
  <c r="AU205" i="6" l="1"/>
  <c r="CP204" i="6"/>
  <c r="T204" i="6" s="1"/>
  <c r="AN205" i="6"/>
  <c r="X205" i="6" s="1"/>
  <c r="AA205" i="6" l="1"/>
  <c r="Y205" i="6"/>
  <c r="AB205" i="6" s="1"/>
  <c r="AV205" i="6"/>
  <c r="AW205" i="6" s="1"/>
  <c r="AX205" i="6" l="1"/>
  <c r="AZ205" i="6"/>
  <c r="BA205" i="6"/>
  <c r="BL205" i="6" s="1"/>
  <c r="BB205" i="6"/>
  <c r="BM205" i="6" s="1"/>
  <c r="BC205" i="6"/>
  <c r="BN205" i="6" s="1"/>
  <c r="BD205" i="6"/>
  <c r="BO205" i="6" s="1"/>
  <c r="BE205" i="6"/>
  <c r="BP205" i="6" s="1"/>
  <c r="BF205" i="6"/>
  <c r="BQ205" i="6" s="1"/>
  <c r="BG205" i="6"/>
  <c r="BR205" i="6" s="1"/>
  <c r="BZ205" i="6"/>
  <c r="AY205" i="6" l="1"/>
  <c r="BH205" i="6"/>
  <c r="BT205" i="6"/>
  <c r="BU205" i="6"/>
  <c r="BV205" i="6"/>
  <c r="BW205" i="6"/>
  <c r="BX205" i="6"/>
  <c r="BY205" i="6"/>
  <c r="BI205" i="6" l="1"/>
  <c r="BJ205" i="6" s="1"/>
  <c r="BK205" i="6" s="1"/>
  <c r="BS205" i="6" l="1"/>
  <c r="CA205" i="6" s="1"/>
  <c r="AG206" i="6" l="1"/>
  <c r="CI205" i="6"/>
  <c r="CB205" i="6" s="1"/>
  <c r="AO206" i="6" l="1"/>
  <c r="Q206" i="6"/>
  <c r="R206" i="6" s="1"/>
  <c r="S206" i="6" s="1"/>
  <c r="CJ205" i="6"/>
  <c r="CC205" i="6" s="1"/>
  <c r="AH206" i="6"/>
  <c r="AI206" i="6" l="1"/>
  <c r="CK205" i="6"/>
  <c r="CD205" i="6" s="1"/>
  <c r="AP206" i="6"/>
  <c r="W206" i="6" l="1"/>
  <c r="Z206" i="6" s="1"/>
  <c r="AQ206" i="6"/>
  <c r="CL205" i="6"/>
  <c r="CE205" i="6" s="1"/>
  <c r="AJ206" i="6"/>
  <c r="CM205" i="6" l="1"/>
  <c r="CF205" i="6" s="1"/>
  <c r="AK206" i="6"/>
  <c r="AR206" i="6"/>
  <c r="AC206" i="6"/>
  <c r="AL206" i="6" l="1"/>
  <c r="CN205" i="6"/>
  <c r="CG205" i="6" s="1"/>
  <c r="AS206" i="6"/>
  <c r="AT206" i="6" l="1"/>
  <c r="AM206" i="6"/>
  <c r="CO205" i="6"/>
  <c r="CH205" i="6" s="1"/>
  <c r="X206" i="6" l="1"/>
  <c r="AU206" i="6"/>
  <c r="AN206" i="6"/>
  <c r="CP205" i="6"/>
  <c r="T205" i="6" s="1"/>
  <c r="AA206" i="6" l="1"/>
  <c r="Y206" i="6"/>
  <c r="AB206" i="6" s="1"/>
  <c r="AV206" i="6"/>
  <c r="AW206" i="6" s="1"/>
  <c r="BG206" i="6" l="1"/>
  <c r="BR206" i="6" s="1"/>
  <c r="BF206" i="6"/>
  <c r="BQ206" i="6" s="1"/>
  <c r="BE206" i="6"/>
  <c r="BP206" i="6" s="1"/>
  <c r="BD206" i="6"/>
  <c r="BO206" i="6" s="1"/>
  <c r="BC206" i="6"/>
  <c r="BN206" i="6" s="1"/>
  <c r="BB206" i="6"/>
  <c r="BM206" i="6" s="1"/>
  <c r="BA206" i="6"/>
  <c r="BL206" i="6" s="1"/>
  <c r="AZ206" i="6"/>
  <c r="AX206" i="6"/>
  <c r="BZ206" i="6" l="1"/>
  <c r="BY206" i="6"/>
  <c r="BX206" i="6"/>
  <c r="BW206" i="6"/>
  <c r="BV206" i="6"/>
  <c r="BU206" i="6"/>
  <c r="BT206" i="6"/>
  <c r="BH206" i="6"/>
  <c r="AY206" i="6"/>
  <c r="BI206" i="6" l="1"/>
  <c r="BJ206" i="6" s="1"/>
  <c r="BK206" i="6" s="1"/>
  <c r="BS206" i="6" l="1"/>
  <c r="CA206" i="6" s="1"/>
  <c r="CI206" i="6" l="1"/>
  <c r="CB206" i="6" s="1"/>
  <c r="AG207" i="6"/>
  <c r="AH207" i="6" l="1"/>
  <c r="CJ206" i="6"/>
  <c r="CC206" i="6" s="1"/>
  <c r="AO207" i="6"/>
  <c r="Q207" i="6"/>
  <c r="R207" i="6" s="1"/>
  <c r="S207" i="6" s="1"/>
  <c r="AP207" i="6" l="1"/>
  <c r="CK206" i="6"/>
  <c r="CD206" i="6" s="1"/>
  <c r="AI207" i="6"/>
  <c r="AJ207" i="6" l="1"/>
  <c r="W207" i="6" s="1"/>
  <c r="Z207" i="6" s="1"/>
  <c r="CL206" i="6"/>
  <c r="CE206" i="6" s="1"/>
  <c r="AQ207" i="6"/>
  <c r="AR207" i="6" l="1"/>
  <c r="AC207" i="6"/>
  <c r="AK207" i="6"/>
  <c r="CM206" i="6"/>
  <c r="CF206" i="6" s="1"/>
  <c r="AS207" i="6" l="1"/>
  <c r="CN206" i="6"/>
  <c r="CG206" i="6" s="1"/>
  <c r="AL207" i="6"/>
  <c r="CO206" i="6" l="1"/>
  <c r="CH206" i="6" s="1"/>
  <c r="AM207" i="6"/>
  <c r="AT207" i="6"/>
  <c r="AN207" i="6" l="1"/>
  <c r="CP206" i="6"/>
  <c r="T206" i="6" s="1"/>
  <c r="X207" i="6"/>
  <c r="AU207" i="6"/>
  <c r="AV207" i="6" l="1"/>
  <c r="AW207" i="6" s="1"/>
  <c r="AA207" i="6"/>
  <c r="Y207" i="6"/>
  <c r="AB207" i="6" s="1"/>
  <c r="AX207" i="6" l="1"/>
  <c r="BB207" i="6"/>
  <c r="BM207" i="6" s="1"/>
  <c r="BE207" i="6"/>
  <c r="BP207" i="6" s="1"/>
  <c r="BA207" i="6"/>
  <c r="BL207" i="6" s="1"/>
  <c r="BD207" i="6"/>
  <c r="BO207" i="6" s="1"/>
  <c r="BF207" i="6"/>
  <c r="BQ207" i="6" s="1"/>
  <c r="BG207" i="6"/>
  <c r="BR207" i="6" s="1"/>
  <c r="AZ207" i="6"/>
  <c r="BC207" i="6"/>
  <c r="BN207" i="6" s="1"/>
  <c r="AY207" i="6" l="1"/>
  <c r="BH207" i="6"/>
  <c r="BU207" i="6"/>
  <c r="BX207" i="6"/>
  <c r="BT207" i="6"/>
  <c r="BW207" i="6"/>
  <c r="BY207" i="6"/>
  <c r="BV207" i="6"/>
  <c r="BZ207" i="6"/>
  <c r="BJ207" i="6" l="1"/>
  <c r="BK207" i="6" s="1"/>
  <c r="BI207" i="6"/>
  <c r="BS207" i="6" l="1"/>
  <c r="CA207" i="6" s="1"/>
  <c r="AG208" i="6" l="1"/>
  <c r="CI207" i="6"/>
  <c r="CB207" i="6" s="1"/>
  <c r="AO208" i="6" l="1"/>
  <c r="Q208" i="6"/>
  <c r="R208" i="6" s="1"/>
  <c r="S208" i="6" s="1"/>
  <c r="CJ207" i="6"/>
  <c r="CC207" i="6" s="1"/>
  <c r="AH208" i="6"/>
  <c r="CK207" i="6" l="1"/>
  <c r="CD207" i="6" s="1"/>
  <c r="AI208" i="6"/>
  <c r="AP208" i="6"/>
  <c r="AJ208" i="6" l="1"/>
  <c r="CL207" i="6"/>
  <c r="CE207" i="6" s="1"/>
  <c r="W208" i="6"/>
  <c r="Z208" i="6" s="1"/>
  <c r="AQ208" i="6"/>
  <c r="AR208" i="6" l="1"/>
  <c r="AC208" i="6"/>
  <c r="AK208" i="6"/>
  <c r="CM207" i="6"/>
  <c r="CF207" i="6" s="1"/>
  <c r="AS208" i="6" l="1"/>
  <c r="CN207" i="6"/>
  <c r="CG207" i="6" s="1"/>
  <c r="AL208" i="6"/>
  <c r="AM208" i="6" l="1"/>
  <c r="CO207" i="6"/>
  <c r="CH207" i="6" s="1"/>
  <c r="AT208" i="6"/>
  <c r="AU208" i="6" l="1"/>
  <c r="CP207" i="6"/>
  <c r="T207" i="6" s="1"/>
  <c r="AN208" i="6"/>
  <c r="X208" i="6" s="1"/>
  <c r="AA208" i="6" l="1"/>
  <c r="Y208" i="6"/>
  <c r="AB208" i="6" s="1"/>
  <c r="AV208" i="6"/>
  <c r="AW208" i="6" s="1"/>
  <c r="AZ208" i="6" l="1"/>
  <c r="BG208" i="6"/>
  <c r="BR208" i="6" s="1"/>
  <c r="BF208" i="6"/>
  <c r="BQ208" i="6" s="1"/>
  <c r="BE208" i="6"/>
  <c r="BP208" i="6" s="1"/>
  <c r="BD208" i="6"/>
  <c r="BO208" i="6" s="1"/>
  <c r="BC208" i="6"/>
  <c r="BN208" i="6" s="1"/>
  <c r="BB208" i="6"/>
  <c r="BM208" i="6" s="1"/>
  <c r="BA208" i="6"/>
  <c r="BL208" i="6" s="1"/>
  <c r="AX208" i="6"/>
  <c r="BZ208" i="6"/>
  <c r="BY208" i="6" l="1"/>
  <c r="BX208" i="6"/>
  <c r="BW208" i="6"/>
  <c r="BV208" i="6"/>
  <c r="BU208" i="6"/>
  <c r="BT208" i="6"/>
  <c r="BH208" i="6"/>
  <c r="AY208" i="6"/>
  <c r="BI208" i="6" l="1"/>
  <c r="BJ208" i="6" s="1"/>
  <c r="BK208" i="6" s="1"/>
  <c r="BS208" i="6" l="1"/>
  <c r="CA208" i="6"/>
  <c r="CI208" i="6" l="1"/>
  <c r="CB208" i="6" s="1"/>
  <c r="AG209" i="6"/>
  <c r="CJ208" i="6" l="1"/>
  <c r="CC208" i="6" s="1"/>
  <c r="AH209" i="6"/>
  <c r="AO209" i="6"/>
  <c r="Q209" i="6"/>
  <c r="R209" i="6" s="1"/>
  <c r="S209" i="6" s="1"/>
  <c r="AI209" i="6" l="1"/>
  <c r="CK208" i="6"/>
  <c r="CD208" i="6" s="1"/>
  <c r="AP209" i="6"/>
  <c r="W209" i="6" l="1"/>
  <c r="Z209" i="6" s="1"/>
  <c r="AQ209" i="6"/>
  <c r="AJ209" i="6"/>
  <c r="CL208" i="6"/>
  <c r="CE208" i="6" s="1"/>
  <c r="AR209" i="6" l="1"/>
  <c r="AC209" i="6"/>
  <c r="AK209" i="6"/>
  <c r="CM208" i="6"/>
  <c r="CF208" i="6" s="1"/>
  <c r="AS209" i="6" l="1"/>
  <c r="CN208" i="6"/>
  <c r="CG208" i="6" s="1"/>
  <c r="AL209" i="6"/>
  <c r="AM209" i="6" l="1"/>
  <c r="CO208" i="6"/>
  <c r="CH208" i="6" s="1"/>
  <c r="AT209" i="6"/>
  <c r="AU209" i="6" l="1"/>
  <c r="AN209" i="6"/>
  <c r="X209" i="6" s="1"/>
  <c r="CP208" i="6"/>
  <c r="T208" i="6" s="1"/>
  <c r="AA209" i="6" l="1"/>
  <c r="Y209" i="6"/>
  <c r="AB209" i="6" s="1"/>
  <c r="AV209" i="6"/>
  <c r="AW209" i="6" s="1"/>
  <c r="BG209" i="6" l="1"/>
  <c r="BR209" i="6" s="1"/>
  <c r="BB209" i="6"/>
  <c r="BM209" i="6" s="1"/>
  <c r="AZ209" i="6"/>
  <c r="BF209" i="6"/>
  <c r="BQ209" i="6" s="1"/>
  <c r="BE209" i="6"/>
  <c r="BP209" i="6" s="1"/>
  <c r="BD209" i="6"/>
  <c r="BO209" i="6" s="1"/>
  <c r="BC209" i="6"/>
  <c r="BN209" i="6" s="1"/>
  <c r="BA209" i="6"/>
  <c r="BL209" i="6" s="1"/>
  <c r="AX209" i="6"/>
  <c r="BZ209" i="6" l="1"/>
  <c r="BU209" i="6"/>
  <c r="BY209" i="6"/>
  <c r="BX209" i="6"/>
  <c r="BW209" i="6"/>
  <c r="BV209" i="6"/>
  <c r="BT209" i="6"/>
  <c r="BH209" i="6"/>
  <c r="AY209" i="6"/>
  <c r="BI209" i="6" l="1"/>
  <c r="BJ209" i="6" s="1"/>
  <c r="BK209" i="6" s="1"/>
  <c r="BS209" i="6" l="1"/>
  <c r="CA209" i="6" s="1"/>
  <c r="AG210" i="6" l="1"/>
  <c r="CI209" i="6"/>
  <c r="CB209" i="6" s="1"/>
  <c r="AH210" i="6"/>
  <c r="CJ209" i="6"/>
  <c r="CC209" i="6" s="1"/>
  <c r="AO210" i="6" l="1"/>
  <c r="Q210" i="6"/>
  <c r="R210" i="6" s="1"/>
  <c r="S210" i="6" s="1"/>
  <c r="AP210" i="6"/>
  <c r="AI210" i="6"/>
  <c r="CK209" i="6"/>
  <c r="CD209" i="6" s="1"/>
  <c r="AQ210" i="6" l="1"/>
  <c r="AJ210" i="6"/>
  <c r="CL209" i="6"/>
  <c r="CE209" i="6" s="1"/>
  <c r="W210" i="6" l="1"/>
  <c r="Z210" i="6" s="1"/>
  <c r="AR210" i="6"/>
  <c r="AC210" i="6"/>
  <c r="AK210" i="6"/>
  <c r="CM209" i="6"/>
  <c r="CF209" i="6" s="1"/>
  <c r="AS210" i="6" l="1"/>
  <c r="CN209" i="6"/>
  <c r="CG209" i="6" s="1"/>
  <c r="AL210" i="6"/>
  <c r="AM210" i="6" l="1"/>
  <c r="CO209" i="6"/>
  <c r="CH209" i="6" s="1"/>
  <c r="AT210" i="6"/>
  <c r="AU210" i="6" l="1"/>
  <c r="AN210" i="6"/>
  <c r="X210" i="6" s="1"/>
  <c r="CP209" i="6"/>
  <c r="T209" i="6" s="1"/>
  <c r="AA210" i="6" l="1"/>
  <c r="Y210" i="6"/>
  <c r="AB210" i="6" s="1"/>
  <c r="AV210" i="6"/>
  <c r="AW210" i="6" s="1"/>
  <c r="BF210" i="6" l="1"/>
  <c r="BQ210" i="6" s="1"/>
  <c r="BE210" i="6"/>
  <c r="BP210" i="6" s="1"/>
  <c r="BD210" i="6"/>
  <c r="BO210" i="6" s="1"/>
  <c r="BC210" i="6"/>
  <c r="BN210" i="6" s="1"/>
  <c r="BB210" i="6"/>
  <c r="BM210" i="6" s="1"/>
  <c r="AZ210" i="6"/>
  <c r="AX210" i="6"/>
  <c r="BG210" i="6"/>
  <c r="BR210" i="6" s="1"/>
  <c r="BA210" i="6"/>
  <c r="BL210" i="6" s="1"/>
  <c r="BZ210" i="6"/>
  <c r="BY210" i="6" l="1"/>
  <c r="BX210" i="6"/>
  <c r="BW210" i="6"/>
  <c r="BV210" i="6"/>
  <c r="BU210" i="6"/>
  <c r="AY210" i="6"/>
  <c r="BH210" i="6"/>
  <c r="BT210" i="6"/>
  <c r="BJ210" i="6" l="1"/>
  <c r="BK210" i="6" s="1"/>
  <c r="BI210" i="6"/>
  <c r="BS210" i="6" l="1"/>
  <c r="CA210" i="6" s="1"/>
  <c r="CI210" i="6" l="1"/>
  <c r="CB210" i="6" s="1"/>
  <c r="AG211" i="6"/>
  <c r="CJ210" i="6" l="1"/>
  <c r="CC210" i="6" s="1"/>
  <c r="AH211" i="6"/>
  <c r="AO211" i="6"/>
  <c r="Q211" i="6"/>
  <c r="R211" i="6" s="1"/>
  <c r="S211" i="6" s="1"/>
  <c r="CK210" i="6" l="1"/>
  <c r="CD210" i="6" s="1"/>
  <c r="AI211" i="6"/>
  <c r="AP211" i="6"/>
  <c r="CL210" i="6" l="1"/>
  <c r="CE210" i="6" s="1"/>
  <c r="AJ211" i="6"/>
  <c r="W211" i="6"/>
  <c r="Z211" i="6" s="1"/>
  <c r="AQ211" i="6"/>
  <c r="AK211" i="6" l="1"/>
  <c r="CM210" i="6"/>
  <c r="CF210" i="6" s="1"/>
  <c r="AR211" i="6"/>
  <c r="AC211" i="6"/>
  <c r="AS211" i="6" l="1"/>
  <c r="CN210" i="6"/>
  <c r="CG210" i="6" s="1"/>
  <c r="AL211" i="6"/>
  <c r="AM211" i="6" l="1"/>
  <c r="CO210" i="6"/>
  <c r="CH210" i="6" s="1"/>
  <c r="AT211" i="6"/>
  <c r="AU211" i="6" l="1"/>
  <c r="CP210" i="6"/>
  <c r="T210" i="6" s="1"/>
  <c r="AN211" i="6"/>
  <c r="X211" i="6" s="1"/>
  <c r="AA211" i="6" l="1"/>
  <c r="Y211" i="6"/>
  <c r="AB211" i="6" s="1"/>
  <c r="AV211" i="6"/>
  <c r="AW211" i="6" s="1"/>
  <c r="AX211" i="6" l="1"/>
  <c r="AZ211" i="6"/>
  <c r="BA211" i="6"/>
  <c r="BL211" i="6" s="1"/>
  <c r="BB211" i="6"/>
  <c r="BM211" i="6" s="1"/>
  <c r="BC211" i="6"/>
  <c r="BN211" i="6" s="1"/>
  <c r="BD211" i="6"/>
  <c r="BO211" i="6" s="1"/>
  <c r="BE211" i="6"/>
  <c r="BP211" i="6" s="1"/>
  <c r="BF211" i="6"/>
  <c r="BQ211" i="6" s="1"/>
  <c r="BG211" i="6"/>
  <c r="BR211" i="6" s="1"/>
  <c r="AY211" i="6" l="1"/>
  <c r="BH211" i="6"/>
  <c r="BT211" i="6"/>
  <c r="BU211" i="6"/>
  <c r="BV211" i="6"/>
  <c r="BW211" i="6"/>
  <c r="BX211" i="6"/>
  <c r="BY211" i="6"/>
  <c r="BZ211" i="6"/>
  <c r="BI211" i="6" l="1"/>
  <c r="BJ211" i="6" s="1"/>
  <c r="BK211" i="6" s="1"/>
  <c r="BS211" i="6" l="1"/>
  <c r="CA211" i="6"/>
  <c r="AG212" i="6" l="1"/>
  <c r="CI211" i="6"/>
  <c r="CB211" i="6" s="1"/>
  <c r="AO212" i="6" l="1"/>
  <c r="Q212" i="6"/>
  <c r="R212" i="6" s="1"/>
  <c r="S212" i="6" s="1"/>
  <c r="CJ211" i="6"/>
  <c r="CC211" i="6" s="1"/>
  <c r="AH212" i="6"/>
  <c r="AI212" i="6" l="1"/>
  <c r="CK211" i="6"/>
  <c r="CD211" i="6" s="1"/>
  <c r="AP212" i="6"/>
  <c r="AQ212" i="6" l="1"/>
  <c r="AJ212" i="6"/>
  <c r="W212" i="6" s="1"/>
  <c r="Z212" i="6" s="1"/>
  <c r="CL211" i="6"/>
  <c r="CE211" i="6" s="1"/>
  <c r="AR212" i="6" l="1"/>
  <c r="AC212" i="6"/>
  <c r="AK212" i="6"/>
  <c r="CM211" i="6"/>
  <c r="CF211" i="6" s="1"/>
  <c r="AS212" i="6" l="1"/>
  <c r="CN211" i="6"/>
  <c r="CG211" i="6" s="1"/>
  <c r="AL212" i="6"/>
  <c r="AM212" i="6" l="1"/>
  <c r="CO211" i="6"/>
  <c r="CH211" i="6" s="1"/>
  <c r="AT212" i="6"/>
  <c r="AU212" i="6" l="1"/>
  <c r="AN212" i="6"/>
  <c r="X212" i="6" s="1"/>
  <c r="CP211" i="6"/>
  <c r="T211" i="6" s="1"/>
  <c r="AA212" i="6" l="1"/>
  <c r="Y212" i="6"/>
  <c r="AB212" i="6" s="1"/>
  <c r="AV212" i="6"/>
  <c r="AW212" i="6" s="1"/>
  <c r="BG212" i="6" l="1"/>
  <c r="BR212" i="6" s="1"/>
  <c r="BF212" i="6"/>
  <c r="BQ212" i="6" s="1"/>
  <c r="BE212" i="6"/>
  <c r="BP212" i="6" s="1"/>
  <c r="BD212" i="6"/>
  <c r="BO212" i="6" s="1"/>
  <c r="BC212" i="6"/>
  <c r="BN212" i="6" s="1"/>
  <c r="BB212" i="6"/>
  <c r="BM212" i="6" s="1"/>
  <c r="BA212" i="6"/>
  <c r="BL212" i="6" s="1"/>
  <c r="AZ212" i="6"/>
  <c r="AX212" i="6"/>
  <c r="BY212" i="6" l="1"/>
  <c r="BX212" i="6"/>
  <c r="BW212" i="6"/>
  <c r="BV212" i="6"/>
  <c r="BU212" i="6"/>
  <c r="BT212" i="6"/>
  <c r="BH212" i="6"/>
  <c r="AY212" i="6"/>
  <c r="BZ212" i="6"/>
  <c r="BI212" i="6" l="1"/>
  <c r="BJ212" i="6" s="1"/>
  <c r="BK212" i="6" s="1"/>
  <c r="BS212" i="6" l="1"/>
  <c r="CA212" i="6" s="1"/>
  <c r="CI212" i="6" l="1"/>
  <c r="CB212" i="6" s="1"/>
  <c r="AG213" i="6"/>
  <c r="AH213" i="6" l="1"/>
  <c r="CJ212" i="6"/>
  <c r="CC212" i="6" s="1"/>
  <c r="AO213" i="6"/>
  <c r="Q213" i="6"/>
  <c r="R213" i="6" s="1"/>
  <c r="S213" i="6" s="1"/>
  <c r="AP213" i="6" l="1"/>
  <c r="AI213" i="6"/>
  <c r="CK212" i="6"/>
  <c r="CD212" i="6" s="1"/>
  <c r="AQ213" i="6" l="1"/>
  <c r="AJ213" i="6"/>
  <c r="W213" i="6" s="1"/>
  <c r="Z213" i="6" s="1"/>
  <c r="CL212" i="6"/>
  <c r="CE212" i="6" s="1"/>
  <c r="AR213" i="6" l="1"/>
  <c r="AC213" i="6"/>
  <c r="AK213" i="6"/>
  <c r="CM212" i="6"/>
  <c r="CF212" i="6" s="1"/>
  <c r="AS213" i="6" l="1"/>
  <c r="CN212" i="6"/>
  <c r="CG212" i="6" s="1"/>
  <c r="AL213" i="6"/>
  <c r="AM213" i="6" l="1"/>
  <c r="CO212" i="6"/>
  <c r="CH212" i="6" s="1"/>
  <c r="AT213" i="6"/>
  <c r="AU213" i="6" l="1"/>
  <c r="CP212" i="6"/>
  <c r="T212" i="6" s="1"/>
  <c r="AN213" i="6"/>
  <c r="X213" i="6" s="1"/>
  <c r="AA213" i="6" l="1"/>
  <c r="Y213" i="6"/>
  <c r="AB213" i="6" s="1"/>
  <c r="AV213" i="6"/>
  <c r="AW213" i="6" s="1"/>
  <c r="BG213" i="6" l="1"/>
  <c r="BR213" i="6" s="1"/>
  <c r="BF213" i="6"/>
  <c r="BQ213" i="6" s="1"/>
  <c r="BE213" i="6"/>
  <c r="BP213" i="6" s="1"/>
  <c r="BD213" i="6"/>
  <c r="BO213" i="6" s="1"/>
  <c r="BC213" i="6"/>
  <c r="BN213" i="6" s="1"/>
  <c r="BB213" i="6"/>
  <c r="BM213" i="6" s="1"/>
  <c r="BA213" i="6"/>
  <c r="BL213" i="6" s="1"/>
  <c r="AZ213" i="6"/>
  <c r="AX213" i="6"/>
  <c r="BZ213" i="6"/>
  <c r="BY213" i="6" l="1"/>
  <c r="BX213" i="6"/>
  <c r="BW213" i="6"/>
  <c r="BV213" i="6"/>
  <c r="BU213" i="6"/>
  <c r="BT213" i="6"/>
  <c r="BH213" i="6"/>
  <c r="AY213" i="6"/>
  <c r="BI213" i="6" l="1"/>
  <c r="BJ213" i="6" s="1"/>
  <c r="BK213" i="6" s="1"/>
  <c r="BS213" i="6" l="1"/>
  <c r="CA213" i="6" s="1"/>
  <c r="AG214" i="6" l="1"/>
  <c r="CI213" i="6"/>
  <c r="CB213" i="6" s="1"/>
  <c r="CJ213" i="6" s="1"/>
  <c r="CC213" i="6" s="1"/>
  <c r="AH214" i="6"/>
  <c r="AO214" i="6" l="1"/>
  <c r="Q214" i="6"/>
  <c r="R214" i="6" s="1"/>
  <c r="S214" i="6" s="1"/>
  <c r="AP214" i="6"/>
  <c r="AI214" i="6"/>
  <c r="CK213" i="6"/>
  <c r="CD213" i="6" s="1"/>
  <c r="AQ214" i="6" l="1"/>
  <c r="AJ214" i="6"/>
  <c r="CL213" i="6"/>
  <c r="CE213" i="6" s="1"/>
  <c r="W214" i="6" l="1"/>
  <c r="Z214" i="6" s="1"/>
  <c r="AR214" i="6"/>
  <c r="AC214" i="6"/>
  <c r="AK214" i="6"/>
  <c r="CM213" i="6"/>
  <c r="CF213" i="6" s="1"/>
  <c r="AS214" i="6" l="1"/>
  <c r="CN213" i="6"/>
  <c r="CG213" i="6" s="1"/>
  <c r="AL214" i="6"/>
  <c r="AM214" i="6" l="1"/>
  <c r="CO213" i="6"/>
  <c r="CH213" i="6" s="1"/>
  <c r="AT214" i="6"/>
  <c r="AU214" i="6" l="1"/>
  <c r="AN214" i="6"/>
  <c r="X214" i="6" s="1"/>
  <c r="CP213" i="6"/>
  <c r="T213" i="6" s="1"/>
  <c r="AA214" i="6" l="1"/>
  <c r="Y214" i="6"/>
  <c r="AB214" i="6" s="1"/>
  <c r="AV214" i="6"/>
  <c r="AW214" i="6" s="1"/>
  <c r="BD214" i="6" l="1"/>
  <c r="BO214" i="6" s="1"/>
  <c r="BC214" i="6"/>
  <c r="BN214" i="6" s="1"/>
  <c r="BB214" i="6"/>
  <c r="BM214" i="6" s="1"/>
  <c r="BA214" i="6"/>
  <c r="BL214" i="6" s="1"/>
  <c r="AZ214" i="6"/>
  <c r="AX214" i="6"/>
  <c r="BG214" i="6"/>
  <c r="BR214" i="6" s="1"/>
  <c r="BF214" i="6"/>
  <c r="BQ214" i="6" s="1"/>
  <c r="BE214" i="6"/>
  <c r="BP214" i="6" s="1"/>
  <c r="BW214" i="6" l="1"/>
  <c r="BV214" i="6"/>
  <c r="BU214" i="6"/>
  <c r="BT214" i="6"/>
  <c r="AY214" i="6"/>
  <c r="BH214" i="6"/>
  <c r="BZ214" i="6"/>
  <c r="BY214" i="6"/>
  <c r="BX214" i="6"/>
  <c r="BI214" i="6" l="1"/>
  <c r="BJ214" i="6" s="1"/>
  <c r="BK214" i="6" s="1"/>
  <c r="BS214" i="6" l="1"/>
  <c r="CA214" i="6" s="1"/>
  <c r="CI214" i="6" l="1"/>
  <c r="CB214" i="6" s="1"/>
  <c r="AG215" i="6"/>
  <c r="AO215" i="6" l="1"/>
  <c r="Q215" i="6"/>
  <c r="R215" i="6" s="1"/>
  <c r="S215" i="6" s="1"/>
  <c r="AH215" i="6"/>
  <c r="CJ214" i="6"/>
  <c r="CC214" i="6" s="1"/>
  <c r="AP215" i="6" l="1"/>
  <c r="CK214" i="6"/>
  <c r="CD214" i="6" s="1"/>
  <c r="AI215" i="6"/>
  <c r="AJ215" i="6" l="1"/>
  <c r="CL214" i="6"/>
  <c r="CE214" i="6" s="1"/>
  <c r="W215" i="6"/>
  <c r="Z215" i="6" s="1"/>
  <c r="AQ215" i="6"/>
  <c r="AR215" i="6" l="1"/>
  <c r="AC215" i="6"/>
  <c r="AK215" i="6"/>
  <c r="CM214" i="6"/>
  <c r="CF214" i="6" s="1"/>
  <c r="AS215" i="6" l="1"/>
  <c r="CN214" i="6"/>
  <c r="CG214" i="6" s="1"/>
  <c r="AL215" i="6"/>
  <c r="AM215" i="6" l="1"/>
  <c r="CO214" i="6"/>
  <c r="CH214" i="6" s="1"/>
  <c r="AT215" i="6"/>
  <c r="AU215" i="6" l="1"/>
  <c r="AN215" i="6"/>
  <c r="X215" i="6" s="1"/>
  <c r="CP214" i="6"/>
  <c r="T214" i="6" s="1"/>
  <c r="AA215" i="6" l="1"/>
  <c r="Y215" i="6"/>
  <c r="AB215" i="6" s="1"/>
  <c r="AV215" i="6"/>
  <c r="AW215" i="6" s="1"/>
  <c r="BF215" i="6" l="1"/>
  <c r="BQ215" i="6" s="1"/>
  <c r="BD215" i="6"/>
  <c r="BO215" i="6" s="1"/>
  <c r="BA215" i="6"/>
  <c r="BL215" i="6" s="1"/>
  <c r="BG215" i="6"/>
  <c r="BR215" i="6" s="1"/>
  <c r="BE215" i="6"/>
  <c r="BP215" i="6" s="1"/>
  <c r="BC215" i="6"/>
  <c r="BN215" i="6" s="1"/>
  <c r="BB215" i="6"/>
  <c r="BM215" i="6" s="1"/>
  <c r="AZ215" i="6"/>
  <c r="AX215" i="6"/>
  <c r="BY215" i="6" l="1"/>
  <c r="BW215" i="6"/>
  <c r="BT215" i="6"/>
  <c r="BX215" i="6"/>
  <c r="BV215" i="6"/>
  <c r="BU215" i="6"/>
  <c r="BH215" i="6"/>
  <c r="AY215" i="6"/>
  <c r="BZ215" i="6"/>
  <c r="BI215" i="6" l="1"/>
  <c r="BJ215" i="6" s="1"/>
  <c r="BK215" i="6" s="1"/>
  <c r="BS215" i="6" l="1"/>
  <c r="CA215" i="6"/>
  <c r="CI215" i="6" l="1"/>
  <c r="CB215" i="6" s="1"/>
  <c r="AG216" i="6"/>
  <c r="CJ215" i="6" l="1"/>
  <c r="CC215" i="6" s="1"/>
  <c r="AH216" i="6"/>
  <c r="AO216" i="6"/>
  <c r="Q216" i="6"/>
  <c r="R216" i="6" s="1"/>
  <c r="S216" i="6" s="1"/>
  <c r="CK215" i="6" l="1"/>
  <c r="CD215" i="6" s="1"/>
  <c r="AI216" i="6"/>
  <c r="AP216" i="6"/>
  <c r="AJ216" i="6" l="1"/>
  <c r="CL215" i="6"/>
  <c r="CE215" i="6" s="1"/>
  <c r="W216" i="6"/>
  <c r="Z216" i="6" s="1"/>
  <c r="AQ216" i="6"/>
  <c r="AR216" i="6" l="1"/>
  <c r="AC216" i="6"/>
  <c r="AK216" i="6"/>
  <c r="CM215" i="6"/>
  <c r="CF215" i="6" s="1"/>
  <c r="AS216" i="6" l="1"/>
  <c r="CN215" i="6"/>
  <c r="CG215" i="6" s="1"/>
  <c r="AL216" i="6"/>
  <c r="CO215" i="6" l="1"/>
  <c r="CH215" i="6" s="1"/>
  <c r="AM216" i="6"/>
  <c r="AT216" i="6"/>
  <c r="AN216" i="6" l="1"/>
  <c r="CP215" i="6"/>
  <c r="T215" i="6" s="1"/>
  <c r="X216" i="6"/>
  <c r="AU216" i="6"/>
  <c r="AV216" i="6" l="1"/>
  <c r="AW216" i="6" s="1"/>
  <c r="AA216" i="6"/>
  <c r="Y216" i="6"/>
  <c r="AB216" i="6" s="1"/>
  <c r="BG216" i="6" l="1"/>
  <c r="BR216" i="6" s="1"/>
  <c r="AZ216" i="6"/>
  <c r="BA216" i="6"/>
  <c r="BL216" i="6" s="1"/>
  <c r="BC216" i="6"/>
  <c r="BN216" i="6" s="1"/>
  <c r="BE216" i="6"/>
  <c r="BP216" i="6" s="1"/>
  <c r="BB216" i="6"/>
  <c r="BM216" i="6" s="1"/>
  <c r="BD216" i="6"/>
  <c r="BO216" i="6" s="1"/>
  <c r="BF216" i="6"/>
  <c r="BQ216" i="6" s="1"/>
  <c r="AX216" i="6"/>
  <c r="BT216" i="6" l="1"/>
  <c r="BV216" i="6"/>
  <c r="BX216" i="6"/>
  <c r="BU216" i="6"/>
  <c r="BW216" i="6"/>
  <c r="BY216" i="6"/>
  <c r="AY216" i="6"/>
  <c r="BH216" i="6"/>
  <c r="BZ216" i="6"/>
  <c r="BJ216" i="6" l="1"/>
  <c r="BK216" i="6" s="1"/>
  <c r="BI216" i="6"/>
  <c r="BS216" i="6" l="1"/>
  <c r="CA216" i="6"/>
  <c r="AG217" i="6" l="1"/>
  <c r="CI216" i="6"/>
  <c r="CB216" i="6" s="1"/>
  <c r="AO217" i="6" l="1"/>
  <c r="Q217" i="6"/>
  <c r="R217" i="6" s="1"/>
  <c r="S217" i="6" s="1"/>
  <c r="CJ216" i="6"/>
  <c r="CC216" i="6" s="1"/>
  <c r="AH217" i="6"/>
  <c r="CK216" i="6" l="1"/>
  <c r="CD216" i="6" s="1"/>
  <c r="AI217" i="6"/>
  <c r="AP217" i="6"/>
  <c r="AJ217" i="6" l="1"/>
  <c r="CL216" i="6"/>
  <c r="CE216" i="6" s="1"/>
  <c r="W217" i="6"/>
  <c r="Z217" i="6" s="1"/>
  <c r="AQ217" i="6"/>
  <c r="AR217" i="6" l="1"/>
  <c r="AC217" i="6"/>
  <c r="AK217" i="6"/>
  <c r="CM216" i="6"/>
  <c r="CF216" i="6" s="1"/>
  <c r="AS217" i="6" l="1"/>
  <c r="CN216" i="6"/>
  <c r="CG216" i="6" s="1"/>
  <c r="AL217" i="6"/>
  <c r="AM217" i="6" l="1"/>
  <c r="CO216" i="6"/>
  <c r="CH216" i="6" s="1"/>
  <c r="AT217" i="6"/>
  <c r="X217" i="6" l="1"/>
  <c r="AU217" i="6"/>
  <c r="CP216" i="6"/>
  <c r="T216" i="6" s="1"/>
  <c r="AN217" i="6"/>
  <c r="AA217" i="6" l="1"/>
  <c r="Y217" i="6"/>
  <c r="AB217" i="6" s="1"/>
  <c r="AV217" i="6"/>
  <c r="AW217" i="6" s="1"/>
  <c r="BB217" i="6" l="1"/>
  <c r="BM217" i="6" s="1"/>
  <c r="AZ217" i="6"/>
  <c r="AX217" i="6"/>
  <c r="BG217" i="6"/>
  <c r="BR217" i="6" s="1"/>
  <c r="BF217" i="6"/>
  <c r="BQ217" i="6" s="1"/>
  <c r="BD217" i="6"/>
  <c r="BO217" i="6" s="1"/>
  <c r="BA217" i="6"/>
  <c r="BL217" i="6" s="1"/>
  <c r="BE217" i="6"/>
  <c r="BP217" i="6" s="1"/>
  <c r="BC217" i="6"/>
  <c r="BN217" i="6" s="1"/>
  <c r="BU217" i="6" l="1"/>
  <c r="BH217" i="6"/>
  <c r="AY217" i="6"/>
  <c r="BY217" i="6"/>
  <c r="BW217" i="6"/>
  <c r="BT217" i="6"/>
  <c r="BX217" i="6"/>
  <c r="BV217" i="6"/>
  <c r="BZ217" i="6"/>
  <c r="BJ217" i="6" l="1"/>
  <c r="BK217" i="6" s="1"/>
  <c r="BI217" i="6"/>
  <c r="BS217" i="6" l="1"/>
  <c r="CA217" i="6" s="1"/>
  <c r="CI217" i="6" l="1"/>
  <c r="CB217" i="6" s="1"/>
  <c r="AG218" i="6"/>
  <c r="AH218" i="6" l="1"/>
  <c r="CJ217" i="6"/>
  <c r="CC217" i="6" s="1"/>
  <c r="AO218" i="6"/>
  <c r="Q218" i="6"/>
  <c r="R218" i="6" s="1"/>
  <c r="S218" i="6" s="1"/>
  <c r="AP218" i="6" l="1"/>
  <c r="AI218" i="6"/>
  <c r="CK217" i="6"/>
  <c r="CD217" i="6" s="1"/>
  <c r="W218" i="6" l="1"/>
  <c r="Z218" i="6" s="1"/>
  <c r="AQ218" i="6"/>
  <c r="CL217" i="6"/>
  <c r="CE217" i="6" s="1"/>
  <c r="AJ218" i="6"/>
  <c r="CM217" i="6" l="1"/>
  <c r="CF217" i="6" s="1"/>
  <c r="AK218" i="6"/>
  <c r="AR218" i="6"/>
  <c r="AC218" i="6"/>
  <c r="CN217" i="6" l="1"/>
  <c r="CG217" i="6" s="1"/>
  <c r="AL218" i="6"/>
  <c r="AS218" i="6"/>
  <c r="AM218" i="6" l="1"/>
  <c r="CO217" i="6"/>
  <c r="CH217" i="6" s="1"/>
  <c r="AT218" i="6"/>
  <c r="X218" i="6" l="1"/>
  <c r="AU218" i="6"/>
  <c r="CP217" i="6"/>
  <c r="T217" i="6" s="1"/>
  <c r="AN218" i="6"/>
  <c r="AA218" i="6" l="1"/>
  <c r="Y218" i="6"/>
  <c r="AB218" i="6" s="1"/>
  <c r="AV218" i="6"/>
  <c r="AW218" i="6" s="1"/>
  <c r="AZ218" i="6" l="1"/>
  <c r="BB218" i="6"/>
  <c r="BM218" i="6" s="1"/>
  <c r="BD218" i="6"/>
  <c r="BO218" i="6" s="1"/>
  <c r="AX218" i="6"/>
  <c r="BA218" i="6"/>
  <c r="BL218" i="6" s="1"/>
  <c r="BC218" i="6"/>
  <c r="BN218" i="6" s="1"/>
  <c r="BE218" i="6"/>
  <c r="BP218" i="6" s="1"/>
  <c r="BF218" i="6"/>
  <c r="BQ218" i="6" s="1"/>
  <c r="BG218" i="6"/>
  <c r="BR218" i="6" s="1"/>
  <c r="BZ218" i="6"/>
  <c r="BU218" i="6" l="1"/>
  <c r="BW218" i="6"/>
  <c r="AY218" i="6"/>
  <c r="BH218" i="6"/>
  <c r="BT218" i="6"/>
  <c r="BV218" i="6"/>
  <c r="BX218" i="6"/>
  <c r="BY218" i="6"/>
  <c r="BJ218" i="6" l="1"/>
  <c r="BK218" i="6" s="1"/>
  <c r="BI218" i="6"/>
  <c r="BS218" i="6" l="1"/>
  <c r="CA218" i="6" s="1"/>
  <c r="AG219" i="6" l="1"/>
  <c r="CI218" i="6"/>
  <c r="CB218" i="6" s="1"/>
  <c r="AO219" i="6" l="1"/>
  <c r="Q219" i="6"/>
  <c r="R219" i="6" s="1"/>
  <c r="S219" i="6" s="1"/>
  <c r="CJ218" i="6"/>
  <c r="CC218" i="6" s="1"/>
  <c r="AH219" i="6"/>
  <c r="AI219" i="6" l="1"/>
  <c r="CK218" i="6"/>
  <c r="CD218" i="6" s="1"/>
  <c r="AP219" i="6"/>
  <c r="AQ219" i="6" l="1"/>
  <c r="CL218" i="6"/>
  <c r="CE218" i="6" s="1"/>
  <c r="AJ219" i="6"/>
  <c r="W219" i="6" s="1"/>
  <c r="Z219" i="6" s="1"/>
  <c r="CM218" i="6" l="1"/>
  <c r="CF218" i="6" s="1"/>
  <c r="AK219" i="6"/>
  <c r="AR219" i="6"/>
  <c r="AC219" i="6"/>
  <c r="AL219" i="6" l="1"/>
  <c r="CN218" i="6"/>
  <c r="CG218" i="6" s="1"/>
  <c r="AS219" i="6"/>
  <c r="AT219" i="6" l="1"/>
  <c r="AM219" i="6"/>
  <c r="CO218" i="6"/>
  <c r="CH218" i="6" s="1"/>
  <c r="AU219" i="6" l="1"/>
  <c r="AN219" i="6"/>
  <c r="X219" i="6" s="1"/>
  <c r="CP218" i="6"/>
  <c r="T218" i="6" s="1"/>
  <c r="AA219" i="6" l="1"/>
  <c r="Y219" i="6"/>
  <c r="AB219" i="6" s="1"/>
  <c r="AV219" i="6"/>
  <c r="AW219" i="6" s="1"/>
  <c r="BE219" i="6" l="1"/>
  <c r="BP219" i="6" s="1"/>
  <c r="BD219" i="6"/>
  <c r="BO219" i="6" s="1"/>
  <c r="BC219" i="6"/>
  <c r="BN219" i="6" s="1"/>
  <c r="BB219" i="6"/>
  <c r="BM219" i="6" s="1"/>
  <c r="BA219" i="6"/>
  <c r="BL219" i="6" s="1"/>
  <c r="AX219" i="6"/>
  <c r="BG219" i="6"/>
  <c r="BR219" i="6" s="1"/>
  <c r="BF219" i="6"/>
  <c r="BQ219" i="6" s="1"/>
  <c r="AZ219" i="6"/>
  <c r="BX219" i="6" l="1"/>
  <c r="BW219" i="6"/>
  <c r="BV219" i="6"/>
  <c r="BU219" i="6"/>
  <c r="BT219" i="6"/>
  <c r="BH219" i="6"/>
  <c r="AY219" i="6"/>
  <c r="BZ219" i="6"/>
  <c r="BY219" i="6"/>
  <c r="BJ219" i="6" l="1"/>
  <c r="BK219" i="6" s="1"/>
  <c r="BI219" i="6"/>
  <c r="BS219" i="6" l="1"/>
  <c r="CA219" i="6"/>
  <c r="CI219" i="6" l="1"/>
  <c r="CB219" i="6" s="1"/>
  <c r="AG220" i="6"/>
  <c r="AH220" i="6" l="1"/>
  <c r="CJ219" i="6"/>
  <c r="CC219" i="6" s="1"/>
  <c r="AO220" i="6"/>
  <c r="Q220" i="6"/>
  <c r="R220" i="6" s="1"/>
  <c r="S220" i="6" s="1"/>
  <c r="AP220" i="6" l="1"/>
  <c r="AI220" i="6"/>
  <c r="CK219" i="6"/>
  <c r="CD219" i="6" s="1"/>
  <c r="W220" i="6" l="1"/>
  <c r="Z220" i="6" s="1"/>
  <c r="AQ220" i="6"/>
  <c r="CL219" i="6"/>
  <c r="CE219" i="6" s="1"/>
  <c r="AJ220" i="6"/>
  <c r="AK220" i="6" l="1"/>
  <c r="CM219" i="6"/>
  <c r="CF219" i="6" s="1"/>
  <c r="AR220" i="6"/>
  <c r="AC220" i="6"/>
  <c r="AS220" i="6" l="1"/>
  <c r="AL220" i="6"/>
  <c r="CN219" i="6"/>
  <c r="CG219" i="6" s="1"/>
  <c r="AT220" i="6" l="1"/>
  <c r="AM220" i="6"/>
  <c r="CO219" i="6"/>
  <c r="CH219" i="6" s="1"/>
  <c r="X220" i="6" l="1"/>
  <c r="AU220" i="6"/>
  <c r="AN220" i="6"/>
  <c r="CP219" i="6"/>
  <c r="T219" i="6" s="1"/>
  <c r="AA220" i="6" l="1"/>
  <c r="Y220" i="6"/>
  <c r="AB220" i="6" s="1"/>
  <c r="AV220" i="6"/>
  <c r="AW220" i="6" s="1"/>
  <c r="BB220" i="6" l="1"/>
  <c r="BM220" i="6" s="1"/>
  <c r="BG220" i="6"/>
  <c r="BR220" i="6" s="1"/>
  <c r="AZ220" i="6"/>
  <c r="BF220" i="6"/>
  <c r="BQ220" i="6" s="1"/>
  <c r="BE220" i="6"/>
  <c r="BP220" i="6" s="1"/>
  <c r="BD220" i="6"/>
  <c r="BO220" i="6" s="1"/>
  <c r="BC220" i="6"/>
  <c r="BN220" i="6" s="1"/>
  <c r="BA220" i="6"/>
  <c r="BL220" i="6" s="1"/>
  <c r="AX220" i="6"/>
  <c r="BU220" i="6" l="1"/>
  <c r="BY220" i="6"/>
  <c r="BX220" i="6"/>
  <c r="BW220" i="6"/>
  <c r="BV220" i="6"/>
  <c r="BT220" i="6"/>
  <c r="BH220" i="6"/>
  <c r="AY220" i="6"/>
  <c r="BZ220" i="6"/>
  <c r="BI220" i="6" l="1"/>
  <c r="BJ220" i="6" s="1"/>
  <c r="BK220" i="6" s="1"/>
  <c r="CA220" i="6" l="1"/>
  <c r="BS220" i="6"/>
  <c r="AG221" i="6" l="1"/>
  <c r="CI220" i="6"/>
  <c r="CB220" i="6" s="1"/>
  <c r="AO221" i="6" l="1"/>
  <c r="Q221" i="6"/>
  <c r="R221" i="6" s="1"/>
  <c r="S221" i="6" s="1"/>
  <c r="AH221" i="6"/>
  <c r="CJ220" i="6"/>
  <c r="CC220" i="6" s="1"/>
  <c r="AP221" i="6" l="1"/>
  <c r="CK220" i="6"/>
  <c r="CD220" i="6" s="1"/>
  <c r="AI221" i="6"/>
  <c r="CL220" i="6" l="1"/>
  <c r="CE220" i="6" s="1"/>
  <c r="AJ221" i="6"/>
  <c r="W221" i="6"/>
  <c r="Z221" i="6" s="1"/>
  <c r="AQ221" i="6"/>
  <c r="AK221" i="6" l="1"/>
  <c r="CM220" i="6"/>
  <c r="CF220" i="6" s="1"/>
  <c r="AR221" i="6"/>
  <c r="AC221" i="6"/>
  <c r="AS221" i="6" l="1"/>
  <c r="AL221" i="6"/>
  <c r="CN220" i="6"/>
  <c r="CG220" i="6" s="1"/>
  <c r="AT221" i="6" l="1"/>
  <c r="CO220" i="6"/>
  <c r="CH220" i="6" s="1"/>
  <c r="AM221" i="6"/>
  <c r="AN221" i="6" l="1"/>
  <c r="CP220" i="6"/>
  <c r="T220" i="6" s="1"/>
  <c r="X221" i="6"/>
  <c r="AU221" i="6"/>
  <c r="AV221" i="6" l="1"/>
  <c r="AW221" i="6" s="1"/>
  <c r="AA221" i="6"/>
  <c r="Y221" i="6"/>
  <c r="AB221" i="6" s="1"/>
  <c r="BG221" i="6" l="1"/>
  <c r="BR221" i="6" s="1"/>
  <c r="BF221" i="6"/>
  <c r="BQ221" i="6" s="1"/>
  <c r="BE221" i="6"/>
  <c r="BP221" i="6" s="1"/>
  <c r="BD221" i="6"/>
  <c r="BO221" i="6" s="1"/>
  <c r="BC221" i="6"/>
  <c r="BN221" i="6" s="1"/>
  <c r="BB221" i="6"/>
  <c r="BM221" i="6" s="1"/>
  <c r="BA221" i="6"/>
  <c r="BL221" i="6" s="1"/>
  <c r="AZ221" i="6"/>
  <c r="AX221" i="6"/>
  <c r="BZ221" i="6" l="1"/>
  <c r="BY221" i="6"/>
  <c r="BX221" i="6"/>
  <c r="BW221" i="6"/>
  <c r="BV221" i="6"/>
  <c r="BU221" i="6"/>
  <c r="BT221" i="6"/>
  <c r="BH221" i="6"/>
  <c r="AY221" i="6"/>
  <c r="BI221" i="6" l="1"/>
  <c r="BJ221" i="6" s="1"/>
  <c r="BK221" i="6" s="1"/>
  <c r="BS221" i="6" l="1"/>
  <c r="CA221" i="6"/>
  <c r="CI221" i="6" l="1"/>
  <c r="CB221" i="6" s="1"/>
  <c r="AG222" i="6"/>
  <c r="CJ221" i="6" l="1"/>
  <c r="CC221" i="6" s="1"/>
  <c r="AH222" i="6"/>
  <c r="AO222" i="6"/>
  <c r="Q222" i="6"/>
  <c r="R222" i="6" s="1"/>
  <c r="S222" i="6" s="1"/>
  <c r="CK221" i="6" l="1"/>
  <c r="CD221" i="6" s="1"/>
  <c r="AI222" i="6"/>
  <c r="AP222" i="6"/>
  <c r="AJ222" i="6" l="1"/>
  <c r="W222" i="6" s="1"/>
  <c r="Z222" i="6" s="1"/>
  <c r="CL221" i="6"/>
  <c r="CE221" i="6" s="1"/>
  <c r="AQ222" i="6"/>
  <c r="AR222" i="6" l="1"/>
  <c r="AC222" i="6"/>
  <c r="AK222" i="6"/>
  <c r="CM221" i="6"/>
  <c r="CF221" i="6" s="1"/>
  <c r="AS222" i="6" l="1"/>
  <c r="AL222" i="6"/>
  <c r="CN221" i="6"/>
  <c r="CG221" i="6" s="1"/>
  <c r="AT222" i="6" l="1"/>
  <c r="CO221" i="6"/>
  <c r="CH221" i="6" s="1"/>
  <c r="AM222" i="6"/>
  <c r="AN222" i="6" l="1"/>
  <c r="X222" i="6" s="1"/>
  <c r="CP221" i="6"/>
  <c r="T221" i="6" s="1"/>
  <c r="AU222" i="6"/>
  <c r="AV222" i="6" l="1"/>
  <c r="AW222" i="6" s="1"/>
  <c r="AA222" i="6"/>
  <c r="Y222" i="6"/>
  <c r="AB222" i="6" s="1"/>
  <c r="BE222" i="6" l="1"/>
  <c r="BP222" i="6" s="1"/>
  <c r="BG222" i="6"/>
  <c r="BR222" i="6" s="1"/>
  <c r="BA222" i="6"/>
  <c r="BL222" i="6" s="1"/>
  <c r="BC222" i="6"/>
  <c r="BN222" i="6" s="1"/>
  <c r="BD222" i="6"/>
  <c r="BO222" i="6" s="1"/>
  <c r="BF222" i="6"/>
  <c r="BQ222" i="6" s="1"/>
  <c r="AX222" i="6"/>
  <c r="BB222" i="6"/>
  <c r="BM222" i="6" s="1"/>
  <c r="AZ222" i="6"/>
  <c r="BX222" i="6" l="1"/>
  <c r="BZ222" i="6"/>
  <c r="BT222" i="6"/>
  <c r="BV222" i="6"/>
  <c r="BW222" i="6"/>
  <c r="BY222" i="6"/>
  <c r="AY222" i="6"/>
  <c r="BH222" i="6"/>
  <c r="BU222" i="6"/>
  <c r="BI222" i="6" l="1"/>
  <c r="BJ222" i="6" s="1"/>
  <c r="BK222" i="6" s="1"/>
  <c r="BS222" i="6" l="1"/>
  <c r="CA222" i="6" s="1"/>
  <c r="CI222" i="6" l="1"/>
  <c r="CB222" i="6" s="1"/>
  <c r="AG223" i="6"/>
  <c r="AH223" i="6" l="1"/>
  <c r="CJ222" i="6"/>
  <c r="CC222" i="6" s="1"/>
  <c r="AO223" i="6"/>
  <c r="Q223" i="6"/>
  <c r="R223" i="6" s="1"/>
  <c r="S223" i="6" s="1"/>
  <c r="AP223" i="6" l="1"/>
  <c r="AI223" i="6"/>
  <c r="CK222" i="6"/>
  <c r="CD222" i="6" s="1"/>
  <c r="W223" i="6" l="1"/>
  <c r="Z223" i="6" s="1"/>
  <c r="AQ223" i="6"/>
  <c r="CL222" i="6"/>
  <c r="CE222" i="6" s="1"/>
  <c r="AJ223" i="6"/>
  <c r="CM222" i="6" l="1"/>
  <c r="CF222" i="6" s="1"/>
  <c r="AK223" i="6"/>
  <c r="AC223" i="6"/>
  <c r="AR223" i="6"/>
  <c r="CN222" i="6" l="1"/>
  <c r="CG222" i="6" s="1"/>
  <c r="AL223" i="6"/>
  <c r="AS223" i="6"/>
  <c r="AM223" i="6" l="1"/>
  <c r="CO222" i="6"/>
  <c r="CH222" i="6" s="1"/>
  <c r="AT223" i="6"/>
  <c r="AU223" i="6" l="1"/>
  <c r="CP222" i="6"/>
  <c r="T222" i="6" s="1"/>
  <c r="AN223" i="6"/>
  <c r="X223" i="6" s="1"/>
  <c r="AA223" i="6" l="1"/>
  <c r="Y223" i="6"/>
  <c r="AB223" i="6" s="1"/>
  <c r="AV223" i="6"/>
  <c r="AW223" i="6" s="1"/>
  <c r="AX223" i="6" l="1"/>
  <c r="AZ223" i="6"/>
  <c r="BA223" i="6"/>
  <c r="BL223" i="6" s="1"/>
  <c r="BB223" i="6"/>
  <c r="BM223" i="6" s="1"/>
  <c r="BC223" i="6"/>
  <c r="BN223" i="6" s="1"/>
  <c r="BD223" i="6"/>
  <c r="BO223" i="6" s="1"/>
  <c r="BE223" i="6"/>
  <c r="BP223" i="6" s="1"/>
  <c r="BF223" i="6"/>
  <c r="BQ223" i="6" s="1"/>
  <c r="BG223" i="6"/>
  <c r="BR223" i="6" s="1"/>
  <c r="AY223" i="6" l="1"/>
  <c r="BH223" i="6"/>
  <c r="BT223" i="6"/>
  <c r="BU223" i="6"/>
  <c r="BV223" i="6"/>
  <c r="BW223" i="6"/>
  <c r="BX223" i="6"/>
  <c r="BY223" i="6"/>
  <c r="BZ223" i="6"/>
  <c r="BJ223" i="6" l="1"/>
  <c r="BK223" i="6" s="1"/>
  <c r="BI223" i="6"/>
  <c r="CA223" i="6" l="1"/>
  <c r="BS223" i="6"/>
  <c r="AG224" i="6" l="1"/>
  <c r="CI223" i="6"/>
  <c r="CB223" i="6" s="1"/>
  <c r="AH224" i="6" s="1"/>
  <c r="CJ223" i="6"/>
  <c r="CC223" i="6" s="1"/>
  <c r="AO224" i="6" l="1"/>
  <c r="Q224" i="6"/>
  <c r="R224" i="6" s="1"/>
  <c r="S224" i="6" s="1"/>
  <c r="CK223" i="6"/>
  <c r="CD223" i="6" s="1"/>
  <c r="AI224" i="6"/>
  <c r="AP224" i="6"/>
  <c r="CL223" i="6" l="1"/>
  <c r="CE223" i="6" s="1"/>
  <c r="AJ224" i="6"/>
  <c r="AQ224" i="6"/>
  <c r="CM223" i="6" l="1"/>
  <c r="CF223" i="6" s="1"/>
  <c r="AK224" i="6"/>
  <c r="W224" i="6"/>
  <c r="Z224" i="6" s="1"/>
  <c r="AC224" i="6"/>
  <c r="AR224" i="6"/>
  <c r="CN223" i="6" l="1"/>
  <c r="CG223" i="6" s="1"/>
  <c r="AL224" i="6"/>
  <c r="AS224" i="6"/>
  <c r="CO223" i="6" l="1"/>
  <c r="CH223" i="6" s="1"/>
  <c r="AM224" i="6"/>
  <c r="AT224" i="6"/>
  <c r="CP223" i="6" l="1"/>
  <c r="T223" i="6" s="1"/>
  <c r="AN224" i="6"/>
  <c r="X224" i="6"/>
  <c r="AU224" i="6"/>
  <c r="AV224" i="6" l="1"/>
  <c r="AW224" i="6" s="1"/>
  <c r="AA224" i="6"/>
  <c r="Y224" i="6"/>
  <c r="AB224" i="6" s="1"/>
  <c r="AX224" i="6"/>
  <c r="BG224" i="6"/>
  <c r="BR224" i="6" s="1"/>
  <c r="BZ224" i="6" l="1"/>
  <c r="BH224" i="6"/>
  <c r="AY224" i="6"/>
  <c r="BC224" i="6"/>
  <c r="BN224" i="6" s="1"/>
  <c r="BB224" i="6"/>
  <c r="BM224" i="6" s="1"/>
  <c r="BA224" i="6"/>
  <c r="BL224" i="6" s="1"/>
  <c r="AZ224" i="6"/>
  <c r="BF224" i="6"/>
  <c r="BQ224" i="6" s="1"/>
  <c r="BE224" i="6"/>
  <c r="BP224" i="6" s="1"/>
  <c r="BD224" i="6"/>
  <c r="BO224" i="6" s="1"/>
  <c r="BI224" i="6" l="1"/>
  <c r="BJ224" i="6" s="1"/>
  <c r="BK224" i="6" s="1"/>
  <c r="BV224" i="6"/>
  <c r="BU224" i="6"/>
  <c r="BT224" i="6"/>
  <c r="BY224" i="6"/>
  <c r="BX224" i="6"/>
  <c r="BW224" i="6"/>
  <c r="BS224" i="6" l="1"/>
  <c r="CA224" i="6" s="1"/>
  <c r="CI224" i="6" l="1"/>
  <c r="CB224" i="6" s="1"/>
  <c r="AG225" i="6"/>
  <c r="AO225" i="6" l="1"/>
  <c r="Q225" i="6"/>
  <c r="R225" i="6" s="1"/>
  <c r="S225" i="6" s="1"/>
  <c r="CJ224" i="6"/>
  <c r="CC224" i="6" s="1"/>
  <c r="AH225" i="6"/>
  <c r="AI225" i="6" l="1"/>
  <c r="CK224" i="6"/>
  <c r="CD224" i="6" s="1"/>
  <c r="AP225" i="6"/>
  <c r="AQ225" i="6" l="1"/>
  <c r="CL224" i="6"/>
  <c r="CE224" i="6" s="1"/>
  <c r="AJ225" i="6"/>
  <c r="W225" i="6" s="1"/>
  <c r="Z225" i="6" s="1"/>
  <c r="CM224" i="6" l="1"/>
  <c r="CF224" i="6" s="1"/>
  <c r="AK225" i="6"/>
  <c r="AC225" i="6"/>
  <c r="AR225" i="6"/>
  <c r="CN224" i="6" l="1"/>
  <c r="CG224" i="6" s="1"/>
  <c r="AL225" i="6"/>
  <c r="AS225" i="6"/>
  <c r="CO224" i="6" l="1"/>
  <c r="CH224" i="6" s="1"/>
  <c r="AM225" i="6"/>
  <c r="AT225" i="6"/>
  <c r="AN225" i="6" l="1"/>
  <c r="CP224" i="6"/>
  <c r="T224" i="6" s="1"/>
  <c r="X225" i="6"/>
  <c r="AU225" i="6"/>
  <c r="AV225" i="6" l="1"/>
  <c r="AW225" i="6" s="1"/>
  <c r="AA225" i="6"/>
  <c r="Y225" i="6"/>
  <c r="AB225" i="6" s="1"/>
  <c r="BA225" i="6" l="1"/>
  <c r="BL225" i="6" s="1"/>
  <c r="BC225" i="6"/>
  <c r="BN225" i="6" s="1"/>
  <c r="BE225" i="6"/>
  <c r="BP225" i="6" s="1"/>
  <c r="BB225" i="6"/>
  <c r="BM225" i="6" s="1"/>
  <c r="AZ225" i="6"/>
  <c r="BD225" i="6"/>
  <c r="BO225" i="6" s="1"/>
  <c r="BF225" i="6"/>
  <c r="BQ225" i="6" s="1"/>
  <c r="BG225" i="6"/>
  <c r="BR225" i="6" s="1"/>
  <c r="AX225" i="6"/>
  <c r="BT225" i="6" l="1"/>
  <c r="BV225" i="6"/>
  <c r="BX225" i="6"/>
  <c r="BU225" i="6"/>
  <c r="BW225" i="6"/>
  <c r="BY225" i="6"/>
  <c r="BZ225" i="6"/>
  <c r="AY225" i="6"/>
  <c r="BH225" i="6"/>
  <c r="BJ225" i="6" l="1"/>
  <c r="BK225" i="6" s="1"/>
  <c r="BI225" i="6"/>
  <c r="CA225" i="6" l="1"/>
  <c r="BS225" i="6"/>
  <c r="AG226" i="6" l="1"/>
  <c r="CI225" i="6"/>
  <c r="CB225" i="6" s="1"/>
  <c r="AO226" i="6" l="1"/>
  <c r="Q226" i="6"/>
  <c r="R226" i="6" s="1"/>
  <c r="S226" i="6" s="1"/>
  <c r="AH226" i="6"/>
  <c r="CJ225" i="6"/>
  <c r="CC225" i="6" s="1"/>
  <c r="AP226" i="6" l="1"/>
  <c r="AI226" i="6"/>
  <c r="CK225" i="6"/>
  <c r="CD225" i="6" s="1"/>
  <c r="AQ226" i="6" l="1"/>
  <c r="AJ226" i="6"/>
  <c r="W226" i="6" s="1"/>
  <c r="Z226" i="6" s="1"/>
  <c r="CL225" i="6"/>
  <c r="CE225" i="6" s="1"/>
  <c r="AC226" i="6" l="1"/>
  <c r="AR226" i="6"/>
  <c r="AK226" i="6"/>
  <c r="CM225" i="6"/>
  <c r="CF225" i="6" s="1"/>
  <c r="AS226" i="6" l="1"/>
  <c r="CN225" i="6"/>
  <c r="CG225" i="6" s="1"/>
  <c r="AL226" i="6"/>
  <c r="CO225" i="6" l="1"/>
  <c r="CH225" i="6" s="1"/>
  <c r="AM226" i="6"/>
  <c r="AT226" i="6"/>
  <c r="CP225" i="6" l="1"/>
  <c r="T225" i="6" s="1"/>
  <c r="AN226" i="6"/>
  <c r="X226" i="6"/>
  <c r="AU226" i="6"/>
  <c r="AV226" i="6" l="1"/>
  <c r="AW226" i="6" s="1"/>
  <c r="AA226" i="6"/>
  <c r="Y226" i="6"/>
  <c r="AB226" i="6" s="1"/>
  <c r="AX226" i="6" l="1"/>
  <c r="AZ226" i="6"/>
  <c r="BA226" i="6"/>
  <c r="BL226" i="6" s="1"/>
  <c r="BB226" i="6"/>
  <c r="BM226" i="6" s="1"/>
  <c r="BC226" i="6"/>
  <c r="BN226" i="6" s="1"/>
  <c r="BD226" i="6"/>
  <c r="BO226" i="6" s="1"/>
  <c r="BE226" i="6"/>
  <c r="BP226" i="6" s="1"/>
  <c r="BF226" i="6"/>
  <c r="BQ226" i="6" s="1"/>
  <c r="BG226" i="6"/>
  <c r="BR226" i="6" s="1"/>
  <c r="AY226" i="6" l="1"/>
  <c r="BH226" i="6"/>
  <c r="BT226" i="6"/>
  <c r="BU226" i="6"/>
  <c r="BV226" i="6"/>
  <c r="BW226" i="6"/>
  <c r="BX226" i="6"/>
  <c r="BY226" i="6"/>
  <c r="BZ226" i="6"/>
  <c r="BJ226" i="6" l="1"/>
  <c r="BK226" i="6" s="1"/>
  <c r="BI226" i="6"/>
  <c r="BS226" i="6" l="1"/>
  <c r="CA226" i="6" s="1"/>
  <c r="AG227" i="6" l="1"/>
  <c r="CI226" i="6"/>
  <c r="CB226" i="6" s="1"/>
  <c r="CJ226" i="6"/>
  <c r="CC226" i="6" s="1"/>
  <c r="AH227" i="6"/>
  <c r="AO227" i="6" l="1"/>
  <c r="Q227" i="6"/>
  <c r="R227" i="6" s="1"/>
  <c r="S227" i="6" s="1"/>
  <c r="CK226" i="6"/>
  <c r="CD226" i="6" s="1"/>
  <c r="AI227" i="6"/>
  <c r="AP227" i="6"/>
  <c r="CL226" i="6" l="1"/>
  <c r="CE226" i="6" s="1"/>
  <c r="AJ227" i="6"/>
  <c r="AQ227" i="6"/>
  <c r="CM226" i="6" l="1"/>
  <c r="CF226" i="6" s="1"/>
  <c r="AK227" i="6"/>
  <c r="W227" i="6"/>
  <c r="Z227" i="6" s="1"/>
  <c r="AC227" i="6"/>
  <c r="AR227" i="6"/>
  <c r="CN226" i="6" l="1"/>
  <c r="CG226" i="6" s="1"/>
  <c r="AL227" i="6"/>
  <c r="AS227" i="6"/>
  <c r="CO226" i="6" l="1"/>
  <c r="CH226" i="6" s="1"/>
  <c r="AM227" i="6"/>
  <c r="AT227" i="6"/>
  <c r="CP226" i="6" l="1"/>
  <c r="T226" i="6" s="1"/>
  <c r="AN227" i="6"/>
  <c r="X227" i="6"/>
  <c r="AU227" i="6"/>
  <c r="AV227" i="6" l="1"/>
  <c r="AW227" i="6" s="1"/>
  <c r="AA227" i="6"/>
  <c r="Y227" i="6"/>
  <c r="AB227" i="6" s="1"/>
  <c r="AX227" i="6" l="1"/>
  <c r="BG227" i="6"/>
  <c r="BR227" i="6" s="1"/>
  <c r="BF227" i="6"/>
  <c r="BQ227" i="6" s="1"/>
  <c r="BE227" i="6"/>
  <c r="BP227" i="6" s="1"/>
  <c r="BD227" i="6"/>
  <c r="BO227" i="6" s="1"/>
  <c r="BC227" i="6"/>
  <c r="BN227" i="6" s="1"/>
  <c r="BB227" i="6"/>
  <c r="BM227" i="6" s="1"/>
  <c r="BA227" i="6"/>
  <c r="BL227" i="6" s="1"/>
  <c r="AZ227" i="6"/>
  <c r="AY227" i="6" l="1"/>
  <c r="BH227" i="6"/>
  <c r="BZ227" i="6"/>
  <c r="BY227" i="6"/>
  <c r="BX227" i="6"/>
  <c r="BW227" i="6"/>
  <c r="BV227" i="6"/>
  <c r="BU227" i="6"/>
  <c r="BT227" i="6"/>
  <c r="BI227" i="6" l="1"/>
  <c r="BJ227" i="6" s="1"/>
  <c r="BK227" i="6" s="1"/>
  <c r="BS227" i="6" l="1"/>
  <c r="CA227" i="6" s="1"/>
  <c r="AG228" i="6" l="1"/>
  <c r="CI227" i="6"/>
  <c r="CB227" i="6" s="1"/>
  <c r="CJ227" i="6" s="1"/>
  <c r="CC227" i="6" s="1"/>
  <c r="AH228" i="6"/>
  <c r="AO228" i="6" l="1"/>
  <c r="Q228" i="6"/>
  <c r="R228" i="6" s="1"/>
  <c r="S228" i="6" s="1"/>
  <c r="CK227" i="6"/>
  <c r="CD227" i="6" s="1"/>
  <c r="AI228" i="6"/>
  <c r="AP228" i="6"/>
  <c r="CL227" i="6" l="1"/>
  <c r="CE227" i="6" s="1"/>
  <c r="AJ228" i="6"/>
  <c r="AQ228" i="6"/>
  <c r="AK228" i="6" l="1"/>
  <c r="CM227" i="6"/>
  <c r="CF227" i="6" s="1"/>
  <c r="W228" i="6"/>
  <c r="Z228" i="6" s="1"/>
  <c r="AC228" i="6"/>
  <c r="AR228" i="6"/>
  <c r="AS228" i="6" l="1"/>
  <c r="AL228" i="6"/>
  <c r="CN227" i="6"/>
  <c r="CG227" i="6" s="1"/>
  <c r="AT228" i="6" l="1"/>
  <c r="CO227" i="6"/>
  <c r="CH227" i="6" s="1"/>
  <c r="AM228" i="6"/>
  <c r="CP227" i="6" l="1"/>
  <c r="T227" i="6" s="1"/>
  <c r="AN228" i="6"/>
  <c r="X228" i="6"/>
  <c r="AU228" i="6"/>
  <c r="AV228" i="6" l="1"/>
  <c r="AW228" i="6" s="1"/>
  <c r="AA228" i="6"/>
  <c r="Y228" i="6"/>
  <c r="AB228" i="6" s="1"/>
  <c r="AX228" i="6" l="1"/>
  <c r="AZ228" i="6"/>
  <c r="BA228" i="6"/>
  <c r="BL228" i="6" s="1"/>
  <c r="BB228" i="6"/>
  <c r="BM228" i="6" s="1"/>
  <c r="BC228" i="6"/>
  <c r="BN228" i="6" s="1"/>
  <c r="BD228" i="6"/>
  <c r="BO228" i="6" s="1"/>
  <c r="BE228" i="6"/>
  <c r="BP228" i="6" s="1"/>
  <c r="BF228" i="6"/>
  <c r="BQ228" i="6" s="1"/>
  <c r="BG228" i="6"/>
  <c r="BR228" i="6" s="1"/>
  <c r="BH228" i="6" l="1"/>
  <c r="AY228" i="6"/>
  <c r="BT228" i="6"/>
  <c r="BU228" i="6"/>
  <c r="BV228" i="6"/>
  <c r="BW228" i="6"/>
  <c r="BX228" i="6"/>
  <c r="BY228" i="6"/>
  <c r="BZ228" i="6"/>
  <c r="BJ228" i="6" l="1"/>
  <c r="BK228" i="6" s="1"/>
  <c r="BI228" i="6"/>
  <c r="BS228" i="6" l="1"/>
  <c r="CA228" i="6" s="1"/>
  <c r="AG229" i="6" l="1"/>
  <c r="CI228" i="6"/>
  <c r="CB228" i="6" s="1"/>
  <c r="AO229" i="6" l="1"/>
  <c r="Q229" i="6"/>
  <c r="R229" i="6" s="1"/>
  <c r="S229" i="6" s="1"/>
  <c r="AH229" i="6"/>
  <c r="CJ228" i="6"/>
  <c r="CC228" i="6" s="1"/>
  <c r="AP229" i="6" l="1"/>
  <c r="CK228" i="6"/>
  <c r="CD228" i="6" s="1"/>
  <c r="AI229" i="6"/>
  <c r="CL228" i="6" l="1"/>
  <c r="CE228" i="6" s="1"/>
  <c r="AJ229" i="6"/>
  <c r="W229" i="6" s="1"/>
  <c r="Z229" i="6" s="1"/>
  <c r="AQ229" i="6"/>
  <c r="CM228" i="6" l="1"/>
  <c r="CF228" i="6" s="1"/>
  <c r="AK229" i="6"/>
  <c r="AC229" i="6"/>
  <c r="AR229" i="6"/>
  <c r="CN228" i="6" l="1"/>
  <c r="CG228" i="6" s="1"/>
  <c r="AL229" i="6"/>
  <c r="AS229" i="6"/>
  <c r="CO228" i="6" l="1"/>
  <c r="CH228" i="6" s="1"/>
  <c r="AM229" i="6"/>
  <c r="AT229" i="6"/>
  <c r="CP228" i="6" l="1"/>
  <c r="T228" i="6" s="1"/>
  <c r="AN229" i="6"/>
  <c r="X229" i="6"/>
  <c r="AU229" i="6"/>
  <c r="AV229" i="6" l="1"/>
  <c r="AW229" i="6" s="1"/>
  <c r="AA229" i="6"/>
  <c r="Y229" i="6"/>
  <c r="AB229" i="6" s="1"/>
  <c r="BG229" i="6"/>
  <c r="BR229" i="6" s="1"/>
  <c r="AX229" i="6"/>
  <c r="AZ229" i="6"/>
  <c r="BA229" i="6"/>
  <c r="BL229" i="6" s="1"/>
  <c r="BB229" i="6"/>
  <c r="BM229" i="6" s="1"/>
  <c r="BC229" i="6"/>
  <c r="BN229" i="6" s="1"/>
  <c r="BD229" i="6"/>
  <c r="BO229" i="6" s="1"/>
  <c r="BE229" i="6"/>
  <c r="BP229" i="6" s="1"/>
  <c r="BF229" i="6"/>
  <c r="BQ229" i="6" s="1"/>
  <c r="BZ229" i="6" l="1"/>
  <c r="BH229" i="6"/>
  <c r="AY229" i="6"/>
  <c r="BT229" i="6"/>
  <c r="BU229" i="6"/>
  <c r="BV229" i="6"/>
  <c r="BW229" i="6"/>
  <c r="BX229" i="6"/>
  <c r="BY229" i="6"/>
  <c r="BI229" i="6" l="1"/>
  <c r="BJ229" i="6" s="1"/>
  <c r="BK229" i="6" s="1"/>
  <c r="BS229" i="6" l="1"/>
  <c r="CA229" i="6" s="1"/>
  <c r="AG230" i="6" l="1"/>
  <c r="CI229" i="6"/>
  <c r="CB229" i="6" s="1"/>
  <c r="AO230" i="6" l="1"/>
  <c r="Q230" i="6"/>
  <c r="R230" i="6" s="1"/>
  <c r="S230" i="6" s="1"/>
  <c r="AH230" i="6"/>
  <c r="CJ229" i="6"/>
  <c r="CC229" i="6" s="1"/>
  <c r="AP230" i="6" l="1"/>
  <c r="AI230" i="6"/>
  <c r="CK229" i="6"/>
  <c r="CD229" i="6" s="1"/>
  <c r="W230" i="6" l="1"/>
  <c r="Z230" i="6" s="1"/>
  <c r="AQ230" i="6"/>
  <c r="AJ230" i="6"/>
  <c r="CL229" i="6"/>
  <c r="CE229" i="6" s="1"/>
  <c r="AC230" i="6" l="1"/>
  <c r="AR230" i="6"/>
  <c r="CM229" i="6"/>
  <c r="CF229" i="6" s="1"/>
  <c r="AK230" i="6"/>
  <c r="CN229" i="6" l="1"/>
  <c r="CG229" i="6" s="1"/>
  <c r="AL230" i="6"/>
  <c r="AS230" i="6"/>
  <c r="AM230" i="6" l="1"/>
  <c r="CO229" i="6"/>
  <c r="CH229" i="6" s="1"/>
  <c r="AT230" i="6"/>
  <c r="AU230" i="6" l="1"/>
  <c r="AN230" i="6"/>
  <c r="X230" i="6" s="1"/>
  <c r="CP229" i="6"/>
  <c r="T229" i="6" s="1"/>
  <c r="AA230" i="6" l="1"/>
  <c r="Y230" i="6"/>
  <c r="AB230" i="6" s="1"/>
  <c r="AV230" i="6"/>
  <c r="AW230" i="6" s="1"/>
  <c r="AX230" i="6" l="1"/>
  <c r="AZ230" i="6"/>
  <c r="BA230" i="6"/>
  <c r="BL230" i="6" s="1"/>
  <c r="BB230" i="6"/>
  <c r="BM230" i="6" s="1"/>
  <c r="BC230" i="6"/>
  <c r="BN230" i="6" s="1"/>
  <c r="BD230" i="6"/>
  <c r="BO230" i="6" s="1"/>
  <c r="BE230" i="6"/>
  <c r="BP230" i="6" s="1"/>
  <c r="BF230" i="6"/>
  <c r="BQ230" i="6" s="1"/>
  <c r="BG230" i="6"/>
  <c r="BR230" i="6" s="1"/>
  <c r="AY230" i="6" l="1"/>
  <c r="BH230" i="6"/>
  <c r="BT230" i="6"/>
  <c r="BU230" i="6"/>
  <c r="BV230" i="6"/>
  <c r="BW230" i="6"/>
  <c r="BX230" i="6"/>
  <c r="BY230" i="6"/>
  <c r="BZ230" i="6"/>
  <c r="BJ230" i="6" l="1"/>
  <c r="BK230" i="6" s="1"/>
  <c r="BI230" i="6"/>
  <c r="BS230" i="6" l="1"/>
  <c r="CA230" i="6" s="1"/>
  <c r="AG231" i="6" l="1"/>
  <c r="CI230" i="6"/>
  <c r="CB230" i="6" s="1"/>
  <c r="AO231" i="6" l="1"/>
  <c r="Q231" i="6"/>
  <c r="R231" i="6" s="1"/>
  <c r="S231" i="6" s="1"/>
  <c r="CJ230" i="6"/>
  <c r="CC230" i="6" s="1"/>
  <c r="AH231" i="6"/>
  <c r="AI231" i="6" l="1"/>
  <c r="CK230" i="6"/>
  <c r="CD230" i="6" s="1"/>
  <c r="AP231" i="6"/>
  <c r="W231" i="6" l="1"/>
  <c r="Z231" i="6" s="1"/>
  <c r="AQ231" i="6"/>
  <c r="CL230" i="6"/>
  <c r="CE230" i="6" s="1"/>
  <c r="AJ231" i="6"/>
  <c r="CM230" i="6" l="1"/>
  <c r="CF230" i="6" s="1"/>
  <c r="AK231" i="6"/>
  <c r="AC231" i="6"/>
  <c r="AR231" i="6"/>
  <c r="CN230" i="6" l="1"/>
  <c r="CG230" i="6" s="1"/>
  <c r="AL231" i="6"/>
  <c r="AS231" i="6"/>
  <c r="CO230" i="6" l="1"/>
  <c r="CH230" i="6" s="1"/>
  <c r="AM231" i="6"/>
  <c r="AT231" i="6"/>
  <c r="CP230" i="6" l="1"/>
  <c r="T230" i="6" s="1"/>
  <c r="AN231" i="6"/>
  <c r="X231" i="6"/>
  <c r="AU231" i="6"/>
  <c r="AV231" i="6" l="1"/>
  <c r="AW231" i="6" s="1"/>
  <c r="AA231" i="6"/>
  <c r="Y231" i="6"/>
  <c r="AB231" i="6" s="1"/>
  <c r="AX231" i="6" l="1"/>
  <c r="AZ231" i="6"/>
  <c r="BA231" i="6"/>
  <c r="BL231" i="6" s="1"/>
  <c r="BB231" i="6"/>
  <c r="BM231" i="6" s="1"/>
  <c r="BC231" i="6"/>
  <c r="BN231" i="6" s="1"/>
  <c r="BD231" i="6"/>
  <c r="BO231" i="6" s="1"/>
  <c r="BE231" i="6"/>
  <c r="BP231" i="6" s="1"/>
  <c r="BF231" i="6"/>
  <c r="BQ231" i="6" s="1"/>
  <c r="BG231" i="6"/>
  <c r="BR231" i="6" s="1"/>
  <c r="AY231" i="6" l="1"/>
  <c r="BH231" i="6"/>
  <c r="BT231" i="6"/>
  <c r="BU231" i="6"/>
  <c r="BV231" i="6"/>
  <c r="BW231" i="6"/>
  <c r="BX231" i="6"/>
  <c r="BY231" i="6"/>
  <c r="BZ231" i="6"/>
  <c r="BI231" i="6" l="1"/>
  <c r="BJ231" i="6" s="1"/>
  <c r="BK231" i="6" s="1"/>
  <c r="BS231" i="6" l="1"/>
  <c r="CA231" i="6" s="1"/>
  <c r="AG232" i="6" l="1"/>
  <c r="CI231" i="6"/>
  <c r="CB231" i="6" s="1"/>
  <c r="AO232" i="6" l="1"/>
  <c r="Q232" i="6"/>
  <c r="R232" i="6" s="1"/>
  <c r="S232" i="6" s="1"/>
  <c r="AH232" i="6"/>
  <c r="CJ231" i="6"/>
  <c r="CC231" i="6" s="1"/>
  <c r="AP232" i="6" l="1"/>
  <c r="AI232" i="6"/>
  <c r="CK231" i="6"/>
  <c r="CD231" i="6" s="1"/>
  <c r="W232" i="6" l="1"/>
  <c r="Z232" i="6" s="1"/>
  <c r="AQ232" i="6"/>
  <c r="CL231" i="6"/>
  <c r="CE231" i="6" s="1"/>
  <c r="AJ232" i="6"/>
  <c r="CM231" i="6" l="1"/>
  <c r="CF231" i="6" s="1"/>
  <c r="AK232" i="6"/>
  <c r="AC232" i="6"/>
  <c r="AR232" i="6"/>
  <c r="CN231" i="6" l="1"/>
  <c r="CG231" i="6" s="1"/>
  <c r="AL232" i="6"/>
  <c r="AS232" i="6"/>
  <c r="CO231" i="6" l="1"/>
  <c r="CH231" i="6" s="1"/>
  <c r="AM232" i="6"/>
  <c r="AT232" i="6"/>
  <c r="CP231" i="6" l="1"/>
  <c r="T231" i="6" s="1"/>
  <c r="AN232" i="6"/>
  <c r="X232" i="6"/>
  <c r="AU232" i="6"/>
  <c r="AV232" i="6" l="1"/>
  <c r="AW232" i="6" s="1"/>
  <c r="AA232" i="6"/>
  <c r="Y232" i="6"/>
  <c r="AB232" i="6" s="1"/>
  <c r="BA232" i="6" l="1"/>
  <c r="BL232" i="6" s="1"/>
  <c r="AZ232" i="6"/>
  <c r="AX232" i="6"/>
  <c r="BG232" i="6"/>
  <c r="BR232" i="6" s="1"/>
  <c r="BF232" i="6"/>
  <c r="BQ232" i="6" s="1"/>
  <c r="BE232" i="6"/>
  <c r="BP232" i="6" s="1"/>
  <c r="BD232" i="6"/>
  <c r="BO232" i="6" s="1"/>
  <c r="BC232" i="6"/>
  <c r="BN232" i="6" s="1"/>
  <c r="BB232" i="6"/>
  <c r="BM232" i="6" s="1"/>
  <c r="BT232" i="6" l="1"/>
  <c r="BH232" i="6"/>
  <c r="AY232" i="6"/>
  <c r="BZ232" i="6"/>
  <c r="BY232" i="6"/>
  <c r="BX232" i="6"/>
  <c r="BW232" i="6"/>
  <c r="BV232" i="6"/>
  <c r="BU232" i="6"/>
  <c r="BJ232" i="6" l="1"/>
  <c r="BK232" i="6" s="1"/>
  <c r="BI232" i="6"/>
  <c r="BS232" i="6" l="1"/>
  <c r="CA232" i="6" s="1"/>
  <c r="AG233" i="6" l="1"/>
  <c r="CI232" i="6"/>
  <c r="CB232" i="6" s="1"/>
  <c r="AO233" i="6" l="1"/>
  <c r="Q233" i="6"/>
  <c r="R233" i="6" s="1"/>
  <c r="S233" i="6" s="1"/>
  <c r="AH233" i="6"/>
  <c r="CJ232" i="6"/>
  <c r="CC232" i="6" s="1"/>
  <c r="AP233" i="6" l="1"/>
  <c r="CK232" i="6"/>
  <c r="CD232" i="6" s="1"/>
  <c r="AI233" i="6"/>
  <c r="CL232" i="6" l="1"/>
  <c r="CE232" i="6" s="1"/>
  <c r="AJ233" i="6"/>
  <c r="W233" i="6" s="1"/>
  <c r="Z233" i="6" s="1"/>
  <c r="AQ233" i="6"/>
  <c r="CM232" i="6" l="1"/>
  <c r="CF232" i="6" s="1"/>
  <c r="AK233" i="6"/>
  <c r="AC233" i="6"/>
  <c r="AR233" i="6"/>
  <c r="CN232" i="6" l="1"/>
  <c r="CG232" i="6" s="1"/>
  <c r="AL233" i="6"/>
  <c r="AS233" i="6"/>
  <c r="CO232" i="6" l="1"/>
  <c r="CH232" i="6" s="1"/>
  <c r="AM233" i="6"/>
  <c r="AT233" i="6"/>
  <c r="CP232" i="6" l="1"/>
  <c r="T232" i="6" s="1"/>
  <c r="AN233" i="6"/>
  <c r="X233" i="6"/>
  <c r="AU233" i="6"/>
  <c r="AV233" i="6" l="1"/>
  <c r="AW233" i="6" s="1"/>
  <c r="AA233" i="6"/>
  <c r="Y233" i="6"/>
  <c r="AB233" i="6" s="1"/>
  <c r="AZ233" i="6"/>
  <c r="BA233" i="6"/>
  <c r="BL233" i="6" s="1"/>
  <c r="BB233" i="6"/>
  <c r="BM233" i="6" s="1"/>
  <c r="BC233" i="6"/>
  <c r="BN233" i="6" s="1"/>
  <c r="BD233" i="6"/>
  <c r="BO233" i="6" s="1"/>
  <c r="BT233" i="6" l="1"/>
  <c r="BU233" i="6"/>
  <c r="BV233" i="6"/>
  <c r="BW233" i="6"/>
  <c r="BE233" i="6"/>
  <c r="BP233" i="6" s="1"/>
  <c r="BF233" i="6"/>
  <c r="BQ233" i="6" s="1"/>
  <c r="BG233" i="6"/>
  <c r="BR233" i="6" s="1"/>
  <c r="AX233" i="6"/>
  <c r="BX233" i="6" l="1"/>
  <c r="BY233" i="6"/>
  <c r="BZ233" i="6"/>
  <c r="AY233" i="6"/>
  <c r="BH233" i="6"/>
  <c r="BI233" i="6" l="1"/>
  <c r="BJ233" i="6" s="1"/>
  <c r="BK233" i="6" s="1"/>
  <c r="BS233" i="6" l="1"/>
  <c r="CA233" i="6" s="1"/>
  <c r="AG234" i="6" l="1"/>
  <c r="CI233" i="6"/>
  <c r="CB233" i="6" s="1"/>
  <c r="AO234" i="6" l="1"/>
  <c r="Q234" i="6"/>
  <c r="R234" i="6" s="1"/>
  <c r="S234" i="6" s="1"/>
  <c r="AH234" i="6"/>
  <c r="CJ233" i="6"/>
  <c r="CC233" i="6" s="1"/>
  <c r="AP234" i="6" l="1"/>
  <c r="CK233" i="6"/>
  <c r="CD233" i="6" s="1"/>
  <c r="AI234" i="6"/>
  <c r="CL233" i="6" l="1"/>
  <c r="CE233" i="6" s="1"/>
  <c r="AJ234" i="6"/>
  <c r="W234" i="6"/>
  <c r="Z234" i="6" s="1"/>
  <c r="AQ234" i="6"/>
  <c r="CM233" i="6" l="1"/>
  <c r="CF233" i="6" s="1"/>
  <c r="AK234" i="6"/>
  <c r="AC234" i="6"/>
  <c r="AR234" i="6"/>
  <c r="CN233" i="6" l="1"/>
  <c r="CG233" i="6" s="1"/>
  <c r="AL234" i="6"/>
  <c r="AS234" i="6"/>
  <c r="CO233" i="6" l="1"/>
  <c r="CH233" i="6" s="1"/>
  <c r="AM234" i="6"/>
  <c r="AT234" i="6"/>
  <c r="CP233" i="6" l="1"/>
  <c r="T233" i="6" s="1"/>
  <c r="AN234" i="6"/>
  <c r="X234" i="6"/>
  <c r="AU234" i="6"/>
  <c r="AV234" i="6" l="1"/>
  <c r="AW234" i="6" s="1"/>
  <c r="AA234" i="6"/>
  <c r="Y234" i="6"/>
  <c r="AB234" i="6" s="1"/>
  <c r="AZ234" i="6"/>
  <c r="BC234" i="6" l="1"/>
  <c r="BN234" i="6" s="1"/>
  <c r="BD234" i="6"/>
  <c r="BO234" i="6" s="1"/>
  <c r="BE234" i="6"/>
  <c r="BP234" i="6" s="1"/>
  <c r="BF234" i="6"/>
  <c r="BQ234" i="6" s="1"/>
  <c r="BG234" i="6"/>
  <c r="BR234" i="6" s="1"/>
  <c r="AX234" i="6"/>
  <c r="BB234" i="6"/>
  <c r="BM234" i="6" s="1"/>
  <c r="BA234" i="6"/>
  <c r="BL234" i="6" s="1"/>
  <c r="BV234" i="6" l="1"/>
  <c r="BW234" i="6"/>
  <c r="BX234" i="6"/>
  <c r="BY234" i="6"/>
  <c r="BZ234" i="6"/>
  <c r="AY234" i="6"/>
  <c r="BH234" i="6"/>
  <c r="BU234" i="6"/>
  <c r="BT234" i="6"/>
  <c r="BJ234" i="6" l="1"/>
  <c r="BK234" i="6" s="1"/>
  <c r="BI234" i="6"/>
  <c r="BS234" i="6" l="1"/>
  <c r="CA234" i="6" s="1"/>
  <c r="AG235" i="6" l="1"/>
  <c r="CI234" i="6"/>
  <c r="CB234" i="6" s="1"/>
  <c r="AO235" i="6" l="1"/>
  <c r="Q235" i="6"/>
  <c r="R235" i="6" s="1"/>
  <c r="S235" i="6" s="1"/>
  <c r="AH235" i="6"/>
  <c r="CJ234" i="6"/>
  <c r="CC234" i="6" s="1"/>
  <c r="AP235" i="6" l="1"/>
  <c r="CK234" i="6"/>
  <c r="CD234" i="6" s="1"/>
  <c r="AI235" i="6"/>
  <c r="CL234" i="6" l="1"/>
  <c r="CE234" i="6" s="1"/>
  <c r="AJ235" i="6"/>
  <c r="W235" i="6"/>
  <c r="Z235" i="6" s="1"/>
  <c r="AQ235" i="6"/>
  <c r="CM234" i="6" l="1"/>
  <c r="CF234" i="6" s="1"/>
  <c r="AK235" i="6"/>
  <c r="AC235" i="6"/>
  <c r="AR235" i="6"/>
  <c r="CN234" i="6" l="1"/>
  <c r="CG234" i="6" s="1"/>
  <c r="AL235" i="6"/>
  <c r="AS235" i="6"/>
  <c r="CO234" i="6" l="1"/>
  <c r="CH234" i="6" s="1"/>
  <c r="AM235" i="6"/>
  <c r="AT235" i="6"/>
  <c r="CP234" i="6" l="1"/>
  <c r="T234" i="6" s="1"/>
  <c r="AN235" i="6"/>
  <c r="X235" i="6" s="1"/>
  <c r="AU235" i="6"/>
  <c r="AV235" i="6" l="1"/>
  <c r="AW235" i="6" s="1"/>
  <c r="AA235" i="6"/>
  <c r="Y235" i="6"/>
  <c r="AB235" i="6" s="1"/>
  <c r="AX235" i="6"/>
  <c r="AZ235" i="6"/>
  <c r="BA235" i="6"/>
  <c r="BL235" i="6" s="1"/>
  <c r="BH235" i="6" l="1"/>
  <c r="AY235" i="6"/>
  <c r="BT235" i="6"/>
  <c r="BB235" i="6"/>
  <c r="BM235" i="6" s="1"/>
  <c r="BC235" i="6"/>
  <c r="BN235" i="6" s="1"/>
  <c r="BD235" i="6"/>
  <c r="BO235" i="6" s="1"/>
  <c r="BE235" i="6"/>
  <c r="BP235" i="6" s="1"/>
  <c r="BF235" i="6"/>
  <c r="BQ235" i="6" s="1"/>
  <c r="BG235" i="6"/>
  <c r="BR235" i="6" s="1"/>
  <c r="BI235" i="6" l="1"/>
  <c r="BJ235" i="6" s="1"/>
  <c r="BK235" i="6" s="1"/>
  <c r="BU235" i="6"/>
  <c r="BV235" i="6"/>
  <c r="BW235" i="6"/>
  <c r="BX235" i="6"/>
  <c r="BY235" i="6"/>
  <c r="BZ235" i="6"/>
  <c r="BS235" i="6" l="1"/>
  <c r="CA235" i="6"/>
  <c r="AG236" i="6" l="1"/>
  <c r="CI235" i="6"/>
  <c r="CB235" i="6" s="1"/>
  <c r="AO236" i="6" l="1"/>
  <c r="Q236" i="6"/>
  <c r="R236" i="6" s="1"/>
  <c r="S236" i="6" s="1"/>
  <c r="AH236" i="6"/>
  <c r="CJ235" i="6"/>
  <c r="CC235" i="6" s="1"/>
  <c r="AP236" i="6" l="1"/>
  <c r="CK235" i="6"/>
  <c r="CD235" i="6" s="1"/>
  <c r="AI236" i="6"/>
  <c r="CL235" i="6" l="1"/>
  <c r="CE235" i="6" s="1"/>
  <c r="AJ236" i="6"/>
  <c r="W236" i="6"/>
  <c r="Z236" i="6" s="1"/>
  <c r="AQ236" i="6"/>
  <c r="CM235" i="6" l="1"/>
  <c r="CF235" i="6" s="1"/>
  <c r="AK236" i="6"/>
  <c r="AC236" i="6"/>
  <c r="AR236" i="6"/>
  <c r="CN235" i="6" l="1"/>
  <c r="CG235" i="6" s="1"/>
  <c r="AL236" i="6"/>
  <c r="AS236" i="6"/>
  <c r="CO235" i="6" l="1"/>
  <c r="CH235" i="6" s="1"/>
  <c r="AM236" i="6"/>
  <c r="AT236" i="6"/>
  <c r="CP235" i="6" l="1"/>
  <c r="T235" i="6" s="1"/>
  <c r="AN236" i="6"/>
  <c r="X236" i="6"/>
  <c r="AU236" i="6"/>
  <c r="AV236" i="6" l="1"/>
  <c r="AW236" i="6" s="1"/>
  <c r="AA236" i="6"/>
  <c r="Y236" i="6"/>
  <c r="AB236" i="6" s="1"/>
  <c r="AX236" i="6" l="1"/>
  <c r="AZ236" i="6"/>
  <c r="BA236" i="6"/>
  <c r="BL236" i="6" s="1"/>
  <c r="BB236" i="6"/>
  <c r="BM236" i="6" s="1"/>
  <c r="BC236" i="6"/>
  <c r="BN236" i="6" s="1"/>
  <c r="BD236" i="6"/>
  <c r="BO236" i="6" s="1"/>
  <c r="BE236" i="6"/>
  <c r="BP236" i="6" s="1"/>
  <c r="BF236" i="6"/>
  <c r="BQ236" i="6" s="1"/>
  <c r="BG236" i="6"/>
  <c r="BR236" i="6" s="1"/>
  <c r="AY236" i="6" l="1"/>
  <c r="BH236" i="6"/>
  <c r="BT236" i="6"/>
  <c r="BU236" i="6"/>
  <c r="BV236" i="6"/>
  <c r="BW236" i="6"/>
  <c r="BX236" i="6"/>
  <c r="BY236" i="6"/>
  <c r="BZ236" i="6"/>
  <c r="BI236" i="6" l="1"/>
  <c r="BJ236" i="6" s="1"/>
  <c r="BK236" i="6" s="1"/>
  <c r="BS236" i="6" l="1"/>
  <c r="CA236" i="6" s="1"/>
  <c r="AG237" i="6" l="1"/>
  <c r="CI236" i="6"/>
  <c r="CB236" i="6" s="1"/>
  <c r="CJ236" i="6"/>
  <c r="CC236" i="6" s="1"/>
  <c r="AH237" i="6"/>
  <c r="AO237" i="6" l="1"/>
  <c r="Q237" i="6"/>
  <c r="R237" i="6" s="1"/>
  <c r="S237" i="6" s="1"/>
  <c r="CK236" i="6"/>
  <c r="CD236" i="6" s="1"/>
  <c r="AI237" i="6"/>
  <c r="AP237" i="6"/>
  <c r="CL236" i="6" l="1"/>
  <c r="CE236" i="6" s="1"/>
  <c r="AJ237" i="6"/>
  <c r="AQ237" i="6"/>
  <c r="CM236" i="6" l="1"/>
  <c r="CF236" i="6" s="1"/>
  <c r="AK237" i="6"/>
  <c r="W237" i="6"/>
  <c r="Z237" i="6" s="1"/>
  <c r="AC237" i="6"/>
  <c r="AR237" i="6"/>
  <c r="CN236" i="6" l="1"/>
  <c r="CG236" i="6" s="1"/>
  <c r="AL237" i="6"/>
  <c r="AS237" i="6"/>
  <c r="CO236" i="6" l="1"/>
  <c r="CH236" i="6" s="1"/>
  <c r="AM237" i="6"/>
  <c r="AT237" i="6"/>
  <c r="CP236" i="6" l="1"/>
  <c r="T236" i="6" s="1"/>
  <c r="AN237" i="6"/>
  <c r="X237" i="6"/>
  <c r="AU237" i="6"/>
  <c r="AV237" i="6" l="1"/>
  <c r="AW237" i="6" s="1"/>
  <c r="AA237" i="6"/>
  <c r="Y237" i="6"/>
  <c r="AB237" i="6" s="1"/>
  <c r="BF237" i="6" l="1"/>
  <c r="BQ237" i="6" s="1"/>
  <c r="BE237" i="6"/>
  <c r="BP237" i="6" s="1"/>
  <c r="BC237" i="6"/>
  <c r="BN237" i="6" s="1"/>
  <c r="BD237" i="6"/>
  <c r="BO237" i="6" s="1"/>
  <c r="AX237" i="6"/>
  <c r="BG237" i="6"/>
  <c r="BR237" i="6" s="1"/>
  <c r="BB237" i="6"/>
  <c r="BM237" i="6" s="1"/>
  <c r="BA237" i="6"/>
  <c r="BL237" i="6" s="1"/>
  <c r="AZ237" i="6"/>
  <c r="BY237" i="6" l="1"/>
  <c r="BX237" i="6"/>
  <c r="BV237" i="6"/>
  <c r="BW237" i="6"/>
  <c r="AY237" i="6"/>
  <c r="BH237" i="6"/>
  <c r="BZ237" i="6"/>
  <c r="BU237" i="6"/>
  <c r="BT237" i="6"/>
  <c r="BJ237" i="6" l="1"/>
  <c r="BK237" i="6" s="1"/>
  <c r="BI237" i="6"/>
  <c r="BS237" i="6" l="1"/>
  <c r="CA237" i="6" s="1"/>
  <c r="AG238" i="6" l="1"/>
  <c r="CI237" i="6"/>
  <c r="CB237" i="6" s="1"/>
  <c r="AH238" i="6" s="1"/>
  <c r="CJ237" i="6"/>
  <c r="CC237" i="6" s="1"/>
  <c r="AO238" i="6" l="1"/>
  <c r="Q238" i="6"/>
  <c r="R238" i="6" s="1"/>
  <c r="S238" i="6" s="1"/>
  <c r="CK237" i="6"/>
  <c r="CD237" i="6" s="1"/>
  <c r="AI238" i="6"/>
  <c r="AP238" i="6"/>
  <c r="CL237" i="6" l="1"/>
  <c r="CE237" i="6" s="1"/>
  <c r="AJ238" i="6"/>
  <c r="AQ238" i="6"/>
  <c r="CM237" i="6" l="1"/>
  <c r="CF237" i="6" s="1"/>
  <c r="AK238" i="6"/>
  <c r="W238" i="6"/>
  <c r="Z238" i="6" s="1"/>
  <c r="AC238" i="6"/>
  <c r="AR238" i="6"/>
  <c r="CN237" i="6" l="1"/>
  <c r="CG237" i="6" s="1"/>
  <c r="AL238" i="6"/>
  <c r="AS238" i="6"/>
  <c r="CO237" i="6" l="1"/>
  <c r="CH237" i="6" s="1"/>
  <c r="AM238" i="6"/>
  <c r="AT238" i="6"/>
  <c r="CP237" i="6" l="1"/>
  <c r="T237" i="6" s="1"/>
  <c r="AN238" i="6"/>
  <c r="X238" i="6"/>
  <c r="AU238" i="6"/>
  <c r="AV238" i="6" l="1"/>
  <c r="AW238" i="6" s="1"/>
  <c r="AA238" i="6"/>
  <c r="Y238" i="6"/>
  <c r="AB238" i="6" s="1"/>
  <c r="BG238" i="6"/>
  <c r="BR238" i="6" s="1"/>
  <c r="BF238" i="6"/>
  <c r="BQ238" i="6" s="1"/>
  <c r="BE238" i="6"/>
  <c r="BP238" i="6" s="1"/>
  <c r="BD238" i="6"/>
  <c r="BO238" i="6" s="1"/>
  <c r="BA238" i="6"/>
  <c r="BL238" i="6" s="1"/>
  <c r="AZ238" i="6"/>
  <c r="BZ238" i="6" l="1"/>
  <c r="BY238" i="6"/>
  <c r="BX238" i="6"/>
  <c r="BW238" i="6"/>
  <c r="BT238" i="6"/>
  <c r="AX238" i="6"/>
  <c r="BC238" i="6"/>
  <c r="BN238" i="6" s="1"/>
  <c r="BB238" i="6"/>
  <c r="BM238" i="6" s="1"/>
  <c r="AY238" i="6" l="1"/>
  <c r="BH238" i="6"/>
  <c r="BV238" i="6"/>
  <c r="BU238" i="6"/>
  <c r="BJ238" i="6" l="1"/>
  <c r="BK238" i="6" s="1"/>
  <c r="BI238" i="6"/>
  <c r="BS238" i="6" l="1"/>
  <c r="CA238" i="6" s="1"/>
  <c r="CI238" i="6" l="1"/>
  <c r="CB238" i="6" s="1"/>
  <c r="AG239" i="6"/>
  <c r="AH239" i="6" l="1"/>
  <c r="CJ238" i="6"/>
  <c r="CC238" i="6" s="1"/>
  <c r="AO239" i="6"/>
  <c r="Q239" i="6"/>
  <c r="R239" i="6" s="1"/>
  <c r="S239" i="6" s="1"/>
  <c r="AP239" i="6" l="1"/>
  <c r="AI239" i="6"/>
  <c r="CK238" i="6"/>
  <c r="CD238" i="6" s="1"/>
  <c r="W239" i="6" l="1"/>
  <c r="Z239" i="6" s="1"/>
  <c r="AQ239" i="6"/>
  <c r="AJ239" i="6"/>
  <c r="CL238" i="6"/>
  <c r="CE238" i="6" s="1"/>
  <c r="AR239" i="6" l="1"/>
  <c r="AC239" i="6"/>
  <c r="CM238" i="6"/>
  <c r="CF238" i="6" s="1"/>
  <c r="AK239" i="6"/>
  <c r="AL239" i="6" l="1"/>
  <c r="CN238" i="6"/>
  <c r="CG238" i="6" s="1"/>
  <c r="AS239" i="6"/>
  <c r="AT239" i="6" l="1"/>
  <c r="AM239" i="6"/>
  <c r="CO238" i="6"/>
  <c r="CH238" i="6" s="1"/>
  <c r="X239" i="6" l="1"/>
  <c r="AU239" i="6"/>
  <c r="AN239" i="6"/>
  <c r="CP238" i="6"/>
  <c r="T238" i="6" s="1"/>
  <c r="AA239" i="6" l="1"/>
  <c r="Y239" i="6"/>
  <c r="AB239" i="6" s="1"/>
  <c r="AV239" i="6"/>
  <c r="AW239" i="6" s="1"/>
  <c r="BB239" i="6" l="1"/>
  <c r="BM239" i="6" s="1"/>
  <c r="BD239" i="6"/>
  <c r="BO239" i="6" s="1"/>
  <c r="AX239" i="6"/>
  <c r="BF239" i="6"/>
  <c r="BQ239" i="6" s="1"/>
  <c r="BG239" i="6"/>
  <c r="BR239" i="6" s="1"/>
  <c r="BC239" i="6"/>
  <c r="BN239" i="6" s="1"/>
  <c r="AZ239" i="6"/>
  <c r="BE239" i="6"/>
  <c r="BP239" i="6" s="1"/>
  <c r="BA239" i="6"/>
  <c r="BL239" i="6" s="1"/>
  <c r="BU239" i="6" l="1"/>
  <c r="BW239" i="6"/>
  <c r="BH239" i="6"/>
  <c r="AY239" i="6"/>
  <c r="BY239" i="6"/>
  <c r="BV239" i="6"/>
  <c r="BX239" i="6"/>
  <c r="BT239" i="6"/>
  <c r="BZ239" i="6"/>
  <c r="BJ239" i="6" l="1"/>
  <c r="BK239" i="6" s="1"/>
  <c r="BI239" i="6"/>
  <c r="BS239" i="6" l="1"/>
  <c r="CA239" i="6" s="1"/>
  <c r="AG240" i="6" l="1"/>
  <c r="CI239" i="6"/>
  <c r="CB239" i="6" s="1"/>
  <c r="Q240" i="6" l="1"/>
  <c r="R240" i="6" s="1"/>
  <c r="S240" i="6" s="1"/>
  <c r="AO240" i="6"/>
  <c r="AH240" i="6"/>
  <c r="CJ239" i="6"/>
  <c r="CC239" i="6" s="1"/>
  <c r="AP240" i="6" l="1"/>
  <c r="CK239" i="6"/>
  <c r="CD239" i="6" s="1"/>
  <c r="AI240" i="6"/>
  <c r="AJ240" i="6" l="1"/>
  <c r="CL239" i="6"/>
  <c r="CE239" i="6" s="1"/>
  <c r="W240" i="6"/>
  <c r="Z240" i="6" s="1"/>
  <c r="AQ240" i="6"/>
  <c r="AR240" i="6" l="1"/>
  <c r="AC240" i="6"/>
  <c r="CM239" i="6"/>
  <c r="CF239" i="6" s="1"/>
  <c r="AK240" i="6"/>
  <c r="AL240" i="6" l="1"/>
  <c r="CN239" i="6"/>
  <c r="CG239" i="6" s="1"/>
  <c r="AS240" i="6"/>
  <c r="AT240" i="6" l="1"/>
  <c r="CO239" i="6"/>
  <c r="CH239" i="6" s="1"/>
  <c r="AM240" i="6"/>
  <c r="AN240" i="6" l="1"/>
  <c r="CP239" i="6"/>
  <c r="T239" i="6" s="1"/>
  <c r="X240" i="6"/>
  <c r="AU240" i="6"/>
  <c r="AV240" i="6" l="1"/>
  <c r="AW240" i="6" s="1"/>
  <c r="Y240" i="6"/>
  <c r="AB240" i="6" s="1"/>
  <c r="AA240" i="6"/>
  <c r="BB240" i="6"/>
  <c r="BM240" i="6" s="1"/>
  <c r="BE240" i="6"/>
  <c r="BP240" i="6" s="1"/>
  <c r="AZ240" i="6"/>
  <c r="BC240" i="6"/>
  <c r="BN240" i="6" s="1"/>
  <c r="AX240" i="6"/>
  <c r="BF240" i="6"/>
  <c r="BQ240" i="6" s="1"/>
  <c r="BA240" i="6"/>
  <c r="BL240" i="6" s="1"/>
  <c r="BD240" i="6"/>
  <c r="BO240" i="6" s="1"/>
  <c r="BG240" i="6"/>
  <c r="BR240" i="6" s="1"/>
  <c r="BY240" i="6"/>
  <c r="BZ240" i="6" l="1"/>
  <c r="BU240" i="6"/>
  <c r="BX240" i="6"/>
  <c r="BV240" i="6"/>
  <c r="BH240" i="6"/>
  <c r="AY240" i="6"/>
  <c r="BT240" i="6"/>
  <c r="BW240" i="6"/>
  <c r="BJ240" i="6" l="1"/>
  <c r="BK240" i="6" s="1"/>
  <c r="BI240" i="6"/>
  <c r="BS240" i="6" l="1"/>
  <c r="CA240" i="6" s="1"/>
  <c r="CI240" i="6" l="1"/>
  <c r="CB240" i="6" s="1"/>
  <c r="AG241" i="6"/>
  <c r="AH241" i="6" l="1"/>
  <c r="CJ240" i="6"/>
  <c r="CC240" i="6" s="1"/>
  <c r="Q241" i="6"/>
  <c r="R241" i="6" s="1"/>
  <c r="S241" i="6" s="1"/>
  <c r="AO241" i="6"/>
  <c r="AP241" i="6" l="1"/>
  <c r="AI241" i="6"/>
  <c r="CK240" i="6"/>
  <c r="CD240" i="6" s="1"/>
  <c r="AQ241" i="6" l="1"/>
  <c r="AJ241" i="6"/>
  <c r="W241" i="6" s="1"/>
  <c r="Z241" i="6" s="1"/>
  <c r="CL240" i="6"/>
  <c r="CE240" i="6" s="1"/>
  <c r="AR241" i="6" l="1"/>
  <c r="AC241" i="6"/>
  <c r="CM240" i="6"/>
  <c r="CF240" i="6" s="1"/>
  <c r="AK241" i="6"/>
  <c r="AL241" i="6" l="1"/>
  <c r="CN240" i="6"/>
  <c r="CG240" i="6" s="1"/>
  <c r="AS241" i="6"/>
  <c r="AT241" i="6" l="1"/>
  <c r="CO240" i="6"/>
  <c r="CH240" i="6" s="1"/>
  <c r="AM241" i="6"/>
  <c r="AN241" i="6" l="1"/>
  <c r="CP240" i="6"/>
  <c r="T240" i="6" s="1"/>
  <c r="X241" i="6"/>
  <c r="AU241" i="6"/>
  <c r="AV241" i="6" l="1"/>
  <c r="AW241" i="6" s="1"/>
  <c r="AA241" i="6"/>
  <c r="Y241" i="6"/>
  <c r="AB241" i="6" s="1"/>
  <c r="BC241" i="6" l="1"/>
  <c r="BN241" i="6" s="1"/>
  <c r="BD241" i="6"/>
  <c r="BO241" i="6" s="1"/>
  <c r="BA241" i="6"/>
  <c r="BL241" i="6" s="1"/>
  <c r="BG241" i="6"/>
  <c r="BR241" i="6" s="1"/>
  <c r="AX241" i="6"/>
  <c r="BE241" i="6"/>
  <c r="BP241" i="6" s="1"/>
  <c r="BB241" i="6"/>
  <c r="BM241" i="6" s="1"/>
  <c r="BF241" i="6"/>
  <c r="BQ241" i="6" s="1"/>
  <c r="AZ241" i="6"/>
  <c r="BV241" i="6" l="1"/>
  <c r="BW241" i="6"/>
  <c r="BT241" i="6"/>
  <c r="BZ241" i="6"/>
  <c r="AY241" i="6"/>
  <c r="BH241" i="6"/>
  <c r="BX241" i="6"/>
  <c r="BU241" i="6"/>
  <c r="BY241" i="6"/>
  <c r="BI241" i="6" l="1"/>
  <c r="BJ241" i="6" s="1"/>
  <c r="BK241" i="6" s="1"/>
  <c r="BS241" i="6" l="1"/>
  <c r="CA241" i="6" s="1"/>
  <c r="AG242" i="6" l="1"/>
  <c r="CI241" i="6"/>
  <c r="CB241" i="6" s="1"/>
  <c r="AH242" i="6"/>
  <c r="CJ241" i="6"/>
  <c r="CC241" i="6" s="1"/>
  <c r="AO242" i="6" l="1"/>
  <c r="Q242" i="6"/>
  <c r="R242" i="6" s="1"/>
  <c r="S242" i="6" s="1"/>
  <c r="AP242" i="6"/>
  <c r="AI242" i="6"/>
  <c r="CK241" i="6"/>
  <c r="CD241" i="6" s="1"/>
  <c r="AQ242" i="6" l="1"/>
  <c r="CL241" i="6"/>
  <c r="CE241" i="6" s="1"/>
  <c r="AJ242" i="6"/>
  <c r="CM241" i="6" l="1"/>
  <c r="CF241" i="6" s="1"/>
  <c r="AK242" i="6"/>
  <c r="W242" i="6"/>
  <c r="Z242" i="6" s="1"/>
  <c r="AC242" i="6"/>
  <c r="AR242" i="6"/>
  <c r="AL242" i="6" l="1"/>
  <c r="CN241" i="6"/>
  <c r="CG241" i="6" s="1"/>
  <c r="AS242" i="6"/>
  <c r="AT242" i="6" l="1"/>
  <c r="AM242" i="6"/>
  <c r="CO241" i="6"/>
  <c r="CH241" i="6" s="1"/>
  <c r="AU242" i="6" l="1"/>
  <c r="AN242" i="6"/>
  <c r="X242" i="6" s="1"/>
  <c r="CP241" i="6"/>
  <c r="T241" i="6" s="1"/>
  <c r="AA242" i="6" l="1"/>
  <c r="Y242" i="6"/>
  <c r="AB242" i="6" s="1"/>
  <c r="AV242" i="6"/>
  <c r="AW242" i="6" s="1"/>
  <c r="BD242" i="6" l="1"/>
  <c r="BO242" i="6" s="1"/>
  <c r="BA242" i="6"/>
  <c r="BL242" i="6" s="1"/>
  <c r="BE242" i="6"/>
  <c r="BP242" i="6" s="1"/>
  <c r="AZ242" i="6"/>
  <c r="BG242" i="6"/>
  <c r="BR242" i="6" s="1"/>
  <c r="BB242" i="6"/>
  <c r="BM242" i="6" s="1"/>
  <c r="AX242" i="6"/>
  <c r="BF242" i="6"/>
  <c r="BQ242" i="6" s="1"/>
  <c r="BC242" i="6"/>
  <c r="BN242" i="6" s="1"/>
  <c r="BW242" i="6" l="1"/>
  <c r="BT242" i="6"/>
  <c r="BX242" i="6"/>
  <c r="BZ242" i="6"/>
  <c r="BU242" i="6"/>
  <c r="AY242" i="6"/>
  <c r="BH242" i="6"/>
  <c r="BY242" i="6"/>
  <c r="BV242" i="6"/>
  <c r="BJ242" i="6" l="1"/>
  <c r="BK242" i="6" s="1"/>
  <c r="BI242" i="6"/>
  <c r="BS242" i="6" l="1"/>
  <c r="CA242" i="6" s="1"/>
  <c r="CI242" i="6" l="1"/>
  <c r="CB242" i="6" s="1"/>
  <c r="AG243" i="6"/>
  <c r="CJ242" i="6" l="1"/>
  <c r="CC242" i="6" s="1"/>
  <c r="AH243" i="6"/>
  <c r="Q243" i="6"/>
  <c r="R243" i="6" s="1"/>
  <c r="S243" i="6" s="1"/>
  <c r="AO243" i="6"/>
  <c r="AI243" i="6" l="1"/>
  <c r="CK242" i="6"/>
  <c r="CD242" i="6" s="1"/>
  <c r="AP243" i="6"/>
  <c r="W243" i="6" l="1"/>
  <c r="Z243" i="6" s="1"/>
  <c r="AQ243" i="6"/>
  <c r="CL242" i="6"/>
  <c r="CE242" i="6" s="1"/>
  <c r="AJ243" i="6"/>
  <c r="CM242" i="6" l="1"/>
  <c r="CF242" i="6" s="1"/>
  <c r="AK243" i="6"/>
  <c r="AC243" i="6"/>
  <c r="AR243" i="6"/>
  <c r="CN242" i="6" l="1"/>
  <c r="CG242" i="6" s="1"/>
  <c r="AL243" i="6"/>
  <c r="AS243" i="6"/>
  <c r="AM243" i="6" l="1"/>
  <c r="CO242" i="6"/>
  <c r="CH242" i="6" s="1"/>
  <c r="AT243" i="6"/>
  <c r="AU243" i="6" l="1"/>
  <c r="CP242" i="6"/>
  <c r="T242" i="6" s="1"/>
  <c r="AN243" i="6"/>
  <c r="X243" i="6" s="1"/>
  <c r="Y243" i="6" l="1"/>
  <c r="AB243" i="6" s="1"/>
  <c r="AA243" i="6"/>
  <c r="AV243" i="6"/>
  <c r="AW243" i="6" s="1"/>
  <c r="BG243" i="6" l="1"/>
  <c r="BR243" i="6" s="1"/>
  <c r="AX243" i="6"/>
  <c r="BA243" i="6"/>
  <c r="BL243" i="6" s="1"/>
  <c r="BD243" i="6"/>
  <c r="BO243" i="6" s="1"/>
  <c r="BF243" i="6"/>
  <c r="BQ243" i="6" s="1"/>
  <c r="BB243" i="6"/>
  <c r="BM243" i="6" s="1"/>
  <c r="AZ243" i="6"/>
  <c r="BC243" i="6"/>
  <c r="BN243" i="6" s="1"/>
  <c r="BE243" i="6"/>
  <c r="BP243" i="6" s="1"/>
  <c r="BZ243" i="6"/>
  <c r="AY243" i="6" l="1"/>
  <c r="BH243" i="6"/>
  <c r="BT243" i="6"/>
  <c r="BW243" i="6"/>
  <c r="BY243" i="6"/>
  <c r="BU243" i="6"/>
  <c r="BV243" i="6"/>
  <c r="BX243" i="6"/>
  <c r="BI243" i="6" l="1"/>
  <c r="BJ243" i="6" s="1"/>
  <c r="BK243" i="6" s="1"/>
  <c r="BS243" i="6" l="1"/>
  <c r="CA243" i="6"/>
  <c r="AG244" i="6" l="1"/>
  <c r="CI243" i="6"/>
  <c r="CB243" i="6" s="1"/>
  <c r="AO244" i="6" l="1"/>
  <c r="Q244" i="6"/>
  <c r="R244" i="6" s="1"/>
  <c r="S244" i="6" s="1"/>
  <c r="CJ243" i="6"/>
  <c r="CC243" i="6" s="1"/>
  <c r="AH244" i="6"/>
  <c r="AI244" i="6" l="1"/>
  <c r="CK243" i="6"/>
  <c r="CD243" i="6" s="1"/>
  <c r="AP244" i="6"/>
  <c r="AQ244" i="6" l="1"/>
  <c r="CL243" i="6"/>
  <c r="CE243" i="6" s="1"/>
  <c r="AJ244" i="6"/>
  <c r="W244" i="6" s="1"/>
  <c r="Z244" i="6" s="1"/>
  <c r="AK244" i="6" l="1"/>
  <c r="CM243" i="6"/>
  <c r="CF243" i="6" s="1"/>
  <c r="AC244" i="6"/>
  <c r="AR244" i="6"/>
  <c r="AS244" i="6" l="1"/>
  <c r="AL244" i="6"/>
  <c r="CN243" i="6"/>
  <c r="CG243" i="6" s="1"/>
  <c r="AT244" i="6" l="1"/>
  <c r="AM244" i="6"/>
  <c r="CO243" i="6"/>
  <c r="CH243" i="6" s="1"/>
  <c r="AU244" i="6" l="1"/>
  <c r="AN244" i="6"/>
  <c r="X244" i="6" s="1"/>
  <c r="CP243" i="6"/>
  <c r="T243" i="6" s="1"/>
  <c r="AA244" i="6" l="1"/>
  <c r="Y244" i="6"/>
  <c r="AB244" i="6" s="1"/>
  <c r="AV244" i="6"/>
  <c r="AW244" i="6" s="1"/>
  <c r="AZ244" i="6" l="1"/>
  <c r="BF244" i="6"/>
  <c r="BQ244" i="6" s="1"/>
  <c r="AX244" i="6"/>
  <c r="BB244" i="6"/>
  <c r="BM244" i="6" s="1"/>
  <c r="BG244" i="6"/>
  <c r="BR244" i="6" s="1"/>
  <c r="BD244" i="6"/>
  <c r="BO244" i="6" s="1"/>
  <c r="BE244" i="6"/>
  <c r="BP244" i="6" s="1"/>
  <c r="BC244" i="6"/>
  <c r="BN244" i="6" s="1"/>
  <c r="BA244" i="6"/>
  <c r="BL244" i="6" s="1"/>
  <c r="BZ244" i="6"/>
  <c r="BY244" i="6" l="1"/>
  <c r="BH244" i="6"/>
  <c r="AY244" i="6"/>
  <c r="BU244" i="6"/>
  <c r="BW244" i="6"/>
  <c r="BX244" i="6"/>
  <c r="BV244" i="6"/>
  <c r="BT244" i="6"/>
  <c r="BI244" i="6" l="1"/>
  <c r="BJ244" i="6" s="1"/>
  <c r="BK244" i="6" s="1"/>
  <c r="BS244" i="6" l="1"/>
  <c r="CA244" i="6" s="1"/>
  <c r="AG245" i="6" l="1"/>
  <c r="CI244" i="6"/>
  <c r="CB244" i="6" s="1"/>
  <c r="AH245" i="6"/>
  <c r="CJ244" i="6"/>
  <c r="CC244" i="6" s="1"/>
  <c r="AO245" i="6" l="1"/>
  <c r="Q245" i="6"/>
  <c r="R245" i="6" s="1"/>
  <c r="S245" i="6" s="1"/>
  <c r="AP245" i="6"/>
  <c r="AI245" i="6"/>
  <c r="CK244" i="6"/>
  <c r="CD244" i="6" s="1"/>
  <c r="AQ245" i="6" l="1"/>
  <c r="AJ245" i="6"/>
  <c r="CL244" i="6"/>
  <c r="CE244" i="6" s="1"/>
  <c r="W245" i="6" l="1"/>
  <c r="Z245" i="6" s="1"/>
  <c r="AC245" i="6"/>
  <c r="AR245" i="6"/>
  <c r="AK245" i="6"/>
  <c r="CM244" i="6"/>
  <c r="CF244" i="6" s="1"/>
  <c r="AS245" i="6" l="1"/>
  <c r="AL245" i="6"/>
  <c r="CN244" i="6"/>
  <c r="CG244" i="6" s="1"/>
  <c r="AT245" i="6" l="1"/>
  <c r="AM245" i="6"/>
  <c r="CO244" i="6"/>
  <c r="CH244" i="6" s="1"/>
  <c r="X245" i="6" l="1"/>
  <c r="AU245" i="6"/>
  <c r="AN245" i="6"/>
  <c r="CP244" i="6"/>
  <c r="T244" i="6" s="1"/>
  <c r="AA245" i="6" l="1"/>
  <c r="Y245" i="6"/>
  <c r="AB245" i="6" s="1"/>
  <c r="AV245" i="6"/>
  <c r="AW245" i="6" s="1"/>
  <c r="BB245" i="6" l="1"/>
  <c r="BM245" i="6" s="1"/>
  <c r="AX245" i="6"/>
  <c r="BF245" i="6"/>
  <c r="BQ245" i="6" s="1"/>
  <c r="BD245" i="6"/>
  <c r="BO245" i="6" s="1"/>
  <c r="AZ245" i="6"/>
  <c r="BE245" i="6"/>
  <c r="BP245" i="6" s="1"/>
  <c r="BA245" i="6"/>
  <c r="BL245" i="6" s="1"/>
  <c r="BG245" i="6"/>
  <c r="BR245" i="6" s="1"/>
  <c r="BC245" i="6"/>
  <c r="BN245" i="6" s="1"/>
  <c r="BU245" i="6" l="1"/>
  <c r="AY245" i="6"/>
  <c r="BH245" i="6"/>
  <c r="BY245" i="6"/>
  <c r="BW245" i="6"/>
  <c r="BX245" i="6"/>
  <c r="BT245" i="6"/>
  <c r="BZ245" i="6"/>
  <c r="BV245" i="6"/>
  <c r="BI245" i="6" l="1"/>
  <c r="BJ245" i="6" s="1"/>
  <c r="BK245" i="6" s="1"/>
  <c r="BS245" i="6" l="1"/>
  <c r="CA245" i="6" s="1"/>
  <c r="AG246" i="6" l="1"/>
  <c r="CI245" i="6"/>
  <c r="CB245" i="6" s="1"/>
  <c r="Q246" i="6" l="1"/>
  <c r="R246" i="6" s="1"/>
  <c r="S246" i="6" s="1"/>
  <c r="AO246" i="6"/>
  <c r="AH246" i="6"/>
  <c r="CJ245" i="6"/>
  <c r="CC245" i="6" s="1"/>
  <c r="AP246" i="6" l="1"/>
  <c r="AI246" i="6"/>
  <c r="CK245" i="6"/>
  <c r="CD245" i="6" s="1"/>
  <c r="W246" i="6" l="1"/>
  <c r="Z246" i="6" s="1"/>
  <c r="AQ246" i="6"/>
  <c r="CL245" i="6"/>
  <c r="CE245" i="6" s="1"/>
  <c r="AJ246" i="6"/>
  <c r="AK246" i="6" l="1"/>
  <c r="CM245" i="6"/>
  <c r="CF245" i="6" s="1"/>
  <c r="AR246" i="6"/>
  <c r="AC246" i="6"/>
  <c r="AS246" i="6" l="1"/>
  <c r="CN245" i="6"/>
  <c r="CG245" i="6" s="1"/>
  <c r="AL246" i="6"/>
  <c r="CO245" i="6" l="1"/>
  <c r="CH245" i="6" s="1"/>
  <c r="AM246" i="6"/>
  <c r="AT246" i="6"/>
  <c r="CP245" i="6" l="1"/>
  <c r="T245" i="6" s="1"/>
  <c r="AN246" i="6"/>
  <c r="X246" i="6"/>
  <c r="AU246" i="6"/>
  <c r="AV246" i="6" l="1"/>
  <c r="AW246" i="6" s="1"/>
  <c r="AA246" i="6"/>
  <c r="Y246" i="6"/>
  <c r="AB246" i="6" s="1"/>
  <c r="BF246" i="6" l="1"/>
  <c r="BQ246" i="6" s="1"/>
  <c r="BC246" i="6"/>
  <c r="BN246" i="6" s="1"/>
  <c r="BD246" i="6"/>
  <c r="BO246" i="6" s="1"/>
  <c r="BB246" i="6"/>
  <c r="BM246" i="6" s="1"/>
  <c r="AX246" i="6"/>
  <c r="BA246" i="6"/>
  <c r="BL246" i="6" s="1"/>
  <c r="BG246" i="6"/>
  <c r="BR246" i="6" s="1"/>
  <c r="BE246" i="6"/>
  <c r="BP246" i="6" s="1"/>
  <c r="AZ246" i="6"/>
  <c r="BY246" i="6" l="1"/>
  <c r="BV246" i="6"/>
  <c r="BW246" i="6"/>
  <c r="BU246" i="6"/>
  <c r="BH246" i="6"/>
  <c r="AY246" i="6"/>
  <c r="BT246" i="6"/>
  <c r="BZ246" i="6"/>
  <c r="BX246" i="6"/>
  <c r="BI246" i="6" l="1"/>
  <c r="BJ246" i="6" s="1"/>
  <c r="BK246" i="6" s="1"/>
  <c r="BS246" i="6" l="1"/>
  <c r="CA246" i="6" s="1"/>
  <c r="AG247" i="6" l="1"/>
  <c r="CI246" i="6"/>
  <c r="CB246" i="6" s="1"/>
  <c r="AO247" i="6" l="1"/>
  <c r="Q247" i="6"/>
  <c r="R247" i="6" s="1"/>
  <c r="S247" i="6" s="1"/>
  <c r="AH247" i="6"/>
  <c r="CJ246" i="6"/>
  <c r="CC246" i="6" s="1"/>
  <c r="AP247" i="6" l="1"/>
  <c r="CK246" i="6"/>
  <c r="CD246" i="6" s="1"/>
  <c r="AI247" i="6"/>
  <c r="AJ247" i="6" l="1"/>
  <c r="W247" i="6" s="1"/>
  <c r="Z247" i="6" s="1"/>
  <c r="CL246" i="6"/>
  <c r="CE246" i="6" s="1"/>
  <c r="AQ247" i="6"/>
  <c r="AC247" i="6" l="1"/>
  <c r="AR247" i="6"/>
  <c r="CM246" i="6"/>
  <c r="CF246" i="6" s="1"/>
  <c r="AK247" i="6"/>
  <c r="AL247" i="6" l="1"/>
  <c r="CN246" i="6"/>
  <c r="CG246" i="6" s="1"/>
  <c r="AS247" i="6"/>
  <c r="AT247" i="6" l="1"/>
  <c r="AM247" i="6"/>
  <c r="CO246" i="6"/>
  <c r="CH246" i="6" s="1"/>
  <c r="AU247" i="6" l="1"/>
  <c r="AN247" i="6"/>
  <c r="X247" i="6" s="1"/>
  <c r="CP246" i="6"/>
  <c r="T246" i="6" s="1"/>
  <c r="AA247" i="6" l="1"/>
  <c r="Y247" i="6"/>
  <c r="AB247" i="6" s="1"/>
  <c r="AV247" i="6"/>
  <c r="AW247" i="6" s="1"/>
  <c r="BG247" i="6" l="1"/>
  <c r="BR247" i="6" s="1"/>
  <c r="BC247" i="6"/>
  <c r="BN247" i="6" s="1"/>
  <c r="BB247" i="6"/>
  <c r="BM247" i="6" s="1"/>
  <c r="BE247" i="6"/>
  <c r="BP247" i="6" s="1"/>
  <c r="BA247" i="6"/>
  <c r="BL247" i="6" s="1"/>
  <c r="AX247" i="6"/>
  <c r="BF247" i="6"/>
  <c r="BQ247" i="6" s="1"/>
  <c r="BD247" i="6"/>
  <c r="BO247" i="6" s="1"/>
  <c r="AZ247" i="6"/>
  <c r="BZ247" i="6" l="1"/>
  <c r="BV247" i="6"/>
  <c r="BU247" i="6"/>
  <c r="BX247" i="6"/>
  <c r="BT247" i="6"/>
  <c r="BH247" i="6"/>
  <c r="AY247" i="6"/>
  <c r="BY247" i="6"/>
  <c r="BW247" i="6"/>
  <c r="BJ247" i="6" l="1"/>
  <c r="BK247" i="6" s="1"/>
  <c r="BI247" i="6"/>
  <c r="BS247" i="6" l="1"/>
  <c r="CA247" i="6" s="1"/>
  <c r="AG248" i="6" l="1"/>
  <c r="CI247" i="6"/>
  <c r="CB247" i="6" s="1"/>
  <c r="AO248" i="6" l="1"/>
  <c r="Q248" i="6"/>
  <c r="R248" i="6" s="1"/>
  <c r="S248" i="6" s="1"/>
  <c r="AH248" i="6"/>
  <c r="CJ247" i="6"/>
  <c r="CC247" i="6" s="1"/>
  <c r="AP248" i="6" l="1"/>
  <c r="CK247" i="6"/>
  <c r="CD247" i="6" s="1"/>
  <c r="AI248" i="6"/>
  <c r="AJ248" i="6" l="1"/>
  <c r="W248" i="6" s="1"/>
  <c r="Z248" i="6" s="1"/>
  <c r="CL247" i="6"/>
  <c r="CE247" i="6" s="1"/>
  <c r="AQ248" i="6"/>
  <c r="AR248" i="6" l="1"/>
  <c r="AC248" i="6"/>
  <c r="CM247" i="6"/>
  <c r="CF247" i="6" s="1"/>
  <c r="AK248" i="6"/>
  <c r="AL248" i="6" l="1"/>
  <c r="CN247" i="6"/>
  <c r="CG247" i="6" s="1"/>
  <c r="AS248" i="6"/>
  <c r="AT248" i="6" l="1"/>
  <c r="CO247" i="6"/>
  <c r="CH247" i="6" s="1"/>
  <c r="AM248" i="6"/>
  <c r="AN248" i="6" l="1"/>
  <c r="X248" i="6" s="1"/>
  <c r="CP247" i="6"/>
  <c r="T247" i="6" s="1"/>
  <c r="AU248" i="6"/>
  <c r="AV248" i="6" l="1"/>
  <c r="AW248" i="6" s="1"/>
  <c r="Y248" i="6"/>
  <c r="AB248" i="6" s="1"/>
  <c r="AA248" i="6"/>
  <c r="AX248" i="6"/>
  <c r="BA248" i="6"/>
  <c r="BL248" i="6" s="1"/>
  <c r="BB248" i="6"/>
  <c r="BM248" i="6" s="1"/>
  <c r="BH248" i="6" l="1"/>
  <c r="AY248" i="6"/>
  <c r="BT248" i="6"/>
  <c r="BU248" i="6"/>
  <c r="BE248" i="6"/>
  <c r="BP248" i="6" s="1"/>
  <c r="BC248" i="6"/>
  <c r="BN248" i="6" s="1"/>
  <c r="BF248" i="6"/>
  <c r="BQ248" i="6" s="1"/>
  <c r="BD248" i="6"/>
  <c r="BO248" i="6" s="1"/>
  <c r="AZ248" i="6"/>
  <c r="BG248" i="6"/>
  <c r="BR248" i="6" s="1"/>
  <c r="BI248" i="6" l="1"/>
  <c r="BJ248" i="6" s="1"/>
  <c r="BK248" i="6" s="1"/>
  <c r="BX248" i="6"/>
  <c r="BV248" i="6"/>
  <c r="BY248" i="6"/>
  <c r="BW248" i="6"/>
  <c r="BZ248" i="6"/>
  <c r="BS248" i="6" l="1"/>
  <c r="CA248" i="6"/>
  <c r="AG249" i="6" l="1"/>
  <c r="CI248" i="6"/>
  <c r="CB248" i="6" s="1"/>
  <c r="AO249" i="6" l="1"/>
  <c r="Q249" i="6"/>
  <c r="R249" i="6" s="1"/>
  <c r="S249" i="6" s="1"/>
  <c r="AH249" i="6"/>
  <c r="CJ248" i="6"/>
  <c r="CC248" i="6" s="1"/>
  <c r="AP249" i="6" l="1"/>
  <c r="CK248" i="6"/>
  <c r="CD248" i="6" s="1"/>
  <c r="AI249" i="6"/>
  <c r="CL248" i="6" l="1"/>
  <c r="CE248" i="6" s="1"/>
  <c r="AJ249" i="6"/>
  <c r="W249" i="6"/>
  <c r="Z249" i="6" s="1"/>
  <c r="AQ249" i="6"/>
  <c r="CM248" i="6" l="1"/>
  <c r="CF248" i="6" s="1"/>
  <c r="AK249" i="6"/>
  <c r="AR249" i="6"/>
  <c r="AC249" i="6"/>
  <c r="AL249" i="6" l="1"/>
  <c r="CN248" i="6"/>
  <c r="CG248" i="6" s="1"/>
  <c r="AS249" i="6"/>
  <c r="AT249" i="6" l="1"/>
  <c r="CO248" i="6"/>
  <c r="CH248" i="6" s="1"/>
  <c r="AM249" i="6"/>
  <c r="AN249" i="6" l="1"/>
  <c r="CP248" i="6"/>
  <c r="T248" i="6" s="1"/>
  <c r="X249" i="6"/>
  <c r="AU249" i="6"/>
  <c r="AV249" i="6" l="1"/>
  <c r="AW249" i="6" s="1"/>
  <c r="AA249" i="6"/>
  <c r="Y249" i="6"/>
  <c r="AB249" i="6" s="1"/>
  <c r="BG249" i="6" l="1"/>
  <c r="BR249" i="6" s="1"/>
  <c r="AZ249" i="6"/>
  <c r="BF249" i="6"/>
  <c r="BQ249" i="6" s="1"/>
  <c r="BA249" i="6"/>
  <c r="BL249" i="6" s="1"/>
  <c r="BB249" i="6"/>
  <c r="BM249" i="6" s="1"/>
  <c r="BD249" i="6"/>
  <c r="BO249" i="6" s="1"/>
  <c r="BC249" i="6"/>
  <c r="BN249" i="6" s="1"/>
  <c r="AX249" i="6"/>
  <c r="BE249" i="6"/>
  <c r="BP249" i="6" s="1"/>
  <c r="BZ249" i="6" l="1"/>
  <c r="BY249" i="6"/>
  <c r="BT249" i="6"/>
  <c r="BU249" i="6"/>
  <c r="BW249" i="6"/>
  <c r="BV249" i="6"/>
  <c r="AY249" i="6"/>
  <c r="BH249" i="6"/>
  <c r="BX249" i="6"/>
  <c r="BJ249" i="6" l="1"/>
  <c r="BK249" i="6" s="1"/>
  <c r="BI249" i="6"/>
  <c r="BS249" i="6" l="1"/>
  <c r="CA249" i="6" s="1"/>
  <c r="CI249" i="6" l="1"/>
  <c r="CB249" i="6" s="1"/>
  <c r="AG250" i="6"/>
  <c r="Q250" i="6" l="1"/>
  <c r="R250" i="6" s="1"/>
  <c r="S250" i="6" s="1"/>
  <c r="AO250" i="6"/>
  <c r="AH250" i="6"/>
  <c r="CJ249" i="6"/>
  <c r="CC249" i="6" s="1"/>
  <c r="AP250" i="6" l="1"/>
  <c r="AI250" i="6"/>
  <c r="CK249" i="6"/>
  <c r="CD249" i="6" s="1"/>
  <c r="W250" i="6" l="1"/>
  <c r="Z250" i="6" s="1"/>
  <c r="AQ250" i="6"/>
  <c r="AJ250" i="6"/>
  <c r="CL249" i="6"/>
  <c r="CE249" i="6" s="1"/>
  <c r="AC250" i="6" l="1"/>
  <c r="AR250" i="6"/>
  <c r="AK250" i="6"/>
  <c r="CM249" i="6"/>
  <c r="CF249" i="6" s="1"/>
  <c r="AS250" i="6" l="1"/>
  <c r="CN249" i="6"/>
  <c r="CG249" i="6" s="1"/>
  <c r="AL250" i="6"/>
  <c r="AM250" i="6" l="1"/>
  <c r="CO249" i="6"/>
  <c r="CH249" i="6" s="1"/>
  <c r="AT250" i="6"/>
  <c r="AU250" i="6" l="1"/>
  <c r="CP249" i="6"/>
  <c r="T249" i="6" s="1"/>
  <c r="AN250" i="6"/>
  <c r="X250" i="6" s="1"/>
  <c r="AA250" i="6" l="1"/>
  <c r="Y250" i="6"/>
  <c r="AB250" i="6" s="1"/>
  <c r="AV250" i="6"/>
  <c r="AW250" i="6" s="1"/>
  <c r="AZ250" i="6" l="1"/>
  <c r="BC250" i="6"/>
  <c r="BN250" i="6" s="1"/>
  <c r="BD250" i="6"/>
  <c r="BO250" i="6" s="1"/>
  <c r="BG250" i="6"/>
  <c r="BR250" i="6" s="1"/>
  <c r="BB250" i="6"/>
  <c r="BM250" i="6" s="1"/>
  <c r="BE250" i="6"/>
  <c r="BP250" i="6" s="1"/>
  <c r="AX250" i="6"/>
  <c r="BA250" i="6"/>
  <c r="BL250" i="6" s="1"/>
  <c r="BF250" i="6"/>
  <c r="BQ250" i="6" s="1"/>
  <c r="BV250" i="6" l="1"/>
  <c r="BW250" i="6"/>
  <c r="BU250" i="6"/>
  <c r="BX250" i="6"/>
  <c r="AY250" i="6"/>
  <c r="BH250" i="6"/>
  <c r="BT250" i="6"/>
  <c r="BY250" i="6"/>
  <c r="BZ250" i="6"/>
  <c r="BI250" i="6" l="1"/>
  <c r="BJ250" i="6" s="1"/>
  <c r="BK250" i="6" s="1"/>
  <c r="CA250" i="6" l="1"/>
  <c r="BS250" i="6"/>
  <c r="CI250" i="6" l="1"/>
  <c r="CB250" i="6" s="1"/>
  <c r="AG251" i="6"/>
  <c r="AO251" i="6" l="1"/>
  <c r="Q251" i="6"/>
  <c r="R251" i="6" s="1"/>
  <c r="S251" i="6" s="1"/>
  <c r="CJ250" i="6"/>
  <c r="CC250" i="6" s="1"/>
  <c r="AH251" i="6"/>
  <c r="CK250" i="6" l="1"/>
  <c r="CD250" i="6" s="1"/>
  <c r="AI251" i="6"/>
  <c r="AP251" i="6"/>
  <c r="CL250" i="6" l="1"/>
  <c r="CE250" i="6" s="1"/>
  <c r="AJ251" i="6"/>
  <c r="W251" i="6"/>
  <c r="Z251" i="6" s="1"/>
  <c r="AQ251" i="6"/>
  <c r="AK251" i="6" l="1"/>
  <c r="CM250" i="6"/>
  <c r="CF250" i="6" s="1"/>
  <c r="AR251" i="6"/>
  <c r="AC251" i="6"/>
  <c r="AS251" i="6" l="1"/>
  <c r="AL251" i="6"/>
  <c r="CN250" i="6"/>
  <c r="CG250" i="6" s="1"/>
  <c r="AT251" i="6" l="1"/>
  <c r="AM251" i="6"/>
  <c r="CO250" i="6"/>
  <c r="CH250" i="6" s="1"/>
  <c r="AU251" i="6" l="1"/>
  <c r="AN251" i="6"/>
  <c r="X251" i="6" s="1"/>
  <c r="CP250" i="6"/>
  <c r="T250" i="6" s="1"/>
  <c r="AA251" i="6" l="1"/>
  <c r="Y251" i="6"/>
  <c r="AB251" i="6" s="1"/>
  <c r="AV251" i="6"/>
  <c r="AW251" i="6" s="1"/>
  <c r="BE251" i="6" l="1"/>
  <c r="BP251" i="6" s="1"/>
  <c r="BB251" i="6"/>
  <c r="BM251" i="6" s="1"/>
  <c r="AX251" i="6"/>
  <c r="BG251" i="6"/>
  <c r="BR251" i="6" s="1"/>
  <c r="BD251" i="6"/>
  <c r="BO251" i="6" s="1"/>
  <c r="BA251" i="6"/>
  <c r="BL251" i="6" s="1"/>
  <c r="BF251" i="6"/>
  <c r="BQ251" i="6" s="1"/>
  <c r="BC251" i="6"/>
  <c r="BN251" i="6" s="1"/>
  <c r="AZ251" i="6"/>
  <c r="BZ251" i="6"/>
  <c r="BX251" i="6" l="1"/>
  <c r="BU251" i="6"/>
  <c r="BH251" i="6"/>
  <c r="AY251" i="6"/>
  <c r="BW251" i="6"/>
  <c r="BT251" i="6"/>
  <c r="BY251" i="6"/>
  <c r="BV251" i="6"/>
  <c r="BJ251" i="6" l="1"/>
  <c r="BK251" i="6" s="1"/>
  <c r="BI251" i="6"/>
  <c r="BS251" i="6" l="1"/>
  <c r="CA251" i="6" s="1"/>
  <c r="AG252" i="6" l="1"/>
  <c r="CI251" i="6"/>
  <c r="CB251" i="6" s="1"/>
  <c r="AO252" i="6" l="1"/>
  <c r="Q252" i="6"/>
  <c r="R252" i="6" s="1"/>
  <c r="S252" i="6" s="1"/>
  <c r="CJ251" i="6"/>
  <c r="CC251" i="6" s="1"/>
  <c r="AH252" i="6"/>
  <c r="CK251" i="6" l="1"/>
  <c r="CD251" i="6" s="1"/>
  <c r="AI252" i="6"/>
  <c r="AP252" i="6"/>
  <c r="CL251" i="6" l="1"/>
  <c r="CE251" i="6" s="1"/>
  <c r="AJ252" i="6"/>
  <c r="W252" i="6"/>
  <c r="Z252" i="6" s="1"/>
  <c r="AQ252" i="6"/>
  <c r="AK252" i="6" l="1"/>
  <c r="CM251" i="6"/>
  <c r="CF251" i="6" s="1"/>
  <c r="AR252" i="6"/>
  <c r="AC252" i="6"/>
  <c r="AS252" i="6" l="1"/>
  <c r="CN251" i="6"/>
  <c r="CG251" i="6" s="1"/>
  <c r="AL252" i="6"/>
  <c r="CO251" i="6" l="1"/>
  <c r="CH251" i="6" s="1"/>
  <c r="AM252" i="6"/>
  <c r="AT252" i="6"/>
  <c r="AN252" i="6" l="1"/>
  <c r="CP251" i="6"/>
  <c r="T251" i="6" s="1"/>
  <c r="X252" i="6"/>
  <c r="AU252" i="6"/>
  <c r="AV252" i="6" l="1"/>
  <c r="AW252" i="6" s="1"/>
  <c r="Y252" i="6"/>
  <c r="AB252" i="6" s="1"/>
  <c r="AA252" i="6"/>
  <c r="BD252" i="6" l="1"/>
  <c r="BO252" i="6" s="1"/>
  <c r="BF252" i="6"/>
  <c r="BQ252" i="6" s="1"/>
  <c r="AZ252" i="6"/>
  <c r="BE252" i="6"/>
  <c r="BP252" i="6" s="1"/>
  <c r="BG252" i="6"/>
  <c r="BR252" i="6" s="1"/>
  <c r="BB252" i="6"/>
  <c r="BM252" i="6" s="1"/>
  <c r="AX252" i="6"/>
  <c r="BA252" i="6"/>
  <c r="BL252" i="6" s="1"/>
  <c r="BC252" i="6"/>
  <c r="BN252" i="6" s="1"/>
  <c r="BW252" i="6" l="1"/>
  <c r="BY252" i="6"/>
  <c r="BX252" i="6"/>
  <c r="BZ252" i="6"/>
  <c r="BU252" i="6"/>
  <c r="AY252" i="6"/>
  <c r="BH252" i="6"/>
  <c r="BT252" i="6"/>
  <c r="BV252" i="6"/>
  <c r="BI252" i="6" l="1"/>
  <c r="BJ252" i="6" s="1"/>
  <c r="BK252" i="6" s="1"/>
  <c r="CA252" i="6" l="1"/>
  <c r="BS252" i="6"/>
  <c r="AG253" i="6" l="1"/>
  <c r="CI252" i="6"/>
  <c r="CB252" i="6" s="1"/>
  <c r="Q253" i="6" l="1"/>
  <c r="R253" i="6" s="1"/>
  <c r="S253" i="6" s="1"/>
  <c r="AO253" i="6"/>
  <c r="AH253" i="6"/>
  <c r="CJ252" i="6"/>
  <c r="CC252" i="6" s="1"/>
  <c r="AP253" i="6" l="1"/>
  <c r="AI253" i="6"/>
  <c r="CK252" i="6"/>
  <c r="CD252" i="6" s="1"/>
  <c r="W253" i="6" l="1"/>
  <c r="Z253" i="6" s="1"/>
  <c r="AQ253" i="6"/>
  <c r="CL252" i="6"/>
  <c r="CE252" i="6" s="1"/>
  <c r="AJ253" i="6"/>
  <c r="AK253" i="6" l="1"/>
  <c r="CM252" i="6"/>
  <c r="CF252" i="6" s="1"/>
  <c r="AR253" i="6"/>
  <c r="AC253" i="6"/>
  <c r="AS253" i="6" l="1"/>
  <c r="CN252" i="6"/>
  <c r="CG252" i="6" s="1"/>
  <c r="AL253" i="6"/>
  <c r="CO252" i="6" l="1"/>
  <c r="CH252" i="6" s="1"/>
  <c r="AM253" i="6"/>
  <c r="AT253" i="6"/>
  <c r="CP252" i="6" l="1"/>
  <c r="T252" i="6" s="1"/>
  <c r="AN253" i="6"/>
  <c r="X253" i="6"/>
  <c r="AU253" i="6"/>
  <c r="AV253" i="6" l="1"/>
  <c r="AW253" i="6" s="1"/>
  <c r="Y253" i="6"/>
  <c r="AB253" i="6" s="1"/>
  <c r="AA253" i="6"/>
  <c r="BA253" i="6" l="1"/>
  <c r="BL253" i="6" s="1"/>
  <c r="BE253" i="6"/>
  <c r="BP253" i="6" s="1"/>
  <c r="AZ253" i="6"/>
  <c r="BD253" i="6"/>
  <c r="BO253" i="6" s="1"/>
  <c r="BF253" i="6"/>
  <c r="BQ253" i="6" s="1"/>
  <c r="AX253" i="6"/>
  <c r="BC253" i="6"/>
  <c r="BN253" i="6" s="1"/>
  <c r="BG253" i="6"/>
  <c r="BR253" i="6" s="1"/>
  <c r="BB253" i="6"/>
  <c r="BM253" i="6" s="1"/>
  <c r="BZ253" i="6"/>
  <c r="BT253" i="6" l="1"/>
  <c r="BX253" i="6"/>
  <c r="BW253" i="6"/>
  <c r="BY253" i="6"/>
  <c r="BH253" i="6"/>
  <c r="AY253" i="6"/>
  <c r="BV253" i="6"/>
  <c r="BU253" i="6"/>
  <c r="BI253" i="6" l="1"/>
  <c r="BJ253" i="6" s="1"/>
  <c r="BK253" i="6" s="1"/>
  <c r="BS253" i="6" l="1"/>
  <c r="CA253" i="6" s="1"/>
  <c r="CI253" i="6" l="1"/>
  <c r="CB253" i="6" s="1"/>
  <c r="AH254" i="6" s="1"/>
  <c r="AG254" i="6"/>
  <c r="CJ253" i="6"/>
  <c r="CC253" i="6" s="1"/>
  <c r="Q254" i="6" l="1"/>
  <c r="R254" i="6" s="1"/>
  <c r="S254" i="6" s="1"/>
  <c r="AO254" i="6"/>
  <c r="AI254" i="6"/>
  <c r="CK253" i="6"/>
  <c r="CD253" i="6" s="1"/>
  <c r="AP254" i="6"/>
  <c r="AQ254" i="6" l="1"/>
  <c r="CL253" i="6"/>
  <c r="CE253" i="6" s="1"/>
  <c r="AJ254" i="6"/>
  <c r="AK254" i="6" l="1"/>
  <c r="CM253" i="6"/>
  <c r="CF253" i="6" s="1"/>
  <c r="W254" i="6"/>
  <c r="Z254" i="6" s="1"/>
  <c r="AR254" i="6"/>
  <c r="AC254" i="6"/>
  <c r="AS254" i="6" l="1"/>
  <c r="AL254" i="6"/>
  <c r="CN253" i="6"/>
  <c r="CG253" i="6" s="1"/>
  <c r="AT254" i="6" l="1"/>
  <c r="AM254" i="6"/>
  <c r="CO253" i="6"/>
  <c r="CH253" i="6" s="1"/>
  <c r="X254" i="6" l="1"/>
  <c r="AU254" i="6"/>
  <c r="CP253" i="6"/>
  <c r="T253" i="6" s="1"/>
  <c r="AN254" i="6"/>
  <c r="Y254" i="6" l="1"/>
  <c r="AB254" i="6" s="1"/>
  <c r="AA254" i="6"/>
  <c r="AV254" i="6"/>
  <c r="AW254" i="6" s="1"/>
  <c r="BC254" i="6" l="1"/>
  <c r="BN254" i="6" s="1"/>
  <c r="AZ254" i="6"/>
  <c r="AX254" i="6"/>
  <c r="BF254" i="6"/>
  <c r="BQ254" i="6" s="1"/>
  <c r="BB254" i="6"/>
  <c r="BM254" i="6" s="1"/>
  <c r="BG254" i="6"/>
  <c r="BR254" i="6" s="1"/>
  <c r="BD254" i="6"/>
  <c r="BO254" i="6" s="1"/>
  <c r="BA254" i="6"/>
  <c r="BL254" i="6" s="1"/>
  <c r="BE254" i="6"/>
  <c r="BP254" i="6" s="1"/>
  <c r="BV254" i="6" l="1"/>
  <c r="AY254" i="6"/>
  <c r="BH254" i="6"/>
  <c r="BY254" i="6"/>
  <c r="BU254" i="6"/>
  <c r="BZ254" i="6"/>
  <c r="BW254" i="6"/>
  <c r="BT254" i="6"/>
  <c r="BX254" i="6"/>
  <c r="BI254" i="6" l="1"/>
  <c r="BJ254" i="6" s="1"/>
  <c r="BK254" i="6" s="1"/>
  <c r="BS254" i="6" l="1"/>
  <c r="CA254" i="6" s="1"/>
  <c r="CI254" i="6" l="1"/>
  <c r="CB254" i="6" s="1"/>
  <c r="AG255" i="6"/>
  <c r="CJ254" i="6" l="1"/>
  <c r="CC254" i="6" s="1"/>
  <c r="AH255" i="6"/>
  <c r="Q255" i="6"/>
  <c r="R255" i="6" s="1"/>
  <c r="S255" i="6" s="1"/>
  <c r="AO255" i="6"/>
  <c r="AI255" i="6" l="1"/>
  <c r="CK254" i="6"/>
  <c r="CD254" i="6" s="1"/>
  <c r="AP255" i="6"/>
  <c r="AQ255" i="6" l="1"/>
  <c r="AJ255" i="6"/>
  <c r="W255" i="6" s="1"/>
  <c r="Z255" i="6" s="1"/>
  <c r="CL254" i="6"/>
  <c r="CE254" i="6" s="1"/>
  <c r="AR255" i="6" l="1"/>
  <c r="AC255" i="6"/>
  <c r="AK255" i="6"/>
  <c r="CM254" i="6"/>
  <c r="CF254" i="6" s="1"/>
  <c r="AS255" i="6" l="1"/>
  <c r="AL255" i="6"/>
  <c r="CN254" i="6"/>
  <c r="CG254" i="6" s="1"/>
  <c r="AT255" i="6" l="1"/>
  <c r="AM255" i="6"/>
  <c r="CO254" i="6"/>
  <c r="CH254" i="6" s="1"/>
  <c r="AU255" i="6" l="1"/>
  <c r="AN255" i="6"/>
  <c r="X255" i="6" s="1"/>
  <c r="CP254" i="6"/>
  <c r="T254" i="6" s="1"/>
  <c r="AA255" i="6" l="1"/>
  <c r="Y255" i="6"/>
  <c r="AB255" i="6" s="1"/>
  <c r="AV255" i="6"/>
  <c r="AW255" i="6" s="1"/>
  <c r="AZ255" i="6" l="1"/>
  <c r="BB255" i="6"/>
  <c r="BM255" i="6" s="1"/>
  <c r="BE255" i="6"/>
  <c r="BP255" i="6" s="1"/>
  <c r="AX255" i="6"/>
  <c r="BA255" i="6"/>
  <c r="BL255" i="6" s="1"/>
  <c r="BD255" i="6"/>
  <c r="BO255" i="6" s="1"/>
  <c r="BG255" i="6"/>
  <c r="BR255" i="6" s="1"/>
  <c r="BC255" i="6"/>
  <c r="BN255" i="6" s="1"/>
  <c r="BF255" i="6"/>
  <c r="BQ255" i="6" s="1"/>
  <c r="BU255" i="6" l="1"/>
  <c r="BX255" i="6"/>
  <c r="AY255" i="6"/>
  <c r="BH255" i="6"/>
  <c r="BT255" i="6"/>
  <c r="BW255" i="6"/>
  <c r="BZ255" i="6"/>
  <c r="BV255" i="6"/>
  <c r="BY255" i="6"/>
  <c r="BI255" i="6" l="1"/>
  <c r="BJ255" i="6" s="1"/>
  <c r="BK255" i="6" s="1"/>
  <c r="BS255" i="6" l="1"/>
  <c r="CA255" i="6" s="1"/>
  <c r="CI255" i="6" l="1"/>
  <c r="CB255" i="6" s="1"/>
  <c r="AG256" i="6"/>
  <c r="AH256" i="6" l="1"/>
  <c r="CJ255" i="6"/>
  <c r="CC255" i="6" s="1"/>
  <c r="AO256" i="6"/>
  <c r="Q256" i="6"/>
  <c r="R256" i="6" s="1"/>
  <c r="S256" i="6" s="1"/>
  <c r="AP256" i="6" l="1"/>
  <c r="CK255" i="6"/>
  <c r="CD255" i="6" s="1"/>
  <c r="AI256" i="6"/>
  <c r="CL255" i="6" l="1"/>
  <c r="CE255" i="6" s="1"/>
  <c r="AJ256" i="6"/>
  <c r="W256" i="6"/>
  <c r="Z256" i="6" s="1"/>
  <c r="AQ256" i="6"/>
  <c r="CM255" i="6" l="1"/>
  <c r="CF255" i="6" s="1"/>
  <c r="AK256" i="6"/>
  <c r="AR256" i="6"/>
  <c r="AC256" i="6"/>
  <c r="CN255" i="6" l="1"/>
  <c r="CG255" i="6" s="1"/>
  <c r="AL256" i="6"/>
  <c r="AS256" i="6"/>
  <c r="AM256" i="6" l="1"/>
  <c r="CO255" i="6"/>
  <c r="CH255" i="6" s="1"/>
  <c r="AT256" i="6"/>
  <c r="AU256" i="6" l="1"/>
  <c r="AN256" i="6"/>
  <c r="X256" i="6" s="1"/>
  <c r="CP255" i="6"/>
  <c r="T255" i="6" s="1"/>
  <c r="Y256" i="6" l="1"/>
  <c r="AB256" i="6" s="1"/>
  <c r="AA256" i="6"/>
  <c r="AV256" i="6"/>
  <c r="AW256" i="6" s="1"/>
  <c r="BE256" i="6" l="1"/>
  <c r="BP256" i="6" s="1"/>
  <c r="BB256" i="6"/>
  <c r="BM256" i="6" s="1"/>
  <c r="AZ256" i="6"/>
  <c r="BD256" i="6"/>
  <c r="BO256" i="6" s="1"/>
  <c r="BG256" i="6"/>
  <c r="BR256" i="6" s="1"/>
  <c r="AX256" i="6"/>
  <c r="BA256" i="6"/>
  <c r="BL256" i="6" s="1"/>
  <c r="BC256" i="6"/>
  <c r="BN256" i="6" s="1"/>
  <c r="BF256" i="6"/>
  <c r="BQ256" i="6" s="1"/>
  <c r="BX256" i="6" l="1"/>
  <c r="BU256" i="6"/>
  <c r="BW256" i="6"/>
  <c r="AY256" i="6"/>
  <c r="BH256" i="6"/>
  <c r="BT256" i="6"/>
  <c r="BV256" i="6"/>
  <c r="BY256" i="6"/>
  <c r="BZ256" i="6"/>
  <c r="BJ256" i="6" l="1"/>
  <c r="BK256" i="6" s="1"/>
  <c r="BI256" i="6"/>
  <c r="BS256" i="6" l="1"/>
  <c r="CA256" i="6" s="1"/>
  <c r="AG257" i="6" l="1"/>
  <c r="CI256" i="6"/>
  <c r="CB256" i="6" s="1"/>
  <c r="AO257" i="6" l="1"/>
  <c r="Q257" i="6"/>
  <c r="R257" i="6" s="1"/>
  <c r="S257" i="6" s="1"/>
  <c r="AH257" i="6"/>
  <c r="CJ256" i="6"/>
  <c r="CC256" i="6" s="1"/>
  <c r="AP257" i="6" l="1"/>
  <c r="AI257" i="6"/>
  <c r="CK256" i="6"/>
  <c r="CD256" i="6" s="1"/>
  <c r="W257" i="6" l="1"/>
  <c r="Z257" i="6" s="1"/>
  <c r="AQ257" i="6"/>
  <c r="CL256" i="6"/>
  <c r="CE256" i="6" s="1"/>
  <c r="AJ257" i="6"/>
  <c r="CM256" i="6" l="1"/>
  <c r="CF256" i="6" s="1"/>
  <c r="AK257" i="6"/>
  <c r="AC257" i="6"/>
  <c r="AR257" i="6"/>
  <c r="AL257" i="6" l="1"/>
  <c r="CN256" i="6"/>
  <c r="CG256" i="6" s="1"/>
  <c r="AS257" i="6"/>
  <c r="AT257" i="6" l="1"/>
  <c r="AM257" i="6"/>
  <c r="CO256" i="6"/>
  <c r="CH256" i="6" s="1"/>
  <c r="X257" i="6" l="1"/>
  <c r="AU257" i="6"/>
  <c r="CP256" i="6"/>
  <c r="T256" i="6" s="1"/>
  <c r="AN257" i="6"/>
  <c r="Y257" i="6" l="1"/>
  <c r="AB257" i="6" s="1"/>
  <c r="AA257" i="6"/>
  <c r="AV257" i="6"/>
  <c r="AW257" i="6" s="1"/>
  <c r="BA257" i="6" l="1"/>
  <c r="BL257" i="6" s="1"/>
  <c r="BG257" i="6"/>
  <c r="BR257" i="6" s="1"/>
  <c r="BZ257" i="6" s="1"/>
  <c r="BB257" i="6"/>
  <c r="BM257" i="6" s="1"/>
  <c r="BC257" i="6"/>
  <c r="BN257" i="6" s="1"/>
  <c r="BE257" i="6"/>
  <c r="BP257" i="6" s="1"/>
  <c r="AX257" i="6"/>
  <c r="AZ257" i="6"/>
  <c r="BD257" i="6"/>
  <c r="BO257" i="6" s="1"/>
  <c r="BF257" i="6"/>
  <c r="BQ257" i="6" s="1"/>
  <c r="BT257" i="6" l="1"/>
  <c r="BU257" i="6"/>
  <c r="BV257" i="6"/>
  <c r="BX257" i="6"/>
  <c r="AY257" i="6"/>
  <c r="BH257" i="6"/>
  <c r="BW257" i="6"/>
  <c r="BY257" i="6"/>
  <c r="BI257" i="6" l="1"/>
  <c r="BJ257" i="6" s="1"/>
  <c r="BK257" i="6" s="1"/>
  <c r="BS257" i="6" l="1"/>
  <c r="CA257" i="6" s="1"/>
  <c r="CI257" i="6" l="1"/>
  <c r="CB257" i="6" s="1"/>
  <c r="AG258" i="6"/>
  <c r="AH258" i="6"/>
  <c r="CJ257" i="6"/>
  <c r="CC257" i="6" s="1"/>
  <c r="AO258" i="6" l="1"/>
  <c r="Q258" i="6"/>
  <c r="R258" i="6" s="1"/>
  <c r="S258" i="6" s="1"/>
  <c r="AP258" i="6"/>
  <c r="AI258" i="6"/>
  <c r="CK257" i="6"/>
  <c r="CD257" i="6" s="1"/>
  <c r="AQ258" i="6" l="1"/>
  <c r="AJ258" i="6"/>
  <c r="CL257" i="6"/>
  <c r="CE257" i="6" s="1"/>
  <c r="W258" i="6" l="1"/>
  <c r="Z258" i="6" s="1"/>
  <c r="AC258" i="6"/>
  <c r="AR258" i="6"/>
  <c r="CM257" i="6"/>
  <c r="CF257" i="6" s="1"/>
  <c r="AK258" i="6"/>
  <c r="AL258" i="6" l="1"/>
  <c r="CN257" i="6"/>
  <c r="CG257" i="6" s="1"/>
  <c r="AS258" i="6"/>
  <c r="AT258" i="6" l="1"/>
  <c r="AM258" i="6"/>
  <c r="CO257" i="6"/>
  <c r="CH257" i="6" s="1"/>
  <c r="X258" i="6" l="1"/>
  <c r="AU258" i="6"/>
  <c r="CP257" i="6"/>
  <c r="T257" i="6" s="1"/>
  <c r="AN258" i="6"/>
  <c r="Y258" i="6" l="1"/>
  <c r="AB258" i="6" s="1"/>
  <c r="AA258" i="6"/>
  <c r="AV258" i="6"/>
  <c r="AW258" i="6" s="1"/>
  <c r="BD258" i="6" l="1"/>
  <c r="BO258" i="6" s="1"/>
  <c r="BE258" i="6"/>
  <c r="BP258" i="6" s="1"/>
  <c r="BB258" i="6"/>
  <c r="BM258" i="6" s="1"/>
  <c r="BG258" i="6"/>
  <c r="BR258" i="6" s="1"/>
  <c r="BA258" i="6"/>
  <c r="BL258" i="6" s="1"/>
  <c r="BC258" i="6"/>
  <c r="BN258" i="6" s="1"/>
  <c r="AZ258" i="6"/>
  <c r="AX258" i="6"/>
  <c r="BF258" i="6"/>
  <c r="BQ258" i="6" s="1"/>
  <c r="BW258" i="6" l="1"/>
  <c r="BX258" i="6"/>
  <c r="BU258" i="6"/>
  <c r="BT258" i="6"/>
  <c r="BV258" i="6"/>
  <c r="BH258" i="6"/>
  <c r="AY258" i="6"/>
  <c r="BY258" i="6"/>
  <c r="BZ258" i="6"/>
  <c r="BJ258" i="6" l="1"/>
  <c r="BK258" i="6" s="1"/>
  <c r="BI258" i="6"/>
  <c r="BS258" i="6" l="1"/>
  <c r="CA258" i="6"/>
  <c r="CI258" i="6" l="1"/>
  <c r="CB258" i="6" s="1"/>
  <c r="AG259" i="6"/>
  <c r="CJ258" i="6" l="1"/>
  <c r="CC258" i="6" s="1"/>
  <c r="AH259" i="6"/>
  <c r="Q259" i="6"/>
  <c r="R259" i="6" s="1"/>
  <c r="S259" i="6" s="1"/>
  <c r="AO259" i="6"/>
  <c r="CK258" i="6" l="1"/>
  <c r="CD258" i="6" s="1"/>
  <c r="AI259" i="6"/>
  <c r="AP259" i="6"/>
  <c r="CL258" i="6" l="1"/>
  <c r="CE258" i="6" s="1"/>
  <c r="AJ259" i="6"/>
  <c r="W259" i="6"/>
  <c r="Z259" i="6" s="1"/>
  <c r="AQ259" i="6"/>
  <c r="CM258" i="6" l="1"/>
  <c r="CF258" i="6" s="1"/>
  <c r="AK259" i="6"/>
  <c r="AR259" i="6"/>
  <c r="AC259" i="6"/>
  <c r="AL259" i="6" l="1"/>
  <c r="CN258" i="6"/>
  <c r="CG258" i="6" s="1"/>
  <c r="AS259" i="6"/>
  <c r="AT259" i="6" l="1"/>
  <c r="AM259" i="6"/>
  <c r="CO258" i="6"/>
  <c r="CH258" i="6" s="1"/>
  <c r="X259" i="6" l="1"/>
  <c r="AU259" i="6"/>
  <c r="CP258" i="6"/>
  <c r="T258" i="6" s="1"/>
  <c r="AN259" i="6"/>
  <c r="AA259" i="6" l="1"/>
  <c r="Y259" i="6"/>
  <c r="AB259" i="6" s="1"/>
  <c r="AV259" i="6"/>
  <c r="AW259" i="6" s="1"/>
  <c r="AZ259" i="6" l="1"/>
  <c r="BC259" i="6"/>
  <c r="BN259" i="6" s="1"/>
  <c r="BB259" i="6"/>
  <c r="BM259" i="6" s="1"/>
  <c r="BD259" i="6"/>
  <c r="BO259" i="6" s="1"/>
  <c r="BG259" i="6"/>
  <c r="BR259" i="6" s="1"/>
  <c r="AX259" i="6"/>
  <c r="BA259" i="6"/>
  <c r="BL259" i="6" s="1"/>
  <c r="BE259" i="6"/>
  <c r="BP259" i="6" s="1"/>
  <c r="BF259" i="6"/>
  <c r="BQ259" i="6" s="1"/>
  <c r="BZ259" i="6"/>
  <c r="BV259" i="6" l="1"/>
  <c r="BU259" i="6"/>
  <c r="BW259" i="6"/>
  <c r="AY259" i="6"/>
  <c r="BH259" i="6"/>
  <c r="BT259" i="6"/>
  <c r="BX259" i="6"/>
  <c r="BY259" i="6"/>
  <c r="BI259" i="6" l="1"/>
  <c r="BJ259" i="6" s="1"/>
  <c r="BK259" i="6" s="1"/>
  <c r="CA259" i="6" l="1"/>
  <c r="BS259" i="6"/>
  <c r="CI259" i="6" l="1"/>
  <c r="CB259" i="6" s="1"/>
  <c r="AH260" i="6" s="1"/>
  <c r="AG260" i="6"/>
  <c r="CJ259" i="6"/>
  <c r="CC259" i="6" s="1"/>
  <c r="AO260" i="6" l="1"/>
  <c r="Q260" i="6"/>
  <c r="R260" i="6" s="1"/>
  <c r="S260" i="6" s="1"/>
  <c r="CK259" i="6"/>
  <c r="CD259" i="6" s="1"/>
  <c r="AI260" i="6"/>
  <c r="AP260" i="6"/>
  <c r="AJ260" i="6" l="1"/>
  <c r="CL259" i="6"/>
  <c r="CE259" i="6" s="1"/>
  <c r="AQ260" i="6"/>
  <c r="W260" i="6" l="1"/>
  <c r="Z260" i="6" s="1"/>
  <c r="AC260" i="6"/>
  <c r="AR260" i="6"/>
  <c r="AK260" i="6"/>
  <c r="CM259" i="6"/>
  <c r="CF259" i="6" s="1"/>
  <c r="AS260" i="6" l="1"/>
  <c r="AL260" i="6"/>
  <c r="CN259" i="6"/>
  <c r="CG259" i="6" s="1"/>
  <c r="AT260" i="6" l="1"/>
  <c r="AM260" i="6"/>
  <c r="CO259" i="6"/>
  <c r="CH259" i="6" s="1"/>
  <c r="X260" i="6" l="1"/>
  <c r="AU260" i="6"/>
  <c r="CP259" i="6"/>
  <c r="T259" i="6" s="1"/>
  <c r="AN260" i="6"/>
  <c r="Y260" i="6" l="1"/>
  <c r="AB260" i="6" s="1"/>
  <c r="AA260" i="6"/>
  <c r="AV260" i="6"/>
  <c r="AW260" i="6" s="1"/>
  <c r="BF260" i="6" l="1"/>
  <c r="BQ260" i="6" s="1"/>
  <c r="BC260" i="6"/>
  <c r="BN260" i="6" s="1"/>
  <c r="BA260" i="6"/>
  <c r="BL260" i="6" s="1"/>
  <c r="AX260" i="6"/>
  <c r="BE260" i="6"/>
  <c r="BP260" i="6" s="1"/>
  <c r="BB260" i="6"/>
  <c r="BM260" i="6" s="1"/>
  <c r="BG260" i="6"/>
  <c r="BR260" i="6" s="1"/>
  <c r="BD260" i="6"/>
  <c r="BO260" i="6" s="1"/>
  <c r="AZ260" i="6"/>
  <c r="BY260" i="6" l="1"/>
  <c r="BV260" i="6"/>
  <c r="BT260" i="6"/>
  <c r="AY260" i="6"/>
  <c r="BH260" i="6"/>
  <c r="BX260" i="6"/>
  <c r="BU260" i="6"/>
  <c r="BZ260" i="6"/>
  <c r="BW260" i="6"/>
  <c r="BI260" i="6" l="1"/>
  <c r="BJ260" i="6" s="1"/>
  <c r="BK260" i="6" s="1"/>
  <c r="BS260" i="6" l="1"/>
  <c r="CA260" i="6" s="1"/>
  <c r="CI260" i="6" l="1"/>
  <c r="CB260" i="6" s="1"/>
  <c r="AG261" i="6"/>
  <c r="Q261" i="6" l="1"/>
  <c r="R261" i="6" s="1"/>
  <c r="S261" i="6" s="1"/>
  <c r="AO261" i="6"/>
  <c r="AH261" i="6"/>
  <c r="CJ260" i="6"/>
  <c r="CC260" i="6" s="1"/>
  <c r="AP261" i="6" l="1"/>
  <c r="CK260" i="6"/>
  <c r="CD260" i="6" s="1"/>
  <c r="AI261" i="6"/>
  <c r="CL260" i="6" l="1"/>
  <c r="CE260" i="6" s="1"/>
  <c r="AJ261" i="6"/>
  <c r="W261" i="6"/>
  <c r="Z261" i="6" s="1"/>
  <c r="AQ261" i="6"/>
  <c r="CM260" i="6" l="1"/>
  <c r="CF260" i="6" s="1"/>
  <c r="AK261" i="6"/>
  <c r="AR261" i="6"/>
  <c r="AC261" i="6"/>
  <c r="AL261" i="6" l="1"/>
  <c r="CN260" i="6"/>
  <c r="CG260" i="6" s="1"/>
  <c r="AS261" i="6"/>
  <c r="AT261" i="6" l="1"/>
  <c r="AM261" i="6"/>
  <c r="CO260" i="6"/>
  <c r="CH260" i="6" s="1"/>
  <c r="AU261" i="6" l="1"/>
  <c r="CP260" i="6"/>
  <c r="T260" i="6" s="1"/>
  <c r="AN261" i="6"/>
  <c r="X261" i="6" s="1"/>
  <c r="Y261" i="6" l="1"/>
  <c r="AB261" i="6" s="1"/>
  <c r="AA261" i="6"/>
  <c r="AV261" i="6"/>
  <c r="AW261" i="6" s="1"/>
  <c r="BF261" i="6" l="1"/>
  <c r="BQ261" i="6" s="1"/>
  <c r="BD261" i="6"/>
  <c r="BO261" i="6" s="1"/>
  <c r="BA261" i="6"/>
  <c r="BL261" i="6" s="1"/>
  <c r="BG261" i="6"/>
  <c r="BR261" i="6" s="1"/>
  <c r="BC261" i="6"/>
  <c r="BN261" i="6" s="1"/>
  <c r="AZ261" i="6"/>
  <c r="AX261" i="6"/>
  <c r="BE261" i="6"/>
  <c r="BP261" i="6" s="1"/>
  <c r="BB261" i="6"/>
  <c r="BM261" i="6" s="1"/>
  <c r="BY261" i="6" l="1"/>
  <c r="BW261" i="6"/>
  <c r="BT261" i="6"/>
  <c r="BZ261" i="6"/>
  <c r="BV261" i="6"/>
  <c r="BH261" i="6"/>
  <c r="AY261" i="6"/>
  <c r="BX261" i="6"/>
  <c r="BU261" i="6"/>
  <c r="BI261" i="6" l="1"/>
  <c r="BJ261" i="6" s="1"/>
  <c r="BK261" i="6" s="1"/>
  <c r="BS261" i="6" l="1"/>
  <c r="CA261" i="6" s="1"/>
  <c r="CI261" i="6" l="1"/>
  <c r="CB261" i="6" s="1"/>
  <c r="AG262" i="6"/>
  <c r="AH262" i="6" l="1"/>
  <c r="CJ261" i="6"/>
  <c r="CC261" i="6" s="1"/>
  <c r="AO262" i="6"/>
  <c r="Q262" i="6"/>
  <c r="R262" i="6" s="1"/>
  <c r="S262" i="6" s="1"/>
  <c r="AP262" i="6" l="1"/>
  <c r="AI262" i="6"/>
  <c r="CK261" i="6"/>
  <c r="CD261" i="6" s="1"/>
  <c r="W262" i="6" l="1"/>
  <c r="Z262" i="6" s="1"/>
  <c r="AQ262" i="6"/>
  <c r="AJ262" i="6"/>
  <c r="CL261" i="6"/>
  <c r="CE261" i="6" s="1"/>
  <c r="AR262" i="6" l="1"/>
  <c r="AC262" i="6"/>
  <c r="CM261" i="6"/>
  <c r="CF261" i="6" s="1"/>
  <c r="AK262" i="6"/>
  <c r="CN261" i="6" l="1"/>
  <c r="CG261" i="6" s="1"/>
  <c r="AL262" i="6"/>
  <c r="AS262" i="6"/>
  <c r="AM262" i="6" l="1"/>
  <c r="CO261" i="6"/>
  <c r="CH261" i="6" s="1"/>
  <c r="AT262" i="6"/>
  <c r="AU262" i="6" l="1"/>
  <c r="AN262" i="6"/>
  <c r="X262" i="6" s="1"/>
  <c r="CP261" i="6"/>
  <c r="T261" i="6" s="1"/>
  <c r="Y262" i="6" l="1"/>
  <c r="AB262" i="6" s="1"/>
  <c r="AA262" i="6"/>
  <c r="AV262" i="6"/>
  <c r="AW262" i="6" s="1"/>
  <c r="BF262" i="6" l="1"/>
  <c r="BQ262" i="6" s="1"/>
  <c r="BD262" i="6"/>
  <c r="BO262" i="6" s="1"/>
  <c r="AX262" i="6"/>
  <c r="BG262" i="6"/>
  <c r="BR262" i="6" s="1"/>
  <c r="BC262" i="6"/>
  <c r="BN262" i="6" s="1"/>
  <c r="BE262" i="6"/>
  <c r="BP262" i="6" s="1"/>
  <c r="BB262" i="6"/>
  <c r="BM262" i="6" s="1"/>
  <c r="AZ262" i="6"/>
  <c r="BA262" i="6"/>
  <c r="BL262" i="6" s="1"/>
  <c r="BY262" i="6" l="1"/>
  <c r="BW262" i="6"/>
  <c r="BH262" i="6"/>
  <c r="AY262" i="6"/>
  <c r="BV262" i="6"/>
  <c r="BX262" i="6"/>
  <c r="BU262" i="6"/>
  <c r="BT262" i="6"/>
  <c r="BZ262" i="6"/>
  <c r="BI262" i="6" l="1"/>
  <c r="BJ262" i="6" s="1"/>
  <c r="BK262" i="6" s="1"/>
  <c r="BS262" i="6" l="1"/>
  <c r="CA262" i="6" s="1"/>
  <c r="AG263" i="6" l="1"/>
  <c r="CI262" i="6"/>
  <c r="CB262" i="6" s="1"/>
  <c r="Q263" i="6" l="1"/>
  <c r="R263" i="6" s="1"/>
  <c r="S263" i="6" s="1"/>
  <c r="AO263" i="6"/>
  <c r="CJ262" i="6"/>
  <c r="CC262" i="6" s="1"/>
  <c r="AH263" i="6"/>
  <c r="AI263" i="6" l="1"/>
  <c r="CK262" i="6"/>
  <c r="CD262" i="6" s="1"/>
  <c r="AP263" i="6"/>
  <c r="AQ263" i="6" l="1"/>
  <c r="AJ263" i="6"/>
  <c r="W263" i="6" s="1"/>
  <c r="Z263" i="6" s="1"/>
  <c r="CL262" i="6"/>
  <c r="CE262" i="6" s="1"/>
  <c r="AC263" i="6" l="1"/>
  <c r="AR263" i="6"/>
  <c r="AK263" i="6"/>
  <c r="CM262" i="6"/>
  <c r="CF262" i="6" s="1"/>
  <c r="AS263" i="6" l="1"/>
  <c r="AL263" i="6"/>
  <c r="CN262" i="6"/>
  <c r="CG262" i="6" s="1"/>
  <c r="AT263" i="6" l="1"/>
  <c r="AM263" i="6"/>
  <c r="CO262" i="6"/>
  <c r="CH262" i="6" s="1"/>
  <c r="X263" i="6" l="1"/>
  <c r="AU263" i="6"/>
  <c r="AN263" i="6"/>
  <c r="CP262" i="6"/>
  <c r="T262" i="6" s="1"/>
  <c r="Y263" i="6" l="1"/>
  <c r="AB263" i="6" s="1"/>
  <c r="AA263" i="6"/>
  <c r="AV263" i="6"/>
  <c r="AW263" i="6" s="1"/>
  <c r="BC263" i="6" l="1"/>
  <c r="BN263" i="6" s="1"/>
  <c r="BF263" i="6"/>
  <c r="BQ263" i="6" s="1"/>
  <c r="AX263" i="6"/>
  <c r="BB263" i="6"/>
  <c r="BM263" i="6" s="1"/>
  <c r="BD263" i="6"/>
  <c r="BO263" i="6" s="1"/>
  <c r="BE263" i="6"/>
  <c r="BP263" i="6" s="1"/>
  <c r="BG263" i="6"/>
  <c r="BR263" i="6" s="1"/>
  <c r="AZ263" i="6"/>
  <c r="BA263" i="6"/>
  <c r="BL263" i="6" s="1"/>
  <c r="BZ263" i="6"/>
  <c r="BV263" i="6" l="1"/>
  <c r="BY263" i="6"/>
  <c r="AY263" i="6"/>
  <c r="BH263" i="6"/>
  <c r="BU263" i="6"/>
  <c r="BW263" i="6"/>
  <c r="BX263" i="6"/>
  <c r="BT263" i="6"/>
  <c r="BJ263" i="6" l="1"/>
  <c r="BK263" i="6" s="1"/>
  <c r="BI263" i="6"/>
  <c r="BS263" i="6" l="1"/>
  <c r="CA263" i="6" s="1"/>
  <c r="CI263" i="6" l="1"/>
  <c r="CB263" i="6" s="1"/>
  <c r="AG264" i="6"/>
  <c r="AO264" i="6" l="1"/>
  <c r="Q264" i="6"/>
  <c r="R264" i="6" s="1"/>
  <c r="S264" i="6" s="1"/>
  <c r="CJ263" i="6"/>
  <c r="CC263" i="6" s="1"/>
  <c r="AH264" i="6"/>
  <c r="CK263" i="6" l="1"/>
  <c r="CD263" i="6" s="1"/>
  <c r="AI264" i="6"/>
  <c r="AP264" i="6"/>
  <c r="AJ264" i="6" l="1"/>
  <c r="CL263" i="6"/>
  <c r="CE263" i="6" s="1"/>
  <c r="W264" i="6"/>
  <c r="Z264" i="6" s="1"/>
  <c r="AQ264" i="6"/>
  <c r="AC264" i="6" l="1"/>
  <c r="AR264" i="6"/>
  <c r="CM263" i="6"/>
  <c r="CF263" i="6" s="1"/>
  <c r="AK264" i="6"/>
  <c r="CN263" i="6" l="1"/>
  <c r="CG263" i="6" s="1"/>
  <c r="AL264" i="6"/>
  <c r="AS264" i="6"/>
  <c r="AM264" i="6" l="1"/>
  <c r="CO263" i="6"/>
  <c r="CH263" i="6" s="1"/>
  <c r="AT264" i="6"/>
  <c r="X264" i="6" l="1"/>
  <c r="AU264" i="6"/>
  <c r="AN264" i="6"/>
  <c r="CP263" i="6"/>
  <c r="T263" i="6" s="1"/>
  <c r="Y264" i="6" l="1"/>
  <c r="AB264" i="6" s="1"/>
  <c r="AA264" i="6"/>
  <c r="AV264" i="6"/>
  <c r="AW264" i="6" s="1"/>
  <c r="BG264" i="6" l="1"/>
  <c r="BR264" i="6" s="1"/>
  <c r="BE264" i="6"/>
  <c r="BP264" i="6" s="1"/>
  <c r="BD264" i="6"/>
  <c r="BO264" i="6" s="1"/>
  <c r="AZ264" i="6"/>
  <c r="AX264" i="6"/>
  <c r="BF264" i="6"/>
  <c r="BQ264" i="6" s="1"/>
  <c r="BC264" i="6"/>
  <c r="BN264" i="6" s="1"/>
  <c r="BB264" i="6"/>
  <c r="BM264" i="6" s="1"/>
  <c r="BA264" i="6"/>
  <c r="BL264" i="6" s="1"/>
  <c r="BZ264" i="6" l="1"/>
  <c r="BX264" i="6"/>
  <c r="BW264" i="6"/>
  <c r="BH264" i="6"/>
  <c r="AY264" i="6"/>
  <c r="BY264" i="6"/>
  <c r="BV264" i="6"/>
  <c r="BU264" i="6"/>
  <c r="BT264" i="6"/>
  <c r="BI264" i="6" l="1"/>
  <c r="BJ264" i="6" s="1"/>
  <c r="BK264" i="6" s="1"/>
  <c r="BS264" i="6" l="1"/>
  <c r="CA264" i="6" s="1"/>
  <c r="CI264" i="6" l="1"/>
  <c r="CB264" i="6" s="1"/>
  <c r="AG265" i="6"/>
  <c r="Q265" i="6" l="1"/>
  <c r="R265" i="6" s="1"/>
  <c r="S265" i="6" s="1"/>
  <c r="AO265" i="6"/>
  <c r="CJ264" i="6"/>
  <c r="CC264" i="6" s="1"/>
  <c r="AH265" i="6"/>
  <c r="AI265" i="6" l="1"/>
  <c r="CK264" i="6"/>
  <c r="CD264" i="6" s="1"/>
  <c r="AP265" i="6"/>
  <c r="AQ265" i="6" l="1"/>
  <c r="CL264" i="6"/>
  <c r="CE264" i="6" s="1"/>
  <c r="AJ265" i="6"/>
  <c r="W265" i="6" s="1"/>
  <c r="Z265" i="6" s="1"/>
  <c r="AK265" i="6" l="1"/>
  <c r="CM264" i="6"/>
  <c r="CF264" i="6" s="1"/>
  <c r="AR265" i="6"/>
  <c r="AC265" i="6"/>
  <c r="AS265" i="6" l="1"/>
  <c r="CN264" i="6"/>
  <c r="CG264" i="6" s="1"/>
  <c r="AL265" i="6"/>
  <c r="AM265" i="6" l="1"/>
  <c r="CO264" i="6"/>
  <c r="CH264" i="6" s="1"/>
  <c r="AT265" i="6"/>
  <c r="AU265" i="6" l="1"/>
  <c r="AN265" i="6"/>
  <c r="X265" i="6" s="1"/>
  <c r="CP264" i="6"/>
  <c r="T264" i="6" s="1"/>
  <c r="AA265" i="6" l="1"/>
  <c r="Y265" i="6"/>
  <c r="AB265" i="6" s="1"/>
  <c r="AV265" i="6"/>
  <c r="AW265" i="6" s="1"/>
  <c r="BE265" i="6" l="1"/>
  <c r="BP265" i="6" s="1"/>
  <c r="BF265" i="6"/>
  <c r="BQ265" i="6" s="1"/>
  <c r="AZ265" i="6"/>
  <c r="BC265" i="6"/>
  <c r="BN265" i="6" s="1"/>
  <c r="BD265" i="6"/>
  <c r="BO265" i="6" s="1"/>
  <c r="BG265" i="6"/>
  <c r="BR265" i="6" s="1"/>
  <c r="AX265" i="6"/>
  <c r="BB265" i="6"/>
  <c r="BM265" i="6" s="1"/>
  <c r="BA265" i="6"/>
  <c r="BL265" i="6" s="1"/>
  <c r="BZ265" i="6"/>
  <c r="BX265" i="6" l="1"/>
  <c r="BY265" i="6"/>
  <c r="BV265" i="6"/>
  <c r="BW265" i="6"/>
  <c r="AY265" i="6"/>
  <c r="BH265" i="6"/>
  <c r="BU265" i="6"/>
  <c r="BT265" i="6"/>
  <c r="BI265" i="6" l="1"/>
  <c r="BJ265" i="6" s="1"/>
  <c r="BK265" i="6" s="1"/>
  <c r="BS265" i="6" l="1"/>
  <c r="CA265" i="6"/>
  <c r="CI265" i="6" l="1"/>
  <c r="CB265" i="6" s="1"/>
  <c r="AG266" i="6"/>
  <c r="CJ265" i="6" l="1"/>
  <c r="CC265" i="6" s="1"/>
  <c r="AH266" i="6"/>
  <c r="AO266" i="6"/>
  <c r="Q266" i="6"/>
  <c r="R266" i="6" s="1"/>
  <c r="S266" i="6" s="1"/>
  <c r="CK265" i="6" l="1"/>
  <c r="CD265" i="6" s="1"/>
  <c r="AI266" i="6"/>
  <c r="AP266" i="6"/>
  <c r="CL265" i="6" l="1"/>
  <c r="CE265" i="6" s="1"/>
  <c r="AJ266" i="6"/>
  <c r="W266" i="6"/>
  <c r="Z266" i="6" s="1"/>
  <c r="AQ266" i="6"/>
  <c r="AK266" i="6" l="1"/>
  <c r="CM265" i="6"/>
  <c r="CF265" i="6" s="1"/>
  <c r="AR266" i="6"/>
  <c r="AC266" i="6"/>
  <c r="AS266" i="6" l="1"/>
  <c r="CN265" i="6"/>
  <c r="CG265" i="6" s="1"/>
  <c r="AL266" i="6"/>
  <c r="AM266" i="6" l="1"/>
  <c r="CO265" i="6"/>
  <c r="CH265" i="6" s="1"/>
  <c r="AT266" i="6"/>
  <c r="AU266" i="6" l="1"/>
  <c r="AN266" i="6"/>
  <c r="X266" i="6" s="1"/>
  <c r="CP265" i="6"/>
  <c r="T265" i="6" s="1"/>
  <c r="Y266" i="6" l="1"/>
  <c r="AB266" i="6" s="1"/>
  <c r="AA266" i="6"/>
  <c r="AV266" i="6"/>
  <c r="AW266" i="6" s="1"/>
  <c r="AZ266" i="6" l="1"/>
  <c r="BD266" i="6"/>
  <c r="BO266" i="6" s="1"/>
  <c r="BF266" i="6"/>
  <c r="BQ266" i="6" s="1"/>
  <c r="BG266" i="6"/>
  <c r="BR266" i="6" s="1"/>
  <c r="BC266" i="6"/>
  <c r="BN266" i="6" s="1"/>
  <c r="BE266" i="6"/>
  <c r="BP266" i="6" s="1"/>
  <c r="BA266" i="6"/>
  <c r="BL266" i="6" s="1"/>
  <c r="BB266" i="6"/>
  <c r="BM266" i="6" s="1"/>
  <c r="AX266" i="6"/>
  <c r="BW266" i="6" l="1"/>
  <c r="BY266" i="6"/>
  <c r="BZ266" i="6"/>
  <c r="BV266" i="6"/>
  <c r="BX266" i="6"/>
  <c r="BT266" i="6"/>
  <c r="BU266" i="6"/>
  <c r="AY266" i="6"/>
  <c r="BH266" i="6"/>
  <c r="BI266" i="6" l="1"/>
  <c r="BJ266" i="6" s="1"/>
  <c r="BK266" i="6" s="1"/>
  <c r="BS266" i="6" l="1"/>
  <c r="CA266" i="6"/>
  <c r="AG267" i="6" l="1"/>
  <c r="CI266" i="6"/>
  <c r="CB266" i="6" s="1"/>
  <c r="AO267" i="6" l="1"/>
  <c r="Q267" i="6"/>
  <c r="R267" i="6" s="1"/>
  <c r="S267" i="6" s="1"/>
  <c r="CJ266" i="6"/>
  <c r="CC266" i="6" s="1"/>
  <c r="AH267" i="6"/>
  <c r="AI267" i="6" l="1"/>
  <c r="CK266" i="6"/>
  <c r="CD266" i="6" s="1"/>
  <c r="AP267" i="6"/>
  <c r="AQ267" i="6" l="1"/>
  <c r="AJ267" i="6"/>
  <c r="W267" i="6" s="1"/>
  <c r="Z267" i="6" s="1"/>
  <c r="CL266" i="6"/>
  <c r="CE266" i="6" s="1"/>
  <c r="AC267" i="6" l="1"/>
  <c r="AR267" i="6"/>
  <c r="CM266" i="6"/>
  <c r="CF266" i="6" s="1"/>
  <c r="AK267" i="6"/>
  <c r="CN266" i="6" l="1"/>
  <c r="CG266" i="6" s="1"/>
  <c r="AL267" i="6"/>
  <c r="AS267" i="6"/>
  <c r="AM267" i="6" l="1"/>
  <c r="CO266" i="6"/>
  <c r="CH266" i="6" s="1"/>
  <c r="AT267" i="6"/>
  <c r="X267" i="6" l="1"/>
  <c r="AU267" i="6"/>
  <c r="AN267" i="6"/>
  <c r="CP266" i="6"/>
  <c r="T266" i="6" s="1"/>
  <c r="Y267" i="6" l="1"/>
  <c r="AB267" i="6" s="1"/>
  <c r="AA267" i="6"/>
  <c r="AV267" i="6"/>
  <c r="AW267" i="6" s="1"/>
  <c r="BG267" i="6" l="1"/>
  <c r="BR267" i="6" s="1"/>
  <c r="BZ267" i="6" s="1"/>
  <c r="BC267" i="6"/>
  <c r="BN267" i="6" s="1"/>
  <c r="AZ267" i="6"/>
  <c r="BE267" i="6"/>
  <c r="BP267" i="6" s="1"/>
  <c r="BD267" i="6"/>
  <c r="BO267" i="6" s="1"/>
  <c r="BA267" i="6"/>
  <c r="BL267" i="6" s="1"/>
  <c r="AX267" i="6"/>
  <c r="BF267" i="6"/>
  <c r="BQ267" i="6" s="1"/>
  <c r="BB267" i="6"/>
  <c r="BM267" i="6" s="1"/>
  <c r="BV267" i="6" l="1"/>
  <c r="BX267" i="6"/>
  <c r="BW267" i="6"/>
  <c r="BT267" i="6"/>
  <c r="BH267" i="6"/>
  <c r="AY267" i="6"/>
  <c r="BY267" i="6"/>
  <c r="BU267" i="6"/>
  <c r="BI267" i="6" l="1"/>
  <c r="BJ267" i="6" s="1"/>
  <c r="BK267" i="6" s="1"/>
  <c r="BS267" i="6" l="1"/>
  <c r="CA267" i="6" s="1"/>
  <c r="CI267" i="6" l="1"/>
  <c r="CB267" i="6" s="1"/>
  <c r="AG268" i="6"/>
  <c r="AO268" i="6" l="1"/>
  <c r="Q268" i="6"/>
  <c r="R268" i="6" s="1"/>
  <c r="S268" i="6" s="1"/>
  <c r="CJ267" i="6"/>
  <c r="CC267" i="6" s="1"/>
  <c r="AH268" i="6"/>
  <c r="CK267" i="6" l="1"/>
  <c r="CD267" i="6" s="1"/>
  <c r="AI268" i="6"/>
  <c r="AP268" i="6"/>
  <c r="CL267" i="6" l="1"/>
  <c r="CE267" i="6" s="1"/>
  <c r="AJ268" i="6"/>
  <c r="W268" i="6"/>
  <c r="Z268" i="6" s="1"/>
  <c r="AQ268" i="6"/>
  <c r="CM267" i="6" l="1"/>
  <c r="CF267" i="6" s="1"/>
  <c r="AK268" i="6"/>
  <c r="AC268" i="6"/>
  <c r="AR268" i="6"/>
  <c r="AL268" i="6" l="1"/>
  <c r="CN267" i="6"/>
  <c r="CG267" i="6" s="1"/>
  <c r="AS268" i="6"/>
  <c r="AT268" i="6" l="1"/>
  <c r="AM268" i="6"/>
  <c r="CO267" i="6"/>
  <c r="CH267" i="6" s="1"/>
  <c r="AU268" i="6" l="1"/>
  <c r="AN268" i="6"/>
  <c r="X268" i="6" s="1"/>
  <c r="CP267" i="6"/>
  <c r="T267" i="6" s="1"/>
  <c r="Y268" i="6" l="1"/>
  <c r="AB268" i="6" s="1"/>
  <c r="AA268" i="6"/>
  <c r="AV268" i="6"/>
  <c r="AW268" i="6" s="1"/>
  <c r="BG268" i="6" l="1"/>
  <c r="BR268" i="6" s="1"/>
  <c r="BD268" i="6"/>
  <c r="BO268" i="6" s="1"/>
  <c r="AZ268" i="6"/>
  <c r="AX268" i="6"/>
  <c r="BE268" i="6"/>
  <c r="BP268" i="6" s="1"/>
  <c r="BC268" i="6"/>
  <c r="BN268" i="6" s="1"/>
  <c r="BF268" i="6"/>
  <c r="BQ268" i="6" s="1"/>
  <c r="BA268" i="6"/>
  <c r="BL268" i="6" s="1"/>
  <c r="BB268" i="6"/>
  <c r="BM268" i="6" s="1"/>
  <c r="BZ268" i="6" l="1"/>
  <c r="BW268" i="6"/>
  <c r="BH268" i="6"/>
  <c r="AY268" i="6"/>
  <c r="BX268" i="6"/>
  <c r="BV268" i="6"/>
  <c r="BY268" i="6"/>
  <c r="BT268" i="6"/>
  <c r="BU268" i="6"/>
  <c r="BJ268" i="6" l="1"/>
  <c r="BK268" i="6" s="1"/>
  <c r="BI268" i="6"/>
  <c r="BS268" i="6" l="1"/>
  <c r="CA268" i="6" s="1"/>
  <c r="AG269" i="6" l="1"/>
  <c r="CI268" i="6"/>
  <c r="CB268" i="6" s="1"/>
  <c r="AH269" i="6"/>
  <c r="CJ268" i="6"/>
  <c r="CC268" i="6" s="1"/>
  <c r="AO269" i="6" l="1"/>
  <c r="Q269" i="6"/>
  <c r="R269" i="6" s="1"/>
  <c r="S269" i="6" s="1"/>
  <c r="AP269" i="6"/>
  <c r="CK268" i="6"/>
  <c r="CD268" i="6" s="1"/>
  <c r="AI269" i="6"/>
  <c r="CL268" i="6" l="1"/>
  <c r="CE268" i="6" s="1"/>
  <c r="AJ269" i="6"/>
  <c r="AQ269" i="6"/>
  <c r="CM268" i="6" l="1"/>
  <c r="CF268" i="6" s="1"/>
  <c r="AK269" i="6"/>
  <c r="W269" i="6"/>
  <c r="Z269" i="6" s="1"/>
  <c r="AC269" i="6"/>
  <c r="AR269" i="6"/>
  <c r="AL269" i="6" l="1"/>
  <c r="CN268" i="6"/>
  <c r="CG268" i="6" s="1"/>
  <c r="AS269" i="6"/>
  <c r="AT269" i="6" l="1"/>
  <c r="AM269" i="6"/>
  <c r="CO268" i="6"/>
  <c r="CH268" i="6" s="1"/>
  <c r="X269" i="6" l="1"/>
  <c r="AU269" i="6"/>
  <c r="AN269" i="6"/>
  <c r="CP268" i="6"/>
  <c r="T268" i="6" s="1"/>
  <c r="AA269" i="6" l="1"/>
  <c r="Y269" i="6"/>
  <c r="AB269" i="6" s="1"/>
  <c r="AV269" i="6"/>
  <c r="AW269" i="6" s="1"/>
  <c r="BB269" i="6" l="1"/>
  <c r="BM269" i="6" s="1"/>
  <c r="AX269" i="6"/>
  <c r="BG269" i="6"/>
  <c r="BR269" i="6" s="1"/>
  <c r="BD269" i="6"/>
  <c r="BO269" i="6" s="1"/>
  <c r="BE269" i="6"/>
  <c r="BP269" i="6" s="1"/>
  <c r="BA269" i="6"/>
  <c r="BL269" i="6" s="1"/>
  <c r="BC269" i="6"/>
  <c r="BN269" i="6" s="1"/>
  <c r="AZ269" i="6"/>
  <c r="BF269" i="6"/>
  <c r="BQ269" i="6" s="1"/>
  <c r="BU269" i="6" l="1"/>
  <c r="BH269" i="6"/>
  <c r="AY269" i="6"/>
  <c r="BZ269" i="6"/>
  <c r="BW269" i="6"/>
  <c r="BX269" i="6"/>
  <c r="BT269" i="6"/>
  <c r="BV269" i="6"/>
  <c r="BY269" i="6"/>
  <c r="BI269" i="6" l="1"/>
  <c r="BJ269" i="6" s="1"/>
  <c r="BK269" i="6" s="1"/>
  <c r="BS269" i="6" l="1"/>
  <c r="CA269" i="6"/>
  <c r="CI269" i="6" l="1"/>
  <c r="CB269" i="6" s="1"/>
  <c r="AG270" i="6"/>
  <c r="CJ269" i="6" l="1"/>
  <c r="CC269" i="6" s="1"/>
  <c r="AH270" i="6"/>
  <c r="AO270" i="6"/>
  <c r="Q270" i="6"/>
  <c r="R270" i="6" s="1"/>
  <c r="S270" i="6" s="1"/>
  <c r="AI270" i="6" l="1"/>
  <c r="CK269" i="6"/>
  <c r="CD269" i="6" s="1"/>
  <c r="AP270" i="6"/>
  <c r="W270" i="6" l="1"/>
  <c r="Z270" i="6" s="1"/>
  <c r="AQ270" i="6"/>
  <c r="AJ270" i="6"/>
  <c r="CL269" i="6"/>
  <c r="CE269" i="6" s="1"/>
  <c r="AR270" i="6" l="1"/>
  <c r="AC270" i="6"/>
  <c r="CM269" i="6"/>
  <c r="CF269" i="6" s="1"/>
  <c r="AK270" i="6"/>
  <c r="AL270" i="6" l="1"/>
  <c r="CN269" i="6"/>
  <c r="CG269" i="6" s="1"/>
  <c r="AS270" i="6"/>
  <c r="AT270" i="6" l="1"/>
  <c r="AM270" i="6"/>
  <c r="CO269" i="6"/>
  <c r="CH269" i="6" s="1"/>
  <c r="AU270" i="6" l="1"/>
  <c r="CP269" i="6"/>
  <c r="T269" i="6" s="1"/>
  <c r="AN270" i="6"/>
  <c r="X270" i="6" s="1"/>
  <c r="AA270" i="6" l="1"/>
  <c r="Y270" i="6"/>
  <c r="AB270" i="6" s="1"/>
  <c r="AV270" i="6"/>
  <c r="AW270" i="6" s="1"/>
  <c r="BD270" i="6" l="1"/>
  <c r="BO270" i="6" s="1"/>
  <c r="BG270" i="6"/>
  <c r="BR270" i="6" s="1"/>
  <c r="BC270" i="6"/>
  <c r="BN270" i="6" s="1"/>
  <c r="AX270" i="6"/>
  <c r="BB270" i="6"/>
  <c r="BM270" i="6" s="1"/>
  <c r="AZ270" i="6"/>
  <c r="BA270" i="6"/>
  <c r="BL270" i="6" s="1"/>
  <c r="BF270" i="6"/>
  <c r="BQ270" i="6" s="1"/>
  <c r="BE270" i="6"/>
  <c r="BP270" i="6" s="1"/>
  <c r="BW270" i="6" l="1"/>
  <c r="BV270" i="6"/>
  <c r="BH270" i="6"/>
  <c r="AY270" i="6"/>
  <c r="BU270" i="6"/>
  <c r="BT270" i="6"/>
  <c r="BY270" i="6"/>
  <c r="BX270" i="6"/>
  <c r="BZ270" i="6"/>
  <c r="BI270" i="6" l="1"/>
  <c r="BJ270" i="6" s="1"/>
  <c r="BK270" i="6" s="1"/>
  <c r="BS270" i="6" l="1"/>
  <c r="CA270" i="6" s="1"/>
  <c r="AG271" i="6" l="1"/>
  <c r="CI270" i="6"/>
  <c r="CB270" i="6" s="1"/>
  <c r="CJ270" i="6"/>
  <c r="CC270" i="6" s="1"/>
  <c r="AH271" i="6"/>
  <c r="AO271" i="6" l="1"/>
  <c r="Q271" i="6"/>
  <c r="R271" i="6" s="1"/>
  <c r="S271" i="6" s="1"/>
  <c r="AI271" i="6"/>
  <c r="CK270" i="6"/>
  <c r="CD270" i="6" s="1"/>
  <c r="AP271" i="6"/>
  <c r="AQ271" i="6" l="1"/>
  <c r="AJ271" i="6"/>
  <c r="CL270" i="6"/>
  <c r="CE270" i="6" s="1"/>
  <c r="W271" i="6" l="1"/>
  <c r="Z271" i="6" s="1"/>
  <c r="AR271" i="6"/>
  <c r="AC271" i="6"/>
  <c r="CM270" i="6"/>
  <c r="CF270" i="6" s="1"/>
  <c r="AK271" i="6"/>
  <c r="AL271" i="6" l="1"/>
  <c r="CN270" i="6"/>
  <c r="CG270" i="6" s="1"/>
  <c r="AS271" i="6"/>
  <c r="AT271" i="6" l="1"/>
  <c r="AM271" i="6"/>
  <c r="CO270" i="6"/>
  <c r="CH270" i="6" s="1"/>
  <c r="X271" i="6" l="1"/>
  <c r="AU271" i="6"/>
  <c r="AN271" i="6"/>
  <c r="CP270" i="6"/>
  <c r="T270" i="6" s="1"/>
  <c r="Y271" i="6" l="1"/>
  <c r="AB271" i="6" s="1"/>
  <c r="AA271" i="6"/>
  <c r="AV271" i="6"/>
  <c r="AW271" i="6" s="1"/>
  <c r="BA271" i="6" l="1"/>
  <c r="BL271" i="6" s="1"/>
  <c r="BF271" i="6"/>
  <c r="BQ271" i="6" s="1"/>
  <c r="AZ271" i="6"/>
  <c r="AX271" i="6"/>
  <c r="BE271" i="6"/>
  <c r="BP271" i="6" s="1"/>
  <c r="BC271" i="6"/>
  <c r="BN271" i="6" s="1"/>
  <c r="BG271" i="6"/>
  <c r="BR271" i="6" s="1"/>
  <c r="BD271" i="6"/>
  <c r="BO271" i="6" s="1"/>
  <c r="BB271" i="6"/>
  <c r="BM271" i="6" s="1"/>
  <c r="BT271" i="6" l="1"/>
  <c r="BY271" i="6"/>
  <c r="AY271" i="6"/>
  <c r="BH271" i="6"/>
  <c r="BX271" i="6"/>
  <c r="BV271" i="6"/>
  <c r="BW271" i="6"/>
  <c r="BU271" i="6"/>
  <c r="BZ271" i="6"/>
  <c r="BJ271" i="6" l="1"/>
  <c r="BK271" i="6" s="1"/>
  <c r="BI271" i="6"/>
  <c r="BS271" i="6" l="1"/>
  <c r="CA271" i="6" s="1"/>
  <c r="AG272" i="6" l="1"/>
  <c r="CI271" i="6"/>
  <c r="CB271" i="6" s="1"/>
  <c r="Q272" i="6" l="1"/>
  <c r="R272" i="6" s="1"/>
  <c r="S272" i="6" s="1"/>
  <c r="AO272" i="6"/>
  <c r="CJ271" i="6"/>
  <c r="CC271" i="6" s="1"/>
  <c r="AH272" i="6"/>
  <c r="CK271" i="6" l="1"/>
  <c r="CD271" i="6" s="1"/>
  <c r="AI272" i="6"/>
  <c r="AP272" i="6"/>
  <c r="CL271" i="6" l="1"/>
  <c r="CE271" i="6" s="1"/>
  <c r="AJ272" i="6"/>
  <c r="W272" i="6" s="1"/>
  <c r="Z272" i="6" s="1"/>
  <c r="AQ272" i="6"/>
  <c r="CM271" i="6" l="1"/>
  <c r="CF271" i="6" s="1"/>
  <c r="AK272" i="6"/>
  <c r="AC272" i="6"/>
  <c r="AR272" i="6"/>
  <c r="AL272" i="6" l="1"/>
  <c r="CN271" i="6"/>
  <c r="CG271" i="6" s="1"/>
  <c r="AS272" i="6"/>
  <c r="AT272" i="6" l="1"/>
  <c r="AM272" i="6"/>
  <c r="CO271" i="6"/>
  <c r="CH271" i="6" s="1"/>
  <c r="AU272" i="6" l="1"/>
  <c r="CP271" i="6"/>
  <c r="T271" i="6" s="1"/>
  <c r="AN272" i="6"/>
  <c r="X272" i="6" s="1"/>
  <c r="Y272" i="6" l="1"/>
  <c r="AB272" i="6" s="1"/>
  <c r="AA272" i="6"/>
  <c r="AV272" i="6"/>
  <c r="AW272" i="6" s="1"/>
  <c r="BB272" i="6" l="1"/>
  <c r="BM272" i="6" s="1"/>
  <c r="BF272" i="6"/>
  <c r="BQ272" i="6" s="1"/>
  <c r="BD272" i="6"/>
  <c r="BO272" i="6" s="1"/>
  <c r="BA272" i="6"/>
  <c r="BL272" i="6" s="1"/>
  <c r="BE272" i="6"/>
  <c r="BP272" i="6" s="1"/>
  <c r="AX272" i="6"/>
  <c r="BG272" i="6"/>
  <c r="BR272" i="6" s="1"/>
  <c r="BC272" i="6"/>
  <c r="BN272" i="6" s="1"/>
  <c r="AZ272" i="6"/>
  <c r="BU272" i="6" l="1"/>
  <c r="BY272" i="6"/>
  <c r="BW272" i="6"/>
  <c r="BT272" i="6"/>
  <c r="BX272" i="6"/>
  <c r="BH272" i="6"/>
  <c r="AY272" i="6"/>
  <c r="BZ272" i="6"/>
  <c r="BV272" i="6"/>
  <c r="BI272" i="6" l="1"/>
  <c r="BJ272" i="6" s="1"/>
  <c r="BK272" i="6" s="1"/>
  <c r="CA272" i="6" l="1"/>
  <c r="BS272" i="6"/>
  <c r="AG273" i="6" l="1"/>
  <c r="CI272" i="6"/>
  <c r="CB272" i="6" s="1"/>
  <c r="CJ272" i="6" s="1"/>
  <c r="CC272" i="6" s="1"/>
  <c r="AH273" i="6"/>
  <c r="Q273" i="6" l="1"/>
  <c r="R273" i="6" s="1"/>
  <c r="S273" i="6" s="1"/>
  <c r="AO273" i="6"/>
  <c r="AP273" i="6"/>
  <c r="CK272" i="6"/>
  <c r="CD272" i="6" s="1"/>
  <c r="AI273" i="6"/>
  <c r="CL272" i="6" l="1"/>
  <c r="CE272" i="6" s="1"/>
  <c r="AJ273" i="6"/>
  <c r="AQ273" i="6"/>
  <c r="CM272" i="6" l="1"/>
  <c r="CF272" i="6" s="1"/>
  <c r="AK273" i="6"/>
  <c r="W273" i="6"/>
  <c r="Z273" i="6" s="1"/>
  <c r="AC273" i="6"/>
  <c r="AR273" i="6"/>
  <c r="CN272" i="6" l="1"/>
  <c r="CG272" i="6" s="1"/>
  <c r="AL273" i="6"/>
  <c r="AS273" i="6"/>
  <c r="AM273" i="6" l="1"/>
  <c r="CO272" i="6"/>
  <c r="CH272" i="6" s="1"/>
  <c r="AT273" i="6"/>
  <c r="X273" i="6" l="1"/>
  <c r="AU273" i="6"/>
  <c r="AN273" i="6"/>
  <c r="CP272" i="6"/>
  <c r="T272" i="6" s="1"/>
  <c r="Y273" i="6" l="1"/>
  <c r="AB273" i="6" s="1"/>
  <c r="AA273" i="6"/>
  <c r="AV273" i="6"/>
  <c r="AW273" i="6" s="1"/>
  <c r="BB273" i="6" l="1"/>
  <c r="BM273" i="6" s="1"/>
  <c r="BA273" i="6"/>
  <c r="BL273" i="6" s="1"/>
  <c r="BE273" i="6"/>
  <c r="BP273" i="6" s="1"/>
  <c r="BD273" i="6"/>
  <c r="BO273" i="6" s="1"/>
  <c r="AZ273" i="6"/>
  <c r="BG273" i="6"/>
  <c r="BR273" i="6" s="1"/>
  <c r="BF273" i="6"/>
  <c r="BQ273" i="6" s="1"/>
  <c r="BC273" i="6"/>
  <c r="BN273" i="6" s="1"/>
  <c r="AX273" i="6"/>
  <c r="BU273" i="6" l="1"/>
  <c r="BT273" i="6"/>
  <c r="BX273" i="6"/>
  <c r="BW273" i="6"/>
  <c r="BZ273" i="6"/>
  <c r="BY273" i="6"/>
  <c r="BV273" i="6"/>
  <c r="BH273" i="6"/>
  <c r="AY273" i="6"/>
  <c r="BI273" i="6" l="1"/>
  <c r="BJ273" i="6" s="1"/>
  <c r="BK273" i="6" s="1"/>
  <c r="BS273" i="6" l="1"/>
  <c r="CA273" i="6" s="1"/>
  <c r="AG274" i="6" l="1"/>
  <c r="CI273" i="6"/>
  <c r="CB273" i="6" s="1"/>
  <c r="Q274" i="6" l="1"/>
  <c r="R274" i="6" s="1"/>
  <c r="S274" i="6" s="1"/>
  <c r="AO274" i="6"/>
  <c r="CJ273" i="6"/>
  <c r="CC273" i="6" s="1"/>
  <c r="AH274" i="6"/>
  <c r="AI274" i="6" l="1"/>
  <c r="CK273" i="6"/>
  <c r="CD273" i="6" s="1"/>
  <c r="AP274" i="6"/>
  <c r="AQ274" i="6" l="1"/>
  <c r="AJ274" i="6"/>
  <c r="W274" i="6" s="1"/>
  <c r="Z274" i="6" s="1"/>
  <c r="CL273" i="6"/>
  <c r="CE273" i="6" s="1"/>
  <c r="AR274" i="6" l="1"/>
  <c r="AC274" i="6"/>
  <c r="AK274" i="6"/>
  <c r="CM273" i="6"/>
  <c r="CF273" i="6" s="1"/>
  <c r="AS274" i="6" l="1"/>
  <c r="AL274" i="6"/>
  <c r="CN273" i="6"/>
  <c r="CG273" i="6" s="1"/>
  <c r="AT274" i="6" l="1"/>
  <c r="CO273" i="6"/>
  <c r="CH273" i="6" s="1"/>
  <c r="AM274" i="6"/>
  <c r="CP273" i="6" l="1"/>
  <c r="T273" i="6" s="1"/>
  <c r="AN274" i="6"/>
  <c r="X274" i="6"/>
  <c r="AU274" i="6"/>
  <c r="AV274" i="6" l="1"/>
  <c r="AW274" i="6" s="1"/>
  <c r="Y274" i="6"/>
  <c r="AB274" i="6" s="1"/>
  <c r="AA274" i="6"/>
  <c r="AX274" i="6"/>
  <c r="BC274" i="6"/>
  <c r="BN274" i="6" s="1"/>
  <c r="BA274" i="6"/>
  <c r="BL274" i="6" s="1"/>
  <c r="BD274" i="6"/>
  <c r="BO274" i="6" s="1"/>
  <c r="AY274" i="6" l="1"/>
  <c r="BH274" i="6"/>
  <c r="BV274" i="6"/>
  <c r="BT274" i="6"/>
  <c r="BW274" i="6"/>
  <c r="BG274" i="6"/>
  <c r="BR274" i="6" s="1"/>
  <c r="BF274" i="6"/>
  <c r="BQ274" i="6" s="1"/>
  <c r="AZ274" i="6"/>
  <c r="BE274" i="6"/>
  <c r="BP274" i="6" s="1"/>
  <c r="BB274" i="6"/>
  <c r="BM274" i="6" s="1"/>
  <c r="BI274" i="6" l="1"/>
  <c r="BJ274" i="6" s="1"/>
  <c r="BK274" i="6" s="1"/>
  <c r="BZ274" i="6"/>
  <c r="BY274" i="6"/>
  <c r="BX274" i="6"/>
  <c r="BU274" i="6"/>
  <c r="BS274" i="6" l="1"/>
  <c r="CA274" i="6" s="1"/>
  <c r="AG275" i="6" l="1"/>
  <c r="CI274" i="6"/>
  <c r="CB274" i="6" s="1"/>
  <c r="AO275" i="6" l="1"/>
  <c r="Q275" i="6"/>
  <c r="R275" i="6" s="1"/>
  <c r="S275" i="6" s="1"/>
  <c r="CJ274" i="6"/>
  <c r="CC274" i="6" s="1"/>
  <c r="AH275" i="6"/>
  <c r="AI275" i="6" l="1"/>
  <c r="CK274" i="6"/>
  <c r="CD274" i="6" s="1"/>
  <c r="AP275" i="6"/>
  <c r="AQ275" i="6" l="1"/>
  <c r="CL274" i="6"/>
  <c r="CE274" i="6" s="1"/>
  <c r="AJ275" i="6"/>
  <c r="W275" i="6" s="1"/>
  <c r="Z275" i="6" s="1"/>
  <c r="CM274" i="6" l="1"/>
  <c r="CF274" i="6" s="1"/>
  <c r="AK275" i="6"/>
  <c r="AR275" i="6"/>
  <c r="AC275" i="6"/>
  <c r="AL275" i="6" l="1"/>
  <c r="CN274" i="6"/>
  <c r="CG274" i="6" s="1"/>
  <c r="AS275" i="6"/>
  <c r="AT275" i="6" l="1"/>
  <c r="AM275" i="6"/>
  <c r="CO274" i="6"/>
  <c r="CH274" i="6" s="1"/>
  <c r="X275" i="6" l="1"/>
  <c r="AU275" i="6"/>
  <c r="AN275" i="6"/>
  <c r="CP274" i="6"/>
  <c r="T274" i="6" s="1"/>
  <c r="AA275" i="6" l="1"/>
  <c r="Y275" i="6"/>
  <c r="AB275" i="6" s="1"/>
  <c r="AV275" i="6"/>
  <c r="AW275" i="6" s="1"/>
  <c r="BA275" i="6" l="1"/>
  <c r="BL275" i="6" s="1"/>
  <c r="BG275" i="6"/>
  <c r="BR275" i="6" s="1"/>
  <c r="BD275" i="6"/>
  <c r="BO275" i="6" s="1"/>
  <c r="AZ275" i="6"/>
  <c r="BB275" i="6"/>
  <c r="BM275" i="6" s="1"/>
  <c r="BF275" i="6"/>
  <c r="BQ275" i="6" s="1"/>
  <c r="BC275" i="6"/>
  <c r="BN275" i="6" s="1"/>
  <c r="AX275" i="6"/>
  <c r="BE275" i="6"/>
  <c r="BP275" i="6" s="1"/>
  <c r="BT275" i="6" l="1"/>
  <c r="BZ275" i="6"/>
  <c r="BW275" i="6"/>
  <c r="BU275" i="6"/>
  <c r="BY275" i="6"/>
  <c r="BV275" i="6"/>
  <c r="BH275" i="6"/>
  <c r="AY275" i="6"/>
  <c r="BX275" i="6"/>
  <c r="BJ275" i="6" l="1"/>
  <c r="BK275" i="6" s="1"/>
  <c r="BI275" i="6"/>
  <c r="BS275" i="6" l="1"/>
  <c r="CA275" i="6" s="1"/>
  <c r="CI275" i="6" l="1"/>
  <c r="CB275" i="6" s="1"/>
  <c r="AG276" i="6"/>
  <c r="CJ275" i="6" l="1"/>
  <c r="CC275" i="6" s="1"/>
  <c r="AH276" i="6"/>
  <c r="Q276" i="6"/>
  <c r="R276" i="6" s="1"/>
  <c r="S276" i="6" s="1"/>
  <c r="AO276" i="6"/>
  <c r="CK275" i="6" l="1"/>
  <c r="CD275" i="6" s="1"/>
  <c r="AI276" i="6"/>
  <c r="AP276" i="6"/>
  <c r="AJ276" i="6" l="1"/>
  <c r="W276" i="6" s="1"/>
  <c r="Z276" i="6" s="1"/>
  <c r="CL275" i="6"/>
  <c r="CE275" i="6" s="1"/>
  <c r="AQ276" i="6"/>
  <c r="AR276" i="6" l="1"/>
  <c r="AC276" i="6"/>
  <c r="CM275" i="6"/>
  <c r="CF275" i="6" s="1"/>
  <c r="AK276" i="6"/>
  <c r="CN275" i="6" l="1"/>
  <c r="CG275" i="6" s="1"/>
  <c r="AL276" i="6"/>
  <c r="AS276" i="6"/>
  <c r="CO275" i="6" l="1"/>
  <c r="CH275" i="6" s="1"/>
  <c r="AM276" i="6"/>
  <c r="AT276" i="6"/>
  <c r="CP275" i="6" l="1"/>
  <c r="T275" i="6" s="1"/>
  <c r="AN276" i="6"/>
  <c r="X276" i="6"/>
  <c r="AU276" i="6"/>
  <c r="AV276" i="6" l="1"/>
  <c r="AW276" i="6" s="1"/>
  <c r="BD276" i="6" s="1"/>
  <c r="BO276" i="6" s="1"/>
  <c r="AA276" i="6"/>
  <c r="Y276" i="6"/>
  <c r="AB276" i="6" s="1"/>
  <c r="BC276" i="6"/>
  <c r="BN276" i="6" s="1"/>
  <c r="AX276" i="6"/>
  <c r="AZ276" i="6"/>
  <c r="BF276" i="6"/>
  <c r="BQ276" i="6" s="1"/>
  <c r="BG276" i="6"/>
  <c r="BR276" i="6" s="1"/>
  <c r="BA276" i="6"/>
  <c r="BL276" i="6" s="1"/>
  <c r="BE276" i="6"/>
  <c r="BP276" i="6" s="1"/>
  <c r="BB276" i="6"/>
  <c r="BM276" i="6" s="1"/>
  <c r="BZ276" i="6" l="1"/>
  <c r="BV276" i="6"/>
  <c r="AY276" i="6"/>
  <c r="BH276" i="6"/>
  <c r="BW276" i="6"/>
  <c r="BT276" i="6"/>
  <c r="BX276" i="6"/>
  <c r="BU276" i="6"/>
  <c r="BY276" i="6"/>
  <c r="BI276" i="6" l="1"/>
  <c r="BJ276" i="6" s="1"/>
  <c r="BK276" i="6" s="1"/>
  <c r="BS276" i="6" l="1"/>
  <c r="CA276" i="6" s="1"/>
  <c r="CI276" i="6" l="1"/>
  <c r="CB276" i="6" s="1"/>
  <c r="AG277" i="6"/>
  <c r="CJ276" i="6" l="1"/>
  <c r="CC276" i="6" s="1"/>
  <c r="AH277" i="6"/>
  <c r="Q277" i="6"/>
  <c r="R277" i="6" s="1"/>
  <c r="S277" i="6" s="1"/>
  <c r="AO277" i="6"/>
  <c r="AI277" i="6" l="1"/>
  <c r="CK276" i="6"/>
  <c r="CD276" i="6" s="1"/>
  <c r="AP277" i="6"/>
  <c r="W277" i="6" l="1"/>
  <c r="Z277" i="6" s="1"/>
  <c r="AQ277" i="6"/>
  <c r="CL276" i="6"/>
  <c r="CE276" i="6" s="1"/>
  <c r="AJ277" i="6"/>
  <c r="AK277" i="6" l="1"/>
  <c r="CM276" i="6"/>
  <c r="CF276" i="6" s="1"/>
  <c r="AR277" i="6"/>
  <c r="AC277" i="6"/>
  <c r="AS277" i="6" l="1"/>
  <c r="AL277" i="6"/>
  <c r="CN276" i="6"/>
  <c r="CG276" i="6" s="1"/>
  <c r="AT277" i="6" l="1"/>
  <c r="CO276" i="6"/>
  <c r="CH276" i="6" s="1"/>
  <c r="AM277" i="6"/>
  <c r="AN277" i="6" l="1"/>
  <c r="CP276" i="6"/>
  <c r="T276" i="6" s="1"/>
  <c r="X277" i="6"/>
  <c r="AU277" i="6"/>
  <c r="AV277" i="6" l="1"/>
  <c r="AW277" i="6" s="1"/>
  <c r="AA277" i="6"/>
  <c r="Y277" i="6"/>
  <c r="AB277" i="6" s="1"/>
  <c r="AX277" i="6" l="1"/>
  <c r="BA277" i="6"/>
  <c r="BL277" i="6" s="1"/>
  <c r="BE277" i="6"/>
  <c r="BP277" i="6" s="1"/>
  <c r="BB277" i="6"/>
  <c r="BM277" i="6" s="1"/>
  <c r="AZ277" i="6"/>
  <c r="BC277" i="6"/>
  <c r="BN277" i="6" s="1"/>
  <c r="BF277" i="6"/>
  <c r="BQ277" i="6" s="1"/>
  <c r="BD277" i="6"/>
  <c r="BO277" i="6" s="1"/>
  <c r="BG277" i="6"/>
  <c r="BR277" i="6" s="1"/>
  <c r="AY277" i="6" l="1"/>
  <c r="BH277" i="6"/>
  <c r="BT277" i="6"/>
  <c r="BX277" i="6"/>
  <c r="BU277" i="6"/>
  <c r="BV277" i="6"/>
  <c r="BY277" i="6"/>
  <c r="BW277" i="6"/>
  <c r="BZ277" i="6"/>
  <c r="BI277" i="6" l="1"/>
  <c r="BJ277" i="6" s="1"/>
  <c r="BK277" i="6" s="1"/>
  <c r="BS277" i="6" l="1"/>
  <c r="CA277" i="6" s="1"/>
  <c r="AG278" i="6" l="1"/>
  <c r="CI277" i="6"/>
  <c r="CB277" i="6" s="1"/>
  <c r="AO278" i="6" l="1"/>
  <c r="Q278" i="6"/>
  <c r="R278" i="6" s="1"/>
  <c r="S278" i="6" s="1"/>
  <c r="CJ277" i="6"/>
  <c r="CC277" i="6" s="1"/>
  <c r="AH278" i="6"/>
  <c r="CK277" i="6" l="1"/>
  <c r="CD277" i="6" s="1"/>
  <c r="AI278" i="6"/>
  <c r="AP278" i="6"/>
  <c r="CL277" i="6" l="1"/>
  <c r="CE277" i="6" s="1"/>
  <c r="AJ278" i="6"/>
  <c r="W278" i="6"/>
  <c r="Z278" i="6" s="1"/>
  <c r="AQ278" i="6"/>
  <c r="CM277" i="6" l="1"/>
  <c r="CF277" i="6" s="1"/>
  <c r="AK278" i="6"/>
  <c r="AR278" i="6"/>
  <c r="AC278" i="6"/>
  <c r="AL278" i="6" l="1"/>
  <c r="CN277" i="6"/>
  <c r="CG277" i="6" s="1"/>
  <c r="AS278" i="6"/>
  <c r="AT278" i="6" l="1"/>
  <c r="AM278" i="6"/>
  <c r="CO277" i="6"/>
  <c r="CH277" i="6" s="1"/>
  <c r="AU278" i="6" l="1"/>
  <c r="AN278" i="6"/>
  <c r="X278" i="6" s="1"/>
  <c r="CP277" i="6"/>
  <c r="T277" i="6" s="1"/>
  <c r="Y278" i="6" l="1"/>
  <c r="AB278" i="6" s="1"/>
  <c r="AA278" i="6"/>
  <c r="AV278" i="6"/>
  <c r="AW278" i="6" s="1"/>
  <c r="BF278" i="6" l="1"/>
  <c r="BQ278" i="6" s="1"/>
  <c r="BD278" i="6"/>
  <c r="BO278" i="6" s="1"/>
  <c r="BC278" i="6"/>
  <c r="BN278" i="6" s="1"/>
  <c r="BG278" i="6"/>
  <c r="BR278" i="6" s="1"/>
  <c r="BE278" i="6"/>
  <c r="BP278" i="6" s="1"/>
  <c r="BA278" i="6"/>
  <c r="BL278" i="6" s="1"/>
  <c r="AX278" i="6"/>
  <c r="BB278" i="6"/>
  <c r="BM278" i="6" s="1"/>
  <c r="AZ278" i="6"/>
  <c r="BZ278" i="6"/>
  <c r="BY278" i="6" l="1"/>
  <c r="BW278" i="6"/>
  <c r="BV278" i="6"/>
  <c r="BX278" i="6"/>
  <c r="BT278" i="6"/>
  <c r="BH278" i="6"/>
  <c r="AY278" i="6"/>
  <c r="BU278" i="6"/>
  <c r="BJ278" i="6" l="1"/>
  <c r="BK278" i="6" s="1"/>
  <c r="BI278" i="6"/>
  <c r="BS278" i="6" l="1"/>
  <c r="CA278" i="6" s="1"/>
  <c r="CI278" i="6" l="1"/>
  <c r="CB278" i="6" s="1"/>
  <c r="AG279" i="6"/>
  <c r="CJ278" i="6" l="1"/>
  <c r="CC278" i="6" s="1"/>
  <c r="AH279" i="6"/>
  <c r="AO279" i="6"/>
  <c r="Q279" i="6"/>
  <c r="R279" i="6" s="1"/>
  <c r="S279" i="6" s="1"/>
  <c r="AI279" i="6" l="1"/>
  <c r="CK278" i="6"/>
  <c r="CD278" i="6" s="1"/>
  <c r="AP279" i="6"/>
  <c r="AQ279" i="6" l="1"/>
  <c r="AJ279" i="6"/>
  <c r="W279" i="6" s="1"/>
  <c r="Z279" i="6" s="1"/>
  <c r="CL278" i="6"/>
  <c r="CE278" i="6" s="1"/>
  <c r="AC279" i="6" l="1"/>
  <c r="AR279" i="6"/>
  <c r="AK279" i="6"/>
  <c r="CM278" i="6"/>
  <c r="CF278" i="6" s="1"/>
  <c r="AS279" i="6" l="1"/>
  <c r="AL279" i="6"/>
  <c r="CN278" i="6"/>
  <c r="CG278" i="6" s="1"/>
  <c r="AT279" i="6" l="1"/>
  <c r="AM279" i="6"/>
  <c r="CO278" i="6"/>
  <c r="CH278" i="6" s="1"/>
  <c r="AU279" i="6" l="1"/>
  <c r="CP278" i="6"/>
  <c r="T278" i="6" s="1"/>
  <c r="AN279" i="6"/>
  <c r="X279" i="6" s="1"/>
  <c r="AA279" i="6" l="1"/>
  <c r="Y279" i="6"/>
  <c r="AB279" i="6" s="1"/>
  <c r="AV279" i="6"/>
  <c r="AW279" i="6" s="1"/>
  <c r="AZ279" i="6" l="1"/>
  <c r="BC279" i="6"/>
  <c r="BN279" i="6" s="1"/>
  <c r="BG279" i="6"/>
  <c r="BR279" i="6" s="1"/>
  <c r="AX279" i="6"/>
  <c r="BA279" i="6"/>
  <c r="BL279" i="6" s="1"/>
  <c r="BE279" i="6"/>
  <c r="BP279" i="6" s="1"/>
  <c r="BF279" i="6"/>
  <c r="BQ279" i="6" s="1"/>
  <c r="BB279" i="6"/>
  <c r="BM279" i="6" s="1"/>
  <c r="BD279" i="6"/>
  <c r="BO279" i="6" s="1"/>
  <c r="BV279" i="6" l="1"/>
  <c r="BZ279" i="6"/>
  <c r="AY279" i="6"/>
  <c r="BH279" i="6"/>
  <c r="BT279" i="6"/>
  <c r="BX279" i="6"/>
  <c r="BY279" i="6"/>
  <c r="BU279" i="6"/>
  <c r="BW279" i="6"/>
  <c r="BI279" i="6" l="1"/>
  <c r="BJ279" i="6" s="1"/>
  <c r="BK279" i="6" s="1"/>
  <c r="BS279" i="6" l="1"/>
  <c r="CA279" i="6" s="1"/>
  <c r="AG280" i="6" l="1"/>
  <c r="CI279" i="6"/>
  <c r="CB279" i="6" s="1"/>
  <c r="Q280" i="6" l="1"/>
  <c r="R280" i="6" s="1"/>
  <c r="S280" i="6" s="1"/>
  <c r="AO280" i="6"/>
  <c r="AH280" i="6"/>
  <c r="CJ279" i="6"/>
  <c r="CC279" i="6" s="1"/>
  <c r="AP280" i="6" l="1"/>
  <c r="CK279" i="6"/>
  <c r="CD279" i="6" s="1"/>
  <c r="AI280" i="6"/>
  <c r="CL279" i="6" l="1"/>
  <c r="CE279" i="6" s="1"/>
  <c r="AJ280" i="6"/>
  <c r="W280" i="6"/>
  <c r="Z280" i="6" s="1"/>
  <c r="AQ280" i="6"/>
  <c r="AK280" i="6" l="1"/>
  <c r="CM279" i="6"/>
  <c r="CF279" i="6" s="1"/>
  <c r="AC280" i="6"/>
  <c r="AR280" i="6"/>
  <c r="AS280" i="6" l="1"/>
  <c r="AL280" i="6"/>
  <c r="CN279" i="6"/>
  <c r="CG279" i="6" s="1"/>
  <c r="AT280" i="6" l="1"/>
  <c r="AM280" i="6"/>
  <c r="CO279" i="6"/>
  <c r="CH279" i="6" s="1"/>
  <c r="AU280" i="6" l="1"/>
  <c r="AN280" i="6"/>
  <c r="X280" i="6" s="1"/>
  <c r="CP279" i="6"/>
  <c r="T279" i="6" s="1"/>
  <c r="Y280" i="6" l="1"/>
  <c r="AB280" i="6" s="1"/>
  <c r="AA280" i="6"/>
  <c r="AV280" i="6"/>
  <c r="AW280" i="6" s="1"/>
  <c r="BA280" i="6" l="1"/>
  <c r="BL280" i="6" s="1"/>
  <c r="BD280" i="6"/>
  <c r="BO280" i="6" s="1"/>
  <c r="AX280" i="6"/>
  <c r="AZ280" i="6"/>
  <c r="BC280" i="6"/>
  <c r="BN280" i="6" s="1"/>
  <c r="BF280" i="6"/>
  <c r="BQ280" i="6" s="1"/>
  <c r="BG280" i="6"/>
  <c r="BR280" i="6" s="1"/>
  <c r="BB280" i="6"/>
  <c r="BM280" i="6" s="1"/>
  <c r="BE280" i="6"/>
  <c r="BP280" i="6" s="1"/>
  <c r="BZ280" i="6"/>
  <c r="BT280" i="6" l="1"/>
  <c r="BW280" i="6"/>
  <c r="AY280" i="6"/>
  <c r="BH280" i="6"/>
  <c r="BV280" i="6"/>
  <c r="BY280" i="6"/>
  <c r="BU280" i="6"/>
  <c r="BX280" i="6"/>
  <c r="BJ280" i="6" l="1"/>
  <c r="BK280" i="6" s="1"/>
  <c r="BI280" i="6"/>
  <c r="BS280" i="6" l="1"/>
  <c r="CA280" i="6" s="1"/>
  <c r="AG281" i="6" l="1"/>
  <c r="CI280" i="6"/>
  <c r="CB280" i="6" s="1"/>
  <c r="AO281" i="6" l="1"/>
  <c r="Q281" i="6"/>
  <c r="R281" i="6" s="1"/>
  <c r="S281" i="6" s="1"/>
  <c r="CJ280" i="6"/>
  <c r="CC280" i="6" s="1"/>
  <c r="AH281" i="6"/>
  <c r="CK280" i="6" l="1"/>
  <c r="CD280" i="6" s="1"/>
  <c r="AI281" i="6"/>
  <c r="AP281" i="6"/>
  <c r="AJ281" i="6" l="1"/>
  <c r="CL280" i="6"/>
  <c r="CE280" i="6" s="1"/>
  <c r="W281" i="6"/>
  <c r="Z281" i="6" s="1"/>
  <c r="AQ281" i="6"/>
  <c r="AR281" i="6" l="1"/>
  <c r="AC281" i="6"/>
  <c r="AK281" i="6"/>
  <c r="CM280" i="6"/>
  <c r="CF280" i="6" s="1"/>
  <c r="AS281" i="6" l="1"/>
  <c r="AL281" i="6"/>
  <c r="CN280" i="6"/>
  <c r="CG280" i="6" s="1"/>
  <c r="AT281" i="6" l="1"/>
  <c r="CO280" i="6"/>
  <c r="CH280" i="6" s="1"/>
  <c r="AM281" i="6"/>
  <c r="CP280" i="6" l="1"/>
  <c r="T280" i="6" s="1"/>
  <c r="AN281" i="6"/>
  <c r="X281" i="6"/>
  <c r="AU281" i="6"/>
  <c r="AV281" i="6" l="1"/>
  <c r="AW281" i="6" s="1"/>
  <c r="AA281" i="6"/>
  <c r="Y281" i="6"/>
  <c r="AB281" i="6" s="1"/>
  <c r="BF281" i="6"/>
  <c r="BQ281" i="6" s="1"/>
  <c r="BB281" i="6"/>
  <c r="BM281" i="6" s="1"/>
  <c r="BU281" i="6" l="1"/>
  <c r="BG281" i="6"/>
  <c r="BR281" i="6" s="1"/>
  <c r="BC281" i="6"/>
  <c r="BN281" i="6" s="1"/>
  <c r="BA281" i="6"/>
  <c r="BL281" i="6" s="1"/>
  <c r="AX281" i="6"/>
  <c r="BE281" i="6"/>
  <c r="BP281" i="6" s="1"/>
  <c r="AZ281" i="6"/>
  <c r="BD281" i="6"/>
  <c r="BO281" i="6" s="1"/>
  <c r="BY281" i="6"/>
  <c r="BZ281" i="6" l="1"/>
  <c r="BV281" i="6"/>
  <c r="BT281" i="6"/>
  <c r="BH281" i="6"/>
  <c r="AY281" i="6"/>
  <c r="BX281" i="6"/>
  <c r="BW281" i="6"/>
  <c r="BJ281" i="6" l="1"/>
  <c r="BK281" i="6" s="1"/>
  <c r="BI281" i="6"/>
  <c r="BS281" i="6" l="1"/>
  <c r="CA281" i="6" s="1"/>
  <c r="AG282" i="6" l="1"/>
  <c r="CI281" i="6"/>
  <c r="CB281" i="6" s="1"/>
  <c r="AO282" i="6" l="1"/>
  <c r="Q282" i="6"/>
  <c r="R282" i="6" s="1"/>
  <c r="S282" i="6" s="1"/>
  <c r="AH282" i="6"/>
  <c r="CJ281" i="6"/>
  <c r="CC281" i="6" s="1"/>
  <c r="AP282" i="6" l="1"/>
  <c r="AI282" i="6"/>
  <c r="CK281" i="6"/>
  <c r="CD281" i="6" s="1"/>
  <c r="AQ282" i="6" l="1"/>
  <c r="AJ282" i="6"/>
  <c r="W282" i="6" s="1"/>
  <c r="Z282" i="6" s="1"/>
  <c r="CL281" i="6"/>
  <c r="CE281" i="6" s="1"/>
  <c r="AR282" i="6" l="1"/>
  <c r="AC282" i="6"/>
  <c r="AK282" i="6"/>
  <c r="CM281" i="6"/>
  <c r="CF281" i="6" s="1"/>
  <c r="AS282" i="6" l="1"/>
  <c r="CN281" i="6"/>
  <c r="CG281" i="6" s="1"/>
  <c r="AL282" i="6"/>
  <c r="AM282" i="6" l="1"/>
  <c r="CO281" i="6"/>
  <c r="CH281" i="6" s="1"/>
  <c r="AT282" i="6"/>
  <c r="AU282" i="6" l="1"/>
  <c r="AN282" i="6"/>
  <c r="X282" i="6" s="1"/>
  <c r="CP281" i="6"/>
  <c r="T281" i="6" s="1"/>
  <c r="AA282" i="6" l="1"/>
  <c r="Y282" i="6"/>
  <c r="AB282" i="6" s="1"/>
  <c r="AV282" i="6"/>
  <c r="AW282" i="6" s="1"/>
  <c r="BF282" i="6" l="1"/>
  <c r="BQ282" i="6" s="1"/>
  <c r="BA282" i="6"/>
  <c r="BL282" i="6" s="1"/>
  <c r="BD282" i="6"/>
  <c r="BO282" i="6" s="1"/>
  <c r="AX282" i="6"/>
  <c r="BB282" i="6"/>
  <c r="BM282" i="6" s="1"/>
  <c r="BE282" i="6"/>
  <c r="BP282" i="6" s="1"/>
  <c r="BG282" i="6"/>
  <c r="BR282" i="6" s="1"/>
  <c r="AZ282" i="6"/>
  <c r="BC282" i="6"/>
  <c r="BN282" i="6" s="1"/>
  <c r="BY282" i="6" l="1"/>
  <c r="BT282" i="6"/>
  <c r="BW282" i="6"/>
  <c r="AY282" i="6"/>
  <c r="BH282" i="6"/>
  <c r="BU282" i="6"/>
  <c r="BX282" i="6"/>
  <c r="BV282" i="6"/>
  <c r="BZ282" i="6"/>
  <c r="BI282" i="6" l="1"/>
  <c r="BJ282" i="6" s="1"/>
  <c r="BK282" i="6" s="1"/>
  <c r="BS282" i="6" l="1"/>
  <c r="CA282" i="6" s="1"/>
  <c r="CI282" i="6" l="1"/>
  <c r="CB282" i="6" s="1"/>
  <c r="AG283" i="6"/>
  <c r="CJ282" i="6" l="1"/>
  <c r="CC282" i="6" s="1"/>
  <c r="AH283" i="6"/>
  <c r="Q283" i="6"/>
  <c r="R283" i="6" s="1"/>
  <c r="S283" i="6" s="1"/>
  <c r="AO283" i="6"/>
  <c r="CK282" i="6" l="1"/>
  <c r="CD282" i="6" s="1"/>
  <c r="AI283" i="6"/>
  <c r="AP283" i="6"/>
  <c r="CL282" i="6" l="1"/>
  <c r="CE282" i="6" s="1"/>
  <c r="AJ283" i="6"/>
  <c r="W283" i="6" s="1"/>
  <c r="Z283" i="6" s="1"/>
  <c r="AQ283" i="6"/>
  <c r="CM282" i="6" l="1"/>
  <c r="CF282" i="6" s="1"/>
  <c r="AK283" i="6"/>
  <c r="AR283" i="6"/>
  <c r="AC283" i="6"/>
  <c r="CN282" i="6" l="1"/>
  <c r="CG282" i="6" s="1"/>
  <c r="AL283" i="6"/>
  <c r="AS283" i="6"/>
  <c r="CO282" i="6" l="1"/>
  <c r="CH282" i="6" s="1"/>
  <c r="AM283" i="6"/>
  <c r="AT283" i="6"/>
  <c r="CP282" i="6" l="1"/>
  <c r="T282" i="6" s="1"/>
  <c r="AN283" i="6"/>
  <c r="X283" i="6" s="1"/>
  <c r="AU283" i="6"/>
  <c r="AV283" i="6" l="1"/>
  <c r="AW283" i="6" s="1"/>
  <c r="Y283" i="6"/>
  <c r="AB283" i="6" s="1"/>
  <c r="AA283" i="6"/>
  <c r="BA283" i="6"/>
  <c r="BL283" i="6" s="1"/>
  <c r="BG283" i="6"/>
  <c r="BR283" i="6" s="1"/>
  <c r="BE283" i="6"/>
  <c r="BP283" i="6" s="1"/>
  <c r="BD283" i="6"/>
  <c r="BO283" i="6" s="1"/>
  <c r="AX283" i="6"/>
  <c r="BF283" i="6"/>
  <c r="BQ283" i="6" s="1"/>
  <c r="BB283" i="6"/>
  <c r="BM283" i="6" s="1"/>
  <c r="BZ283" i="6" l="1"/>
  <c r="BT283" i="6"/>
  <c r="BX283" i="6"/>
  <c r="BW283" i="6"/>
  <c r="AY283" i="6"/>
  <c r="BH283" i="6"/>
  <c r="BY283" i="6"/>
  <c r="BU283" i="6"/>
  <c r="AZ283" i="6"/>
  <c r="BC283" i="6"/>
  <c r="BN283" i="6" s="1"/>
  <c r="BJ283" i="6" l="1"/>
  <c r="BK283" i="6" s="1"/>
  <c r="BI283" i="6"/>
  <c r="BV283" i="6"/>
  <c r="BS283" i="6" l="1"/>
  <c r="CA283" i="6" s="1"/>
  <c r="AG284" i="6" l="1"/>
  <c r="CI283" i="6"/>
  <c r="CB283" i="6" s="1"/>
  <c r="CJ283" i="6"/>
  <c r="CC283" i="6" s="1"/>
  <c r="AH284" i="6"/>
  <c r="Q284" i="6" l="1"/>
  <c r="R284" i="6" s="1"/>
  <c r="S284" i="6" s="1"/>
  <c r="AO284" i="6"/>
  <c r="AI284" i="6"/>
  <c r="CK283" i="6"/>
  <c r="CD283" i="6" s="1"/>
  <c r="AP284" i="6"/>
  <c r="AQ284" i="6" l="1"/>
  <c r="CL283" i="6"/>
  <c r="CE283" i="6" s="1"/>
  <c r="AJ284" i="6"/>
  <c r="CM283" i="6" l="1"/>
  <c r="CF283" i="6" s="1"/>
  <c r="AK284" i="6"/>
  <c r="W284" i="6"/>
  <c r="Z284" i="6" s="1"/>
  <c r="AC284" i="6"/>
  <c r="AR284" i="6"/>
  <c r="CN283" i="6" l="1"/>
  <c r="CG283" i="6" s="1"/>
  <c r="AL284" i="6"/>
  <c r="AS284" i="6"/>
  <c r="AM284" i="6" l="1"/>
  <c r="CO283" i="6"/>
  <c r="CH283" i="6" s="1"/>
  <c r="AT284" i="6"/>
  <c r="AU284" i="6" l="1"/>
  <c r="AN284" i="6"/>
  <c r="X284" i="6" s="1"/>
  <c r="CP283" i="6"/>
  <c r="T283" i="6" s="1"/>
  <c r="Y284" i="6" l="1"/>
  <c r="AB284" i="6" s="1"/>
  <c r="AA284" i="6"/>
  <c r="AV284" i="6"/>
  <c r="AW284" i="6" s="1"/>
  <c r="BC284" i="6" l="1"/>
  <c r="BN284" i="6" s="1"/>
  <c r="BF284" i="6"/>
  <c r="BQ284" i="6" s="1"/>
  <c r="BG284" i="6"/>
  <c r="BR284" i="6" s="1"/>
  <c r="AZ284" i="6"/>
  <c r="BD284" i="6"/>
  <c r="BO284" i="6" s="1"/>
  <c r="AX284" i="6"/>
  <c r="BA284" i="6"/>
  <c r="BL284" i="6" s="1"/>
  <c r="BB284" i="6"/>
  <c r="BM284" i="6" s="1"/>
  <c r="BE284" i="6"/>
  <c r="BP284" i="6" s="1"/>
  <c r="BV284" i="6" l="1"/>
  <c r="BY284" i="6"/>
  <c r="BZ284" i="6"/>
  <c r="BW284" i="6"/>
  <c r="BH284" i="6"/>
  <c r="AY284" i="6"/>
  <c r="BT284" i="6"/>
  <c r="BU284" i="6"/>
  <c r="BX284" i="6"/>
  <c r="BJ284" i="6" l="1"/>
  <c r="BK284" i="6" s="1"/>
  <c r="BI284" i="6"/>
  <c r="BS284" i="6" l="1"/>
  <c r="CA284" i="6" s="1"/>
  <c r="AG285" i="6" l="1"/>
  <c r="CI284" i="6"/>
  <c r="CB284" i="6" s="1"/>
  <c r="Q285" i="6" l="1"/>
  <c r="R285" i="6" s="1"/>
  <c r="S285" i="6" s="1"/>
  <c r="AO285" i="6"/>
  <c r="CJ284" i="6"/>
  <c r="CC284" i="6" s="1"/>
  <c r="AH285" i="6"/>
  <c r="AI285" i="6" l="1"/>
  <c r="CK284" i="6"/>
  <c r="CD284" i="6" s="1"/>
  <c r="AP285" i="6"/>
  <c r="W285" i="6" l="1"/>
  <c r="Z285" i="6" s="1"/>
  <c r="AQ285" i="6"/>
  <c r="CL284" i="6"/>
  <c r="CE284" i="6" s="1"/>
  <c r="AJ285" i="6"/>
  <c r="AK285" i="6" l="1"/>
  <c r="CM284" i="6"/>
  <c r="CF284" i="6" s="1"/>
  <c r="AR285" i="6"/>
  <c r="AC285" i="6"/>
  <c r="AS285" i="6" l="1"/>
  <c r="CN284" i="6"/>
  <c r="CG284" i="6" s="1"/>
  <c r="AL285" i="6"/>
  <c r="CO284" i="6" l="1"/>
  <c r="CH284" i="6" s="1"/>
  <c r="AM285" i="6"/>
  <c r="AT285" i="6"/>
  <c r="AN285" i="6" l="1"/>
  <c r="CP284" i="6"/>
  <c r="T284" i="6" s="1"/>
  <c r="X285" i="6"/>
  <c r="AU285" i="6"/>
  <c r="AV285" i="6" l="1"/>
  <c r="AW285" i="6" s="1"/>
  <c r="Y285" i="6"/>
  <c r="AB285" i="6" s="1"/>
  <c r="AA285" i="6"/>
  <c r="BB285" i="6" l="1"/>
  <c r="BM285" i="6" s="1"/>
  <c r="BF285" i="6"/>
  <c r="BQ285" i="6" s="1"/>
  <c r="AZ285" i="6"/>
  <c r="BC285" i="6"/>
  <c r="BN285" i="6" s="1"/>
  <c r="BE285" i="6"/>
  <c r="BP285" i="6" s="1"/>
  <c r="AX285" i="6"/>
  <c r="BA285" i="6"/>
  <c r="BL285" i="6" s="1"/>
  <c r="BD285" i="6"/>
  <c r="BO285" i="6" s="1"/>
  <c r="BG285" i="6"/>
  <c r="BR285" i="6" s="1"/>
  <c r="BU285" i="6" l="1"/>
  <c r="BY285" i="6"/>
  <c r="BV285" i="6"/>
  <c r="BX285" i="6"/>
  <c r="AY285" i="6"/>
  <c r="BH285" i="6"/>
  <c r="BT285" i="6"/>
  <c r="BW285" i="6"/>
  <c r="BZ285" i="6"/>
  <c r="BJ285" i="6" l="1"/>
  <c r="BK285" i="6" s="1"/>
  <c r="BI285" i="6"/>
  <c r="CA285" i="6" l="1"/>
  <c r="BS285" i="6"/>
  <c r="CI285" i="6" l="1"/>
  <c r="CB285" i="6" s="1"/>
  <c r="AG286" i="6"/>
  <c r="AO286" i="6" l="1"/>
  <c r="Q286" i="6"/>
  <c r="R286" i="6" s="1"/>
  <c r="S286" i="6" s="1"/>
  <c r="CJ285" i="6"/>
  <c r="CC285" i="6" s="1"/>
  <c r="AH286" i="6"/>
  <c r="AI286" i="6" l="1"/>
  <c r="CK285" i="6"/>
  <c r="CD285" i="6" s="1"/>
  <c r="AP286" i="6"/>
  <c r="W286" i="6" l="1"/>
  <c r="Z286" i="6" s="1"/>
  <c r="AQ286" i="6"/>
  <c r="AJ286" i="6"/>
  <c r="CL285" i="6"/>
  <c r="CE285" i="6" s="1"/>
  <c r="AC286" i="6" l="1"/>
  <c r="AR286" i="6"/>
  <c r="AK286" i="6"/>
  <c r="CM285" i="6"/>
  <c r="CF285" i="6" s="1"/>
  <c r="AS286" i="6" l="1"/>
  <c r="AL286" i="6"/>
  <c r="CN285" i="6"/>
  <c r="CG285" i="6" s="1"/>
  <c r="AT286" i="6" l="1"/>
  <c r="AM286" i="6"/>
  <c r="CO285" i="6"/>
  <c r="CH285" i="6" s="1"/>
  <c r="AU286" i="6" l="1"/>
  <c r="AN286" i="6"/>
  <c r="X286" i="6" s="1"/>
  <c r="CP285" i="6"/>
  <c r="T285" i="6" s="1"/>
  <c r="AA286" i="6" l="1"/>
  <c r="Y286" i="6"/>
  <c r="AB286" i="6" s="1"/>
  <c r="AV286" i="6"/>
  <c r="AW286" i="6" s="1"/>
  <c r="BA286" i="6" l="1"/>
  <c r="BL286" i="6" s="1"/>
  <c r="BC286" i="6"/>
  <c r="BN286" i="6" s="1"/>
  <c r="BG286" i="6"/>
  <c r="BR286" i="6" s="1"/>
  <c r="AX286" i="6"/>
  <c r="AZ286" i="6"/>
  <c r="BD286" i="6"/>
  <c r="BO286" i="6" s="1"/>
  <c r="BE286" i="6"/>
  <c r="BP286" i="6" s="1"/>
  <c r="BB286" i="6"/>
  <c r="BM286" i="6" s="1"/>
  <c r="BF286" i="6"/>
  <c r="BQ286" i="6" s="1"/>
  <c r="BT286" i="6" l="1"/>
  <c r="BV286" i="6"/>
  <c r="BZ286" i="6"/>
  <c r="AY286" i="6"/>
  <c r="BH286" i="6"/>
  <c r="BW286" i="6"/>
  <c r="BX286" i="6"/>
  <c r="BU286" i="6"/>
  <c r="BY286" i="6"/>
  <c r="BI286" i="6" l="1"/>
  <c r="BJ286" i="6" s="1"/>
  <c r="BK286" i="6" s="1"/>
  <c r="BS286" i="6" l="1"/>
  <c r="CA286" i="6" s="1"/>
  <c r="CI286" i="6" l="1"/>
  <c r="CB286" i="6" s="1"/>
  <c r="AG287" i="6"/>
  <c r="AH287" i="6"/>
  <c r="CJ286" i="6"/>
  <c r="CC286" i="6" s="1"/>
  <c r="AO287" i="6" l="1"/>
  <c r="Q287" i="6"/>
  <c r="R287" i="6" s="1"/>
  <c r="S287" i="6" s="1"/>
  <c r="AP287" i="6"/>
  <c r="AI287" i="6"/>
  <c r="CK286" i="6"/>
  <c r="CD286" i="6" s="1"/>
  <c r="AQ287" i="6" l="1"/>
  <c r="AJ287" i="6"/>
  <c r="CL286" i="6"/>
  <c r="CE286" i="6" s="1"/>
  <c r="W287" i="6" l="1"/>
  <c r="Z287" i="6" s="1"/>
  <c r="AR287" i="6"/>
  <c r="AC287" i="6"/>
  <c r="AK287" i="6"/>
  <c r="CM286" i="6"/>
  <c r="CF286" i="6" s="1"/>
  <c r="AS287" i="6" l="1"/>
  <c r="AL287" i="6"/>
  <c r="CN286" i="6"/>
  <c r="CG286" i="6" s="1"/>
  <c r="AT287" i="6" l="1"/>
  <c r="CO286" i="6"/>
  <c r="CH286" i="6" s="1"/>
  <c r="AM287" i="6"/>
  <c r="CP286" i="6" l="1"/>
  <c r="T286" i="6" s="1"/>
  <c r="AN287" i="6"/>
  <c r="X287" i="6" s="1"/>
  <c r="AU287" i="6"/>
  <c r="AV287" i="6" l="1"/>
  <c r="AW287" i="6" s="1"/>
  <c r="Y287" i="6"/>
  <c r="AB287" i="6" s="1"/>
  <c r="AA287" i="6"/>
  <c r="BD287" i="6"/>
  <c r="BO287" i="6" s="1"/>
  <c r="AZ287" i="6"/>
  <c r="BW287" i="6" l="1"/>
  <c r="AX287" i="6"/>
  <c r="BG287" i="6"/>
  <c r="BR287" i="6" s="1"/>
  <c r="BB287" i="6"/>
  <c r="BM287" i="6" s="1"/>
  <c r="BE287" i="6"/>
  <c r="BP287" i="6" s="1"/>
  <c r="BC287" i="6"/>
  <c r="BN287" i="6" s="1"/>
  <c r="BF287" i="6"/>
  <c r="BQ287" i="6" s="1"/>
  <c r="BA287" i="6"/>
  <c r="BL287" i="6" s="1"/>
  <c r="AY287" i="6" l="1"/>
  <c r="BH287" i="6"/>
  <c r="BZ287" i="6"/>
  <c r="BU287" i="6"/>
  <c r="BX287" i="6"/>
  <c r="BV287" i="6"/>
  <c r="BY287" i="6"/>
  <c r="BT287" i="6"/>
  <c r="BJ287" i="6" l="1"/>
  <c r="BK287" i="6" s="1"/>
  <c r="BI287" i="6"/>
  <c r="BS287" i="6" l="1"/>
  <c r="CA287" i="6" s="1"/>
  <c r="CI287" i="6" l="1"/>
  <c r="CB287" i="6" s="1"/>
  <c r="AG288" i="6"/>
  <c r="CJ287" i="6" l="1"/>
  <c r="CC287" i="6" s="1"/>
  <c r="AH288" i="6"/>
  <c r="Q288" i="6"/>
  <c r="R288" i="6" s="1"/>
  <c r="S288" i="6" s="1"/>
  <c r="AO288" i="6"/>
  <c r="AI288" i="6" l="1"/>
  <c r="CK287" i="6"/>
  <c r="CD287" i="6" s="1"/>
  <c r="AP288" i="6"/>
  <c r="AQ288" i="6" l="1"/>
  <c r="AJ288" i="6"/>
  <c r="W288" i="6" s="1"/>
  <c r="Z288" i="6" s="1"/>
  <c r="CL287" i="6"/>
  <c r="CE287" i="6" s="1"/>
  <c r="AC288" i="6" l="1"/>
  <c r="AR288" i="6"/>
  <c r="CM287" i="6"/>
  <c r="CF287" i="6" s="1"/>
  <c r="AK288" i="6"/>
  <c r="AL288" i="6" l="1"/>
  <c r="CN287" i="6"/>
  <c r="CG287" i="6" s="1"/>
  <c r="AS288" i="6"/>
  <c r="AT288" i="6" l="1"/>
  <c r="CO287" i="6"/>
  <c r="CH287" i="6" s="1"/>
  <c r="AM288" i="6"/>
  <c r="AN288" i="6" l="1"/>
  <c r="CP287" i="6"/>
  <c r="T287" i="6" s="1"/>
  <c r="X288" i="6"/>
  <c r="AU288" i="6"/>
  <c r="AV288" i="6" l="1"/>
  <c r="AW288" i="6" s="1"/>
  <c r="AA288" i="6"/>
  <c r="Y288" i="6"/>
  <c r="AB288" i="6" s="1"/>
  <c r="BA288" i="6"/>
  <c r="BL288" i="6" s="1"/>
  <c r="BF288" i="6"/>
  <c r="BQ288" i="6" s="1"/>
  <c r="AX288" i="6"/>
  <c r="AZ288" i="6"/>
  <c r="BC288" i="6"/>
  <c r="BN288" i="6" s="1"/>
  <c r="BD288" i="6"/>
  <c r="BO288" i="6" s="1"/>
  <c r="BB288" i="6"/>
  <c r="BM288" i="6" s="1"/>
  <c r="BT288" i="6" l="1"/>
  <c r="BH288" i="6"/>
  <c r="AY288" i="6"/>
  <c r="BV288" i="6"/>
  <c r="BW288" i="6"/>
  <c r="BU288" i="6"/>
  <c r="BE288" i="6"/>
  <c r="BP288" i="6" s="1"/>
  <c r="BG288" i="6"/>
  <c r="BR288" i="6" s="1"/>
  <c r="BY288" i="6"/>
  <c r="BJ288" i="6" l="1"/>
  <c r="BK288" i="6" s="1"/>
  <c r="BI288" i="6"/>
  <c r="BX288" i="6"/>
  <c r="BZ288" i="6"/>
  <c r="BS288" i="6" l="1"/>
  <c r="CA288" i="6" s="1"/>
  <c r="AG289" i="6" l="1"/>
  <c r="CI288" i="6"/>
  <c r="CB288" i="6" s="1"/>
  <c r="AO289" i="6" l="1"/>
  <c r="Q289" i="6"/>
  <c r="R289" i="6" s="1"/>
  <c r="S289" i="6" s="1"/>
  <c r="AH289" i="6"/>
  <c r="CJ288" i="6"/>
  <c r="CC288" i="6" s="1"/>
  <c r="AP289" i="6" l="1"/>
  <c r="CK288" i="6"/>
  <c r="CD288" i="6" s="1"/>
  <c r="AI289" i="6"/>
  <c r="CL288" i="6" l="1"/>
  <c r="CE288" i="6" s="1"/>
  <c r="AJ289" i="6"/>
  <c r="W289" i="6"/>
  <c r="Z289" i="6" s="1"/>
  <c r="AQ289" i="6"/>
  <c r="AK289" i="6" l="1"/>
  <c r="CM288" i="6"/>
  <c r="CF288" i="6" s="1"/>
  <c r="AC289" i="6"/>
  <c r="AR289" i="6"/>
  <c r="AS289" i="6" l="1"/>
  <c r="AL289" i="6"/>
  <c r="CN288" i="6"/>
  <c r="CG288" i="6" s="1"/>
  <c r="AT289" i="6" l="1"/>
  <c r="CO288" i="6"/>
  <c r="CH288" i="6" s="1"/>
  <c r="AM289" i="6"/>
  <c r="AN289" i="6" l="1"/>
  <c r="X289" i="6" s="1"/>
  <c r="CP288" i="6"/>
  <c r="T288" i="6" s="1"/>
  <c r="AU289" i="6"/>
  <c r="AV289" i="6" l="1"/>
  <c r="AW289" i="6" s="1"/>
  <c r="AA289" i="6"/>
  <c r="Y289" i="6"/>
  <c r="AB289" i="6" s="1"/>
  <c r="BG289" i="6" l="1"/>
  <c r="BR289" i="6" s="1"/>
  <c r="BC289" i="6"/>
  <c r="BN289" i="6" s="1"/>
  <c r="BF289" i="6"/>
  <c r="BQ289" i="6" s="1"/>
  <c r="BE289" i="6"/>
  <c r="BP289" i="6" s="1"/>
  <c r="BB289" i="6"/>
  <c r="BM289" i="6" s="1"/>
  <c r="AX289" i="6"/>
  <c r="BD289" i="6"/>
  <c r="BO289" i="6" s="1"/>
  <c r="AZ289" i="6"/>
  <c r="BA289" i="6"/>
  <c r="BL289" i="6" s="1"/>
  <c r="BZ289" i="6" l="1"/>
  <c r="BV289" i="6"/>
  <c r="BY289" i="6"/>
  <c r="BX289" i="6"/>
  <c r="BU289" i="6"/>
  <c r="BH289" i="6"/>
  <c r="AY289" i="6"/>
  <c r="BW289" i="6"/>
  <c r="BT289" i="6"/>
  <c r="BJ289" i="6" l="1"/>
  <c r="BK289" i="6" s="1"/>
  <c r="BI289" i="6"/>
  <c r="CA289" i="6" l="1"/>
  <c r="BS289" i="6"/>
  <c r="CI289" i="6" l="1"/>
  <c r="CB289" i="6" s="1"/>
  <c r="AG290" i="6"/>
  <c r="CJ289" i="6" l="1"/>
  <c r="CC289" i="6" s="1"/>
  <c r="AH290" i="6"/>
  <c r="AO290" i="6"/>
  <c r="Q290" i="6"/>
  <c r="R290" i="6" s="1"/>
  <c r="S290" i="6" s="1"/>
  <c r="AI290" i="6" l="1"/>
  <c r="CK289" i="6"/>
  <c r="CD289" i="6" s="1"/>
  <c r="AP290" i="6"/>
  <c r="W290" i="6" l="1"/>
  <c r="Z290" i="6" s="1"/>
  <c r="AQ290" i="6"/>
  <c r="CL289" i="6"/>
  <c r="CE289" i="6" s="1"/>
  <c r="AJ290" i="6"/>
  <c r="CM289" i="6" l="1"/>
  <c r="CF289" i="6" s="1"/>
  <c r="AK290" i="6"/>
  <c r="AR290" i="6"/>
  <c r="AC290" i="6"/>
  <c r="AL290" i="6" l="1"/>
  <c r="CN289" i="6"/>
  <c r="CG289" i="6" s="1"/>
  <c r="AS290" i="6"/>
  <c r="AT290" i="6" l="1"/>
  <c r="CO289" i="6"/>
  <c r="CH289" i="6" s="1"/>
  <c r="AM290" i="6"/>
  <c r="AN290" i="6" l="1"/>
  <c r="CP289" i="6"/>
  <c r="T289" i="6" s="1"/>
  <c r="X290" i="6"/>
  <c r="AU290" i="6"/>
  <c r="AV290" i="6" l="1"/>
  <c r="AW290" i="6" s="1"/>
  <c r="Y290" i="6"/>
  <c r="AB290" i="6" s="1"/>
  <c r="AA290" i="6"/>
  <c r="BC290" i="6" l="1"/>
  <c r="BN290" i="6" s="1"/>
  <c r="AZ290" i="6"/>
  <c r="BB290" i="6"/>
  <c r="BM290" i="6" s="1"/>
  <c r="BE290" i="6"/>
  <c r="BP290" i="6" s="1"/>
  <c r="BF290" i="6"/>
  <c r="BQ290" i="6" s="1"/>
  <c r="AX290" i="6"/>
  <c r="BA290" i="6"/>
  <c r="BL290" i="6" s="1"/>
  <c r="BD290" i="6"/>
  <c r="BO290" i="6" s="1"/>
  <c r="BG290" i="6"/>
  <c r="BR290" i="6" s="1"/>
  <c r="BV290" i="6" l="1"/>
  <c r="BU290" i="6"/>
  <c r="BX290" i="6"/>
  <c r="BY290" i="6"/>
  <c r="AY290" i="6"/>
  <c r="BH290" i="6"/>
  <c r="BT290" i="6"/>
  <c r="BW290" i="6"/>
  <c r="BZ290" i="6"/>
  <c r="BJ290" i="6" l="1"/>
  <c r="BK290" i="6" s="1"/>
  <c r="BI290" i="6"/>
  <c r="BS290" i="6" l="1"/>
  <c r="CA290" i="6" s="1"/>
  <c r="CI290" i="6" l="1"/>
  <c r="CB290" i="6" s="1"/>
  <c r="AG291" i="6"/>
  <c r="CJ290" i="6" l="1"/>
  <c r="CC290" i="6" s="1"/>
  <c r="AH291" i="6"/>
  <c r="AO291" i="6"/>
  <c r="Q291" i="6"/>
  <c r="R291" i="6" s="1"/>
  <c r="S291" i="6" s="1"/>
  <c r="CK290" i="6" l="1"/>
  <c r="CD290" i="6" s="1"/>
  <c r="AI291" i="6"/>
  <c r="AP291" i="6"/>
  <c r="AJ291" i="6" l="1"/>
  <c r="W291" i="6" s="1"/>
  <c r="Z291" i="6" s="1"/>
  <c r="CL290" i="6"/>
  <c r="CE290" i="6" s="1"/>
  <c r="AQ291" i="6"/>
  <c r="AR291" i="6" l="1"/>
  <c r="AC291" i="6"/>
  <c r="CM290" i="6"/>
  <c r="CF290" i="6" s="1"/>
  <c r="AK291" i="6"/>
  <c r="AL291" i="6" l="1"/>
  <c r="CN290" i="6"/>
  <c r="CG290" i="6" s="1"/>
  <c r="AS291" i="6"/>
  <c r="AT291" i="6" l="1"/>
  <c r="AM291" i="6"/>
  <c r="CO290" i="6"/>
  <c r="CH290" i="6" s="1"/>
  <c r="X291" i="6" l="1"/>
  <c r="AU291" i="6"/>
  <c r="CP290" i="6"/>
  <c r="T290" i="6" s="1"/>
  <c r="AN291" i="6"/>
  <c r="Y291" i="6" l="1"/>
  <c r="AB291" i="6" s="1"/>
  <c r="AA291" i="6"/>
  <c r="AV291" i="6"/>
  <c r="AW291" i="6" s="1"/>
  <c r="BF291" i="6" l="1"/>
  <c r="BQ291" i="6" s="1"/>
  <c r="BC291" i="6"/>
  <c r="BN291" i="6" s="1"/>
  <c r="BB291" i="6"/>
  <c r="BM291" i="6" s="1"/>
  <c r="BG291" i="6"/>
  <c r="BR291" i="6" s="1"/>
  <c r="BE291" i="6"/>
  <c r="BP291" i="6" s="1"/>
  <c r="AX291" i="6"/>
  <c r="AZ291" i="6"/>
  <c r="BD291" i="6"/>
  <c r="BO291" i="6" s="1"/>
  <c r="BA291" i="6"/>
  <c r="BL291" i="6" s="1"/>
  <c r="BZ291" i="6"/>
  <c r="BY291" i="6" l="1"/>
  <c r="BV291" i="6"/>
  <c r="BU291" i="6"/>
  <c r="BX291" i="6"/>
  <c r="AY291" i="6"/>
  <c r="BH291" i="6"/>
  <c r="BW291" i="6"/>
  <c r="BT291" i="6"/>
  <c r="BI291" i="6" l="1"/>
  <c r="BJ291" i="6" s="1"/>
  <c r="BK291" i="6" s="1"/>
  <c r="BS291" i="6" l="1"/>
  <c r="CA291" i="6" s="1"/>
  <c r="CI291" i="6" l="1"/>
  <c r="CB291" i="6" s="1"/>
  <c r="AG292" i="6"/>
  <c r="AH292" i="6"/>
  <c r="CJ291" i="6"/>
  <c r="CC291" i="6" s="1"/>
  <c r="AO292" i="6" l="1"/>
  <c r="Q292" i="6"/>
  <c r="R292" i="6" s="1"/>
  <c r="S292" i="6" s="1"/>
  <c r="AP292" i="6"/>
  <c r="CK291" i="6"/>
  <c r="CD291" i="6" s="1"/>
  <c r="AI292" i="6"/>
  <c r="AJ292" i="6" l="1"/>
  <c r="CL291" i="6"/>
  <c r="CE291" i="6" s="1"/>
  <c r="AQ292" i="6"/>
  <c r="W292" i="6" l="1"/>
  <c r="Z292" i="6" s="1"/>
  <c r="AR292" i="6"/>
  <c r="AC292" i="6"/>
  <c r="AK292" i="6"/>
  <c r="CM291" i="6"/>
  <c r="CF291" i="6" s="1"/>
  <c r="AS292" i="6" l="1"/>
  <c r="CN291" i="6"/>
  <c r="CG291" i="6" s="1"/>
  <c r="AL292" i="6"/>
  <c r="AM292" i="6" l="1"/>
  <c r="CO291" i="6"/>
  <c r="CH291" i="6" s="1"/>
  <c r="AT292" i="6"/>
  <c r="AU292" i="6" l="1"/>
  <c r="AN292" i="6"/>
  <c r="X292" i="6" s="1"/>
  <c r="CP291" i="6"/>
  <c r="T291" i="6" s="1"/>
  <c r="Y292" i="6" l="1"/>
  <c r="AB292" i="6" s="1"/>
  <c r="AA292" i="6"/>
  <c r="AV292" i="6"/>
  <c r="AW292" i="6" s="1"/>
  <c r="BF292" i="6" l="1"/>
  <c r="BQ292" i="6" s="1"/>
  <c r="AX292" i="6"/>
  <c r="BB292" i="6"/>
  <c r="BM292" i="6" s="1"/>
  <c r="BG292" i="6"/>
  <c r="BR292" i="6" s="1"/>
  <c r="BA292" i="6"/>
  <c r="BL292" i="6" s="1"/>
  <c r="BC292" i="6"/>
  <c r="BN292" i="6" s="1"/>
  <c r="BE292" i="6"/>
  <c r="BP292" i="6" s="1"/>
  <c r="AZ292" i="6"/>
  <c r="BD292" i="6"/>
  <c r="BO292" i="6" s="1"/>
  <c r="BY292" i="6" l="1"/>
  <c r="BH292" i="6"/>
  <c r="AY292" i="6"/>
  <c r="BU292" i="6"/>
  <c r="BZ292" i="6"/>
  <c r="BT292" i="6"/>
  <c r="BV292" i="6"/>
  <c r="BX292" i="6"/>
  <c r="BW292" i="6"/>
  <c r="BI292" i="6" l="1"/>
  <c r="BJ292" i="6" s="1"/>
  <c r="BK292" i="6" s="1"/>
  <c r="BS292" i="6" l="1"/>
  <c r="CA292" i="6" s="1"/>
  <c r="CI292" i="6" l="1"/>
  <c r="CB292" i="6" s="1"/>
  <c r="AG293" i="6"/>
  <c r="AH293" i="6"/>
  <c r="CJ292" i="6"/>
  <c r="CC292" i="6" s="1"/>
  <c r="AO293" i="6" l="1"/>
  <c r="Q293" i="6"/>
  <c r="R293" i="6" s="1"/>
  <c r="S293" i="6" s="1"/>
  <c r="AP293" i="6"/>
  <c r="AI293" i="6"/>
  <c r="CK292" i="6"/>
  <c r="CD292" i="6" s="1"/>
  <c r="AQ293" i="6" l="1"/>
  <c r="AJ293" i="6"/>
  <c r="CL292" i="6"/>
  <c r="CE292" i="6" s="1"/>
  <c r="W293" i="6" l="1"/>
  <c r="Z293" i="6" s="1"/>
  <c r="AR293" i="6"/>
  <c r="AC293" i="6"/>
  <c r="AK293" i="6"/>
  <c r="CM292" i="6"/>
  <c r="CF292" i="6" s="1"/>
  <c r="AS293" i="6" l="1"/>
  <c r="AL293" i="6"/>
  <c r="CN292" i="6"/>
  <c r="CG292" i="6" s="1"/>
  <c r="AT293" i="6" l="1"/>
  <c r="CO292" i="6"/>
  <c r="CH292" i="6" s="1"/>
  <c r="AM293" i="6"/>
  <c r="AN293" i="6" l="1"/>
  <c r="CP292" i="6"/>
  <c r="T292" i="6" s="1"/>
  <c r="X293" i="6"/>
  <c r="AU293" i="6"/>
  <c r="AV293" i="6" l="1"/>
  <c r="AW293" i="6" s="1"/>
  <c r="AA293" i="6"/>
  <c r="Y293" i="6"/>
  <c r="AB293" i="6" s="1"/>
  <c r="BG293" i="6" l="1"/>
  <c r="BR293" i="6" s="1"/>
  <c r="BC293" i="6"/>
  <c r="BN293" i="6" s="1"/>
  <c r="BB293" i="6"/>
  <c r="BM293" i="6" s="1"/>
  <c r="AX293" i="6"/>
  <c r="BE293" i="6"/>
  <c r="BP293" i="6" s="1"/>
  <c r="BA293" i="6"/>
  <c r="BL293" i="6" s="1"/>
  <c r="BF293" i="6"/>
  <c r="BQ293" i="6" s="1"/>
  <c r="BD293" i="6"/>
  <c r="BO293" i="6" s="1"/>
  <c r="AZ293" i="6"/>
  <c r="BZ293" i="6" l="1"/>
  <c r="BV293" i="6"/>
  <c r="BU293" i="6"/>
  <c r="AY293" i="6"/>
  <c r="BH293" i="6"/>
  <c r="BX293" i="6"/>
  <c r="BT293" i="6"/>
  <c r="BY293" i="6"/>
  <c r="BW293" i="6"/>
  <c r="BJ293" i="6" l="1"/>
  <c r="BK293" i="6" s="1"/>
  <c r="BI293" i="6"/>
  <c r="BS293" i="6" l="1"/>
  <c r="CA293" i="6" s="1"/>
  <c r="AG294" i="6" l="1"/>
  <c r="CI293" i="6"/>
  <c r="CB293" i="6" s="1"/>
  <c r="Q294" i="6" l="1"/>
  <c r="R294" i="6" s="1"/>
  <c r="S294" i="6" s="1"/>
  <c r="AO294" i="6"/>
  <c r="CJ293" i="6"/>
  <c r="CC293" i="6" s="1"/>
  <c r="AH294" i="6"/>
  <c r="CK293" i="6" l="1"/>
  <c r="CD293" i="6" s="1"/>
  <c r="AI294" i="6"/>
  <c r="AP294" i="6"/>
  <c r="CL293" i="6" l="1"/>
  <c r="CE293" i="6" s="1"/>
  <c r="AJ294" i="6"/>
  <c r="W294" i="6"/>
  <c r="Z294" i="6" s="1"/>
  <c r="AQ294" i="6"/>
  <c r="CM293" i="6" l="1"/>
  <c r="CF293" i="6" s="1"/>
  <c r="AK294" i="6"/>
  <c r="AC294" i="6"/>
  <c r="AR294" i="6"/>
  <c r="CN293" i="6" l="1"/>
  <c r="CG293" i="6" s="1"/>
  <c r="AL294" i="6"/>
  <c r="AS294" i="6"/>
  <c r="AM294" i="6" l="1"/>
  <c r="CO293" i="6"/>
  <c r="CH293" i="6" s="1"/>
  <c r="AT294" i="6"/>
  <c r="X294" i="6" l="1"/>
  <c r="AU294" i="6"/>
  <c r="AN294" i="6"/>
  <c r="CP293" i="6"/>
  <c r="T293" i="6" s="1"/>
  <c r="Y294" i="6" l="1"/>
  <c r="AB294" i="6" s="1"/>
  <c r="AA294" i="6"/>
  <c r="AV294" i="6"/>
  <c r="AW294" i="6" s="1"/>
  <c r="BA294" i="6" l="1"/>
  <c r="BL294" i="6" s="1"/>
  <c r="BG294" i="6"/>
  <c r="BR294" i="6" s="1"/>
  <c r="BB294" i="6"/>
  <c r="BM294" i="6" s="1"/>
  <c r="BD294" i="6"/>
  <c r="BO294" i="6" s="1"/>
  <c r="BF294" i="6"/>
  <c r="BQ294" i="6" s="1"/>
  <c r="AZ294" i="6"/>
  <c r="BC294" i="6"/>
  <c r="BN294" i="6" s="1"/>
  <c r="BE294" i="6"/>
  <c r="BP294" i="6" s="1"/>
  <c r="AX294" i="6"/>
  <c r="BZ294" i="6"/>
  <c r="BT294" i="6" l="1"/>
  <c r="BU294" i="6"/>
  <c r="BW294" i="6"/>
  <c r="BY294" i="6"/>
  <c r="BV294" i="6"/>
  <c r="BX294" i="6"/>
  <c r="AY294" i="6"/>
  <c r="BH294" i="6"/>
  <c r="BI294" i="6" l="1"/>
  <c r="BJ294" i="6" s="1"/>
  <c r="BK294" i="6" s="1"/>
  <c r="BS294" i="6" l="1"/>
  <c r="CA294" i="6" s="1"/>
  <c r="CI294" i="6" l="1"/>
  <c r="CB294" i="6" s="1"/>
  <c r="AG295" i="6"/>
  <c r="AO295" i="6" l="1"/>
  <c r="Q295" i="6"/>
  <c r="R295" i="6" s="1"/>
  <c r="S295" i="6" s="1"/>
  <c r="CJ294" i="6"/>
  <c r="CC294" i="6" s="1"/>
  <c r="AH295" i="6"/>
  <c r="CK294" i="6" l="1"/>
  <c r="CD294" i="6" s="1"/>
  <c r="AI295" i="6"/>
  <c r="AP295" i="6"/>
  <c r="CL294" i="6" l="1"/>
  <c r="CE294" i="6" s="1"/>
  <c r="AJ295" i="6"/>
  <c r="W295" i="6" s="1"/>
  <c r="Z295" i="6" s="1"/>
  <c r="AQ295" i="6"/>
  <c r="AK295" i="6" l="1"/>
  <c r="CM294" i="6"/>
  <c r="CF294" i="6" s="1"/>
  <c r="AR295" i="6"/>
  <c r="AC295" i="6"/>
  <c r="AS295" i="6" l="1"/>
  <c r="CN294" i="6"/>
  <c r="CG294" i="6" s="1"/>
  <c r="AL295" i="6"/>
  <c r="AM295" i="6" l="1"/>
  <c r="CO294" i="6"/>
  <c r="CH294" i="6" s="1"/>
  <c r="AT295" i="6"/>
  <c r="AU295" i="6" l="1"/>
  <c r="AN295" i="6"/>
  <c r="X295" i="6" s="1"/>
  <c r="CP294" i="6"/>
  <c r="T294" i="6" s="1"/>
  <c r="Y295" i="6" l="1"/>
  <c r="AB295" i="6" s="1"/>
  <c r="AA295" i="6"/>
  <c r="AV295" i="6"/>
  <c r="AW295" i="6" s="1"/>
  <c r="AZ295" i="6" l="1"/>
  <c r="BD295" i="6"/>
  <c r="BO295" i="6" s="1"/>
  <c r="BE295" i="6"/>
  <c r="BP295" i="6" s="1"/>
  <c r="BB295" i="6"/>
  <c r="BM295" i="6" s="1"/>
  <c r="AX295" i="6"/>
  <c r="BA295" i="6"/>
  <c r="BL295" i="6" s="1"/>
  <c r="BC295" i="6"/>
  <c r="BN295" i="6" s="1"/>
  <c r="BF295" i="6"/>
  <c r="BQ295" i="6" s="1"/>
  <c r="BG295" i="6"/>
  <c r="BR295" i="6" s="1"/>
  <c r="BW295" i="6" l="1"/>
  <c r="BX295" i="6"/>
  <c r="BU295" i="6"/>
  <c r="AY295" i="6"/>
  <c r="BH295" i="6"/>
  <c r="BT295" i="6"/>
  <c r="BV295" i="6"/>
  <c r="BY295" i="6"/>
  <c r="BZ295" i="6"/>
  <c r="BI295" i="6" l="1"/>
  <c r="BJ295" i="6" s="1"/>
  <c r="BK295" i="6" s="1"/>
  <c r="BS295" i="6" l="1"/>
  <c r="CA295" i="6" s="1"/>
  <c r="CI295" i="6" l="1"/>
  <c r="CB295" i="6" s="1"/>
  <c r="AG296" i="6"/>
  <c r="AH296" i="6" l="1"/>
  <c r="CJ295" i="6"/>
  <c r="CC295" i="6" s="1"/>
  <c r="Q296" i="6"/>
  <c r="R296" i="6" s="1"/>
  <c r="S296" i="6" s="1"/>
  <c r="AO296" i="6"/>
  <c r="AP296" i="6" l="1"/>
  <c r="CK295" i="6"/>
  <c r="CD295" i="6" s="1"/>
  <c r="AI296" i="6"/>
  <c r="CL295" i="6" l="1"/>
  <c r="CE295" i="6" s="1"/>
  <c r="AJ296" i="6"/>
  <c r="W296" i="6"/>
  <c r="Z296" i="6" s="1"/>
  <c r="AQ296" i="6"/>
  <c r="AK296" i="6" l="1"/>
  <c r="CM295" i="6"/>
  <c r="CF295" i="6" s="1"/>
  <c r="AR296" i="6"/>
  <c r="AC296" i="6"/>
  <c r="AS296" i="6" l="1"/>
  <c r="CN295" i="6"/>
  <c r="CG295" i="6" s="1"/>
  <c r="AL296" i="6"/>
  <c r="CO295" i="6" l="1"/>
  <c r="CH295" i="6" s="1"/>
  <c r="AM296" i="6"/>
  <c r="AT296" i="6"/>
  <c r="AN296" i="6" l="1"/>
  <c r="CP295" i="6"/>
  <c r="T295" i="6" s="1"/>
  <c r="X296" i="6"/>
  <c r="AU296" i="6"/>
  <c r="AV296" i="6" l="1"/>
  <c r="AW296" i="6" s="1"/>
  <c r="Y296" i="6"/>
  <c r="AB296" i="6" s="1"/>
  <c r="AA296" i="6"/>
  <c r="AZ296" i="6" l="1"/>
  <c r="BD296" i="6"/>
  <c r="BO296" i="6" s="1"/>
  <c r="BB296" i="6"/>
  <c r="BM296" i="6" s="1"/>
  <c r="BF296" i="6"/>
  <c r="BQ296" i="6" s="1"/>
  <c r="BG296" i="6"/>
  <c r="BR296" i="6" s="1"/>
  <c r="BA296" i="6"/>
  <c r="BL296" i="6" s="1"/>
  <c r="BC296" i="6"/>
  <c r="BN296" i="6" s="1"/>
  <c r="AX296" i="6"/>
  <c r="BE296" i="6"/>
  <c r="BP296" i="6" s="1"/>
  <c r="BZ296" i="6"/>
  <c r="BW296" i="6" l="1"/>
  <c r="BU296" i="6"/>
  <c r="BY296" i="6"/>
  <c r="BT296" i="6"/>
  <c r="BV296" i="6"/>
  <c r="AY296" i="6"/>
  <c r="BH296" i="6"/>
  <c r="BX296" i="6"/>
  <c r="BJ296" i="6" l="1"/>
  <c r="BK296" i="6" s="1"/>
  <c r="BI296" i="6"/>
  <c r="BS296" i="6" l="1"/>
  <c r="CA296" i="6"/>
  <c r="CI296" i="6" l="1"/>
  <c r="CB296" i="6" s="1"/>
  <c r="AG297" i="6"/>
  <c r="AH297" i="6" l="1"/>
  <c r="CJ296" i="6"/>
  <c r="CC296" i="6" s="1"/>
  <c r="AO297" i="6"/>
  <c r="Q297" i="6"/>
  <c r="R297" i="6" s="1"/>
  <c r="S297" i="6" s="1"/>
  <c r="AP297" i="6" l="1"/>
  <c r="CK296" i="6"/>
  <c r="CD296" i="6" s="1"/>
  <c r="AI297" i="6"/>
  <c r="AJ297" i="6" l="1"/>
  <c r="W297" i="6" s="1"/>
  <c r="Z297" i="6" s="1"/>
  <c r="CL296" i="6"/>
  <c r="CE296" i="6" s="1"/>
  <c r="AQ297" i="6"/>
  <c r="AR297" i="6" l="1"/>
  <c r="AC297" i="6"/>
  <c r="AK297" i="6"/>
  <c r="CM296" i="6"/>
  <c r="CF296" i="6" s="1"/>
  <c r="AS297" i="6" l="1"/>
  <c r="CN296" i="6"/>
  <c r="CG296" i="6" s="1"/>
  <c r="AL297" i="6"/>
  <c r="CO296" i="6" l="1"/>
  <c r="CH296" i="6" s="1"/>
  <c r="AM297" i="6"/>
  <c r="AT297" i="6"/>
  <c r="CP296" i="6" l="1"/>
  <c r="T296" i="6" s="1"/>
  <c r="AN297" i="6"/>
  <c r="X297" i="6"/>
  <c r="AU297" i="6"/>
  <c r="AV297" i="6" l="1"/>
  <c r="AW297" i="6" s="1"/>
  <c r="Y297" i="6"/>
  <c r="AB297" i="6" s="1"/>
  <c r="AA297" i="6"/>
  <c r="AZ297" i="6" l="1"/>
  <c r="BE297" i="6"/>
  <c r="BP297" i="6" s="1"/>
  <c r="BA297" i="6"/>
  <c r="BL297" i="6" s="1"/>
  <c r="BC297" i="6"/>
  <c r="BN297" i="6" s="1"/>
  <c r="BG297" i="6"/>
  <c r="BR297" i="6" s="1"/>
  <c r="AX297" i="6"/>
  <c r="BD297" i="6"/>
  <c r="BO297" i="6" s="1"/>
  <c r="BB297" i="6"/>
  <c r="BM297" i="6" s="1"/>
  <c r="BF297" i="6"/>
  <c r="BQ297" i="6" s="1"/>
  <c r="BZ297" i="6"/>
  <c r="BX297" i="6" l="1"/>
  <c r="BT297" i="6"/>
  <c r="BV297" i="6"/>
  <c r="AY297" i="6"/>
  <c r="BH297" i="6"/>
  <c r="BW297" i="6"/>
  <c r="BU297" i="6"/>
  <c r="BY297" i="6"/>
  <c r="BI297" i="6" l="1"/>
  <c r="BJ297" i="6" s="1"/>
  <c r="BK297" i="6" s="1"/>
  <c r="BS297" i="6" l="1"/>
  <c r="CA297" i="6" s="1"/>
  <c r="AG298" i="6" l="1"/>
  <c r="CI297" i="6"/>
  <c r="CB297" i="6" s="1"/>
  <c r="AO298" i="6" l="1"/>
  <c r="Q298" i="6"/>
  <c r="R298" i="6" s="1"/>
  <c r="S298" i="6" s="1"/>
  <c r="AH298" i="6"/>
  <c r="CJ297" i="6"/>
  <c r="CC297" i="6" s="1"/>
  <c r="AP298" i="6" l="1"/>
  <c r="CK297" i="6"/>
  <c r="CD297" i="6" s="1"/>
  <c r="AI298" i="6"/>
  <c r="CL297" i="6" l="1"/>
  <c r="CE297" i="6" s="1"/>
  <c r="AJ298" i="6"/>
  <c r="W298" i="6"/>
  <c r="Z298" i="6" s="1"/>
  <c r="AQ298" i="6"/>
  <c r="CM297" i="6" l="1"/>
  <c r="CF297" i="6" s="1"/>
  <c r="AK298" i="6"/>
  <c r="AR298" i="6"/>
  <c r="AC298" i="6"/>
  <c r="AL298" i="6" l="1"/>
  <c r="CN297" i="6"/>
  <c r="CG297" i="6" s="1"/>
  <c r="AS298" i="6"/>
  <c r="AT298" i="6" l="1"/>
  <c r="CO297" i="6"/>
  <c r="CH297" i="6" s="1"/>
  <c r="AM298" i="6"/>
  <c r="CP297" i="6" l="1"/>
  <c r="T297" i="6" s="1"/>
  <c r="AN298" i="6"/>
  <c r="X298" i="6"/>
  <c r="AU298" i="6"/>
  <c r="AV298" i="6" l="1"/>
  <c r="AW298" i="6" s="1"/>
  <c r="AA298" i="6"/>
  <c r="Y298" i="6"/>
  <c r="AB298" i="6" s="1"/>
  <c r="AZ298" i="6"/>
  <c r="BC298" i="6"/>
  <c r="BN298" i="6" s="1"/>
  <c r="BF298" i="6"/>
  <c r="BQ298" i="6" s="1"/>
  <c r="AX298" i="6"/>
  <c r="BA298" i="6"/>
  <c r="BL298" i="6" s="1"/>
  <c r="BV298" i="6" l="1"/>
  <c r="BH298" i="6"/>
  <c r="AY298" i="6"/>
  <c r="BT298" i="6"/>
  <c r="BD298" i="6"/>
  <c r="BO298" i="6" s="1"/>
  <c r="BG298" i="6"/>
  <c r="BR298" i="6" s="1"/>
  <c r="BB298" i="6"/>
  <c r="BM298" i="6" s="1"/>
  <c r="BE298" i="6"/>
  <c r="BP298" i="6" s="1"/>
  <c r="BY298" i="6"/>
  <c r="BI298" i="6" l="1"/>
  <c r="BJ298" i="6" s="1"/>
  <c r="BK298" i="6" s="1"/>
  <c r="BW298" i="6"/>
  <c r="BZ298" i="6"/>
  <c r="BU298" i="6"/>
  <c r="BX298" i="6"/>
  <c r="CA298" i="6" l="1"/>
  <c r="BS298" i="6"/>
  <c r="CI298" i="6" l="1"/>
  <c r="CB298" i="6" s="1"/>
  <c r="AG299" i="6"/>
  <c r="AO299" i="6" l="1"/>
  <c r="Q299" i="6"/>
  <c r="R299" i="6" s="1"/>
  <c r="S299" i="6" s="1"/>
  <c r="AH299" i="6"/>
  <c r="CJ298" i="6"/>
  <c r="CC298" i="6" s="1"/>
  <c r="AP299" i="6" l="1"/>
  <c r="CK298" i="6"/>
  <c r="CD298" i="6" s="1"/>
  <c r="AI299" i="6"/>
  <c r="CL298" i="6" l="1"/>
  <c r="CE298" i="6" s="1"/>
  <c r="AJ299" i="6"/>
  <c r="W299" i="6"/>
  <c r="Z299" i="6" s="1"/>
  <c r="AQ299" i="6"/>
  <c r="CM298" i="6" l="1"/>
  <c r="CF298" i="6" s="1"/>
  <c r="AK299" i="6"/>
  <c r="AR299" i="6"/>
  <c r="AC299" i="6"/>
  <c r="CN298" i="6" l="1"/>
  <c r="CG298" i="6" s="1"/>
  <c r="AL299" i="6"/>
  <c r="AS299" i="6"/>
  <c r="CO298" i="6" l="1"/>
  <c r="CH298" i="6" s="1"/>
  <c r="AM299" i="6"/>
  <c r="AT299" i="6"/>
  <c r="AN299" i="6" l="1"/>
  <c r="CP298" i="6"/>
  <c r="T298" i="6" s="1"/>
  <c r="X299" i="6"/>
  <c r="AU299" i="6"/>
  <c r="AV299" i="6" l="1"/>
  <c r="AW299" i="6" s="1"/>
  <c r="AA299" i="6"/>
  <c r="Y299" i="6"/>
  <c r="AB299" i="6" s="1"/>
  <c r="AX299" i="6" l="1"/>
  <c r="AZ299" i="6"/>
  <c r="BC299" i="6"/>
  <c r="BN299" i="6" s="1"/>
  <c r="BE299" i="6"/>
  <c r="BP299" i="6" s="1"/>
  <c r="BA299" i="6"/>
  <c r="BL299" i="6" s="1"/>
  <c r="BB299" i="6"/>
  <c r="BM299" i="6" s="1"/>
  <c r="BD299" i="6"/>
  <c r="BO299" i="6" s="1"/>
  <c r="BF299" i="6"/>
  <c r="BQ299" i="6" s="1"/>
  <c r="BG299" i="6"/>
  <c r="BR299" i="6" s="1"/>
  <c r="AY299" i="6" l="1"/>
  <c r="BH299" i="6"/>
  <c r="BV299" i="6"/>
  <c r="BX299" i="6"/>
  <c r="BT299" i="6"/>
  <c r="BU299" i="6"/>
  <c r="BW299" i="6"/>
  <c r="BY299" i="6"/>
  <c r="BZ299" i="6"/>
  <c r="BI299" i="6" l="1"/>
  <c r="BJ299" i="6" s="1"/>
  <c r="BK299" i="6" s="1"/>
  <c r="BS299" i="6" l="1"/>
  <c r="CA299" i="6" s="1"/>
  <c r="CI299" i="6" l="1"/>
  <c r="CB299" i="6" s="1"/>
  <c r="AG300" i="6"/>
  <c r="AH300" i="6"/>
  <c r="CJ299" i="6"/>
  <c r="CC299" i="6" s="1"/>
  <c r="AO300" i="6" l="1"/>
  <c r="Q300" i="6"/>
  <c r="R300" i="6" s="1"/>
  <c r="S300" i="6" s="1"/>
  <c r="AP300" i="6"/>
  <c r="CK299" i="6"/>
  <c r="CD299" i="6" s="1"/>
  <c r="AI300" i="6"/>
  <c r="CL299" i="6" l="1"/>
  <c r="CE299" i="6" s="1"/>
  <c r="AJ300" i="6"/>
  <c r="AQ300" i="6"/>
  <c r="AK300" i="6" l="1"/>
  <c r="CM299" i="6"/>
  <c r="CF299" i="6" s="1"/>
  <c r="W300" i="6"/>
  <c r="Z300" i="6" s="1"/>
  <c r="AR300" i="6"/>
  <c r="AC300" i="6"/>
  <c r="AS300" i="6" l="1"/>
  <c r="AL300" i="6"/>
  <c r="CN299" i="6"/>
  <c r="CG299" i="6" s="1"/>
  <c r="AT300" i="6" l="1"/>
  <c r="AM300" i="6"/>
  <c r="CO299" i="6"/>
  <c r="CH299" i="6" s="1"/>
  <c r="AU300" i="6" l="1"/>
  <c r="AN300" i="6"/>
  <c r="X300" i="6" s="1"/>
  <c r="CP299" i="6"/>
  <c r="T299" i="6" s="1"/>
  <c r="AA300" i="6" l="1"/>
  <c r="Y300" i="6"/>
  <c r="AB300" i="6" s="1"/>
  <c r="AV300" i="6"/>
  <c r="AW300" i="6" s="1"/>
  <c r="BG300" i="6" l="1"/>
  <c r="BR300" i="6" s="1"/>
  <c r="BF300" i="6"/>
  <c r="BQ300" i="6" s="1"/>
  <c r="BE300" i="6"/>
  <c r="BP300" i="6" s="1"/>
  <c r="BD300" i="6"/>
  <c r="BO300" i="6" s="1"/>
  <c r="BC300" i="6"/>
  <c r="BN300" i="6" s="1"/>
  <c r="BB300" i="6"/>
  <c r="BM300" i="6" s="1"/>
  <c r="BA300" i="6"/>
  <c r="BL300" i="6" s="1"/>
  <c r="AZ300" i="6"/>
  <c r="AX300" i="6"/>
  <c r="BY300" i="6" l="1"/>
  <c r="BX300" i="6"/>
  <c r="BW300" i="6"/>
  <c r="BV300" i="6"/>
  <c r="BU300" i="6"/>
  <c r="BT300" i="6"/>
  <c r="AY300" i="6"/>
  <c r="BH300" i="6"/>
  <c r="BZ300" i="6"/>
  <c r="BJ300" i="6" l="1"/>
  <c r="BK300" i="6" s="1"/>
  <c r="BI300" i="6"/>
  <c r="BS300" i="6" l="1"/>
  <c r="CA300" i="6" s="1"/>
  <c r="CI300" i="6" l="1"/>
  <c r="CB300" i="6" s="1"/>
  <c r="CJ300" i="6" s="1"/>
  <c r="CC300" i="6" s="1"/>
  <c r="AG301" i="6"/>
  <c r="AH301" i="6"/>
  <c r="AO301" i="6" l="1"/>
  <c r="Q301" i="6"/>
  <c r="R301" i="6" s="1"/>
  <c r="S301" i="6" s="1"/>
  <c r="AP301" i="6"/>
  <c r="AI301" i="6"/>
  <c r="CK300" i="6"/>
  <c r="CD300" i="6" s="1"/>
  <c r="AQ301" i="6" l="1"/>
  <c r="AJ301" i="6"/>
  <c r="CL300" i="6"/>
  <c r="CE300" i="6" s="1"/>
  <c r="W301" i="6" l="1"/>
  <c r="Z301" i="6" s="1"/>
  <c r="AR301" i="6"/>
  <c r="AC301" i="6"/>
  <c r="AK301" i="6"/>
  <c r="CM300" i="6"/>
  <c r="CF300" i="6" s="1"/>
  <c r="AS301" i="6" l="1"/>
  <c r="AL301" i="6"/>
  <c r="CN300" i="6"/>
  <c r="CG300" i="6" s="1"/>
  <c r="AT301" i="6" l="1"/>
  <c r="CO300" i="6"/>
  <c r="CH300" i="6" s="1"/>
  <c r="AM301" i="6"/>
  <c r="AN301" i="6" l="1"/>
  <c r="CP300" i="6"/>
  <c r="T300" i="6" s="1"/>
  <c r="X301" i="6"/>
  <c r="AU301" i="6"/>
  <c r="AV301" i="6" l="1"/>
  <c r="AW301" i="6" s="1"/>
  <c r="AA301" i="6"/>
  <c r="Y301" i="6"/>
  <c r="AB301" i="6" s="1"/>
  <c r="BE301" i="6"/>
  <c r="BP301" i="6" s="1"/>
  <c r="BD301" i="6"/>
  <c r="BO301" i="6" s="1"/>
  <c r="BC301" i="6"/>
  <c r="BN301" i="6" s="1"/>
  <c r="BX301" i="6" l="1"/>
  <c r="BW301" i="6"/>
  <c r="BV301" i="6"/>
  <c r="BG301" i="6"/>
  <c r="BR301" i="6" s="1"/>
  <c r="BF301" i="6"/>
  <c r="BQ301" i="6" s="1"/>
  <c r="BB301" i="6"/>
  <c r="BM301" i="6" s="1"/>
  <c r="BA301" i="6"/>
  <c r="BL301" i="6" s="1"/>
  <c r="AZ301" i="6"/>
  <c r="AX301" i="6"/>
  <c r="BZ301" i="6" l="1"/>
  <c r="BY301" i="6"/>
  <c r="BU301" i="6"/>
  <c r="BT301" i="6"/>
  <c r="AY301" i="6"/>
  <c r="BH301" i="6"/>
  <c r="BI301" i="6" l="1"/>
  <c r="BJ301" i="6" s="1"/>
  <c r="BK301" i="6" s="1"/>
  <c r="BS301" i="6" l="1"/>
  <c r="CA301" i="6" s="1"/>
  <c r="CI301" i="6" l="1"/>
  <c r="CB301" i="6" s="1"/>
  <c r="AG302" i="6"/>
  <c r="CJ301" i="6" l="1"/>
  <c r="CC301" i="6" s="1"/>
  <c r="AH302" i="6"/>
  <c r="AO302" i="6"/>
  <c r="Q302" i="6"/>
  <c r="R302" i="6" s="1"/>
  <c r="S302" i="6" s="1"/>
  <c r="CK301" i="6" l="1"/>
  <c r="CD301" i="6" s="1"/>
  <c r="AI302" i="6"/>
  <c r="AP302" i="6"/>
  <c r="AJ302" i="6" l="1"/>
  <c r="CL301" i="6"/>
  <c r="CE301" i="6" s="1"/>
  <c r="W302" i="6"/>
  <c r="Z302" i="6" s="1"/>
  <c r="AQ302" i="6"/>
  <c r="AR302" i="6" l="1"/>
  <c r="AC302" i="6"/>
  <c r="AK302" i="6"/>
  <c r="CM301" i="6"/>
  <c r="CF301" i="6" s="1"/>
  <c r="AS302" i="6" l="1"/>
  <c r="AL302" i="6"/>
  <c r="CN301" i="6"/>
  <c r="CG301" i="6" s="1"/>
  <c r="AT302" i="6" l="1"/>
  <c r="CO301" i="6"/>
  <c r="CH301" i="6" s="1"/>
  <c r="AM302" i="6"/>
  <c r="AN302" i="6" l="1"/>
  <c r="X302" i="6" s="1"/>
  <c r="CP301" i="6"/>
  <c r="T301" i="6" s="1"/>
  <c r="AU302" i="6"/>
  <c r="AV302" i="6" l="1"/>
  <c r="AW302" i="6" s="1"/>
  <c r="AA302" i="6"/>
  <c r="Y302" i="6"/>
  <c r="AB302" i="6" s="1"/>
  <c r="BA302" i="6"/>
  <c r="BL302" i="6" s="1"/>
  <c r="BB302" i="6"/>
  <c r="BM302" i="6" s="1"/>
  <c r="BC302" i="6"/>
  <c r="BN302" i="6" s="1"/>
  <c r="BT302" i="6" l="1"/>
  <c r="BU302" i="6"/>
  <c r="BV302" i="6"/>
  <c r="BD302" i="6"/>
  <c r="BO302" i="6" s="1"/>
  <c r="BE302" i="6"/>
  <c r="BP302" i="6" s="1"/>
  <c r="AX302" i="6"/>
  <c r="AZ302" i="6"/>
  <c r="BF302" i="6"/>
  <c r="BQ302" i="6" s="1"/>
  <c r="BG302" i="6"/>
  <c r="BR302" i="6" s="1"/>
  <c r="BW302" i="6" l="1"/>
  <c r="BX302" i="6"/>
  <c r="AY302" i="6"/>
  <c r="BH302" i="6"/>
  <c r="BY302" i="6"/>
  <c r="BZ302" i="6"/>
  <c r="BI302" i="6" l="1"/>
  <c r="BJ302" i="6" s="1"/>
  <c r="BK302" i="6" s="1"/>
  <c r="BS302" i="6" l="1"/>
  <c r="CA302" i="6" s="1"/>
  <c r="AG303" i="6" l="1"/>
  <c r="CI302" i="6"/>
  <c r="CB302" i="6" s="1"/>
  <c r="AH303" i="6"/>
  <c r="CJ302" i="6"/>
  <c r="CC302" i="6" s="1"/>
  <c r="AO303" i="6" l="1"/>
  <c r="Q303" i="6"/>
  <c r="R303" i="6" s="1"/>
  <c r="S303" i="6" s="1"/>
  <c r="AP303" i="6"/>
  <c r="AI303" i="6"/>
  <c r="CK302" i="6"/>
  <c r="CD302" i="6" s="1"/>
  <c r="AQ303" i="6" l="1"/>
  <c r="AJ303" i="6"/>
  <c r="CL302" i="6"/>
  <c r="CE302" i="6" s="1"/>
  <c r="W303" i="6" l="1"/>
  <c r="Z303" i="6" s="1"/>
  <c r="AR303" i="6"/>
  <c r="AC303" i="6"/>
  <c r="CM302" i="6"/>
  <c r="CF302" i="6" s="1"/>
  <c r="AK303" i="6"/>
  <c r="CN302" i="6" l="1"/>
  <c r="CG302" i="6" s="1"/>
  <c r="AL303" i="6"/>
  <c r="AS303" i="6"/>
  <c r="CO302" i="6" l="1"/>
  <c r="CH302" i="6" s="1"/>
  <c r="AM303" i="6"/>
  <c r="AT303" i="6"/>
  <c r="AN303" i="6" l="1"/>
  <c r="X303" i="6" s="1"/>
  <c r="CP302" i="6"/>
  <c r="T302" i="6" s="1"/>
  <c r="AU303" i="6"/>
  <c r="AV303" i="6" l="1"/>
  <c r="AW303" i="6" s="1"/>
  <c r="AA303" i="6"/>
  <c r="Y303" i="6"/>
  <c r="AB303" i="6" s="1"/>
  <c r="BG303" i="6" l="1"/>
  <c r="BR303" i="6" s="1"/>
  <c r="BF303" i="6"/>
  <c r="BQ303" i="6" s="1"/>
  <c r="BE303" i="6"/>
  <c r="BP303" i="6" s="1"/>
  <c r="BA303" i="6"/>
  <c r="BL303" i="6" s="1"/>
  <c r="AZ303" i="6"/>
  <c r="AX303" i="6"/>
  <c r="BD303" i="6"/>
  <c r="BO303" i="6" s="1"/>
  <c r="BC303" i="6"/>
  <c r="BN303" i="6" s="1"/>
  <c r="BB303" i="6"/>
  <c r="BM303" i="6" s="1"/>
  <c r="BZ303" i="6" l="1"/>
  <c r="BY303" i="6"/>
  <c r="BX303" i="6"/>
  <c r="BT303" i="6"/>
  <c r="AY303" i="6"/>
  <c r="BH303" i="6"/>
  <c r="BW303" i="6"/>
  <c r="BV303" i="6"/>
  <c r="BU303" i="6"/>
  <c r="BJ303" i="6" l="1"/>
  <c r="BK303" i="6" s="1"/>
  <c r="BI303" i="6"/>
  <c r="BS303" i="6" l="1"/>
  <c r="CA303" i="6" s="1"/>
  <c r="CI303" i="6" l="1"/>
  <c r="CB303" i="6" s="1"/>
  <c r="AG304" i="6"/>
  <c r="AH304" i="6"/>
  <c r="CJ303" i="6"/>
  <c r="CC303" i="6" s="1"/>
  <c r="AO304" i="6" l="1"/>
  <c r="Q304" i="6"/>
  <c r="R304" i="6" s="1"/>
  <c r="S304" i="6" s="1"/>
  <c r="AP304" i="6"/>
  <c r="AI304" i="6"/>
  <c r="CK303" i="6"/>
  <c r="CD303" i="6" s="1"/>
  <c r="AQ304" i="6" l="1"/>
  <c r="AJ304" i="6"/>
  <c r="CL303" i="6"/>
  <c r="CE303" i="6" s="1"/>
  <c r="W304" i="6" l="1"/>
  <c r="Z304" i="6" s="1"/>
  <c r="AR304" i="6"/>
  <c r="AC304" i="6"/>
  <c r="AK304" i="6"/>
  <c r="CM303" i="6"/>
  <c r="CF303" i="6" s="1"/>
  <c r="AS304" i="6" l="1"/>
  <c r="CN303" i="6"/>
  <c r="CG303" i="6" s="1"/>
  <c r="AL304" i="6"/>
  <c r="CO303" i="6" l="1"/>
  <c r="CH303" i="6" s="1"/>
  <c r="AM304" i="6"/>
  <c r="AT304" i="6"/>
  <c r="AN304" i="6" l="1"/>
  <c r="CP303" i="6"/>
  <c r="T303" i="6" s="1"/>
  <c r="X304" i="6"/>
  <c r="AU304" i="6"/>
  <c r="AV304" i="6" l="1"/>
  <c r="AW304" i="6" s="1"/>
  <c r="AA304" i="6"/>
  <c r="Y304" i="6"/>
  <c r="AB304" i="6" s="1"/>
  <c r="AX304" i="6" l="1"/>
  <c r="AY304" i="6" l="1"/>
  <c r="BH304" i="6"/>
  <c r="BF304" i="6" l="1"/>
  <c r="BQ304" i="6" s="1"/>
  <c r="BE304" i="6"/>
  <c r="BP304" i="6" s="1"/>
  <c r="BG304" i="6"/>
  <c r="BR304" i="6" s="1"/>
  <c r="AZ304" i="6"/>
  <c r="BA304" i="6"/>
  <c r="BL304" i="6" s="1"/>
  <c r="BB304" i="6"/>
  <c r="BM304" i="6" s="1"/>
  <c r="BC304" i="6"/>
  <c r="BN304" i="6" s="1"/>
  <c r="BD304" i="6"/>
  <c r="BO304" i="6" s="1"/>
  <c r="BI304" i="6"/>
  <c r="BJ304" i="6" s="1"/>
  <c r="BK304" i="6" s="1"/>
  <c r="BY304" i="6" l="1"/>
  <c r="BX304" i="6"/>
  <c r="BZ304" i="6"/>
  <c r="BS304" i="6"/>
  <c r="CA304" i="6" s="1"/>
  <c r="BT304" i="6"/>
  <c r="BU304" i="6"/>
  <c r="BV304" i="6"/>
  <c r="BW304" i="6"/>
  <c r="CI304" i="6" l="1"/>
  <c r="AG305" i="6"/>
  <c r="CB304" i="6"/>
  <c r="AO305" i="6" l="1"/>
  <c r="Q305" i="6"/>
  <c r="R305" i="6" s="1"/>
  <c r="S305" i="6" s="1"/>
  <c r="AH305" i="6"/>
  <c r="CJ304" i="6"/>
  <c r="CC304" i="6" s="1"/>
  <c r="AE305" i="6" l="1"/>
  <c r="AP305" i="6"/>
  <c r="CK304" i="6"/>
  <c r="CD304" i="6" s="1"/>
  <c r="AI305" i="6"/>
  <c r="AJ305" i="6" l="1"/>
  <c r="W305" i="6" s="1"/>
  <c r="Z305" i="6" s="1"/>
  <c r="CL304" i="6"/>
  <c r="CE304" i="6" s="1"/>
  <c r="AQ305" i="6"/>
  <c r="AR305" i="6" l="1"/>
  <c r="AC305" i="6"/>
  <c r="CM304" i="6"/>
  <c r="CF304" i="6" s="1"/>
  <c r="AK305" i="6"/>
  <c r="AL305" i="6" l="1"/>
  <c r="CN304" i="6"/>
  <c r="CG304" i="6" s="1"/>
  <c r="AS305" i="6"/>
  <c r="AT305" i="6" l="1"/>
  <c r="AM305" i="6"/>
  <c r="CO304" i="6"/>
  <c r="CH304" i="6" s="1"/>
  <c r="X305" i="6" l="1"/>
  <c r="AU305" i="6"/>
  <c r="CP304" i="6"/>
  <c r="T304" i="6" s="1"/>
  <c r="AN305" i="6"/>
  <c r="AA305" i="6" l="1"/>
  <c r="Y305" i="6"/>
  <c r="AB305" i="6" s="1"/>
  <c r="AV305" i="6"/>
  <c r="AW305" i="6" s="1"/>
  <c r="AX305" i="6" l="1"/>
  <c r="BH305" i="6" l="1"/>
  <c r="AY305" i="6"/>
  <c r="BI305" i="6" l="1"/>
  <c r="BJ305" i="6" s="1"/>
  <c r="BF305" i="6"/>
  <c r="BQ305" i="6" s="1"/>
  <c r="AZ305" i="6"/>
  <c r="BA305" i="6"/>
  <c r="BL305" i="6" s="1"/>
  <c r="BB305" i="6"/>
  <c r="BM305" i="6" s="1"/>
  <c r="BE305" i="6"/>
  <c r="BP305" i="6" s="1"/>
  <c r="BC305" i="6"/>
  <c r="BN305" i="6" s="1"/>
  <c r="BD305" i="6"/>
  <c r="BO305" i="6" s="1"/>
  <c r="BG305" i="6"/>
  <c r="BR305" i="6" s="1"/>
  <c r="BY305" i="6" l="1"/>
  <c r="BT305" i="6"/>
  <c r="BU305" i="6"/>
  <c r="BX305" i="6"/>
  <c r="BV305" i="6"/>
  <c r="BW305" i="6"/>
  <c r="BZ305" i="6"/>
  <c r="BK305" i="6"/>
  <c r="BS305" i="6" l="1"/>
  <c r="CA305" i="6" s="1"/>
  <c r="CI305" i="6" l="1"/>
  <c r="CB305" i="6" s="1"/>
  <c r="CJ305" i="6" s="1"/>
  <c r="CC305" i="6" s="1"/>
  <c r="AG306" i="6"/>
  <c r="AH306" i="6"/>
  <c r="AO306" i="6" l="1"/>
  <c r="Q306" i="6"/>
  <c r="R306" i="6" s="1"/>
  <c r="S306" i="6" s="1"/>
  <c r="AE306" i="6"/>
  <c r="AP306" i="6"/>
  <c r="CK305" i="6"/>
  <c r="CD305" i="6" s="1"/>
  <c r="AI306" i="6"/>
  <c r="AJ306" i="6" l="1"/>
  <c r="CL305" i="6"/>
  <c r="CE305" i="6" s="1"/>
  <c r="AQ306" i="6"/>
  <c r="W306" i="6" l="1"/>
  <c r="Z306" i="6" s="1"/>
  <c r="AR306" i="6"/>
  <c r="AC306" i="6"/>
  <c r="AK306" i="6"/>
  <c r="CM305" i="6"/>
  <c r="CF305" i="6" s="1"/>
  <c r="AS306" i="6" l="1"/>
  <c r="CN305" i="6"/>
  <c r="CG305" i="6" s="1"/>
  <c r="AL306" i="6"/>
  <c r="AM306" i="6" l="1"/>
  <c r="CO305" i="6"/>
  <c r="CH305" i="6" s="1"/>
  <c r="AT306" i="6"/>
  <c r="AU306" i="6" l="1"/>
  <c r="CP305" i="6"/>
  <c r="T305" i="6" s="1"/>
  <c r="AN306" i="6"/>
  <c r="X306" i="6" s="1"/>
  <c r="AA306" i="6" l="1"/>
  <c r="Y306" i="6"/>
  <c r="AB306" i="6" s="1"/>
  <c r="AV306" i="6"/>
  <c r="AW306" i="6" s="1"/>
  <c r="AX306" i="6" l="1"/>
  <c r="BH306" i="6" l="1"/>
  <c r="AY306" i="6"/>
  <c r="BI306" i="6" l="1"/>
  <c r="BJ306" i="6" s="1"/>
  <c r="BD306" i="6"/>
  <c r="BO306" i="6" s="1"/>
  <c r="BG306" i="6"/>
  <c r="BR306" i="6" s="1"/>
  <c r="BF306" i="6"/>
  <c r="BQ306" i="6" s="1"/>
  <c r="BE306" i="6"/>
  <c r="BP306" i="6" s="1"/>
  <c r="BC306" i="6"/>
  <c r="BN306" i="6" s="1"/>
  <c r="BB306" i="6"/>
  <c r="BM306" i="6" s="1"/>
  <c r="BA306" i="6"/>
  <c r="BL306" i="6" s="1"/>
  <c r="AZ306" i="6"/>
  <c r="BW306" i="6" l="1"/>
  <c r="BZ306" i="6"/>
  <c r="BY306" i="6"/>
  <c r="BX306" i="6"/>
  <c r="BV306" i="6"/>
  <c r="BU306" i="6"/>
  <c r="BT306" i="6"/>
  <c r="BK306" i="6"/>
  <c r="BS306" i="6" l="1"/>
  <c r="CA306" i="6" s="1"/>
  <c r="CI306" i="6" l="1"/>
  <c r="CB306" i="6" s="1"/>
  <c r="AH307" i="6" s="1"/>
  <c r="AG307" i="6"/>
  <c r="CJ306" i="6"/>
  <c r="CC306" i="6" s="1"/>
  <c r="AO307" i="6" l="1"/>
  <c r="Q307" i="6"/>
  <c r="R307" i="6" s="1"/>
  <c r="S307" i="6" s="1"/>
  <c r="AI307" i="6"/>
  <c r="CK306" i="6"/>
  <c r="CD306" i="6" s="1"/>
  <c r="AP307" i="6"/>
  <c r="AE307" i="6"/>
  <c r="AQ307" i="6" l="1"/>
  <c r="CL306" i="6"/>
  <c r="CE306" i="6" s="1"/>
  <c r="AJ307" i="6"/>
  <c r="CM306" i="6" l="1"/>
  <c r="CF306" i="6" s="1"/>
  <c r="AK307" i="6"/>
  <c r="W307" i="6"/>
  <c r="Z307" i="6" s="1"/>
  <c r="AC307" i="6"/>
  <c r="AR307" i="6"/>
  <c r="CN306" i="6" l="1"/>
  <c r="CG306" i="6" s="1"/>
  <c r="AL307" i="6"/>
  <c r="AS307" i="6"/>
  <c r="AM307" i="6" l="1"/>
  <c r="CO306" i="6"/>
  <c r="CH306" i="6" s="1"/>
  <c r="AT307" i="6"/>
  <c r="AU307" i="6" l="1"/>
  <c r="AN307" i="6"/>
  <c r="X307" i="6" s="1"/>
  <c r="CP306" i="6"/>
  <c r="T306" i="6" s="1"/>
  <c r="AA307" i="6" l="1"/>
  <c r="Y307" i="6"/>
  <c r="AB307" i="6" s="1"/>
  <c r="AV307" i="6"/>
  <c r="AW307" i="6" s="1"/>
  <c r="AX307" i="6" l="1"/>
  <c r="BH307" i="6" l="1"/>
  <c r="AY307" i="6"/>
  <c r="BI307" i="6" l="1"/>
  <c r="BJ307" i="6" s="1"/>
  <c r="BE307" i="6"/>
  <c r="BP307" i="6" s="1"/>
  <c r="BD307" i="6"/>
  <c r="BO307" i="6" s="1"/>
  <c r="AZ307" i="6"/>
  <c r="BC307" i="6"/>
  <c r="BN307" i="6" s="1"/>
  <c r="BB307" i="6"/>
  <c r="BM307" i="6" s="1"/>
  <c r="BG307" i="6"/>
  <c r="BR307" i="6" s="1"/>
  <c r="BA307" i="6"/>
  <c r="BL307" i="6" s="1"/>
  <c r="BF307" i="6"/>
  <c r="BQ307" i="6" s="1"/>
  <c r="BX307" i="6" l="1"/>
  <c r="BW307" i="6"/>
  <c r="BV307" i="6"/>
  <c r="BU307" i="6"/>
  <c r="BZ307" i="6"/>
  <c r="BT307" i="6"/>
  <c r="BY307" i="6"/>
  <c r="BK307" i="6"/>
  <c r="BS307" i="6" l="1"/>
  <c r="CA307" i="6" s="1"/>
  <c r="AG308" i="6" l="1"/>
  <c r="CI307" i="6"/>
  <c r="CB307" i="6" s="1"/>
  <c r="AO308" i="6" l="1"/>
  <c r="Q308" i="6"/>
  <c r="R308" i="6" s="1"/>
  <c r="S308" i="6" s="1"/>
  <c r="CJ307" i="6"/>
  <c r="CC307" i="6" s="1"/>
  <c r="AH308" i="6"/>
  <c r="AI308" i="6" l="1"/>
  <c r="CK307" i="6"/>
  <c r="CD307" i="6" s="1"/>
  <c r="AE308" i="6"/>
  <c r="AP308" i="6"/>
  <c r="AQ308" i="6" l="1"/>
  <c r="CL307" i="6"/>
  <c r="CE307" i="6" s="1"/>
  <c r="AJ308" i="6"/>
  <c r="W308" i="6" s="1"/>
  <c r="Z308" i="6" s="1"/>
  <c r="CM307" i="6" l="1"/>
  <c r="CF307" i="6" s="1"/>
  <c r="AK308" i="6"/>
  <c r="AC308" i="6"/>
  <c r="AR308" i="6"/>
  <c r="AL308" i="6" l="1"/>
  <c r="CN307" i="6"/>
  <c r="CG307" i="6" s="1"/>
  <c r="AS308" i="6"/>
  <c r="AT308" i="6" l="1"/>
  <c r="AM308" i="6"/>
  <c r="CO307" i="6"/>
  <c r="CH307" i="6" s="1"/>
  <c r="X308" i="6" l="1"/>
  <c r="AU308" i="6"/>
  <c r="CP307" i="6"/>
  <c r="T307" i="6" s="1"/>
  <c r="AN308" i="6"/>
  <c r="AA308" i="6" l="1"/>
  <c r="Y308" i="6"/>
  <c r="AB308" i="6" s="1"/>
  <c r="AV308" i="6"/>
  <c r="AW308" i="6" s="1"/>
  <c r="AX308" i="6" l="1"/>
  <c r="BH308" i="6" l="1"/>
  <c r="AY308" i="6"/>
  <c r="BI308" i="6" l="1"/>
  <c r="BJ308" i="6" s="1"/>
  <c r="BK308" i="6" s="1"/>
  <c r="BG308" i="6"/>
  <c r="BR308" i="6" s="1"/>
  <c r="AZ308" i="6"/>
  <c r="BD308" i="6"/>
  <c r="BO308" i="6" s="1"/>
  <c r="BF308" i="6"/>
  <c r="BQ308" i="6" s="1"/>
  <c r="BC308" i="6"/>
  <c r="BN308" i="6" s="1"/>
  <c r="BA308" i="6"/>
  <c r="BL308" i="6" s="1"/>
  <c r="BB308" i="6"/>
  <c r="BM308" i="6" s="1"/>
  <c r="BE308" i="6"/>
  <c r="BP308" i="6" s="1"/>
  <c r="BZ308" i="6" l="1"/>
  <c r="BS308" i="6"/>
  <c r="CA308" i="6" s="1"/>
  <c r="BW308" i="6"/>
  <c r="BY308" i="6"/>
  <c r="BV308" i="6"/>
  <c r="BT308" i="6"/>
  <c r="BU308" i="6"/>
  <c r="BX308" i="6"/>
  <c r="AG309" i="6" l="1"/>
  <c r="CI308" i="6"/>
  <c r="CB308" i="6" s="1"/>
  <c r="AH309" i="6" s="1"/>
  <c r="CJ308" i="6"/>
  <c r="CC308" i="6" s="1"/>
  <c r="AO309" i="6" l="1"/>
  <c r="Q309" i="6"/>
  <c r="R309" i="6" s="1"/>
  <c r="S309" i="6" s="1"/>
  <c r="AP309" i="6"/>
  <c r="AE309" i="6"/>
  <c r="AI309" i="6"/>
  <c r="CK308" i="6"/>
  <c r="CD308" i="6" s="1"/>
  <c r="AQ309" i="6" l="1"/>
  <c r="AJ309" i="6"/>
  <c r="CL308" i="6"/>
  <c r="CE308" i="6" s="1"/>
  <c r="W309" i="6" l="1"/>
  <c r="Z309" i="6" s="1"/>
  <c r="AC309" i="6"/>
  <c r="AR309" i="6"/>
  <c r="AK309" i="6"/>
  <c r="CM308" i="6"/>
  <c r="CF308" i="6" s="1"/>
  <c r="AS309" i="6" l="1"/>
  <c r="AL309" i="6"/>
  <c r="CN308" i="6"/>
  <c r="CG308" i="6" s="1"/>
  <c r="AT309" i="6" l="1"/>
  <c r="CO308" i="6"/>
  <c r="CH308" i="6" s="1"/>
  <c r="AM309" i="6"/>
  <c r="CP308" i="6" l="1"/>
  <c r="T308" i="6" s="1"/>
  <c r="AN309" i="6"/>
  <c r="X309" i="6"/>
  <c r="AU309" i="6"/>
  <c r="AV309" i="6" l="1"/>
  <c r="AW309" i="6" s="1"/>
  <c r="AA309" i="6"/>
  <c r="Y309" i="6"/>
  <c r="AB309" i="6" s="1"/>
  <c r="AX309" i="6"/>
  <c r="AY309" i="6" l="1"/>
  <c r="BH309" i="6"/>
  <c r="BB309" i="6"/>
  <c r="BM309" i="6" s="1"/>
  <c r="BC309" i="6"/>
  <c r="BN309" i="6" s="1"/>
  <c r="BD309" i="6"/>
  <c r="BO309" i="6" s="1"/>
  <c r="AZ309" i="6" l="1"/>
  <c r="BA309" i="6"/>
  <c r="BL309" i="6" s="1"/>
  <c r="BI309" i="6"/>
  <c r="BJ309" i="6" s="1"/>
  <c r="BU309" i="6"/>
  <c r="BV309" i="6"/>
  <c r="BW309" i="6"/>
  <c r="BE309" i="6"/>
  <c r="BP309" i="6" s="1"/>
  <c r="BF309" i="6"/>
  <c r="BQ309" i="6" s="1"/>
  <c r="BG309" i="6"/>
  <c r="BR309" i="6" s="1"/>
  <c r="BT309" i="6" l="1"/>
  <c r="BX309" i="6"/>
  <c r="BY309" i="6"/>
  <c r="BZ309" i="6"/>
  <c r="BK309" i="6"/>
  <c r="BS309" i="6" l="1"/>
  <c r="CA309" i="6" s="1"/>
  <c r="AG310" i="6" l="1"/>
  <c r="CI309" i="6"/>
  <c r="CB309" i="6" s="1"/>
  <c r="AO310" i="6" l="1"/>
  <c r="Q310" i="6"/>
  <c r="R310" i="6" s="1"/>
  <c r="S310" i="6" s="1"/>
  <c r="AH310" i="6"/>
  <c r="CJ309" i="6"/>
  <c r="CC309" i="6" s="1"/>
  <c r="AP310" i="6" l="1"/>
  <c r="AE310" i="6"/>
  <c r="CK309" i="6"/>
  <c r="CD309" i="6" s="1"/>
  <c r="AI310" i="6"/>
  <c r="AJ310" i="6" l="1"/>
  <c r="CL309" i="6"/>
  <c r="CE309" i="6" s="1"/>
  <c r="W310" i="6"/>
  <c r="Z310" i="6" s="1"/>
  <c r="AQ310" i="6"/>
  <c r="AC310" i="6" l="1"/>
  <c r="AR310" i="6"/>
  <c r="AK310" i="6"/>
  <c r="CM309" i="6"/>
  <c r="CF309" i="6" s="1"/>
  <c r="AS310" i="6" l="1"/>
  <c r="CN309" i="6"/>
  <c r="CG309" i="6" s="1"/>
  <c r="AL310" i="6"/>
  <c r="AM310" i="6" l="1"/>
  <c r="CO309" i="6"/>
  <c r="CH309" i="6" s="1"/>
  <c r="AT310" i="6"/>
  <c r="AU310" i="6" l="1"/>
  <c r="AN310" i="6"/>
  <c r="X310" i="6" s="1"/>
  <c r="CP309" i="6"/>
  <c r="T309" i="6" s="1"/>
  <c r="AA310" i="6" l="1"/>
  <c r="Y310" i="6"/>
  <c r="AB310" i="6" s="1"/>
  <c r="AV310" i="6"/>
  <c r="AW310" i="6" s="1"/>
  <c r="AX310" i="6" l="1"/>
  <c r="BH310" i="6" l="1"/>
  <c r="AY310" i="6"/>
  <c r="BI310" i="6" l="1"/>
  <c r="BJ310" i="6" s="1"/>
  <c r="BK310" i="6" s="1"/>
  <c r="BC310" i="6"/>
  <c r="BN310" i="6" s="1"/>
  <c r="BD310" i="6"/>
  <c r="BO310" i="6" s="1"/>
  <c r="BE310" i="6"/>
  <c r="BP310" i="6" s="1"/>
  <c r="BF310" i="6"/>
  <c r="BQ310" i="6" s="1"/>
  <c r="BG310" i="6"/>
  <c r="BR310" i="6" s="1"/>
  <c r="AZ310" i="6"/>
  <c r="BA310" i="6"/>
  <c r="BL310" i="6" s="1"/>
  <c r="BB310" i="6"/>
  <c r="BM310" i="6" s="1"/>
  <c r="BV310" i="6" l="1"/>
  <c r="BW310" i="6"/>
  <c r="BX310" i="6"/>
  <c r="BY310" i="6"/>
  <c r="BZ310" i="6"/>
  <c r="BS310" i="6"/>
  <c r="CA310" i="6"/>
  <c r="BT310" i="6"/>
  <c r="BU310" i="6"/>
  <c r="AG311" i="6" l="1"/>
  <c r="CI310" i="6"/>
  <c r="CB310" i="6"/>
  <c r="AO311" i="6" l="1"/>
  <c r="Q311" i="6"/>
  <c r="R311" i="6" s="1"/>
  <c r="S311" i="6" s="1"/>
  <c r="CJ310" i="6"/>
  <c r="CC310" i="6" s="1"/>
  <c r="AH311" i="6"/>
  <c r="AI311" i="6"/>
  <c r="CK310" i="6"/>
  <c r="CD310" i="6" s="1"/>
  <c r="AP311" i="6" l="1"/>
  <c r="AE311" i="6"/>
  <c r="AQ311" i="6"/>
  <c r="CL310" i="6"/>
  <c r="CE310" i="6" s="1"/>
  <c r="AJ311" i="6"/>
  <c r="CM310" i="6" l="1"/>
  <c r="CF310" i="6" s="1"/>
  <c r="AK311" i="6"/>
  <c r="W311" i="6"/>
  <c r="Z311" i="6" s="1"/>
  <c r="AC311" i="6"/>
  <c r="AR311" i="6"/>
  <c r="CN310" i="6" l="1"/>
  <c r="CG310" i="6" s="1"/>
  <c r="AL311" i="6"/>
  <c r="AS311" i="6"/>
  <c r="CO310" i="6" l="1"/>
  <c r="CH310" i="6" s="1"/>
  <c r="AM311" i="6"/>
  <c r="AT311" i="6"/>
  <c r="CP310" i="6" l="1"/>
  <c r="T310" i="6" s="1"/>
  <c r="AN311" i="6"/>
  <c r="X311" i="6"/>
  <c r="AU311" i="6"/>
  <c r="AV311" i="6" l="1"/>
  <c r="AW311" i="6" s="1"/>
  <c r="AA311" i="6"/>
  <c r="Y311" i="6"/>
  <c r="AB311" i="6" s="1"/>
  <c r="AX311" i="6" l="1"/>
  <c r="BH311" i="6" l="1"/>
  <c r="AY311" i="6"/>
  <c r="BI311" i="6" l="1"/>
  <c r="BJ311" i="6" s="1"/>
  <c r="BK311" i="6" s="1"/>
  <c r="BE311" i="6"/>
  <c r="BP311" i="6" s="1"/>
  <c r="BD311" i="6"/>
  <c r="BO311" i="6" s="1"/>
  <c r="BC311" i="6"/>
  <c r="BN311" i="6" s="1"/>
  <c r="BB311" i="6"/>
  <c r="BM311" i="6" s="1"/>
  <c r="BA311" i="6"/>
  <c r="BL311" i="6" s="1"/>
  <c r="AZ311" i="6"/>
  <c r="BG311" i="6"/>
  <c r="BR311" i="6" s="1"/>
  <c r="BF311" i="6"/>
  <c r="BQ311" i="6" s="1"/>
  <c r="BX311" i="6" l="1"/>
  <c r="BW311" i="6"/>
  <c r="BV311" i="6"/>
  <c r="BU311" i="6"/>
  <c r="BT311" i="6"/>
  <c r="BS311" i="6"/>
  <c r="CA311" i="6"/>
  <c r="BZ311" i="6"/>
  <c r="BY311" i="6"/>
  <c r="AG312" i="6" l="1"/>
  <c r="CI311" i="6"/>
  <c r="CB311" i="6" s="1"/>
  <c r="AO312" i="6" l="1"/>
  <c r="Q312" i="6"/>
  <c r="R312" i="6" s="1"/>
  <c r="S312" i="6" s="1"/>
  <c r="CJ311" i="6"/>
  <c r="CC311" i="6" s="1"/>
  <c r="AH312" i="6"/>
  <c r="CK311" i="6" l="1"/>
  <c r="CD311" i="6" s="1"/>
  <c r="AI312" i="6"/>
  <c r="AP312" i="6"/>
  <c r="AE312" i="6"/>
  <c r="CL311" i="6" l="1"/>
  <c r="CE311" i="6" s="1"/>
  <c r="AJ312" i="6"/>
  <c r="W312" i="6"/>
  <c r="Z312" i="6" s="1"/>
  <c r="AQ312" i="6"/>
  <c r="CM311" i="6" l="1"/>
  <c r="CF311" i="6" s="1"/>
  <c r="AK312" i="6"/>
  <c r="AC312" i="6"/>
  <c r="AR312" i="6"/>
  <c r="AL312" i="6" l="1"/>
  <c r="CN311" i="6"/>
  <c r="CG311" i="6" s="1"/>
  <c r="AS312" i="6"/>
  <c r="AT312" i="6" l="1"/>
  <c r="AM312" i="6"/>
  <c r="CO311" i="6"/>
  <c r="CH311" i="6" s="1"/>
  <c r="X312" i="6" l="1"/>
  <c r="AU312" i="6"/>
  <c r="CP311" i="6"/>
  <c r="T311" i="6" s="1"/>
  <c r="AN312" i="6"/>
  <c r="AA312" i="6" l="1"/>
  <c r="Y312" i="6"/>
  <c r="AB312" i="6" s="1"/>
  <c r="AV312" i="6"/>
  <c r="AW312" i="6" s="1"/>
  <c r="AX312" i="6" l="1"/>
  <c r="BH312" i="6" l="1"/>
  <c r="AY312" i="6"/>
  <c r="BI312" i="6" l="1"/>
  <c r="BJ312" i="6" s="1"/>
  <c r="BA312" i="6"/>
  <c r="BL312" i="6" s="1"/>
  <c r="BB312" i="6"/>
  <c r="BM312" i="6" s="1"/>
  <c r="BC312" i="6"/>
  <c r="BN312" i="6" s="1"/>
  <c r="BD312" i="6"/>
  <c r="BO312" i="6" s="1"/>
  <c r="BE312" i="6"/>
  <c r="BP312" i="6" s="1"/>
  <c r="BF312" i="6"/>
  <c r="BQ312" i="6" s="1"/>
  <c r="BG312" i="6"/>
  <c r="BR312" i="6" s="1"/>
  <c r="AZ312" i="6"/>
  <c r="BT312" i="6" l="1"/>
  <c r="BU312" i="6"/>
  <c r="BV312" i="6"/>
  <c r="BW312" i="6"/>
  <c r="BX312" i="6"/>
  <c r="BY312" i="6"/>
  <c r="BZ312" i="6"/>
  <c r="BK312" i="6"/>
  <c r="BS312" i="6" l="1"/>
  <c r="CA312" i="6" s="1"/>
  <c r="AG313" i="6" l="1"/>
  <c r="CI312" i="6"/>
  <c r="CB312" i="6" s="1"/>
  <c r="CJ312" i="6"/>
  <c r="CC312" i="6" s="1"/>
  <c r="AH313" i="6"/>
  <c r="AO313" i="6" l="1"/>
  <c r="Q313" i="6"/>
  <c r="R313" i="6" s="1"/>
  <c r="S313" i="6" s="1"/>
  <c r="CK312" i="6"/>
  <c r="CD312" i="6" s="1"/>
  <c r="AI313" i="6"/>
  <c r="AP313" i="6"/>
  <c r="AE313" i="6"/>
  <c r="CL312" i="6" l="1"/>
  <c r="CE312" i="6" s="1"/>
  <c r="AJ313" i="6"/>
  <c r="AQ313" i="6"/>
  <c r="CM312" i="6" l="1"/>
  <c r="CF312" i="6" s="1"/>
  <c r="AK313" i="6"/>
  <c r="W313" i="6"/>
  <c r="Z313" i="6" s="1"/>
  <c r="AC313" i="6"/>
  <c r="AR313" i="6"/>
  <c r="CN312" i="6" l="1"/>
  <c r="CG312" i="6" s="1"/>
  <c r="AL313" i="6"/>
  <c r="AS313" i="6"/>
  <c r="CO312" i="6" l="1"/>
  <c r="CH312" i="6" s="1"/>
  <c r="AM313" i="6"/>
  <c r="AT313" i="6"/>
  <c r="CP312" i="6" l="1"/>
  <c r="T312" i="6" s="1"/>
  <c r="AN313" i="6"/>
  <c r="X313" i="6"/>
  <c r="AU313" i="6"/>
  <c r="AV313" i="6" l="1"/>
  <c r="AW313" i="6" s="1"/>
  <c r="AA313" i="6"/>
  <c r="Y313" i="6"/>
  <c r="AB313" i="6" s="1"/>
  <c r="AX313" i="6" l="1"/>
  <c r="AY313" i="6" l="1"/>
  <c r="BH313" i="6"/>
  <c r="BB313" i="6" l="1"/>
  <c r="BM313" i="6" s="1"/>
  <c r="BD313" i="6"/>
  <c r="BO313" i="6" s="1"/>
  <c r="BF313" i="6"/>
  <c r="BQ313" i="6" s="1"/>
  <c r="BG313" i="6"/>
  <c r="BR313" i="6" s="1"/>
  <c r="AZ313" i="6"/>
  <c r="BA313" i="6"/>
  <c r="BL313" i="6" s="1"/>
  <c r="BC313" i="6"/>
  <c r="BN313" i="6" s="1"/>
  <c r="BE313" i="6"/>
  <c r="BP313" i="6" s="1"/>
  <c r="BI313" i="6"/>
  <c r="BJ313" i="6" s="1"/>
  <c r="BU313" i="6" l="1"/>
  <c r="BW313" i="6"/>
  <c r="BY313" i="6"/>
  <c r="BZ313" i="6"/>
  <c r="BT313" i="6"/>
  <c r="BV313" i="6"/>
  <c r="BX313" i="6"/>
  <c r="BK313" i="6"/>
  <c r="BS313" i="6" l="1"/>
  <c r="CA313" i="6" s="1"/>
  <c r="AG314" i="6" l="1"/>
  <c r="CI313" i="6"/>
  <c r="CB313" i="6" s="1"/>
  <c r="Q314" i="6" l="1"/>
  <c r="R314" i="6" s="1"/>
  <c r="S314" i="6" s="1"/>
  <c r="AH314" i="6"/>
  <c r="CJ313" i="6"/>
  <c r="CC313" i="6" s="1"/>
  <c r="AE314" i="6" l="1"/>
  <c r="AF314" i="6" s="1"/>
  <c r="AP314" i="6" s="1"/>
  <c r="CK313" i="6"/>
  <c r="CD313" i="6" s="1"/>
  <c r="AI314" i="6"/>
  <c r="AO314" i="6" l="1"/>
  <c r="CL313" i="6"/>
  <c r="CE313" i="6" s="1"/>
  <c r="AJ314" i="6"/>
  <c r="W314" i="6"/>
  <c r="Z314" i="6" s="1"/>
  <c r="AQ314" i="6"/>
  <c r="CM313" i="6" l="1"/>
  <c r="CF313" i="6" s="1"/>
  <c r="AK314" i="6"/>
  <c r="AC314" i="6"/>
  <c r="AR314" i="6"/>
  <c r="CN313" i="6" l="1"/>
  <c r="CG313" i="6" s="1"/>
  <c r="AL314" i="6"/>
  <c r="AS314" i="6"/>
  <c r="CO313" i="6" l="1"/>
  <c r="CH313" i="6" s="1"/>
  <c r="AM314" i="6"/>
  <c r="AT314" i="6"/>
  <c r="CP313" i="6" l="1"/>
  <c r="T313" i="6" s="1"/>
  <c r="AN314" i="6"/>
  <c r="X314" i="6"/>
  <c r="AU314" i="6"/>
  <c r="AV314" i="6" l="1"/>
  <c r="AW314" i="6" s="1"/>
  <c r="AA314" i="6"/>
  <c r="Y314" i="6"/>
  <c r="AB314" i="6" s="1"/>
  <c r="AX314" i="6" l="1"/>
  <c r="BH314" i="6" l="1"/>
  <c r="AY314" i="6"/>
  <c r="BI314" i="6" l="1"/>
  <c r="BJ314" i="6" s="1"/>
  <c r="BA314" i="6"/>
  <c r="BL314" i="6" s="1"/>
  <c r="AZ314" i="6"/>
  <c r="BG314" i="6"/>
  <c r="BR314" i="6" s="1"/>
  <c r="BF314" i="6"/>
  <c r="BQ314" i="6" s="1"/>
  <c r="BE314" i="6"/>
  <c r="BP314" i="6" s="1"/>
  <c r="BD314" i="6"/>
  <c r="BO314" i="6" s="1"/>
  <c r="BC314" i="6"/>
  <c r="BN314" i="6" s="1"/>
  <c r="BB314" i="6"/>
  <c r="BM314" i="6" s="1"/>
  <c r="BT314" i="6" l="1"/>
  <c r="BZ314" i="6"/>
  <c r="BY314" i="6"/>
  <c r="BX314" i="6"/>
  <c r="BW314" i="6"/>
  <c r="BV314" i="6"/>
  <c r="BU314" i="6"/>
  <c r="BK314" i="6"/>
  <c r="BS314" i="6" l="1"/>
  <c r="CA314" i="6" s="1"/>
  <c r="AG315" i="6" l="1"/>
  <c r="CI314" i="6"/>
  <c r="CB314" i="6" s="1"/>
  <c r="Q315" i="6" l="1"/>
  <c r="R315" i="6" s="1"/>
  <c r="S315" i="6" s="1"/>
  <c r="AH315" i="6"/>
  <c r="CJ314" i="6"/>
  <c r="CC314" i="6" s="1"/>
  <c r="AE315" i="6" l="1"/>
  <c r="AF315" i="6" s="1"/>
  <c r="AP315" i="6" s="1"/>
  <c r="AI315" i="6"/>
  <c r="CK314" i="6"/>
  <c r="CD314" i="6" s="1"/>
  <c r="AO315" i="6" l="1"/>
  <c r="W315" i="6"/>
  <c r="Z315" i="6" s="1"/>
  <c r="AQ315" i="6"/>
  <c r="CL314" i="6"/>
  <c r="CE314" i="6" s="1"/>
  <c r="AJ315" i="6"/>
  <c r="CM314" i="6" l="1"/>
  <c r="CF314" i="6" s="1"/>
  <c r="AK315" i="6"/>
  <c r="AC315" i="6"/>
  <c r="AR315" i="6"/>
  <c r="AL315" i="6" l="1"/>
  <c r="CN314" i="6"/>
  <c r="CG314" i="6" s="1"/>
  <c r="AS315" i="6"/>
  <c r="AT315" i="6" l="1"/>
  <c r="AM315" i="6"/>
  <c r="CO314" i="6"/>
  <c r="CH314" i="6" s="1"/>
  <c r="X315" i="6" l="1"/>
  <c r="AU315" i="6"/>
  <c r="CP314" i="6"/>
  <c r="T314" i="6" s="1"/>
  <c r="AN315" i="6"/>
  <c r="AA315" i="6" l="1"/>
  <c r="Y315" i="6"/>
  <c r="AB315" i="6" s="1"/>
  <c r="AV315" i="6"/>
  <c r="AW315" i="6" s="1"/>
  <c r="AX315" i="6" l="1"/>
  <c r="AY315" i="6" l="1"/>
  <c r="BH315" i="6"/>
  <c r="BG315" i="6" l="1"/>
  <c r="BR315" i="6" s="1"/>
  <c r="AZ315" i="6"/>
  <c r="BE315" i="6"/>
  <c r="BP315" i="6" s="1"/>
  <c r="BA315" i="6"/>
  <c r="BL315" i="6" s="1"/>
  <c r="BB315" i="6"/>
  <c r="BM315" i="6" s="1"/>
  <c r="BC315" i="6"/>
  <c r="BN315" i="6" s="1"/>
  <c r="BD315" i="6"/>
  <c r="BO315" i="6" s="1"/>
  <c r="BF315" i="6"/>
  <c r="BQ315" i="6" s="1"/>
  <c r="BI315" i="6"/>
  <c r="BJ315" i="6" s="1"/>
  <c r="BZ315" i="6" l="1"/>
  <c r="BX315" i="6"/>
  <c r="BT315" i="6"/>
  <c r="BU315" i="6"/>
  <c r="BV315" i="6"/>
  <c r="BW315" i="6"/>
  <c r="BY315" i="6"/>
  <c r="BK315" i="6"/>
  <c r="BS315" i="6" l="1"/>
  <c r="CA315" i="6"/>
  <c r="AG316" i="6" l="1"/>
  <c r="CI315" i="6"/>
  <c r="CB315" i="6" s="1"/>
  <c r="CJ315" i="6"/>
  <c r="CC315" i="6" s="1"/>
  <c r="CK315" i="6" s="1"/>
  <c r="CD315" i="6" s="1"/>
  <c r="AH316" i="6"/>
  <c r="AI316" i="6"/>
  <c r="AO316" i="6" l="1"/>
  <c r="Q316" i="6"/>
  <c r="R316" i="6" s="1"/>
  <c r="S316" i="6" s="1"/>
  <c r="AE316" i="6"/>
  <c r="AF316" i="6" s="1"/>
  <c r="AP316" i="6"/>
  <c r="CL315" i="6"/>
  <c r="CE315" i="6" s="1"/>
  <c r="AJ316" i="6"/>
  <c r="W316" i="6" s="1"/>
  <c r="Z316" i="6" s="1"/>
  <c r="AQ316" i="6"/>
  <c r="CM315" i="6" l="1"/>
  <c r="CF315" i="6" s="1"/>
  <c r="AK316" i="6"/>
  <c r="AC316" i="6"/>
  <c r="AR316" i="6"/>
  <c r="CN315" i="6" l="1"/>
  <c r="CG315" i="6" s="1"/>
  <c r="AL316" i="6"/>
  <c r="AS316" i="6"/>
  <c r="AM316" i="6" l="1"/>
  <c r="CO315" i="6"/>
  <c r="CH315" i="6" s="1"/>
  <c r="AT316" i="6"/>
  <c r="AU316" i="6" l="1"/>
  <c r="AN316" i="6"/>
  <c r="X316" i="6" s="1"/>
  <c r="CP315" i="6"/>
  <c r="T315" i="6" s="1"/>
  <c r="AA316" i="6" l="1"/>
  <c r="Y316" i="6"/>
  <c r="AB316" i="6" s="1"/>
  <c r="AV316" i="6"/>
  <c r="AW316" i="6" s="1"/>
  <c r="AX316" i="6" l="1"/>
  <c r="BH316" i="6" l="1"/>
  <c r="AY316" i="6"/>
  <c r="BI316" i="6" l="1"/>
  <c r="BJ316" i="6" s="1"/>
  <c r="BK316" i="6" s="1"/>
  <c r="BE316" i="6"/>
  <c r="BP316" i="6" s="1"/>
  <c r="AZ316" i="6"/>
  <c r="BA316" i="6"/>
  <c r="BL316" i="6" s="1"/>
  <c r="BB316" i="6"/>
  <c r="BM316" i="6" s="1"/>
  <c r="BC316" i="6"/>
  <c r="BN316" i="6" s="1"/>
  <c r="BD316" i="6"/>
  <c r="BO316" i="6" s="1"/>
  <c r="BF316" i="6"/>
  <c r="BQ316" i="6" s="1"/>
  <c r="BG316" i="6"/>
  <c r="BR316" i="6" s="1"/>
  <c r="BX316" i="6" l="1"/>
  <c r="BS316" i="6"/>
  <c r="CA316" i="6"/>
  <c r="BT316" i="6"/>
  <c r="BU316" i="6"/>
  <c r="BV316" i="6"/>
  <c r="BW316" i="6"/>
  <c r="BY316" i="6"/>
  <c r="BZ316" i="6"/>
  <c r="CI316" i="6" l="1"/>
  <c r="CB316" i="6" s="1"/>
  <c r="AG317" i="6"/>
  <c r="Q317" i="6" l="1"/>
  <c r="R317" i="6" s="1"/>
  <c r="S317" i="6" s="1"/>
  <c r="AH317" i="6"/>
  <c r="CJ316" i="6"/>
  <c r="CC316" i="6" s="1"/>
  <c r="AE317" i="6" l="1"/>
  <c r="AF317" i="6" s="1"/>
  <c r="AP317" i="6"/>
  <c r="AI317" i="6"/>
  <c r="CK316" i="6"/>
  <c r="CD316" i="6" s="1"/>
  <c r="AO317" i="6" l="1"/>
  <c r="AQ317" i="6"/>
  <c r="CL316" i="6"/>
  <c r="CE316" i="6" s="1"/>
  <c r="AJ317" i="6"/>
  <c r="W317" i="6" s="1"/>
  <c r="Z317" i="6" s="1"/>
  <c r="AK317" i="6" l="1"/>
  <c r="CM316" i="6"/>
  <c r="CF316" i="6" s="1"/>
  <c r="AR317" i="6"/>
  <c r="AC317" i="6"/>
  <c r="AS317" i="6" l="1"/>
  <c r="CN316" i="6"/>
  <c r="CG316" i="6" s="1"/>
  <c r="AL317" i="6"/>
  <c r="CO316" i="6" l="1"/>
  <c r="CH316" i="6" s="1"/>
  <c r="AM317" i="6"/>
  <c r="AT317" i="6"/>
  <c r="AN317" i="6" l="1"/>
  <c r="CP316" i="6"/>
  <c r="T316" i="6" s="1"/>
  <c r="X317" i="6"/>
  <c r="AU317" i="6"/>
  <c r="AV317" i="6" l="1"/>
  <c r="AW317" i="6" s="1"/>
  <c r="AA317" i="6"/>
  <c r="Y317" i="6"/>
  <c r="AB317" i="6" s="1"/>
  <c r="AX317" i="6" l="1"/>
  <c r="BH317" i="6" l="1"/>
  <c r="AY317" i="6"/>
  <c r="BI317" i="6" l="1"/>
  <c r="BJ317" i="6"/>
  <c r="BD317" i="6"/>
  <c r="BO317" i="6" s="1"/>
  <c r="BG317" i="6"/>
  <c r="BR317" i="6" s="1"/>
  <c r="AZ317" i="6"/>
  <c r="BC317" i="6"/>
  <c r="BN317" i="6" s="1"/>
  <c r="BF317" i="6"/>
  <c r="BQ317" i="6" s="1"/>
  <c r="BE317" i="6"/>
  <c r="BP317" i="6" s="1"/>
  <c r="BB317" i="6"/>
  <c r="BM317" i="6" s="1"/>
  <c r="BA317" i="6"/>
  <c r="BL317" i="6" s="1"/>
  <c r="BW317" i="6" l="1"/>
  <c r="BZ317" i="6"/>
  <c r="BV317" i="6"/>
  <c r="BY317" i="6"/>
  <c r="BX317" i="6"/>
  <c r="BU317" i="6"/>
  <c r="BT317" i="6"/>
  <c r="BK317" i="6"/>
  <c r="CA317" i="6" l="1"/>
  <c r="BS317" i="6"/>
  <c r="CI317" i="6" l="1"/>
  <c r="CB317" i="6" s="1"/>
  <c r="AG318" i="6"/>
  <c r="Q318" i="6" l="1"/>
  <c r="R318" i="6" s="1"/>
  <c r="S318" i="6" s="1"/>
  <c r="CJ317" i="6"/>
  <c r="CC317" i="6" s="1"/>
  <c r="AH318" i="6"/>
  <c r="CK317" i="6" l="1"/>
  <c r="CD317" i="6" s="1"/>
  <c r="AI318" i="6"/>
  <c r="AE318" i="6"/>
  <c r="AF318" i="6" s="1"/>
  <c r="AP318" i="6" s="1"/>
  <c r="CL317" i="6" l="1"/>
  <c r="CE317" i="6" s="1"/>
  <c r="AJ318" i="6"/>
  <c r="W318" i="6" s="1"/>
  <c r="Z318" i="6" s="1"/>
  <c r="AQ318" i="6"/>
  <c r="AO318" i="6"/>
  <c r="AK318" i="6" l="1"/>
  <c r="CM317" i="6"/>
  <c r="CF317" i="6" s="1"/>
  <c r="AR318" i="6"/>
  <c r="AC318" i="6"/>
  <c r="AS318" i="6" l="1"/>
  <c r="AL318" i="6"/>
  <c r="CN317" i="6"/>
  <c r="CG317" i="6" s="1"/>
  <c r="AT318" i="6" l="1"/>
  <c r="AM318" i="6"/>
  <c r="CO317" i="6"/>
  <c r="CH317" i="6" s="1"/>
  <c r="AU318" i="6" l="1"/>
  <c r="AN318" i="6"/>
  <c r="X318" i="6" s="1"/>
  <c r="CP317" i="6"/>
  <c r="T317" i="6" s="1"/>
  <c r="Y318" i="6" l="1"/>
  <c r="AB318" i="6" s="1"/>
  <c r="AA318" i="6"/>
  <c r="AV318" i="6"/>
  <c r="AW318" i="6" s="1"/>
  <c r="AX318" i="6" l="1"/>
  <c r="AY318" i="6" l="1"/>
  <c r="BH318" i="6"/>
  <c r="BE318" i="6" l="1"/>
  <c r="BP318" i="6" s="1"/>
  <c r="BA318" i="6"/>
  <c r="BL318" i="6" s="1"/>
  <c r="BD318" i="6"/>
  <c r="BO318" i="6" s="1"/>
  <c r="BG318" i="6"/>
  <c r="BR318" i="6" s="1"/>
  <c r="BC318" i="6"/>
  <c r="BN318" i="6" s="1"/>
  <c r="BF318" i="6"/>
  <c r="BQ318" i="6" s="1"/>
  <c r="AZ318" i="6"/>
  <c r="BB318" i="6"/>
  <c r="BM318" i="6" s="1"/>
  <c r="BI318" i="6"/>
  <c r="BJ318" i="6" s="1"/>
  <c r="BX318" i="6" l="1"/>
  <c r="BT318" i="6"/>
  <c r="BW318" i="6"/>
  <c r="BZ318" i="6"/>
  <c r="BV318" i="6"/>
  <c r="BY318" i="6"/>
  <c r="BU318" i="6"/>
  <c r="BK318" i="6"/>
  <c r="BS318" i="6" l="1"/>
  <c r="CA318" i="6" s="1"/>
  <c r="CI318" i="6" l="1"/>
  <c r="CB318" i="6" s="1"/>
  <c r="AG319" i="6"/>
  <c r="CJ318" i="6" l="1"/>
  <c r="CC318" i="6" s="1"/>
  <c r="AH319" i="6"/>
  <c r="Q319" i="6"/>
  <c r="R319" i="6" s="1"/>
  <c r="S319" i="6" s="1"/>
  <c r="CK318" i="6" l="1"/>
  <c r="CD318" i="6" s="1"/>
  <c r="AI319" i="6"/>
  <c r="AE319" i="6"/>
  <c r="AF319" i="6" s="1"/>
  <c r="AP319" i="6"/>
  <c r="CL318" i="6" l="1"/>
  <c r="CE318" i="6" s="1"/>
  <c r="AJ319" i="6"/>
  <c r="W319" i="6"/>
  <c r="Z319" i="6" s="1"/>
  <c r="AQ319" i="6"/>
  <c r="AO319" i="6"/>
  <c r="CM318" i="6" l="1"/>
  <c r="CF318" i="6" s="1"/>
  <c r="AK319" i="6"/>
  <c r="AC319" i="6"/>
  <c r="AR319" i="6"/>
  <c r="CN318" i="6" l="1"/>
  <c r="CG318" i="6" s="1"/>
  <c r="AL319" i="6"/>
  <c r="AS319" i="6"/>
  <c r="AM319" i="6" l="1"/>
  <c r="CO318" i="6"/>
  <c r="CH318" i="6" s="1"/>
  <c r="AT319" i="6"/>
  <c r="X319" i="6" l="1"/>
  <c r="AU319" i="6"/>
  <c r="CP318" i="6"/>
  <c r="T318" i="6" s="1"/>
  <c r="AN319" i="6"/>
  <c r="Y319" i="6" l="1"/>
  <c r="AB319" i="6" s="1"/>
  <c r="AA319" i="6"/>
  <c r="AV319" i="6"/>
  <c r="AW319" i="6" s="1"/>
  <c r="AX319" i="6" l="1"/>
  <c r="BH319" i="6" l="1"/>
  <c r="AY319" i="6"/>
  <c r="BI319" i="6" l="1"/>
  <c r="BJ319" i="6" s="1"/>
  <c r="AZ319" i="6"/>
  <c r="BA319" i="6"/>
  <c r="BL319" i="6" s="1"/>
  <c r="BG319" i="6"/>
  <c r="BR319" i="6" s="1"/>
  <c r="BE319" i="6"/>
  <c r="BP319" i="6" s="1"/>
  <c r="BB319" i="6"/>
  <c r="BM319" i="6" s="1"/>
  <c r="BF319" i="6"/>
  <c r="BQ319" i="6" s="1"/>
  <c r="BD319" i="6"/>
  <c r="BO319" i="6" s="1"/>
  <c r="BC319" i="6"/>
  <c r="BN319" i="6" s="1"/>
  <c r="BT319" i="6" l="1"/>
  <c r="BZ319" i="6"/>
  <c r="BX319" i="6"/>
  <c r="BU319" i="6"/>
  <c r="BY319" i="6"/>
  <c r="BW319" i="6"/>
  <c r="BV319" i="6"/>
  <c r="BK319" i="6"/>
  <c r="CA319" i="6" l="1"/>
  <c r="BS319" i="6"/>
  <c r="CI319" i="6" l="1"/>
  <c r="CB319" i="6" s="1"/>
  <c r="AG320" i="6"/>
  <c r="AH320" i="6"/>
  <c r="CJ319" i="6"/>
  <c r="CC319" i="6" s="1"/>
  <c r="AI320" i="6"/>
  <c r="CK319" i="6"/>
  <c r="CD319" i="6" s="1"/>
  <c r="AO320" i="6" l="1"/>
  <c r="Q320" i="6"/>
  <c r="R320" i="6" s="1"/>
  <c r="S320" i="6" s="1"/>
  <c r="AE320" i="6"/>
  <c r="AF320" i="6" s="1"/>
  <c r="AP320" i="6"/>
  <c r="AQ320" i="6"/>
  <c r="AJ320" i="6"/>
  <c r="W320" i="6" s="1"/>
  <c r="Z320" i="6" s="1"/>
  <c r="CL319" i="6"/>
  <c r="CE319" i="6" s="1"/>
  <c r="AC320" i="6" l="1"/>
  <c r="AR320" i="6"/>
  <c r="AK320" i="6"/>
  <c r="CM319" i="6"/>
  <c r="CF319" i="6" s="1"/>
  <c r="AS320" i="6" l="1"/>
  <c r="CN319" i="6"/>
  <c r="CG319" i="6" s="1"/>
  <c r="AL320" i="6"/>
  <c r="AM320" i="6" l="1"/>
  <c r="CO319" i="6"/>
  <c r="CH319" i="6" s="1"/>
  <c r="AT320" i="6"/>
  <c r="AU320" i="6" l="1"/>
  <c r="AN320" i="6"/>
  <c r="X320" i="6" s="1"/>
  <c r="CP319" i="6"/>
  <c r="T319" i="6" s="1"/>
  <c r="Y320" i="6" l="1"/>
  <c r="AB320" i="6" s="1"/>
  <c r="AA320" i="6"/>
  <c r="AV320" i="6"/>
  <c r="AW320" i="6" s="1"/>
  <c r="AX320" i="6" l="1"/>
  <c r="AY320" i="6" l="1"/>
  <c r="BH320" i="6"/>
  <c r="BG320" i="6" l="1"/>
  <c r="BR320" i="6" s="1"/>
  <c r="BD320" i="6"/>
  <c r="BO320" i="6" s="1"/>
  <c r="BB320" i="6"/>
  <c r="BM320" i="6" s="1"/>
  <c r="BE320" i="6"/>
  <c r="BP320" i="6" s="1"/>
  <c r="BA320" i="6"/>
  <c r="BL320" i="6" s="1"/>
  <c r="BF320" i="6"/>
  <c r="BQ320" i="6" s="1"/>
  <c r="BC320" i="6"/>
  <c r="BN320" i="6" s="1"/>
  <c r="AZ320" i="6"/>
  <c r="BI320" i="6"/>
  <c r="BJ320" i="6" s="1"/>
  <c r="BZ320" i="6" l="1"/>
  <c r="BW320" i="6"/>
  <c r="BU320" i="6"/>
  <c r="BX320" i="6"/>
  <c r="BT320" i="6"/>
  <c r="BY320" i="6"/>
  <c r="BV320" i="6"/>
  <c r="BK320" i="6"/>
  <c r="BS320" i="6" l="1"/>
  <c r="CA320" i="6"/>
  <c r="CI320" i="6" l="1"/>
  <c r="CB320" i="6" s="1"/>
  <c r="AG321" i="6"/>
  <c r="CJ320" i="6" l="1"/>
  <c r="CC320" i="6" s="1"/>
  <c r="AH321" i="6"/>
  <c r="Q321" i="6"/>
  <c r="R321" i="6" s="1"/>
  <c r="S321" i="6" s="1"/>
  <c r="AI321" i="6" l="1"/>
  <c r="CK320" i="6"/>
  <c r="CD320" i="6" s="1"/>
  <c r="AE321" i="6"/>
  <c r="AF321" i="6" s="1"/>
  <c r="AP321" i="6"/>
  <c r="W321" i="6" l="1"/>
  <c r="Z321" i="6" s="1"/>
  <c r="AQ321" i="6"/>
  <c r="AJ321" i="6"/>
  <c r="CL320" i="6"/>
  <c r="CE320" i="6" s="1"/>
  <c r="AO321" i="6"/>
  <c r="AR321" i="6" l="1"/>
  <c r="AC321" i="6"/>
  <c r="AK321" i="6"/>
  <c r="CM320" i="6"/>
  <c r="CF320" i="6" s="1"/>
  <c r="AS321" i="6" l="1"/>
  <c r="AL321" i="6"/>
  <c r="CN320" i="6"/>
  <c r="CG320" i="6" s="1"/>
  <c r="AT321" i="6" l="1"/>
  <c r="AM321" i="6"/>
  <c r="CO320" i="6"/>
  <c r="CH320" i="6" s="1"/>
  <c r="X321" i="6" l="1"/>
  <c r="AU321" i="6"/>
  <c r="CP320" i="6"/>
  <c r="T320" i="6" s="1"/>
  <c r="AN321" i="6"/>
  <c r="AA321" i="6" l="1"/>
  <c r="Y321" i="6"/>
  <c r="AB321" i="6" s="1"/>
  <c r="AV321" i="6"/>
  <c r="AW321" i="6" s="1"/>
  <c r="AX321" i="6" l="1"/>
  <c r="AY321" i="6" l="1"/>
  <c r="BH321" i="6"/>
  <c r="BA321" i="6" l="1"/>
  <c r="BL321" i="6" s="1"/>
  <c r="BG321" i="6"/>
  <c r="BR321" i="6" s="1"/>
  <c r="BB321" i="6"/>
  <c r="BM321" i="6" s="1"/>
  <c r="BD321" i="6"/>
  <c r="BO321" i="6" s="1"/>
  <c r="AZ321" i="6"/>
  <c r="BC321" i="6"/>
  <c r="BN321" i="6" s="1"/>
  <c r="BE321" i="6"/>
  <c r="BP321" i="6" s="1"/>
  <c r="BF321" i="6"/>
  <c r="BQ321" i="6" s="1"/>
  <c r="BI321" i="6"/>
  <c r="BJ321" i="6" s="1"/>
  <c r="BT321" i="6" l="1"/>
  <c r="BZ321" i="6"/>
  <c r="BU321" i="6"/>
  <c r="BW321" i="6"/>
  <c r="BV321" i="6"/>
  <c r="BX321" i="6"/>
  <c r="BY321" i="6"/>
  <c r="BK321" i="6"/>
  <c r="BS321" i="6" l="1"/>
  <c r="CA321" i="6"/>
  <c r="AG322" i="6" l="1"/>
  <c r="CI321" i="6"/>
  <c r="CB321" i="6" s="1"/>
  <c r="Q322" i="6" l="1"/>
  <c r="R322" i="6" s="1"/>
  <c r="S322" i="6" s="1"/>
  <c r="CJ321" i="6"/>
  <c r="CC321" i="6" s="1"/>
  <c r="AH322" i="6"/>
  <c r="CK321" i="6" l="1"/>
  <c r="CD321" i="6" s="1"/>
  <c r="AI322" i="6"/>
  <c r="AE322" i="6"/>
  <c r="AF322" i="6" s="1"/>
  <c r="AP322" i="6"/>
  <c r="CL321" i="6" l="1"/>
  <c r="CE321" i="6" s="1"/>
  <c r="AJ322" i="6"/>
  <c r="W322" i="6" s="1"/>
  <c r="Z322" i="6" s="1"/>
  <c r="AQ322" i="6"/>
  <c r="AO322" i="6"/>
  <c r="AK322" i="6" l="1"/>
  <c r="CM321" i="6"/>
  <c r="CF321" i="6" s="1"/>
  <c r="AR322" i="6"/>
  <c r="AC322" i="6"/>
  <c r="AS322" i="6" l="1"/>
  <c r="AL322" i="6"/>
  <c r="CN321" i="6"/>
  <c r="CG321" i="6" s="1"/>
  <c r="AT322" i="6" l="1"/>
  <c r="CO321" i="6"/>
  <c r="CH321" i="6" s="1"/>
  <c r="AM322" i="6"/>
  <c r="CP321" i="6" l="1"/>
  <c r="T321" i="6" s="1"/>
  <c r="AN322" i="6"/>
  <c r="X322" i="6"/>
  <c r="AU322" i="6"/>
  <c r="AV322" i="6" l="1"/>
  <c r="AW322" i="6" s="1"/>
  <c r="AA322" i="6"/>
  <c r="Y322" i="6"/>
  <c r="AB322" i="6" s="1"/>
  <c r="AX322" i="6"/>
  <c r="AY322" i="6" l="1"/>
  <c r="BF322" i="6" s="1"/>
  <c r="BQ322" i="6" s="1"/>
  <c r="BH322" i="6"/>
  <c r="BB322" i="6"/>
  <c r="BM322" i="6" s="1"/>
  <c r="BD322" i="6"/>
  <c r="BO322" i="6" s="1"/>
  <c r="AZ322" i="6" l="1"/>
  <c r="BG322" i="6"/>
  <c r="BR322" i="6" s="1"/>
  <c r="BE322" i="6"/>
  <c r="BP322" i="6" s="1"/>
  <c r="BC322" i="6"/>
  <c r="BN322" i="6" s="1"/>
  <c r="BA322" i="6"/>
  <c r="BL322" i="6" s="1"/>
  <c r="BI322" i="6"/>
  <c r="BJ322" i="6" s="1"/>
  <c r="BK322" i="6" s="1"/>
  <c r="BU322" i="6"/>
  <c r="BW322" i="6"/>
  <c r="BY322" i="6"/>
  <c r="BS322" i="6" l="1"/>
  <c r="CA322" i="6" s="1"/>
  <c r="BZ322" i="6"/>
  <c r="BX322" i="6"/>
  <c r="BV322" i="6"/>
  <c r="BT322" i="6"/>
  <c r="CI322" i="6" l="1"/>
  <c r="CB322" i="6" s="1"/>
  <c r="AH323" i="6" s="1"/>
  <c r="AG323" i="6"/>
  <c r="CJ322" i="6"/>
  <c r="CC322" i="6" s="1"/>
  <c r="Q323" i="6" l="1"/>
  <c r="R323" i="6" s="1"/>
  <c r="S323" i="6" s="1"/>
  <c r="AI323" i="6"/>
  <c r="CK322" i="6"/>
  <c r="CD322" i="6" s="1"/>
  <c r="AE323" i="6" l="1"/>
  <c r="AF323" i="6" s="1"/>
  <c r="AQ323" i="6" s="1"/>
  <c r="AJ323" i="6"/>
  <c r="CL322" i="6"/>
  <c r="CE322" i="6" s="1"/>
  <c r="AO323" i="6" l="1"/>
  <c r="AP323" i="6"/>
  <c r="W323" i="6"/>
  <c r="Z323" i="6" s="1"/>
  <c r="AR323" i="6"/>
  <c r="AC323" i="6"/>
  <c r="CM322" i="6"/>
  <c r="CF322" i="6" s="1"/>
  <c r="AK323" i="6"/>
  <c r="AL323" i="6" l="1"/>
  <c r="CN322" i="6"/>
  <c r="CG322" i="6" s="1"/>
  <c r="AS323" i="6"/>
  <c r="AT323" i="6" l="1"/>
  <c r="AM323" i="6"/>
  <c r="CO322" i="6"/>
  <c r="CH322" i="6" s="1"/>
  <c r="AU323" i="6" l="1"/>
  <c r="AN323" i="6"/>
  <c r="X323" i="6" s="1"/>
  <c r="CP322" i="6"/>
  <c r="T322" i="6" s="1"/>
  <c r="Y323" i="6" l="1"/>
  <c r="AB323" i="6" s="1"/>
  <c r="AA323" i="6"/>
  <c r="AV323" i="6"/>
  <c r="AW323" i="6" s="1"/>
  <c r="AX323" i="6" l="1"/>
  <c r="AY323" i="6" l="1"/>
  <c r="BH323" i="6"/>
  <c r="BE323" i="6" l="1"/>
  <c r="BP323" i="6" s="1"/>
  <c r="BC323" i="6"/>
  <c r="BN323" i="6" s="1"/>
  <c r="BA323" i="6"/>
  <c r="BL323" i="6" s="1"/>
  <c r="BG323" i="6"/>
  <c r="BR323" i="6" s="1"/>
  <c r="BD323" i="6"/>
  <c r="BO323" i="6" s="1"/>
  <c r="BB323" i="6"/>
  <c r="BM323" i="6" s="1"/>
  <c r="AZ323" i="6"/>
  <c r="BF323" i="6"/>
  <c r="BQ323" i="6" s="1"/>
  <c r="BI323" i="6"/>
  <c r="BJ323" i="6" s="1"/>
  <c r="BX323" i="6" l="1"/>
  <c r="BV323" i="6"/>
  <c r="BT323" i="6"/>
  <c r="BZ323" i="6"/>
  <c r="BW323" i="6"/>
  <c r="BU323" i="6"/>
  <c r="BY323" i="6"/>
  <c r="BK323" i="6"/>
  <c r="BS323" i="6" l="1"/>
  <c r="CA323" i="6" s="1"/>
  <c r="CI323" i="6" l="1"/>
  <c r="CB323" i="6" s="1"/>
  <c r="AG324" i="6"/>
  <c r="CJ323" i="6" l="1"/>
  <c r="CC323" i="6" s="1"/>
  <c r="AH324" i="6"/>
  <c r="Q324" i="6"/>
  <c r="R324" i="6" s="1"/>
  <c r="S324" i="6" s="1"/>
  <c r="CK323" i="6" l="1"/>
  <c r="CD323" i="6" s="1"/>
  <c r="AI324" i="6"/>
  <c r="AJ324" i="6" l="1"/>
  <c r="CL323" i="6"/>
  <c r="CE323" i="6" s="1"/>
  <c r="W324" i="6"/>
  <c r="Z324" i="6" s="1"/>
  <c r="AE324" i="6"/>
  <c r="AF324" i="6" s="1"/>
  <c r="AQ324" i="6" s="1"/>
  <c r="AR324" i="6" l="1"/>
  <c r="AC324" i="6"/>
  <c r="AK324" i="6"/>
  <c r="CM323" i="6"/>
  <c r="CF323" i="6" s="1"/>
  <c r="AP324" i="6"/>
  <c r="AO324" i="6"/>
  <c r="AS324" i="6" l="1"/>
  <c r="AL324" i="6"/>
  <c r="CN323" i="6"/>
  <c r="CG323" i="6" s="1"/>
  <c r="AT324" i="6" l="1"/>
  <c r="AM324" i="6"/>
  <c r="CO323" i="6"/>
  <c r="CH323" i="6" s="1"/>
  <c r="AU324" i="6" l="1"/>
  <c r="CP323" i="6"/>
  <c r="T323" i="6" s="1"/>
  <c r="AN324" i="6"/>
  <c r="X324" i="6" s="1"/>
  <c r="AA324" i="6" l="1"/>
  <c r="Y324" i="6"/>
  <c r="AB324" i="6" s="1"/>
  <c r="AV324" i="6"/>
  <c r="AW324" i="6" s="1"/>
  <c r="AX324" i="6" l="1"/>
  <c r="AY324" i="6" l="1"/>
  <c r="BH324" i="6"/>
  <c r="BB324" i="6" l="1"/>
  <c r="BM324" i="6" s="1"/>
  <c r="AZ324" i="6"/>
  <c r="BG324" i="6"/>
  <c r="BR324" i="6" s="1"/>
  <c r="BE324" i="6"/>
  <c r="BP324" i="6" s="1"/>
  <c r="BD324" i="6"/>
  <c r="BO324" i="6" s="1"/>
  <c r="BA324" i="6"/>
  <c r="BL324" i="6" s="1"/>
  <c r="BF324" i="6"/>
  <c r="BQ324" i="6" s="1"/>
  <c r="BC324" i="6"/>
  <c r="BN324" i="6" s="1"/>
  <c r="BI324" i="6"/>
  <c r="BJ324" i="6" s="1"/>
  <c r="BU324" i="6" l="1"/>
  <c r="BZ324" i="6"/>
  <c r="BX324" i="6"/>
  <c r="BW324" i="6"/>
  <c r="BT324" i="6"/>
  <c r="BY324" i="6"/>
  <c r="BV324" i="6"/>
  <c r="BK324" i="6"/>
  <c r="BS324" i="6" l="1"/>
  <c r="CA324" i="6"/>
  <c r="CI324" i="6" l="1"/>
  <c r="CB324" i="6" s="1"/>
  <c r="AG325" i="6"/>
  <c r="AH325" i="6"/>
  <c r="CJ324" i="6"/>
  <c r="CC324" i="6" s="1"/>
  <c r="Q325" i="6" l="1"/>
  <c r="R325" i="6" s="1"/>
  <c r="S325" i="6" s="1"/>
  <c r="CK324" i="6"/>
  <c r="CD324" i="6" s="1"/>
  <c r="AI325" i="6"/>
  <c r="AJ325" i="6" l="1"/>
  <c r="CL324" i="6"/>
  <c r="CE324" i="6" s="1"/>
  <c r="AE325" i="6"/>
  <c r="AF325" i="6" s="1"/>
  <c r="AQ325" i="6" s="1"/>
  <c r="W325" i="6" l="1"/>
  <c r="Z325" i="6" s="1"/>
  <c r="AR325" i="6"/>
  <c r="AC325" i="6"/>
  <c r="AK325" i="6"/>
  <c r="CM324" i="6"/>
  <c r="CF324" i="6" s="1"/>
  <c r="AP325" i="6"/>
  <c r="AO325" i="6"/>
  <c r="AS325" i="6" l="1"/>
  <c r="AL325" i="6"/>
  <c r="CN324" i="6"/>
  <c r="CG324" i="6" s="1"/>
  <c r="AT325" i="6" l="1"/>
  <c r="AM325" i="6"/>
  <c r="CO324" i="6"/>
  <c r="CH324" i="6" s="1"/>
  <c r="X325" i="6" l="1"/>
  <c r="AU325" i="6"/>
  <c r="CP324" i="6"/>
  <c r="T324" i="6" s="1"/>
  <c r="AN325" i="6"/>
  <c r="AA325" i="6" l="1"/>
  <c r="Y325" i="6"/>
  <c r="AB325" i="6" s="1"/>
  <c r="AV325" i="6"/>
  <c r="AW325" i="6" s="1"/>
  <c r="AX325" i="6" l="1"/>
  <c r="AY325" i="6" l="1"/>
  <c r="BH325" i="6"/>
  <c r="BG325" i="6" l="1"/>
  <c r="BR325" i="6" s="1"/>
  <c r="BF325" i="6"/>
  <c r="BQ325" i="6" s="1"/>
  <c r="BE325" i="6"/>
  <c r="BP325" i="6" s="1"/>
  <c r="BD325" i="6"/>
  <c r="BO325" i="6" s="1"/>
  <c r="BC325" i="6"/>
  <c r="BN325" i="6" s="1"/>
  <c r="BA325" i="6"/>
  <c r="BL325" i="6" s="1"/>
  <c r="AZ325" i="6"/>
  <c r="BB325" i="6"/>
  <c r="BM325" i="6" s="1"/>
  <c r="BI325" i="6"/>
  <c r="BJ325" i="6" s="1"/>
  <c r="BK325" i="6" s="1"/>
  <c r="BZ325" i="6" l="1"/>
  <c r="BY325" i="6"/>
  <c r="BX325" i="6"/>
  <c r="BW325" i="6"/>
  <c r="BV325" i="6"/>
  <c r="BT325" i="6"/>
  <c r="BS325" i="6"/>
  <c r="CA325" i="6" s="1"/>
  <c r="BU325" i="6"/>
  <c r="CI325" i="6" l="1"/>
  <c r="CB325" i="6" s="1"/>
  <c r="AG326" i="6"/>
  <c r="AH326" i="6" l="1"/>
  <c r="CJ325" i="6"/>
  <c r="CC325" i="6" s="1"/>
  <c r="Q326" i="6"/>
  <c r="R326" i="6" s="1"/>
  <c r="S326" i="6" s="1"/>
  <c r="AI326" i="6" l="1"/>
  <c r="CK325" i="6"/>
  <c r="CD325" i="6" s="1"/>
  <c r="AE326" i="6" l="1"/>
  <c r="AF326" i="6" s="1"/>
  <c r="AQ326" i="6" s="1"/>
  <c r="AJ326" i="6"/>
  <c r="W326" i="6" s="1"/>
  <c r="Z326" i="6" s="1"/>
  <c r="CL325" i="6"/>
  <c r="CE325" i="6" s="1"/>
  <c r="AP326" i="6" l="1"/>
  <c r="AO326" i="6"/>
  <c r="AR326" i="6"/>
  <c r="AC326" i="6"/>
  <c r="AK326" i="6"/>
  <c r="CM325" i="6"/>
  <c r="CF325" i="6" s="1"/>
  <c r="AS326" i="6" l="1"/>
  <c r="CN325" i="6"/>
  <c r="CG325" i="6" s="1"/>
  <c r="AL326" i="6"/>
  <c r="CO325" i="6" l="1"/>
  <c r="CH325" i="6" s="1"/>
  <c r="AM326" i="6"/>
  <c r="AT326" i="6"/>
  <c r="CP325" i="6" l="1"/>
  <c r="T325" i="6" s="1"/>
  <c r="AN326" i="6"/>
  <c r="X326" i="6" s="1"/>
  <c r="AU326" i="6"/>
  <c r="AV326" i="6" l="1"/>
  <c r="AW326" i="6" s="1"/>
  <c r="AA326" i="6"/>
  <c r="Y326" i="6"/>
  <c r="AB326" i="6" s="1"/>
  <c r="AX326" i="6" l="1"/>
  <c r="BH326" i="6" l="1"/>
  <c r="AY326" i="6"/>
  <c r="BI326" i="6" l="1"/>
  <c r="BJ326" i="6" s="1"/>
  <c r="BF326" i="6"/>
  <c r="BQ326" i="6" s="1"/>
  <c r="BG326" i="6"/>
  <c r="BR326" i="6" s="1"/>
  <c r="BB326" i="6"/>
  <c r="BM326" i="6" s="1"/>
  <c r="BC326" i="6"/>
  <c r="BN326" i="6" s="1"/>
  <c r="BD326" i="6"/>
  <c r="BO326" i="6" s="1"/>
  <c r="BE326" i="6"/>
  <c r="BP326" i="6" s="1"/>
  <c r="BA326" i="6"/>
  <c r="BL326" i="6" s="1"/>
  <c r="AZ326" i="6"/>
  <c r="BY326" i="6" l="1"/>
  <c r="BZ326" i="6"/>
  <c r="BU326" i="6"/>
  <c r="BV326" i="6"/>
  <c r="BW326" i="6"/>
  <c r="BX326" i="6"/>
  <c r="BT326" i="6"/>
  <c r="BK326" i="6"/>
  <c r="BS326" i="6" l="1"/>
  <c r="CA326" i="6" s="1"/>
  <c r="CI326" i="6" l="1"/>
  <c r="CB326" i="6" s="1"/>
  <c r="AG327" i="6"/>
  <c r="CJ326" i="6" l="1"/>
  <c r="CC326" i="6" s="1"/>
  <c r="AH327" i="6"/>
  <c r="Q327" i="6"/>
  <c r="R327" i="6" s="1"/>
  <c r="S327" i="6" s="1"/>
  <c r="AI327" i="6" l="1"/>
  <c r="CK326" i="6"/>
  <c r="CD326" i="6" s="1"/>
  <c r="W327" i="6" l="1"/>
  <c r="Z327" i="6" s="1"/>
  <c r="AE327" i="6"/>
  <c r="AF327" i="6" s="1"/>
  <c r="AQ327" i="6" s="1"/>
  <c r="AJ327" i="6"/>
  <c r="CL326" i="6"/>
  <c r="CE326" i="6" s="1"/>
  <c r="AP327" i="6" l="1"/>
  <c r="AO327" i="6"/>
  <c r="AR327" i="6"/>
  <c r="AC327" i="6"/>
  <c r="AK327" i="6"/>
  <c r="CM326" i="6"/>
  <c r="CF326" i="6" s="1"/>
  <c r="AS327" i="6" l="1"/>
  <c r="CN326" i="6"/>
  <c r="CG326" i="6" s="1"/>
  <c r="AL327" i="6"/>
  <c r="AM327" i="6" l="1"/>
  <c r="CO326" i="6"/>
  <c r="CH326" i="6" s="1"/>
  <c r="AT327" i="6"/>
  <c r="X327" i="6" l="1"/>
  <c r="AU327" i="6"/>
  <c r="AN327" i="6"/>
  <c r="CP326" i="6"/>
  <c r="T326" i="6" s="1"/>
  <c r="AA327" i="6" l="1"/>
  <c r="Y327" i="6"/>
  <c r="AB327" i="6" s="1"/>
  <c r="AV327" i="6"/>
  <c r="AW327" i="6" s="1"/>
  <c r="AX327" i="6" l="1"/>
  <c r="AY327" i="6" l="1"/>
  <c r="BH327" i="6"/>
  <c r="BG327" i="6" l="1"/>
  <c r="BR327" i="6" s="1"/>
  <c r="BE327" i="6"/>
  <c r="BP327" i="6" s="1"/>
  <c r="BD327" i="6"/>
  <c r="BO327" i="6" s="1"/>
  <c r="BC327" i="6"/>
  <c r="BN327" i="6" s="1"/>
  <c r="BB327" i="6"/>
  <c r="BM327" i="6" s="1"/>
  <c r="BA327" i="6"/>
  <c r="BL327" i="6" s="1"/>
  <c r="AZ327" i="6"/>
  <c r="BF327" i="6"/>
  <c r="BQ327" i="6" s="1"/>
  <c r="BI327" i="6"/>
  <c r="BJ327" i="6" s="1"/>
  <c r="BK327" i="6" s="1"/>
  <c r="BZ327" i="6" l="1"/>
  <c r="BX327" i="6"/>
  <c r="BW327" i="6"/>
  <c r="BV327" i="6"/>
  <c r="BU327" i="6"/>
  <c r="BT327" i="6"/>
  <c r="CA327" i="6"/>
  <c r="BS327" i="6"/>
  <c r="BY327" i="6"/>
  <c r="CI327" i="6" l="1"/>
  <c r="CB327" i="6" s="1"/>
  <c r="AG328" i="6"/>
  <c r="AH328" i="6" l="1"/>
  <c r="CJ327" i="6"/>
  <c r="CC327" i="6" s="1"/>
  <c r="Q328" i="6"/>
  <c r="R328" i="6" s="1"/>
  <c r="S328" i="6" s="1"/>
  <c r="AI328" i="6" l="1"/>
  <c r="CK327" i="6"/>
  <c r="CD327" i="6" s="1"/>
  <c r="AE328" i="6" l="1"/>
  <c r="AF328" i="6" s="1"/>
  <c r="AQ328" i="6"/>
  <c r="AJ328" i="6"/>
  <c r="W328" i="6" s="1"/>
  <c r="Z328" i="6" s="1"/>
  <c r="CL327" i="6"/>
  <c r="CE327" i="6" s="1"/>
  <c r="AP328" i="6" l="1"/>
  <c r="AO328" i="6"/>
  <c r="AR328" i="6"/>
  <c r="AC328" i="6"/>
  <c r="CM327" i="6"/>
  <c r="CF327" i="6" s="1"/>
  <c r="AK328" i="6"/>
  <c r="CN327" i="6" l="1"/>
  <c r="CG327" i="6" s="1"/>
  <c r="AL328" i="6"/>
  <c r="AS328" i="6"/>
  <c r="AM328" i="6" l="1"/>
  <c r="CO327" i="6"/>
  <c r="CH327" i="6" s="1"/>
  <c r="AT328" i="6"/>
  <c r="AU328" i="6" l="1"/>
  <c r="CP327" i="6"/>
  <c r="T327" i="6" s="1"/>
  <c r="AN328" i="6"/>
  <c r="X328" i="6" s="1"/>
  <c r="AA328" i="6" l="1"/>
  <c r="Y328" i="6"/>
  <c r="AB328" i="6" s="1"/>
  <c r="AV328" i="6"/>
  <c r="AW328" i="6" s="1"/>
  <c r="AX328" i="6" l="1"/>
  <c r="AY328" i="6" l="1"/>
  <c r="BH328" i="6"/>
  <c r="AZ328" i="6" l="1"/>
  <c r="BG328" i="6"/>
  <c r="BR328" i="6" s="1"/>
  <c r="BF328" i="6"/>
  <c r="BQ328" i="6" s="1"/>
  <c r="BE328" i="6"/>
  <c r="BP328" i="6" s="1"/>
  <c r="BD328" i="6"/>
  <c r="BO328" i="6" s="1"/>
  <c r="BC328" i="6"/>
  <c r="BN328" i="6" s="1"/>
  <c r="BB328" i="6"/>
  <c r="BM328" i="6" s="1"/>
  <c r="BA328" i="6"/>
  <c r="BL328" i="6" s="1"/>
  <c r="BI328" i="6"/>
  <c r="BJ328" i="6" s="1"/>
  <c r="BK328" i="6" s="1"/>
  <c r="BS328" i="6" l="1"/>
  <c r="CA328" i="6" s="1"/>
  <c r="BZ328" i="6"/>
  <c r="BY328" i="6"/>
  <c r="BX328" i="6"/>
  <c r="BW328" i="6"/>
  <c r="BV328" i="6"/>
  <c r="BU328" i="6"/>
  <c r="BT328" i="6"/>
  <c r="CI328" i="6" l="1"/>
  <c r="CB328" i="6" s="1"/>
  <c r="AG329" i="6"/>
  <c r="Q329" i="6" l="1"/>
  <c r="R329" i="6" s="1"/>
  <c r="S329" i="6" s="1"/>
  <c r="CJ328" i="6"/>
  <c r="CC328" i="6" s="1"/>
  <c r="AH329" i="6"/>
  <c r="CK328" i="6" l="1"/>
  <c r="CD328" i="6" s="1"/>
  <c r="AI329" i="6"/>
  <c r="CL328" i="6" l="1"/>
  <c r="CE328" i="6" s="1"/>
  <c r="AJ329" i="6"/>
  <c r="W329" i="6"/>
  <c r="Z329" i="6" s="1"/>
  <c r="AE329" i="6"/>
  <c r="AF329" i="6" s="1"/>
  <c r="AQ329" i="6" s="1"/>
  <c r="AK329" i="6" l="1"/>
  <c r="CM328" i="6"/>
  <c r="CF328" i="6" s="1"/>
  <c r="AR329" i="6"/>
  <c r="AC329" i="6"/>
  <c r="AP329" i="6"/>
  <c r="AO329" i="6"/>
  <c r="AS329" i="6" l="1"/>
  <c r="CN328" i="6"/>
  <c r="CG328" i="6" s="1"/>
  <c r="AL329" i="6"/>
  <c r="CO328" i="6" l="1"/>
  <c r="CH328" i="6" s="1"/>
  <c r="AM329" i="6"/>
  <c r="AT329" i="6"/>
  <c r="CP328" i="6" l="1"/>
  <c r="T328" i="6" s="1"/>
  <c r="AN329" i="6"/>
  <c r="X329" i="6" s="1"/>
  <c r="AU329" i="6"/>
  <c r="AV329" i="6" l="1"/>
  <c r="AW329" i="6" s="1"/>
  <c r="AA329" i="6"/>
  <c r="Y329" i="6"/>
  <c r="AB329" i="6" s="1"/>
  <c r="AX329" i="6" l="1"/>
  <c r="BH329" i="6" l="1"/>
  <c r="AY329" i="6"/>
  <c r="BI329" i="6" l="1"/>
  <c r="BJ329" i="6" s="1"/>
  <c r="BK329" i="6" s="1"/>
  <c r="AZ329" i="6"/>
  <c r="BC329" i="6"/>
  <c r="BN329" i="6" s="1"/>
  <c r="BA329" i="6"/>
  <c r="BL329" i="6" s="1"/>
  <c r="BB329" i="6"/>
  <c r="BM329" i="6" s="1"/>
  <c r="BD329" i="6"/>
  <c r="BO329" i="6" s="1"/>
  <c r="BE329" i="6"/>
  <c r="BP329" i="6" s="1"/>
  <c r="BF329" i="6"/>
  <c r="BQ329" i="6" s="1"/>
  <c r="BG329" i="6"/>
  <c r="BR329" i="6" s="1"/>
  <c r="BS329" i="6" l="1"/>
  <c r="CA329" i="6"/>
  <c r="BV329" i="6"/>
  <c r="BT329" i="6"/>
  <c r="BU329" i="6"/>
  <c r="BW329" i="6"/>
  <c r="BX329" i="6"/>
  <c r="BY329" i="6"/>
  <c r="BZ329" i="6"/>
  <c r="CI329" i="6" l="1"/>
  <c r="CB329" i="6" s="1"/>
  <c r="AG330" i="6"/>
  <c r="Q330" i="6" l="1"/>
  <c r="R330" i="6" s="1"/>
  <c r="S330" i="6" s="1"/>
  <c r="CJ329" i="6"/>
  <c r="CC329" i="6" s="1"/>
  <c r="AH330" i="6"/>
  <c r="CK329" i="6" l="1"/>
  <c r="CD329" i="6" s="1"/>
  <c r="AI330" i="6"/>
  <c r="CL329" i="6" l="1"/>
  <c r="CE329" i="6" s="1"/>
  <c r="AJ330" i="6"/>
  <c r="W330" i="6"/>
  <c r="Z330" i="6" s="1"/>
  <c r="AE330" i="6"/>
  <c r="AF330" i="6" s="1"/>
  <c r="AQ330" i="6" s="1"/>
  <c r="AK330" i="6" l="1"/>
  <c r="CM329" i="6"/>
  <c r="CF329" i="6" s="1"/>
  <c r="AR330" i="6"/>
  <c r="AC330" i="6"/>
  <c r="AP330" i="6"/>
  <c r="AO330" i="6"/>
  <c r="AS330" i="6" l="1"/>
  <c r="CN329" i="6"/>
  <c r="CG329" i="6" s="1"/>
  <c r="AL330" i="6"/>
  <c r="AM330" i="6" l="1"/>
  <c r="CO329" i="6"/>
  <c r="CH329" i="6" s="1"/>
  <c r="AT330" i="6"/>
  <c r="AU330" i="6" l="1"/>
  <c r="CP329" i="6"/>
  <c r="T329" i="6" s="1"/>
  <c r="AN330" i="6"/>
  <c r="X330" i="6" s="1"/>
  <c r="AA330" i="6" l="1"/>
  <c r="Y330" i="6"/>
  <c r="AB330" i="6" s="1"/>
  <c r="AV330" i="6"/>
  <c r="AW330" i="6" s="1"/>
  <c r="AX330" i="6" l="1"/>
  <c r="BH330" i="6" l="1"/>
  <c r="AY330" i="6"/>
  <c r="BI330" i="6" l="1"/>
  <c r="BJ330" i="6" s="1"/>
  <c r="BF330" i="6"/>
  <c r="BQ330" i="6" s="1"/>
  <c r="BG330" i="6"/>
  <c r="BR330" i="6" s="1"/>
  <c r="AZ330" i="6"/>
  <c r="BA330" i="6"/>
  <c r="BL330" i="6" s="1"/>
  <c r="BB330" i="6"/>
  <c r="BM330" i="6" s="1"/>
  <c r="BC330" i="6"/>
  <c r="BN330" i="6" s="1"/>
  <c r="BD330" i="6"/>
  <c r="BO330" i="6" s="1"/>
  <c r="BE330" i="6"/>
  <c r="BP330" i="6" s="1"/>
  <c r="BY330" i="6" l="1"/>
  <c r="BZ330" i="6"/>
  <c r="BT330" i="6"/>
  <c r="BU330" i="6"/>
  <c r="BV330" i="6"/>
  <c r="BW330" i="6"/>
  <c r="BX330" i="6"/>
  <c r="BK330" i="6"/>
  <c r="BS330" i="6" l="1"/>
  <c r="CA330" i="6" s="1"/>
  <c r="CI330" i="6" l="1"/>
  <c r="CB330" i="6" s="1"/>
  <c r="AG331" i="6"/>
  <c r="Q331" i="6" l="1"/>
  <c r="R331" i="6" s="1"/>
  <c r="S331" i="6" s="1"/>
  <c r="AH331" i="6"/>
  <c r="CJ330" i="6"/>
  <c r="CC330" i="6" s="1"/>
  <c r="CK330" i="6" l="1"/>
  <c r="CD330" i="6" s="1"/>
  <c r="AI331" i="6"/>
  <c r="AJ331" i="6" l="1"/>
  <c r="CL330" i="6"/>
  <c r="CE330" i="6" s="1"/>
  <c r="W331" i="6"/>
  <c r="Z331" i="6" s="1"/>
  <c r="AE331" i="6"/>
  <c r="AF331" i="6" s="1"/>
  <c r="AQ331" i="6"/>
  <c r="AR331" i="6" l="1"/>
  <c r="AC331" i="6"/>
  <c r="AK331" i="6"/>
  <c r="CM330" i="6"/>
  <c r="CF330" i="6" s="1"/>
  <c r="AP331" i="6"/>
  <c r="AO331" i="6"/>
  <c r="AS331" i="6" l="1"/>
  <c r="CN330" i="6"/>
  <c r="CG330" i="6" s="1"/>
  <c r="AL331" i="6"/>
  <c r="AM331" i="6" l="1"/>
  <c r="CO330" i="6"/>
  <c r="CH330" i="6" s="1"/>
  <c r="AT331" i="6"/>
  <c r="X331" i="6" l="1"/>
  <c r="AU331" i="6"/>
  <c r="CP330" i="6"/>
  <c r="T330" i="6" s="1"/>
  <c r="AN331" i="6"/>
  <c r="AA331" i="6" l="1"/>
  <c r="Y331" i="6"/>
  <c r="AB331" i="6" s="1"/>
  <c r="AV331" i="6"/>
  <c r="AW331" i="6" s="1"/>
  <c r="AX331" i="6" l="1"/>
  <c r="AY331" i="6" l="1"/>
  <c r="BH331" i="6"/>
  <c r="BE331" i="6" l="1"/>
  <c r="BP331" i="6" s="1"/>
  <c r="BC331" i="6"/>
  <c r="BN331" i="6" s="1"/>
  <c r="BA331" i="6"/>
  <c r="BL331" i="6" s="1"/>
  <c r="AZ331" i="6"/>
  <c r="BD331" i="6"/>
  <c r="BO331" i="6" s="1"/>
  <c r="BB331" i="6"/>
  <c r="BM331" i="6" s="1"/>
  <c r="BG331" i="6"/>
  <c r="BR331" i="6" s="1"/>
  <c r="BF331" i="6"/>
  <c r="BQ331" i="6" s="1"/>
  <c r="BI331" i="6"/>
  <c r="BJ331" i="6" s="1"/>
  <c r="BX331" i="6" l="1"/>
  <c r="BV331" i="6"/>
  <c r="BT331" i="6"/>
  <c r="BW331" i="6"/>
  <c r="BU331" i="6"/>
  <c r="BZ331" i="6"/>
  <c r="BY331" i="6"/>
  <c r="BK331" i="6"/>
  <c r="BS331" i="6" l="1"/>
  <c r="CA331" i="6"/>
  <c r="CI331" i="6" l="1"/>
  <c r="CB331" i="6" s="1"/>
  <c r="AG332" i="6"/>
  <c r="CJ331" i="6" l="1"/>
  <c r="CC331" i="6" s="1"/>
  <c r="AH332" i="6"/>
  <c r="Q332" i="6"/>
  <c r="R332" i="6" s="1"/>
  <c r="S332" i="6" s="1"/>
  <c r="AI332" i="6" l="1"/>
  <c r="CK331" i="6"/>
  <c r="CD331" i="6" s="1"/>
  <c r="W332" i="6" l="1"/>
  <c r="Z332" i="6" s="1"/>
  <c r="AJ332" i="6"/>
  <c r="CL331" i="6"/>
  <c r="CE331" i="6" s="1"/>
  <c r="AE332" i="6" l="1"/>
  <c r="AF332" i="6" s="1"/>
  <c r="AR332" i="6"/>
  <c r="AC332" i="6"/>
  <c r="AK332" i="6"/>
  <c r="CM331" i="6"/>
  <c r="CF331" i="6" s="1"/>
  <c r="AQ332" i="6" l="1"/>
  <c r="AP332" i="6"/>
  <c r="AO332" i="6"/>
  <c r="AS332" i="6"/>
  <c r="AL332" i="6"/>
  <c r="CN331" i="6"/>
  <c r="CG331" i="6" s="1"/>
  <c r="AT332" i="6" l="1"/>
  <c r="AM332" i="6"/>
  <c r="CO331" i="6"/>
  <c r="CH331" i="6" s="1"/>
  <c r="X332" i="6" l="1"/>
  <c r="AU332" i="6"/>
  <c r="CP331" i="6"/>
  <c r="T331" i="6" s="1"/>
  <c r="AN332" i="6"/>
  <c r="AA332" i="6" l="1"/>
  <c r="Y332" i="6"/>
  <c r="AB332" i="6" s="1"/>
  <c r="AV332" i="6"/>
  <c r="AW332" i="6" s="1"/>
  <c r="AX332" i="6" l="1"/>
  <c r="BH332" i="6" l="1"/>
  <c r="AY332" i="6"/>
  <c r="BI332" i="6" l="1"/>
  <c r="BJ332" i="6" s="1"/>
  <c r="BK332" i="6" s="1"/>
  <c r="BA332" i="6"/>
  <c r="BL332" i="6" s="1"/>
  <c r="AZ332" i="6"/>
  <c r="BG332" i="6"/>
  <c r="BR332" i="6" s="1"/>
  <c r="BF332" i="6"/>
  <c r="BQ332" i="6" s="1"/>
  <c r="BE332" i="6"/>
  <c r="BP332" i="6" s="1"/>
  <c r="BD332" i="6"/>
  <c r="BO332" i="6" s="1"/>
  <c r="BC332" i="6"/>
  <c r="BN332" i="6" s="1"/>
  <c r="BB332" i="6"/>
  <c r="BM332" i="6" s="1"/>
  <c r="BT332" i="6" l="1"/>
  <c r="BS332" i="6"/>
  <c r="CA332" i="6" s="1"/>
  <c r="BZ332" i="6"/>
  <c r="BY332" i="6"/>
  <c r="BX332" i="6"/>
  <c r="BW332" i="6"/>
  <c r="BV332" i="6"/>
  <c r="BU332" i="6"/>
  <c r="CI332" i="6" l="1"/>
  <c r="CB332" i="6" s="1"/>
  <c r="AG333" i="6"/>
  <c r="AH333" i="6" l="1"/>
  <c r="CJ332" i="6"/>
  <c r="CC332" i="6" s="1"/>
  <c r="Q333" i="6"/>
  <c r="R333" i="6" s="1"/>
  <c r="S333" i="6" s="1"/>
  <c r="CK332" i="6" l="1"/>
  <c r="CD332" i="6" s="1"/>
  <c r="AI333" i="6"/>
  <c r="AJ333" i="6" l="1"/>
  <c r="CL332" i="6"/>
  <c r="CE332" i="6" s="1"/>
  <c r="W333" i="6"/>
  <c r="Z333" i="6" s="1"/>
  <c r="AE333" i="6" l="1"/>
  <c r="AF333" i="6" s="1"/>
  <c r="AR333" i="6" s="1"/>
  <c r="AC333" i="6"/>
  <c r="AK333" i="6"/>
  <c r="CM332" i="6"/>
  <c r="CF332" i="6" s="1"/>
  <c r="AQ333" i="6" l="1"/>
  <c r="AP333" i="6"/>
  <c r="AO333" i="6"/>
  <c r="AS333" i="6"/>
  <c r="AL333" i="6"/>
  <c r="CN332" i="6"/>
  <c r="CG332" i="6" s="1"/>
  <c r="AT333" i="6" l="1"/>
  <c r="AM333" i="6"/>
  <c r="CO332" i="6"/>
  <c r="CH332" i="6" s="1"/>
  <c r="AU333" i="6" l="1"/>
  <c r="CP332" i="6"/>
  <c r="T332" i="6" s="1"/>
  <c r="AN333" i="6"/>
  <c r="X333" i="6" s="1"/>
  <c r="AA333" i="6" l="1"/>
  <c r="Y333" i="6"/>
  <c r="AB333" i="6" s="1"/>
  <c r="AV333" i="6"/>
  <c r="AW333" i="6" s="1"/>
  <c r="AX333" i="6" l="1"/>
  <c r="AY333" i="6" l="1"/>
  <c r="BH333" i="6"/>
  <c r="BD333" i="6" l="1"/>
  <c r="BO333" i="6" s="1"/>
  <c r="BE333" i="6"/>
  <c r="BP333" i="6" s="1"/>
  <c r="BF333" i="6"/>
  <c r="BQ333" i="6" s="1"/>
  <c r="BG333" i="6"/>
  <c r="BR333" i="6" s="1"/>
  <c r="AZ333" i="6"/>
  <c r="BA333" i="6"/>
  <c r="BL333" i="6" s="1"/>
  <c r="BB333" i="6"/>
  <c r="BM333" i="6" s="1"/>
  <c r="BC333" i="6"/>
  <c r="BN333" i="6" s="1"/>
  <c r="BI333" i="6"/>
  <c r="BJ333" i="6" s="1"/>
  <c r="BW333" i="6" l="1"/>
  <c r="BX333" i="6"/>
  <c r="BY333" i="6"/>
  <c r="BZ333" i="6"/>
  <c r="BT333" i="6"/>
  <c r="BU333" i="6"/>
  <c r="BV333" i="6"/>
  <c r="BK333" i="6"/>
  <c r="BS333" i="6" l="1"/>
  <c r="CA333" i="6" s="1"/>
  <c r="CI333" i="6" l="1"/>
  <c r="CB333" i="6" s="1"/>
  <c r="AG334" i="6"/>
  <c r="CJ333" i="6" l="1"/>
  <c r="CC333" i="6" s="1"/>
  <c r="AH334" i="6"/>
  <c r="Q334" i="6"/>
  <c r="R334" i="6" s="1"/>
  <c r="S334" i="6" s="1"/>
  <c r="AI334" i="6" l="1"/>
  <c r="CK333" i="6"/>
  <c r="CD333" i="6" s="1"/>
  <c r="W334" i="6" l="1"/>
  <c r="Z334" i="6" s="1"/>
  <c r="AJ334" i="6"/>
  <c r="CL333" i="6"/>
  <c r="CE333" i="6" s="1"/>
  <c r="AE334" i="6" l="1"/>
  <c r="AF334" i="6" s="1"/>
  <c r="AR334" i="6" s="1"/>
  <c r="AC334" i="6"/>
  <c r="AK334" i="6"/>
  <c r="CM333" i="6"/>
  <c r="CF333" i="6" s="1"/>
  <c r="AQ334" i="6" l="1"/>
  <c r="AP334" i="6"/>
  <c r="AO334" i="6"/>
  <c r="AS334" i="6"/>
  <c r="AL334" i="6"/>
  <c r="CN333" i="6"/>
  <c r="CG333" i="6" s="1"/>
  <c r="AT334" i="6" l="1"/>
  <c r="AM334" i="6"/>
  <c r="CO333" i="6"/>
  <c r="CH333" i="6" s="1"/>
  <c r="X334" i="6" l="1"/>
  <c r="AU334" i="6"/>
  <c r="CP333" i="6"/>
  <c r="T333" i="6" s="1"/>
  <c r="AN334" i="6"/>
  <c r="AA334" i="6" l="1"/>
  <c r="Y334" i="6"/>
  <c r="AB334" i="6" s="1"/>
  <c r="AV334" i="6"/>
  <c r="AW334" i="6" s="1"/>
  <c r="AX334" i="6" l="1"/>
  <c r="AY334" i="6" l="1"/>
  <c r="BH334" i="6"/>
  <c r="BE334" i="6" l="1"/>
  <c r="BP334" i="6" s="1"/>
  <c r="BF334" i="6"/>
  <c r="BQ334" i="6" s="1"/>
  <c r="BG334" i="6"/>
  <c r="BR334" i="6" s="1"/>
  <c r="AZ334" i="6"/>
  <c r="BA334" i="6"/>
  <c r="BL334" i="6" s="1"/>
  <c r="BB334" i="6"/>
  <c r="BM334" i="6" s="1"/>
  <c r="BC334" i="6"/>
  <c r="BN334" i="6" s="1"/>
  <c r="BD334" i="6"/>
  <c r="BO334" i="6" s="1"/>
  <c r="BI334" i="6"/>
  <c r="BJ334" i="6" s="1"/>
  <c r="BX334" i="6" l="1"/>
  <c r="BY334" i="6"/>
  <c r="BZ334" i="6"/>
  <c r="BT334" i="6"/>
  <c r="BU334" i="6"/>
  <c r="BV334" i="6"/>
  <c r="BW334" i="6"/>
  <c r="BK334" i="6"/>
  <c r="BS334" i="6" l="1"/>
  <c r="CA334" i="6" s="1"/>
  <c r="CI334" i="6" l="1"/>
  <c r="CB334" i="6" s="1"/>
  <c r="AG335" i="6"/>
  <c r="CJ334" i="6" l="1"/>
  <c r="CC334" i="6" s="1"/>
  <c r="AH335" i="6"/>
  <c r="Q335" i="6"/>
  <c r="R335" i="6" s="1"/>
  <c r="S335" i="6" s="1"/>
  <c r="AI335" i="6" l="1"/>
  <c r="CK334" i="6"/>
  <c r="CD334" i="6" s="1"/>
  <c r="W335" i="6" l="1"/>
  <c r="Z335" i="6" s="1"/>
  <c r="AJ335" i="6"/>
  <c r="CL334" i="6"/>
  <c r="CE334" i="6" s="1"/>
  <c r="AE335" i="6" l="1"/>
  <c r="AF335" i="6" s="1"/>
  <c r="AR335" i="6" s="1"/>
  <c r="AC335" i="6"/>
  <c r="AK335" i="6"/>
  <c r="CM334" i="6"/>
  <c r="CF334" i="6" s="1"/>
  <c r="AQ335" i="6" l="1"/>
  <c r="AP335" i="6"/>
  <c r="AO335" i="6"/>
  <c r="AS335" i="6"/>
  <c r="AL335" i="6"/>
  <c r="CN334" i="6"/>
  <c r="CG334" i="6" s="1"/>
  <c r="AT335" i="6" l="1"/>
  <c r="AM335" i="6"/>
  <c r="CO334" i="6"/>
  <c r="CH334" i="6" s="1"/>
  <c r="X335" i="6" l="1"/>
  <c r="AU335" i="6"/>
  <c r="CP334" i="6"/>
  <c r="T334" i="6" s="1"/>
  <c r="AN335" i="6"/>
  <c r="AA335" i="6" l="1"/>
  <c r="Y335" i="6"/>
  <c r="AB335" i="6" s="1"/>
  <c r="AV335" i="6"/>
  <c r="AW335" i="6" s="1"/>
  <c r="AX335" i="6" l="1"/>
  <c r="BH335" i="6" l="1"/>
  <c r="AY335" i="6"/>
  <c r="BI335" i="6" l="1"/>
  <c r="BJ335" i="6" s="1"/>
  <c r="BK335" i="6" s="1"/>
  <c r="BB335" i="6"/>
  <c r="BM335" i="6" s="1"/>
  <c r="BA335" i="6"/>
  <c r="BL335" i="6" s="1"/>
  <c r="AZ335" i="6"/>
  <c r="BG335" i="6"/>
  <c r="BR335" i="6" s="1"/>
  <c r="BF335" i="6"/>
  <c r="BQ335" i="6" s="1"/>
  <c r="BE335" i="6"/>
  <c r="BP335" i="6" s="1"/>
  <c r="BD335" i="6"/>
  <c r="BO335" i="6" s="1"/>
  <c r="BC335" i="6"/>
  <c r="BN335" i="6" s="1"/>
  <c r="BU335" i="6" l="1"/>
  <c r="BT335" i="6"/>
  <c r="BS335" i="6"/>
  <c r="CA335" i="6"/>
  <c r="BZ335" i="6"/>
  <c r="BY335" i="6"/>
  <c r="BX335" i="6"/>
  <c r="BW335" i="6"/>
  <c r="BV335" i="6"/>
  <c r="CI335" i="6" l="1"/>
  <c r="CB335" i="6" s="1"/>
  <c r="AG336" i="6"/>
  <c r="AH336" i="6" l="1"/>
  <c r="CJ335" i="6"/>
  <c r="CC335" i="6" s="1"/>
  <c r="Q336" i="6"/>
  <c r="R336" i="6" s="1"/>
  <c r="S336" i="6" s="1"/>
  <c r="AI336" i="6" l="1"/>
  <c r="CK335" i="6"/>
  <c r="CD335" i="6" s="1"/>
  <c r="AJ336" i="6" l="1"/>
  <c r="W336" i="6" s="1"/>
  <c r="Z336" i="6" s="1"/>
  <c r="CL335" i="6"/>
  <c r="CE335" i="6" s="1"/>
  <c r="AE336" i="6" l="1"/>
  <c r="AF336" i="6" s="1"/>
  <c r="AR336" i="6" s="1"/>
  <c r="AC336" i="6"/>
  <c r="CM335" i="6"/>
  <c r="CF335" i="6" s="1"/>
  <c r="AK336" i="6"/>
  <c r="AQ336" i="6" l="1"/>
  <c r="AP336" i="6"/>
  <c r="AO336" i="6"/>
  <c r="CN335" i="6"/>
  <c r="CG335" i="6" s="1"/>
  <c r="AL336" i="6"/>
  <c r="AS336" i="6"/>
  <c r="AM336" i="6" l="1"/>
  <c r="CO335" i="6"/>
  <c r="CH335" i="6" s="1"/>
  <c r="AT336" i="6"/>
  <c r="AU336" i="6" l="1"/>
  <c r="CP335" i="6"/>
  <c r="T335" i="6" s="1"/>
  <c r="AN336" i="6"/>
  <c r="X336" i="6" s="1"/>
  <c r="AA336" i="6" l="1"/>
  <c r="Y336" i="6"/>
  <c r="AB336" i="6" s="1"/>
  <c r="AV336" i="6"/>
  <c r="AW336" i="6" s="1"/>
  <c r="AX336" i="6" l="1"/>
  <c r="AY336" i="6" l="1"/>
  <c r="BH336" i="6"/>
  <c r="BC336" i="6" l="1"/>
  <c r="BN336" i="6" s="1"/>
  <c r="BD336" i="6"/>
  <c r="BO336" i="6" s="1"/>
  <c r="BE336" i="6"/>
  <c r="BP336" i="6" s="1"/>
  <c r="BF336" i="6"/>
  <c r="BQ336" i="6" s="1"/>
  <c r="BG336" i="6"/>
  <c r="BR336" i="6" s="1"/>
  <c r="AZ336" i="6"/>
  <c r="BA336" i="6"/>
  <c r="BL336" i="6" s="1"/>
  <c r="BB336" i="6"/>
  <c r="BM336" i="6" s="1"/>
  <c r="BI336" i="6"/>
  <c r="BJ336" i="6" s="1"/>
  <c r="BK336" i="6" s="1"/>
  <c r="BV336" i="6" l="1"/>
  <c r="BW336" i="6"/>
  <c r="BX336" i="6"/>
  <c r="BY336" i="6"/>
  <c r="BZ336" i="6"/>
  <c r="BS336" i="6"/>
  <c r="CA336" i="6" s="1"/>
  <c r="BT336" i="6"/>
  <c r="BU336" i="6"/>
  <c r="CI336" i="6" l="1"/>
  <c r="CB336" i="6" s="1"/>
  <c r="AG337" i="6"/>
  <c r="CJ336" i="6"/>
  <c r="CC336" i="6" s="1"/>
  <c r="AH337" i="6"/>
  <c r="CK336" i="6"/>
  <c r="CD336" i="6" s="1"/>
  <c r="AI337" i="6"/>
  <c r="Q337" i="6" l="1"/>
  <c r="R337" i="6" s="1"/>
  <c r="S337" i="6" s="1"/>
  <c r="AJ337" i="6"/>
  <c r="W337" i="6" s="1"/>
  <c r="Z337" i="6" s="1"/>
  <c r="CL336" i="6"/>
  <c r="CE336" i="6" s="1"/>
  <c r="AE337" i="6" l="1"/>
  <c r="AF337" i="6" s="1"/>
  <c r="AR337" i="6" s="1"/>
  <c r="AC337" i="6"/>
  <c r="AK337" i="6"/>
  <c r="CM336" i="6"/>
  <c r="CF336" i="6" s="1"/>
  <c r="AO337" i="6" l="1"/>
  <c r="AQ337" i="6"/>
  <c r="AP337" i="6"/>
  <c r="AS337" i="6"/>
  <c r="CN336" i="6"/>
  <c r="CG336" i="6" s="1"/>
  <c r="AL337" i="6"/>
  <c r="CO336" i="6" l="1"/>
  <c r="CH336" i="6" s="1"/>
  <c r="AM337" i="6"/>
  <c r="AT337" i="6"/>
  <c r="CP336" i="6" l="1"/>
  <c r="T336" i="6" s="1"/>
  <c r="AN337" i="6"/>
  <c r="X337" i="6"/>
  <c r="AU337" i="6"/>
  <c r="AV337" i="6" l="1"/>
  <c r="AW337" i="6" s="1"/>
  <c r="AA337" i="6"/>
  <c r="Y337" i="6"/>
  <c r="AB337" i="6" s="1"/>
  <c r="AX337" i="6" l="1"/>
  <c r="AY337" i="6" l="1"/>
  <c r="BH337" i="6"/>
  <c r="BE337" i="6" l="1"/>
  <c r="BP337" i="6" s="1"/>
  <c r="BF337" i="6"/>
  <c r="BQ337" i="6" s="1"/>
  <c r="BG337" i="6"/>
  <c r="BR337" i="6" s="1"/>
  <c r="AZ337" i="6"/>
  <c r="BA337" i="6"/>
  <c r="BL337" i="6" s="1"/>
  <c r="BB337" i="6"/>
  <c r="BM337" i="6" s="1"/>
  <c r="BC337" i="6"/>
  <c r="BN337" i="6" s="1"/>
  <c r="BD337" i="6"/>
  <c r="BO337" i="6" s="1"/>
  <c r="BI337" i="6"/>
  <c r="BJ337" i="6" s="1"/>
  <c r="BX337" i="6" l="1"/>
  <c r="BY337" i="6"/>
  <c r="BZ337" i="6"/>
  <c r="BT337" i="6"/>
  <c r="BU337" i="6"/>
  <c r="BV337" i="6"/>
  <c r="BW337" i="6"/>
  <c r="BK337" i="6"/>
  <c r="BS337" i="6" l="1"/>
  <c r="CA337" i="6" s="1"/>
  <c r="CI337" i="6" l="1"/>
  <c r="CB337" i="6" s="1"/>
  <c r="AG338" i="6"/>
  <c r="CJ337" i="6" l="1"/>
  <c r="CC337" i="6" s="1"/>
  <c r="AH338" i="6"/>
  <c r="Q338" i="6"/>
  <c r="R338" i="6" s="1"/>
  <c r="S338" i="6" s="1"/>
  <c r="AI338" i="6" l="1"/>
  <c r="CK337" i="6"/>
  <c r="CD337" i="6" s="1"/>
  <c r="W338" i="6" l="1"/>
  <c r="Z338" i="6" s="1"/>
  <c r="AJ338" i="6"/>
  <c r="CL337" i="6"/>
  <c r="CE337" i="6" s="1"/>
  <c r="AE338" i="6" l="1"/>
  <c r="AF338" i="6" s="1"/>
  <c r="AR338" i="6" s="1"/>
  <c r="AC338" i="6"/>
  <c r="AK338" i="6"/>
  <c r="CM337" i="6"/>
  <c r="CF337" i="6" s="1"/>
  <c r="AQ338" i="6" l="1"/>
  <c r="AP338" i="6"/>
  <c r="AO338" i="6"/>
  <c r="AS338" i="6"/>
  <c r="AL338" i="6"/>
  <c r="CN337" i="6"/>
  <c r="CG337" i="6" s="1"/>
  <c r="AT338" i="6" l="1"/>
  <c r="AM338" i="6"/>
  <c r="CO337" i="6"/>
  <c r="CH337" i="6" s="1"/>
  <c r="AU338" i="6" l="1"/>
  <c r="CP337" i="6"/>
  <c r="T337" i="6" s="1"/>
  <c r="AN338" i="6"/>
  <c r="X338" i="6" s="1"/>
  <c r="AA338" i="6" l="1"/>
  <c r="Y338" i="6"/>
  <c r="AB338" i="6" s="1"/>
  <c r="AV338" i="6"/>
  <c r="AW338" i="6" s="1"/>
  <c r="AX338" i="6" l="1"/>
  <c r="BH338" i="6" l="1"/>
  <c r="AY338" i="6"/>
  <c r="BI338" i="6" l="1"/>
  <c r="BJ338" i="6" s="1"/>
  <c r="BK338" i="6" s="1"/>
  <c r="BB338" i="6"/>
  <c r="BM338" i="6" s="1"/>
  <c r="BG338" i="6"/>
  <c r="BR338" i="6" s="1"/>
  <c r="BC338" i="6"/>
  <c r="BN338" i="6" s="1"/>
  <c r="BA338" i="6"/>
  <c r="BL338" i="6" s="1"/>
  <c r="BF338" i="6"/>
  <c r="BQ338" i="6" s="1"/>
  <c r="BE338" i="6"/>
  <c r="BP338" i="6" s="1"/>
  <c r="BD338" i="6"/>
  <c r="BO338" i="6" s="1"/>
  <c r="AZ338" i="6"/>
  <c r="BU338" i="6" l="1"/>
  <c r="BZ338" i="6"/>
  <c r="BV338" i="6"/>
  <c r="BT338" i="6"/>
  <c r="BY338" i="6"/>
  <c r="BX338" i="6"/>
  <c r="BW338" i="6"/>
  <c r="BS338" i="6"/>
  <c r="CA338" i="6"/>
  <c r="CI338" i="6" l="1"/>
  <c r="CB338" i="6" s="1"/>
  <c r="AG339" i="6"/>
  <c r="AH339" i="6" l="1"/>
  <c r="CJ338" i="6"/>
  <c r="CC338" i="6" s="1"/>
  <c r="Q339" i="6"/>
  <c r="R339" i="6" s="1"/>
  <c r="S339" i="6" s="1"/>
  <c r="AI339" i="6" l="1"/>
  <c r="CK338" i="6"/>
  <c r="CD338" i="6" s="1"/>
  <c r="AJ339" i="6" l="1"/>
  <c r="W339" i="6" s="1"/>
  <c r="Z339" i="6" s="1"/>
  <c r="CL338" i="6"/>
  <c r="CE338" i="6" s="1"/>
  <c r="AE339" i="6" l="1"/>
  <c r="AF339" i="6" s="1"/>
  <c r="AR339" i="6" s="1"/>
  <c r="AC339" i="6"/>
  <c r="AK339" i="6"/>
  <c r="CM338" i="6"/>
  <c r="CF338" i="6" s="1"/>
  <c r="AQ339" i="6" l="1"/>
  <c r="AP339" i="6"/>
  <c r="AO339" i="6"/>
  <c r="AS339" i="6"/>
  <c r="AL339" i="6"/>
  <c r="CN338" i="6"/>
  <c r="CG338" i="6" s="1"/>
  <c r="AT339" i="6" l="1"/>
  <c r="CO338" i="6"/>
  <c r="CH338" i="6" s="1"/>
  <c r="AM339" i="6"/>
  <c r="AN339" i="6" l="1"/>
  <c r="CP338" i="6"/>
  <c r="T338" i="6" s="1"/>
  <c r="X339" i="6"/>
  <c r="AU339" i="6"/>
  <c r="AV339" i="6" l="1"/>
  <c r="AW339" i="6" s="1"/>
  <c r="AA339" i="6"/>
  <c r="Y339" i="6"/>
  <c r="AB339" i="6" s="1"/>
  <c r="AX339" i="6" l="1"/>
  <c r="AY339" i="6" l="1"/>
  <c r="BH339" i="6"/>
  <c r="AZ339" i="6" l="1"/>
  <c r="BC339" i="6"/>
  <c r="BN339" i="6" s="1"/>
  <c r="BD339" i="6"/>
  <c r="BO339" i="6" s="1"/>
  <c r="BE339" i="6"/>
  <c r="BP339" i="6" s="1"/>
  <c r="BF339" i="6"/>
  <c r="BQ339" i="6" s="1"/>
  <c r="BG339" i="6"/>
  <c r="BR339" i="6" s="1"/>
  <c r="BA339" i="6"/>
  <c r="BL339" i="6" s="1"/>
  <c r="BB339" i="6"/>
  <c r="BM339" i="6" s="1"/>
  <c r="BI339" i="6"/>
  <c r="BJ339" i="6" s="1"/>
  <c r="BK339" i="6" s="1"/>
  <c r="BS339" i="6" l="1"/>
  <c r="CA339" i="6" s="1"/>
  <c r="BV339" i="6"/>
  <c r="BW339" i="6"/>
  <c r="BX339" i="6"/>
  <c r="BY339" i="6"/>
  <c r="BZ339" i="6"/>
  <c r="BT339" i="6"/>
  <c r="BU339" i="6"/>
  <c r="CI339" i="6" l="1"/>
  <c r="CB339" i="6" s="1"/>
  <c r="AG340" i="6"/>
  <c r="Q340" i="6" l="1"/>
  <c r="R340" i="6" s="1"/>
  <c r="S340" i="6" s="1"/>
  <c r="CJ339" i="6"/>
  <c r="CC339" i="6" s="1"/>
  <c r="AH340" i="6"/>
  <c r="AI340" i="6" l="1"/>
  <c r="CK339" i="6"/>
  <c r="CD339" i="6" s="1"/>
  <c r="W340" i="6" l="1"/>
  <c r="Z340" i="6" s="1"/>
  <c r="CL339" i="6"/>
  <c r="CE339" i="6" s="1"/>
  <c r="AJ340" i="6"/>
  <c r="AK340" i="6" l="1"/>
  <c r="CM339" i="6"/>
  <c r="CF339" i="6" s="1"/>
  <c r="AE340" i="6"/>
  <c r="AF340" i="6" s="1"/>
  <c r="AR340" i="6" s="1"/>
  <c r="AC340" i="6"/>
  <c r="AS340" i="6" l="1"/>
  <c r="AL340" i="6"/>
  <c r="CN339" i="6"/>
  <c r="CG339" i="6" s="1"/>
  <c r="AQ340" i="6"/>
  <c r="AP340" i="6"/>
  <c r="AO340" i="6"/>
  <c r="AT340" i="6" l="1"/>
  <c r="AM340" i="6"/>
  <c r="CO339" i="6"/>
  <c r="CH339" i="6" s="1"/>
  <c r="AU340" i="6" l="1"/>
  <c r="CP339" i="6"/>
  <c r="T339" i="6" s="1"/>
  <c r="AN340" i="6"/>
  <c r="X340" i="6" s="1"/>
  <c r="AA340" i="6" l="1"/>
  <c r="Y340" i="6"/>
  <c r="AB340" i="6" s="1"/>
  <c r="AV340" i="6"/>
  <c r="AW340" i="6" s="1"/>
  <c r="AX340" i="6" l="1"/>
  <c r="AY340" i="6" l="1"/>
  <c r="BH340" i="6"/>
  <c r="BF340" i="6" l="1"/>
  <c r="BQ340" i="6" s="1"/>
  <c r="BG340" i="6"/>
  <c r="BR340" i="6" s="1"/>
  <c r="BE340" i="6"/>
  <c r="BP340" i="6" s="1"/>
  <c r="AZ340" i="6"/>
  <c r="BA340" i="6"/>
  <c r="BL340" i="6" s="1"/>
  <c r="BB340" i="6"/>
  <c r="BM340" i="6" s="1"/>
  <c r="BC340" i="6"/>
  <c r="BN340" i="6" s="1"/>
  <c r="BD340" i="6"/>
  <c r="BO340" i="6" s="1"/>
  <c r="BI340" i="6"/>
  <c r="BJ340" i="6" s="1"/>
  <c r="BY340" i="6" l="1"/>
  <c r="BZ340" i="6"/>
  <c r="BX340" i="6"/>
  <c r="BT340" i="6"/>
  <c r="BU340" i="6"/>
  <c r="BV340" i="6"/>
  <c r="BW340" i="6"/>
  <c r="BK340" i="6"/>
  <c r="BS340" i="6" l="1"/>
  <c r="CA340" i="6" s="1"/>
  <c r="CI340" i="6" l="1"/>
  <c r="CB340" i="6" s="1"/>
  <c r="AG341" i="6"/>
  <c r="CJ340" i="6" l="1"/>
  <c r="CC340" i="6" s="1"/>
  <c r="AH341" i="6"/>
  <c r="Q341" i="6"/>
  <c r="R341" i="6" s="1"/>
  <c r="S341" i="6" s="1"/>
  <c r="AI341" i="6" l="1"/>
  <c r="CK340" i="6"/>
  <c r="CD340" i="6" s="1"/>
  <c r="W341" i="6" l="1"/>
  <c r="Z341" i="6" s="1"/>
  <c r="AJ341" i="6"/>
  <c r="CL340" i="6"/>
  <c r="CE340" i="6" s="1"/>
  <c r="AE341" i="6" l="1"/>
  <c r="AF341" i="6" s="1"/>
  <c r="AR341" i="6"/>
  <c r="AC341" i="6"/>
  <c r="AK341" i="6"/>
  <c r="CM340" i="6"/>
  <c r="CF340" i="6" s="1"/>
  <c r="AQ341" i="6" l="1"/>
  <c r="AP341" i="6"/>
  <c r="AO341" i="6"/>
  <c r="AS341" i="6"/>
  <c r="AL341" i="6"/>
  <c r="CN340" i="6"/>
  <c r="CG340" i="6" s="1"/>
  <c r="AT341" i="6" l="1"/>
  <c r="AM341" i="6"/>
  <c r="CO340" i="6"/>
  <c r="CH340" i="6" s="1"/>
  <c r="AU341" i="6" l="1"/>
  <c r="CP340" i="6"/>
  <c r="T340" i="6" s="1"/>
  <c r="AN341" i="6"/>
  <c r="X341" i="6" s="1"/>
  <c r="AA341" i="6" l="1"/>
  <c r="Y341" i="6"/>
  <c r="AB341" i="6" s="1"/>
  <c r="AV341" i="6"/>
  <c r="AW341" i="6" s="1"/>
  <c r="AX341" i="6" l="1"/>
  <c r="BH341" i="6" l="1"/>
  <c r="AY341" i="6"/>
  <c r="BI341" i="6" l="1"/>
  <c r="BJ341" i="6" s="1"/>
  <c r="BK341" i="6" s="1"/>
  <c r="BG341" i="6"/>
  <c r="BR341" i="6" s="1"/>
  <c r="BF341" i="6"/>
  <c r="BQ341" i="6" s="1"/>
  <c r="BE341" i="6"/>
  <c r="BP341" i="6" s="1"/>
  <c r="BD341" i="6"/>
  <c r="BO341" i="6" s="1"/>
  <c r="BC341" i="6"/>
  <c r="BN341" i="6" s="1"/>
  <c r="BB341" i="6"/>
  <c r="BM341" i="6" s="1"/>
  <c r="BA341" i="6"/>
  <c r="BL341" i="6" s="1"/>
  <c r="AZ341" i="6"/>
  <c r="BZ341" i="6" l="1"/>
  <c r="BY341" i="6"/>
  <c r="BX341" i="6"/>
  <c r="BW341" i="6"/>
  <c r="BV341" i="6"/>
  <c r="BU341" i="6"/>
  <c r="BT341" i="6"/>
  <c r="BS341" i="6"/>
  <c r="CA341" i="6"/>
  <c r="CI341" i="6" l="1"/>
  <c r="CB341" i="6" s="1"/>
  <c r="AG342" i="6"/>
  <c r="Q342" i="6" l="1"/>
  <c r="R342" i="6" s="1"/>
  <c r="S342" i="6" s="1"/>
  <c r="AH342" i="6"/>
  <c r="CJ341" i="6"/>
  <c r="CC341" i="6" s="1"/>
  <c r="CK341" i="6" l="1"/>
  <c r="CD341" i="6" s="1"/>
  <c r="AI342" i="6"/>
  <c r="AJ342" i="6" l="1"/>
  <c r="W342" i="6" s="1"/>
  <c r="Z342" i="6" s="1"/>
  <c r="CL341" i="6"/>
  <c r="CE341" i="6" s="1"/>
  <c r="AC342" i="6" l="1"/>
  <c r="AK342" i="6"/>
  <c r="CM341" i="6"/>
  <c r="CF341" i="6" s="1"/>
  <c r="AE342" i="6" l="1"/>
  <c r="AF342" i="6" s="1"/>
  <c r="AS342" i="6" s="1"/>
  <c r="AL342" i="6"/>
  <c r="CN341" i="6"/>
  <c r="CG341" i="6" s="1"/>
  <c r="AR342" i="6" l="1"/>
  <c r="AQ342" i="6"/>
  <c r="AP342" i="6"/>
  <c r="AO342" i="6"/>
  <c r="AT342" i="6"/>
  <c r="AM342" i="6"/>
  <c r="CO341" i="6"/>
  <c r="CH341" i="6" s="1"/>
  <c r="AU342" i="6" l="1"/>
  <c r="CP341" i="6"/>
  <c r="T341" i="6" s="1"/>
  <c r="AN342" i="6"/>
  <c r="X342" i="6" s="1"/>
  <c r="AA342" i="6" l="1"/>
  <c r="Y342" i="6"/>
  <c r="AB342" i="6" s="1"/>
  <c r="AV342" i="6"/>
  <c r="AW342" i="6" s="1"/>
  <c r="AX342" i="6" l="1"/>
  <c r="BH342" i="6" l="1"/>
  <c r="AY342" i="6"/>
  <c r="BI342" i="6" l="1"/>
  <c r="BJ342" i="6" s="1"/>
  <c r="BK342" i="6" s="1"/>
  <c r="BD342" i="6"/>
  <c r="BO342" i="6" s="1"/>
  <c r="BG342" i="6"/>
  <c r="BR342" i="6" s="1"/>
  <c r="AZ342" i="6"/>
  <c r="BA342" i="6"/>
  <c r="BL342" i="6" s="1"/>
  <c r="BE342" i="6"/>
  <c r="BP342" i="6" s="1"/>
  <c r="BB342" i="6"/>
  <c r="BM342" i="6" s="1"/>
  <c r="BC342" i="6"/>
  <c r="BN342" i="6" s="1"/>
  <c r="BF342" i="6"/>
  <c r="BQ342" i="6" s="1"/>
  <c r="BW342" i="6" l="1"/>
  <c r="BZ342" i="6"/>
  <c r="BS342" i="6"/>
  <c r="BT342" i="6"/>
  <c r="BX342" i="6"/>
  <c r="BU342" i="6"/>
  <c r="BV342" i="6"/>
  <c r="BY342" i="6"/>
  <c r="CA342" i="6" l="1"/>
  <c r="AG343" i="6" l="1"/>
  <c r="CI342" i="6"/>
  <c r="CB342" i="6" s="1"/>
  <c r="Q343" i="6" l="1"/>
  <c r="R343" i="6" s="1"/>
  <c r="S343" i="6" s="1"/>
  <c r="AH343" i="6"/>
  <c r="CJ342" i="6"/>
  <c r="CC342" i="6" s="1"/>
  <c r="CK342" i="6" l="1"/>
  <c r="CD342" i="6" s="1"/>
  <c r="AI343" i="6"/>
  <c r="AJ343" i="6" l="1"/>
  <c r="CL342" i="6"/>
  <c r="CE342" i="6" s="1"/>
  <c r="W343" i="6"/>
  <c r="Z343" i="6" s="1"/>
  <c r="AC343" i="6" l="1"/>
  <c r="AK343" i="6"/>
  <c r="CM342" i="6"/>
  <c r="CF342" i="6" s="1"/>
  <c r="AE343" i="6" l="1"/>
  <c r="AF343" i="6" s="1"/>
  <c r="AS343" i="6" s="1"/>
  <c r="AL343" i="6"/>
  <c r="CN342" i="6"/>
  <c r="CG342" i="6" s="1"/>
  <c r="AR343" i="6" l="1"/>
  <c r="AQ343" i="6"/>
  <c r="AP343" i="6"/>
  <c r="AO343" i="6"/>
  <c r="AT343" i="6"/>
  <c r="AM343" i="6"/>
  <c r="CO342" i="6"/>
  <c r="CH342" i="6" s="1"/>
  <c r="AU343" i="6" l="1"/>
  <c r="CP342" i="6"/>
  <c r="T342" i="6" s="1"/>
  <c r="AN343" i="6"/>
  <c r="X343" i="6" s="1"/>
  <c r="AA343" i="6" l="1"/>
  <c r="Y343" i="6"/>
  <c r="AB343" i="6" s="1"/>
  <c r="AV343" i="6"/>
  <c r="AW343" i="6" s="1"/>
  <c r="AX343" i="6"/>
  <c r="BH343" i="6" l="1"/>
  <c r="AY343" i="6"/>
  <c r="BE343" i="6"/>
  <c r="BP343" i="6" s="1"/>
  <c r="BI343" i="6" l="1"/>
  <c r="BJ343" i="6" s="1"/>
  <c r="BC343" i="6"/>
  <c r="BN343" i="6" s="1"/>
  <c r="BD343" i="6"/>
  <c r="BO343" i="6" s="1"/>
  <c r="BB343" i="6"/>
  <c r="BM343" i="6" s="1"/>
  <c r="BA343" i="6"/>
  <c r="BL343" i="6" s="1"/>
  <c r="AZ343" i="6"/>
  <c r="BX343" i="6"/>
  <c r="BF343" i="6"/>
  <c r="BQ343" i="6" s="1"/>
  <c r="BG343" i="6"/>
  <c r="BR343" i="6" s="1"/>
  <c r="BV343" i="6" l="1"/>
  <c r="BW343" i="6"/>
  <c r="BU343" i="6"/>
  <c r="BT343" i="6"/>
  <c r="BY343" i="6"/>
  <c r="BZ343" i="6"/>
  <c r="BK343" i="6"/>
  <c r="BS343" i="6" l="1"/>
  <c r="CA343" i="6" s="1"/>
  <c r="CI343" i="6" l="1"/>
  <c r="CB343" i="6" s="1"/>
  <c r="AG344" i="6"/>
  <c r="AH344" i="6"/>
  <c r="CJ343" i="6"/>
  <c r="CC343" i="6" s="1"/>
  <c r="Q344" i="6" l="1"/>
  <c r="R344" i="6" s="1"/>
  <c r="S344" i="6" s="1"/>
  <c r="AI344" i="6"/>
  <c r="CK343" i="6"/>
  <c r="CD343" i="6" s="1"/>
  <c r="CL343" i="6" l="1"/>
  <c r="CE343" i="6" s="1"/>
  <c r="AJ344" i="6"/>
  <c r="CM343" i="6" l="1"/>
  <c r="CF343" i="6" s="1"/>
  <c r="AK344" i="6"/>
  <c r="W344" i="6"/>
  <c r="Z344" i="6" s="1"/>
  <c r="AC344" i="6"/>
  <c r="AL344" i="6" l="1"/>
  <c r="CN343" i="6"/>
  <c r="CG343" i="6" s="1"/>
  <c r="AE344" i="6"/>
  <c r="AF344" i="6" s="1"/>
  <c r="AS344" i="6"/>
  <c r="AT344" i="6" l="1"/>
  <c r="AM344" i="6"/>
  <c r="CO343" i="6"/>
  <c r="CH343" i="6" s="1"/>
  <c r="AR344" i="6"/>
  <c r="AQ344" i="6"/>
  <c r="AP344" i="6"/>
  <c r="AO344" i="6"/>
  <c r="AU344" i="6" l="1"/>
  <c r="AN344" i="6"/>
  <c r="X344" i="6" s="1"/>
  <c r="CP343" i="6"/>
  <c r="T343" i="6" s="1"/>
  <c r="AA344" i="6" l="1"/>
  <c r="Y344" i="6"/>
  <c r="AB344" i="6" s="1"/>
  <c r="AV344" i="6"/>
  <c r="AW344" i="6" s="1"/>
  <c r="AX344" i="6"/>
  <c r="BH344" i="6" l="1"/>
  <c r="AY344" i="6"/>
  <c r="BA344" i="6"/>
  <c r="BL344" i="6" s="1"/>
  <c r="BB344" i="6"/>
  <c r="BM344" i="6" s="1"/>
  <c r="BC344" i="6"/>
  <c r="BN344" i="6" s="1"/>
  <c r="BD344" i="6"/>
  <c r="BO344" i="6" s="1"/>
  <c r="BE344" i="6"/>
  <c r="BP344" i="6" s="1"/>
  <c r="BF344" i="6"/>
  <c r="BQ344" i="6" s="1"/>
  <c r="BI344" i="6" l="1"/>
  <c r="BJ344" i="6" s="1"/>
  <c r="BK344" i="6" s="1"/>
  <c r="BT344" i="6"/>
  <c r="BU344" i="6"/>
  <c r="BV344" i="6"/>
  <c r="BW344" i="6"/>
  <c r="BX344" i="6"/>
  <c r="BY344" i="6"/>
  <c r="AZ344" i="6"/>
  <c r="BG344" i="6"/>
  <c r="BR344" i="6" s="1"/>
  <c r="BS344" i="6" l="1"/>
  <c r="CA344" i="6" s="1"/>
  <c r="BZ344" i="6"/>
  <c r="AG345" i="6" l="1"/>
  <c r="CI344" i="6"/>
  <c r="CB344" i="6" s="1"/>
  <c r="Q345" i="6" l="1"/>
  <c r="R345" i="6" s="1"/>
  <c r="S345" i="6" s="1"/>
  <c r="AH345" i="6"/>
  <c r="CJ344" i="6"/>
  <c r="CC344" i="6" s="1"/>
  <c r="AI345" i="6" l="1"/>
  <c r="CK344" i="6"/>
  <c r="CD344" i="6" s="1"/>
  <c r="AJ345" i="6" l="1"/>
  <c r="W345" i="6" s="1"/>
  <c r="Z345" i="6" s="1"/>
  <c r="CL344" i="6"/>
  <c r="CE344" i="6" s="1"/>
  <c r="AC345" i="6" l="1"/>
  <c r="AK345" i="6"/>
  <c r="CM344" i="6"/>
  <c r="CF344" i="6" s="1"/>
  <c r="AE345" i="6" l="1"/>
  <c r="AF345" i="6" s="1"/>
  <c r="AS345" i="6" s="1"/>
  <c r="AL345" i="6"/>
  <c r="CN344" i="6"/>
  <c r="CG344" i="6" s="1"/>
  <c r="AR345" i="6" l="1"/>
  <c r="AQ345" i="6"/>
  <c r="AP345" i="6"/>
  <c r="AO345" i="6"/>
  <c r="AT345" i="6"/>
  <c r="AM345" i="6"/>
  <c r="CO344" i="6"/>
  <c r="CH344" i="6" s="1"/>
  <c r="AU345" i="6" l="1"/>
  <c r="AN345" i="6"/>
  <c r="X345" i="6" s="1"/>
  <c r="CP344" i="6"/>
  <c r="T344" i="6" s="1"/>
  <c r="AA345" i="6" l="1"/>
  <c r="Y345" i="6"/>
  <c r="AB345" i="6" s="1"/>
  <c r="AV345" i="6"/>
  <c r="AW345" i="6" s="1"/>
  <c r="AX345" i="6" l="1"/>
  <c r="BH345" i="6" l="1"/>
  <c r="AY345" i="6"/>
  <c r="BI345" i="6" l="1"/>
  <c r="BJ345" i="6" s="1"/>
  <c r="BG345" i="6"/>
  <c r="BR345" i="6" s="1"/>
  <c r="AZ345" i="6"/>
  <c r="BA345" i="6"/>
  <c r="BL345" i="6" s="1"/>
  <c r="BB345" i="6"/>
  <c r="BM345" i="6" s="1"/>
  <c r="BC345" i="6"/>
  <c r="BN345" i="6" s="1"/>
  <c r="BD345" i="6"/>
  <c r="BO345" i="6" s="1"/>
  <c r="BE345" i="6"/>
  <c r="BP345" i="6" s="1"/>
  <c r="BF345" i="6"/>
  <c r="BQ345" i="6" s="1"/>
  <c r="BZ345" i="6" l="1"/>
  <c r="BT345" i="6"/>
  <c r="BU345" i="6"/>
  <c r="BV345" i="6"/>
  <c r="BW345" i="6"/>
  <c r="BX345" i="6"/>
  <c r="BY345" i="6"/>
  <c r="BK345" i="6"/>
  <c r="BS345" i="6" l="1"/>
  <c r="CA345" i="6" s="1"/>
  <c r="CI345" i="6" l="1"/>
  <c r="CB345" i="6" s="1"/>
  <c r="AG346" i="6"/>
  <c r="Q346" i="6" l="1"/>
  <c r="R346" i="6" s="1"/>
  <c r="S346" i="6" s="1"/>
  <c r="AH346" i="6"/>
  <c r="CJ345" i="6"/>
  <c r="CC345" i="6" s="1"/>
  <c r="CK345" i="6" l="1"/>
  <c r="CD345" i="6" s="1"/>
  <c r="AI346" i="6"/>
  <c r="AJ346" i="6" l="1"/>
  <c r="W346" i="6" s="1"/>
  <c r="Z346" i="6" s="1"/>
  <c r="CL345" i="6"/>
  <c r="CE345" i="6" s="1"/>
  <c r="AC346" i="6" l="1"/>
  <c r="AK346" i="6"/>
  <c r="CM345" i="6"/>
  <c r="CF345" i="6" s="1"/>
  <c r="AE346" i="6" l="1"/>
  <c r="AF346" i="6" s="1"/>
  <c r="AS346" i="6"/>
  <c r="AL346" i="6"/>
  <c r="CN345" i="6"/>
  <c r="CG345" i="6" s="1"/>
  <c r="AR346" i="6" l="1"/>
  <c r="AQ346" i="6"/>
  <c r="AP346" i="6"/>
  <c r="AO346" i="6"/>
  <c r="AT346" i="6"/>
  <c r="AM346" i="6"/>
  <c r="CO345" i="6"/>
  <c r="CH345" i="6" s="1"/>
  <c r="X346" i="6" l="1"/>
  <c r="AU346" i="6"/>
  <c r="CP345" i="6"/>
  <c r="T345" i="6" s="1"/>
  <c r="AN346" i="6"/>
  <c r="AA346" i="6" l="1"/>
  <c r="Y346" i="6"/>
  <c r="AB346" i="6" s="1"/>
  <c r="AV346" i="6"/>
  <c r="AW346" i="6" s="1"/>
  <c r="AX346" i="6" l="1"/>
  <c r="AY346" i="6" l="1"/>
  <c r="BH346" i="6"/>
  <c r="BE346" i="6" l="1"/>
  <c r="BP346" i="6" s="1"/>
  <c r="BC346" i="6"/>
  <c r="BN346" i="6" s="1"/>
  <c r="BA346" i="6"/>
  <c r="BL346" i="6" s="1"/>
  <c r="AZ346" i="6"/>
  <c r="BG346" i="6"/>
  <c r="BR346" i="6" s="1"/>
  <c r="BF346" i="6"/>
  <c r="BQ346" i="6" s="1"/>
  <c r="BD346" i="6"/>
  <c r="BO346" i="6" s="1"/>
  <c r="BB346" i="6"/>
  <c r="BM346" i="6" s="1"/>
  <c r="BI346" i="6"/>
  <c r="BJ346" i="6" s="1"/>
  <c r="BX346" i="6" l="1"/>
  <c r="BV346" i="6"/>
  <c r="BT346" i="6"/>
  <c r="BZ346" i="6"/>
  <c r="BY346" i="6"/>
  <c r="BW346" i="6"/>
  <c r="BU346" i="6"/>
  <c r="BK346" i="6"/>
  <c r="BS346" i="6" l="1"/>
  <c r="CA346" i="6" s="1"/>
  <c r="CI346" i="6" l="1"/>
  <c r="CB346" i="6" s="1"/>
  <c r="AG347" i="6"/>
  <c r="CJ346" i="6" l="1"/>
  <c r="CC346" i="6" s="1"/>
  <c r="AH347" i="6"/>
  <c r="Q347" i="6"/>
  <c r="R347" i="6" s="1"/>
  <c r="S347" i="6" s="1"/>
  <c r="AI347" i="6" l="1"/>
  <c r="CK346" i="6"/>
  <c r="CD346" i="6" s="1"/>
  <c r="AJ347" i="6" l="1"/>
  <c r="W347" i="6" s="1"/>
  <c r="Z347" i="6" s="1"/>
  <c r="CL346" i="6"/>
  <c r="CE346" i="6" s="1"/>
  <c r="AC347" i="6" l="1"/>
  <c r="AK347" i="6"/>
  <c r="CM346" i="6"/>
  <c r="CF346" i="6" s="1"/>
  <c r="AE347" i="6" l="1"/>
  <c r="AF347" i="6" s="1"/>
  <c r="AS347" i="6" s="1"/>
  <c r="AL347" i="6"/>
  <c r="CN346" i="6"/>
  <c r="CG346" i="6" s="1"/>
  <c r="AR347" i="6" l="1"/>
  <c r="AQ347" i="6"/>
  <c r="AP347" i="6"/>
  <c r="AO347" i="6"/>
  <c r="AT347" i="6"/>
  <c r="AM347" i="6"/>
  <c r="CO346" i="6"/>
  <c r="CH346" i="6" s="1"/>
  <c r="X347" i="6" l="1"/>
  <c r="AU347" i="6"/>
  <c r="AN347" i="6"/>
  <c r="CP346" i="6"/>
  <c r="T346" i="6" s="1"/>
  <c r="AA347" i="6" l="1"/>
  <c r="Y347" i="6"/>
  <c r="AB347" i="6" s="1"/>
  <c r="AV347" i="6"/>
  <c r="AW347" i="6" s="1"/>
  <c r="AX347" i="6" l="1"/>
  <c r="AY347" i="6" l="1"/>
  <c r="BH347" i="6"/>
  <c r="AZ347" i="6" l="1"/>
  <c r="BG347" i="6"/>
  <c r="BR347" i="6" s="1"/>
  <c r="BF347" i="6"/>
  <c r="BQ347" i="6" s="1"/>
  <c r="BE347" i="6"/>
  <c r="BP347" i="6" s="1"/>
  <c r="BD347" i="6"/>
  <c r="BO347" i="6" s="1"/>
  <c r="BC347" i="6"/>
  <c r="BN347" i="6" s="1"/>
  <c r="BB347" i="6"/>
  <c r="BM347" i="6" s="1"/>
  <c r="BA347" i="6"/>
  <c r="BL347" i="6" s="1"/>
  <c r="BI347" i="6"/>
  <c r="BJ347" i="6" s="1"/>
  <c r="BK347" i="6" s="1"/>
  <c r="BS347" i="6" l="1"/>
  <c r="CA347" i="6" s="1"/>
  <c r="BZ347" i="6"/>
  <c r="BY347" i="6"/>
  <c r="BX347" i="6"/>
  <c r="BW347" i="6"/>
  <c r="BV347" i="6"/>
  <c r="BU347" i="6"/>
  <c r="BT347" i="6"/>
  <c r="CI347" i="6" l="1"/>
  <c r="CB347" i="6" s="1"/>
  <c r="AG348" i="6"/>
  <c r="Q348" i="6" l="1"/>
  <c r="R348" i="6" s="1"/>
  <c r="S348" i="6" s="1"/>
  <c r="CJ347" i="6"/>
  <c r="CC347" i="6" s="1"/>
  <c r="AH348" i="6"/>
  <c r="CK347" i="6" l="1"/>
  <c r="CD347" i="6" s="1"/>
  <c r="AI348" i="6"/>
  <c r="AJ348" i="6" l="1"/>
  <c r="CL347" i="6"/>
  <c r="CE347" i="6" s="1"/>
  <c r="W348" i="6"/>
  <c r="Z348" i="6" s="1"/>
  <c r="AC348" i="6" l="1"/>
  <c r="AK348" i="6"/>
  <c r="CM347" i="6"/>
  <c r="CF347" i="6" s="1"/>
  <c r="AE348" i="6" l="1"/>
  <c r="AF348" i="6" s="1"/>
  <c r="AS348" i="6" s="1"/>
  <c r="AL348" i="6"/>
  <c r="CN347" i="6"/>
  <c r="CG347" i="6" s="1"/>
  <c r="AR348" i="6" l="1"/>
  <c r="AQ348" i="6"/>
  <c r="AP348" i="6"/>
  <c r="AO348" i="6"/>
  <c r="AT348" i="6"/>
  <c r="AM348" i="6"/>
  <c r="CO347" i="6"/>
  <c r="CH347" i="6" s="1"/>
  <c r="AU348" i="6" l="1"/>
  <c r="AN348" i="6"/>
  <c r="X348" i="6" s="1"/>
  <c r="CP347" i="6"/>
  <c r="T347" i="6" s="1"/>
  <c r="AA348" i="6" l="1"/>
  <c r="Y348" i="6"/>
  <c r="AB348" i="6" s="1"/>
  <c r="AV348" i="6"/>
  <c r="AW348" i="6" s="1"/>
  <c r="AX348" i="6" l="1"/>
  <c r="BH348" i="6" l="1"/>
  <c r="AY348" i="6"/>
  <c r="BI348" i="6" l="1"/>
  <c r="BJ348" i="6" s="1"/>
  <c r="BG348" i="6"/>
  <c r="BR348" i="6" s="1"/>
  <c r="AZ348" i="6"/>
  <c r="BA348" i="6"/>
  <c r="BL348" i="6" s="1"/>
  <c r="BB348" i="6"/>
  <c r="BM348" i="6" s="1"/>
  <c r="BC348" i="6"/>
  <c r="BN348" i="6" s="1"/>
  <c r="BD348" i="6"/>
  <c r="BO348" i="6" s="1"/>
  <c r="BE348" i="6"/>
  <c r="BP348" i="6" s="1"/>
  <c r="BF348" i="6"/>
  <c r="BQ348" i="6" s="1"/>
  <c r="BZ348" i="6" l="1"/>
  <c r="BT348" i="6"/>
  <c r="BU348" i="6"/>
  <c r="BV348" i="6"/>
  <c r="BW348" i="6"/>
  <c r="BX348" i="6"/>
  <c r="BY348" i="6"/>
  <c r="BK348" i="6"/>
  <c r="CA348" i="6" l="1"/>
  <c r="BS348" i="6"/>
  <c r="CI348" i="6" l="1"/>
  <c r="CB348" i="6" s="1"/>
  <c r="AG349" i="6"/>
  <c r="Q349" i="6" l="1"/>
  <c r="R349" i="6" s="1"/>
  <c r="S349" i="6" s="1"/>
  <c r="AH349" i="6"/>
  <c r="CJ348" i="6"/>
  <c r="CC348" i="6" s="1"/>
  <c r="CK348" i="6" l="1"/>
  <c r="CD348" i="6" s="1"/>
  <c r="AI349" i="6"/>
  <c r="AJ349" i="6" l="1"/>
  <c r="W349" i="6" s="1"/>
  <c r="Z349" i="6" s="1"/>
  <c r="CL348" i="6"/>
  <c r="CE348" i="6" s="1"/>
  <c r="AC349" i="6" l="1"/>
  <c r="AK349" i="6"/>
  <c r="CM348" i="6"/>
  <c r="CF348" i="6" s="1"/>
  <c r="AE349" i="6" l="1"/>
  <c r="AF349" i="6" s="1"/>
  <c r="AS349" i="6" s="1"/>
  <c r="AL349" i="6"/>
  <c r="CN348" i="6"/>
  <c r="CG348" i="6" s="1"/>
  <c r="AR349" i="6" l="1"/>
  <c r="AQ349" i="6"/>
  <c r="AP349" i="6"/>
  <c r="AO349" i="6"/>
  <c r="AT349" i="6"/>
  <c r="AM349" i="6"/>
  <c r="CO348" i="6"/>
  <c r="CH348" i="6" s="1"/>
  <c r="X349" i="6" l="1"/>
  <c r="AU349" i="6"/>
  <c r="CP348" i="6"/>
  <c r="T348" i="6" s="1"/>
  <c r="AN349" i="6"/>
  <c r="AA349" i="6" l="1"/>
  <c r="Y349" i="6"/>
  <c r="AB349" i="6" s="1"/>
  <c r="AV349" i="6"/>
  <c r="AW349" i="6" s="1"/>
  <c r="AX349" i="6" l="1"/>
  <c r="AY349" i="6" l="1"/>
  <c r="BH349" i="6"/>
  <c r="BA349" i="6" l="1"/>
  <c r="BL349" i="6" s="1"/>
  <c r="AZ349" i="6"/>
  <c r="BG349" i="6"/>
  <c r="BR349" i="6" s="1"/>
  <c r="BF349" i="6"/>
  <c r="BQ349" i="6" s="1"/>
  <c r="BE349" i="6"/>
  <c r="BP349" i="6" s="1"/>
  <c r="BD349" i="6"/>
  <c r="BO349" i="6" s="1"/>
  <c r="BC349" i="6"/>
  <c r="BN349" i="6" s="1"/>
  <c r="BB349" i="6"/>
  <c r="BM349" i="6" s="1"/>
  <c r="BI349" i="6"/>
  <c r="BJ349" i="6" s="1"/>
  <c r="BT349" i="6" l="1"/>
  <c r="BZ349" i="6"/>
  <c r="BY349" i="6"/>
  <c r="BX349" i="6"/>
  <c r="BW349" i="6"/>
  <c r="BV349" i="6"/>
  <c r="BU349" i="6"/>
  <c r="BK349" i="6"/>
  <c r="BS349" i="6" l="1"/>
  <c r="CA349" i="6"/>
  <c r="CI349" i="6" l="1"/>
  <c r="CB349" i="6" s="1"/>
  <c r="AG350" i="6"/>
  <c r="CJ349" i="6" l="1"/>
  <c r="CC349" i="6" s="1"/>
  <c r="AH350" i="6"/>
  <c r="Q350" i="6"/>
  <c r="R350" i="6" s="1"/>
  <c r="S350" i="6" s="1"/>
  <c r="AI350" i="6" l="1"/>
  <c r="CK349" i="6"/>
  <c r="CD349" i="6" s="1"/>
  <c r="AJ350" i="6" l="1"/>
  <c r="W350" i="6" s="1"/>
  <c r="Z350" i="6" s="1"/>
  <c r="CL349" i="6"/>
  <c r="CE349" i="6" s="1"/>
  <c r="AC350" i="6" l="1"/>
  <c r="AK350" i="6"/>
  <c r="CM349" i="6"/>
  <c r="CF349" i="6" s="1"/>
  <c r="AE350" i="6" l="1"/>
  <c r="AF350" i="6" s="1"/>
  <c r="AS350" i="6" s="1"/>
  <c r="AL350" i="6"/>
  <c r="CN349" i="6"/>
  <c r="CG349" i="6" s="1"/>
  <c r="AR350" i="6" l="1"/>
  <c r="AQ350" i="6"/>
  <c r="AP350" i="6"/>
  <c r="AO350" i="6"/>
  <c r="AT350" i="6"/>
  <c r="AM350" i="6"/>
  <c r="CO349" i="6"/>
  <c r="CH349" i="6" s="1"/>
  <c r="X350" i="6" l="1"/>
  <c r="AU350" i="6"/>
  <c r="AN350" i="6"/>
  <c r="CP349" i="6"/>
  <c r="T349" i="6" s="1"/>
  <c r="AA350" i="6" l="1"/>
  <c r="Y350" i="6"/>
  <c r="AB350" i="6" s="1"/>
  <c r="AV350" i="6"/>
  <c r="AW350" i="6" s="1"/>
  <c r="AX350" i="6" l="1"/>
  <c r="BH350" i="6" l="1"/>
  <c r="AY350" i="6"/>
  <c r="BI350" i="6" l="1"/>
  <c r="BJ350" i="6" s="1"/>
  <c r="BK350" i="6" s="1"/>
  <c r="BG350" i="6"/>
  <c r="BR350" i="6" s="1"/>
  <c r="AZ350" i="6"/>
  <c r="BA350" i="6"/>
  <c r="BL350" i="6" s="1"/>
  <c r="BB350" i="6"/>
  <c r="BM350" i="6" s="1"/>
  <c r="BC350" i="6"/>
  <c r="BN350" i="6" s="1"/>
  <c r="BD350" i="6"/>
  <c r="BO350" i="6" s="1"/>
  <c r="BE350" i="6"/>
  <c r="BP350" i="6" s="1"/>
  <c r="BF350" i="6"/>
  <c r="BQ350" i="6" s="1"/>
  <c r="BZ350" i="6" l="1"/>
  <c r="BS350" i="6"/>
  <c r="CA350" i="6" s="1"/>
  <c r="BT350" i="6"/>
  <c r="BU350" i="6"/>
  <c r="BV350" i="6"/>
  <c r="BW350" i="6"/>
  <c r="BX350" i="6"/>
  <c r="BY350" i="6"/>
  <c r="CI350" i="6" l="1"/>
  <c r="CB350" i="6" s="1"/>
  <c r="AG351" i="6"/>
  <c r="CJ350" i="6"/>
  <c r="CC350" i="6" s="1"/>
  <c r="AH351" i="6"/>
  <c r="Q351" i="6" l="1"/>
  <c r="R351" i="6" s="1"/>
  <c r="S351" i="6" s="1"/>
  <c r="W351" i="6"/>
  <c r="Z351" i="6" s="1"/>
  <c r="AI351" i="6"/>
  <c r="CK350" i="6"/>
  <c r="CD350" i="6" s="1"/>
  <c r="AJ351" i="6"/>
  <c r="CL350" i="6"/>
  <c r="CE350" i="6" s="1"/>
  <c r="AK351" i="6"/>
  <c r="CM350" i="6"/>
  <c r="CF350" i="6" s="1"/>
  <c r="AL351" i="6"/>
  <c r="CN350" i="6"/>
  <c r="CG350" i="6" s="1"/>
  <c r="AQ351" i="6" l="1"/>
  <c r="AR351" i="6"/>
  <c r="AC351" i="6"/>
  <c r="AS351" i="6"/>
  <c r="AE351" i="6"/>
  <c r="AF351" i="6" s="1"/>
  <c r="AT351" i="6"/>
  <c r="AM351" i="6"/>
  <c r="CO350" i="6"/>
  <c r="CH350" i="6" s="1"/>
  <c r="AP351" i="6" l="1"/>
  <c r="AO351" i="6"/>
  <c r="AU351" i="6"/>
  <c r="CP350" i="6"/>
  <c r="T350" i="6" s="1"/>
  <c r="AN351" i="6"/>
  <c r="X351" i="6" l="1"/>
  <c r="AV351" i="6"/>
  <c r="AW351" i="6"/>
  <c r="AA351" i="6" l="1"/>
  <c r="Y351" i="6"/>
  <c r="AB351" i="6" s="1"/>
  <c r="AX351" i="6"/>
  <c r="BH351" i="6" l="1"/>
  <c r="AY351" i="6"/>
  <c r="BI351" i="6" l="1"/>
  <c r="BJ351" i="6" s="1"/>
  <c r="BK351" i="6" s="1"/>
  <c r="AZ351" i="6"/>
  <c r="BG351" i="6"/>
  <c r="BR351" i="6" s="1"/>
  <c r="BF351" i="6"/>
  <c r="BQ351" i="6" s="1"/>
  <c r="BE351" i="6"/>
  <c r="BP351" i="6" s="1"/>
  <c r="BD351" i="6"/>
  <c r="BO351" i="6" s="1"/>
  <c r="BC351" i="6"/>
  <c r="BN351" i="6" s="1"/>
  <c r="BB351" i="6"/>
  <c r="BM351" i="6" s="1"/>
  <c r="BA351" i="6"/>
  <c r="BL351" i="6" s="1"/>
  <c r="BS351" i="6" l="1"/>
  <c r="CA351" i="6"/>
  <c r="BZ351" i="6"/>
  <c r="BY351" i="6"/>
  <c r="BX351" i="6"/>
  <c r="BW351" i="6"/>
  <c r="BV351" i="6"/>
  <c r="BU351" i="6"/>
  <c r="BT351" i="6"/>
  <c r="CI351" i="6" l="1"/>
  <c r="CB351" i="6" s="1"/>
  <c r="AG352" i="6"/>
  <c r="CJ351" i="6"/>
  <c r="CC351" i="6" s="1"/>
  <c r="AH352" i="6"/>
  <c r="Q352" i="6" l="1"/>
  <c r="R352" i="6" s="1"/>
  <c r="S352" i="6" s="1"/>
  <c r="AI352" i="6"/>
  <c r="CK351" i="6"/>
  <c r="CD351" i="6" s="1"/>
  <c r="CL351" i="6" l="1"/>
  <c r="CE351" i="6" s="1"/>
  <c r="AJ352" i="6"/>
  <c r="AK352" i="6" l="1"/>
  <c r="CM351" i="6"/>
  <c r="CF351" i="6" s="1"/>
  <c r="AC352" i="6"/>
  <c r="W352" i="6"/>
  <c r="Z352" i="6" s="1"/>
  <c r="CN351" i="6" l="1"/>
  <c r="CG351" i="6" s="1"/>
  <c r="AL352" i="6"/>
  <c r="CO351" i="6" l="1"/>
  <c r="CH351" i="6" s="1"/>
  <c r="AM352" i="6"/>
  <c r="AE352" i="6"/>
  <c r="AF352" i="6" s="1"/>
  <c r="AT352" i="6" s="1"/>
  <c r="AN352" i="6" l="1"/>
  <c r="X352" i="6" s="1"/>
  <c r="CP351" i="6"/>
  <c r="T351" i="6" s="1"/>
  <c r="AU352" i="6"/>
  <c r="AS352" i="6"/>
  <c r="AR352" i="6"/>
  <c r="AQ352" i="6"/>
  <c r="AO352" i="6"/>
  <c r="AP352" i="6"/>
  <c r="AV352" i="6" l="1"/>
  <c r="AA352" i="6"/>
  <c r="Y352" i="6"/>
  <c r="AB352" i="6" s="1"/>
  <c r="AW352" i="6"/>
  <c r="AX352" i="6" l="1"/>
  <c r="BH352" i="6" l="1"/>
  <c r="AY352" i="6"/>
  <c r="BI352" i="6" l="1"/>
  <c r="BJ352" i="6" s="1"/>
  <c r="BA352" i="6"/>
  <c r="BL352" i="6" s="1"/>
  <c r="AZ352" i="6"/>
  <c r="BG352" i="6"/>
  <c r="BR352" i="6" s="1"/>
  <c r="BF352" i="6"/>
  <c r="BQ352" i="6" s="1"/>
  <c r="BE352" i="6"/>
  <c r="BP352" i="6" s="1"/>
  <c r="BD352" i="6"/>
  <c r="BO352" i="6" s="1"/>
  <c r="BC352" i="6"/>
  <c r="BN352" i="6" s="1"/>
  <c r="BB352" i="6"/>
  <c r="BM352" i="6" s="1"/>
  <c r="BT352" i="6" l="1"/>
  <c r="BZ352" i="6"/>
  <c r="BY352" i="6"/>
  <c r="BX352" i="6"/>
  <c r="BW352" i="6"/>
  <c r="BV352" i="6"/>
  <c r="BU352" i="6"/>
  <c r="BK352" i="6"/>
  <c r="CA352" i="6" l="1"/>
  <c r="BS352" i="6"/>
  <c r="CI352" i="6" l="1"/>
  <c r="CB352" i="6" s="1"/>
  <c r="AG353" i="6"/>
  <c r="AH353" i="6"/>
  <c r="CJ352" i="6"/>
  <c r="CC352" i="6" s="1"/>
  <c r="Q353" i="6" l="1"/>
  <c r="R353" i="6" s="1"/>
  <c r="S353" i="6" s="1"/>
  <c r="AI353" i="6"/>
  <c r="CK352" i="6"/>
  <c r="CD352" i="6" s="1"/>
  <c r="AJ353" i="6" l="1"/>
  <c r="CL352" i="6"/>
  <c r="CE352" i="6" s="1"/>
  <c r="W353" i="6" l="1"/>
  <c r="Z353" i="6" s="1"/>
  <c r="AC353" i="6"/>
  <c r="CM352" i="6"/>
  <c r="CF352" i="6" s="1"/>
  <c r="AK353" i="6"/>
  <c r="CN352" i="6" l="1"/>
  <c r="CG352" i="6" s="1"/>
  <c r="AL353" i="6"/>
  <c r="AM353" i="6" l="1"/>
  <c r="CO352" i="6"/>
  <c r="CH352" i="6" s="1"/>
  <c r="AE353" i="6"/>
  <c r="AF353" i="6" s="1"/>
  <c r="AT353" i="6" s="1"/>
  <c r="AU353" i="6" l="1"/>
  <c r="AN353" i="6"/>
  <c r="X353" i="6" s="1"/>
  <c r="CP352" i="6"/>
  <c r="T352" i="6" s="1"/>
  <c r="AS353" i="6"/>
  <c r="AR353" i="6"/>
  <c r="AQ353" i="6"/>
  <c r="AO353" i="6"/>
  <c r="AP353" i="6"/>
  <c r="AA353" i="6" l="1"/>
  <c r="Y353" i="6"/>
  <c r="AB353" i="6" s="1"/>
  <c r="AV353" i="6"/>
  <c r="AW353" i="6" s="1"/>
  <c r="AX353" i="6" l="1"/>
  <c r="AY353" i="6" l="1"/>
  <c r="BH353" i="6"/>
  <c r="BD353" i="6" l="1"/>
  <c r="BO353" i="6" s="1"/>
  <c r="BA353" i="6"/>
  <c r="BL353" i="6" s="1"/>
  <c r="BB353" i="6"/>
  <c r="BM353" i="6" s="1"/>
  <c r="BC353" i="6"/>
  <c r="BN353" i="6" s="1"/>
  <c r="AZ353" i="6"/>
  <c r="BE353" i="6"/>
  <c r="BP353" i="6" s="1"/>
  <c r="BF353" i="6"/>
  <c r="BQ353" i="6" s="1"/>
  <c r="BG353" i="6"/>
  <c r="BR353" i="6" s="1"/>
  <c r="BI353" i="6"/>
  <c r="BJ353" i="6" s="1"/>
  <c r="BW353" i="6" l="1"/>
  <c r="BT353" i="6"/>
  <c r="BU353" i="6"/>
  <c r="BV353" i="6"/>
  <c r="BX353" i="6"/>
  <c r="BY353" i="6"/>
  <c r="BZ353" i="6"/>
  <c r="BK353" i="6"/>
  <c r="BS353" i="6" l="1"/>
  <c r="CA353" i="6" s="1"/>
  <c r="CI353" i="6" l="1"/>
  <c r="CB353" i="6" s="1"/>
  <c r="AG354" i="6"/>
  <c r="CJ353" i="6" l="1"/>
  <c r="CC353" i="6" s="1"/>
  <c r="AH354" i="6"/>
  <c r="Q354" i="6"/>
  <c r="R354" i="6" s="1"/>
  <c r="S354" i="6" s="1"/>
  <c r="AI354" i="6" l="1"/>
  <c r="CK353" i="6"/>
  <c r="CD353" i="6" s="1"/>
  <c r="W354" i="6" l="1"/>
  <c r="Z354" i="6" s="1"/>
  <c r="AJ354" i="6"/>
  <c r="CL353" i="6"/>
  <c r="CE353" i="6" s="1"/>
  <c r="AC354" i="6" l="1"/>
  <c r="AK354" i="6"/>
  <c r="CM353" i="6"/>
  <c r="CF353" i="6" s="1"/>
  <c r="AL354" i="6" l="1"/>
  <c r="CN353" i="6"/>
  <c r="CG353" i="6" s="1"/>
  <c r="AE354" i="6" l="1"/>
  <c r="AF354" i="6" s="1"/>
  <c r="AT354" i="6" s="1"/>
  <c r="AM354" i="6"/>
  <c r="CO353" i="6"/>
  <c r="CH353" i="6" s="1"/>
  <c r="AS354" i="6" l="1"/>
  <c r="AR354" i="6"/>
  <c r="AQ354" i="6"/>
  <c r="AP354" i="6"/>
  <c r="AO354" i="6"/>
  <c r="AU354" i="6"/>
  <c r="AN354" i="6"/>
  <c r="X354" i="6" s="1"/>
  <c r="CP353" i="6"/>
  <c r="T353" i="6" s="1"/>
  <c r="AA354" i="6" l="1"/>
  <c r="Y354" i="6"/>
  <c r="AB354" i="6" s="1"/>
  <c r="AV354" i="6"/>
  <c r="AW354" i="6"/>
  <c r="AX354" i="6" l="1"/>
  <c r="BH354" i="6" l="1"/>
  <c r="AY354" i="6"/>
  <c r="BI354" i="6" l="1"/>
  <c r="BJ354" i="6" s="1"/>
  <c r="BA354" i="6"/>
  <c r="BL354" i="6" s="1"/>
  <c r="AZ354" i="6"/>
  <c r="BG354" i="6"/>
  <c r="BR354" i="6" s="1"/>
  <c r="BF354" i="6"/>
  <c r="BQ354" i="6" s="1"/>
  <c r="BE354" i="6"/>
  <c r="BP354" i="6" s="1"/>
  <c r="BD354" i="6"/>
  <c r="BO354" i="6" s="1"/>
  <c r="BC354" i="6"/>
  <c r="BN354" i="6" s="1"/>
  <c r="BB354" i="6"/>
  <c r="BM354" i="6" s="1"/>
  <c r="BT354" i="6" l="1"/>
  <c r="BZ354" i="6"/>
  <c r="BY354" i="6"/>
  <c r="BX354" i="6"/>
  <c r="BW354" i="6"/>
  <c r="BV354" i="6"/>
  <c r="BU354" i="6"/>
  <c r="BK354" i="6"/>
  <c r="BS354" i="6" l="1"/>
  <c r="CA354" i="6" s="1"/>
  <c r="CI354" i="6" l="1"/>
  <c r="CB354" i="6" s="1"/>
  <c r="AH355" i="6" s="1"/>
  <c r="AG355" i="6"/>
  <c r="CJ354" i="6"/>
  <c r="CC354" i="6" s="1"/>
  <c r="Q355" i="6" l="1"/>
  <c r="R355" i="6" s="1"/>
  <c r="S355" i="6" s="1"/>
  <c r="AI355" i="6"/>
  <c r="CK354" i="6"/>
  <c r="CD354" i="6" s="1"/>
  <c r="CL354" i="6" l="1"/>
  <c r="CE354" i="6" s="1"/>
  <c r="AJ355" i="6"/>
  <c r="CM354" i="6" l="1"/>
  <c r="CF354" i="6" s="1"/>
  <c r="AK355" i="6"/>
  <c r="W355" i="6"/>
  <c r="Z355" i="6" s="1"/>
  <c r="AC355" i="6"/>
  <c r="AL355" i="6" l="1"/>
  <c r="CN354" i="6"/>
  <c r="CG354" i="6" s="1"/>
  <c r="AE355" i="6" l="1"/>
  <c r="AF355" i="6" s="1"/>
  <c r="AT355" i="6" s="1"/>
  <c r="AM355" i="6"/>
  <c r="CO354" i="6"/>
  <c r="CH354" i="6" s="1"/>
  <c r="AS355" i="6" l="1"/>
  <c r="AR355" i="6"/>
  <c r="AQ355" i="6"/>
  <c r="AO355" i="6"/>
  <c r="AP355" i="6"/>
  <c r="AU355" i="6"/>
  <c r="AN355" i="6"/>
  <c r="X355" i="6" s="1"/>
  <c r="CP354" i="6"/>
  <c r="T354" i="6" s="1"/>
  <c r="AA355" i="6" l="1"/>
  <c r="Y355" i="6"/>
  <c r="AB355" i="6" s="1"/>
  <c r="AV355" i="6"/>
  <c r="AW355" i="6" s="1"/>
  <c r="AX355" i="6" l="1"/>
  <c r="BH355" i="6" l="1"/>
  <c r="AY355" i="6"/>
  <c r="BI355" i="6" l="1"/>
  <c r="BJ355" i="6" s="1"/>
  <c r="BK355" i="6" s="1"/>
  <c r="AZ355" i="6"/>
  <c r="BG355" i="6"/>
  <c r="BR355" i="6" s="1"/>
  <c r="BF355" i="6"/>
  <c r="BQ355" i="6" s="1"/>
  <c r="BE355" i="6"/>
  <c r="BP355" i="6" s="1"/>
  <c r="BD355" i="6"/>
  <c r="BO355" i="6" s="1"/>
  <c r="BC355" i="6"/>
  <c r="BN355" i="6" s="1"/>
  <c r="BB355" i="6"/>
  <c r="BM355" i="6" s="1"/>
  <c r="BA355" i="6"/>
  <c r="BL355" i="6" s="1"/>
  <c r="BS355" i="6" l="1"/>
  <c r="CA355" i="6"/>
  <c r="BZ355" i="6"/>
  <c r="BY355" i="6"/>
  <c r="BX355" i="6"/>
  <c r="BW355" i="6"/>
  <c r="BV355" i="6"/>
  <c r="BU355" i="6"/>
  <c r="BT355" i="6"/>
  <c r="CI355" i="6" l="1"/>
  <c r="CB355" i="6" s="1"/>
  <c r="AG356" i="6"/>
  <c r="Q356" i="6" l="1"/>
  <c r="R356" i="6" s="1"/>
  <c r="S356" i="6" s="1"/>
  <c r="CJ355" i="6"/>
  <c r="CC355" i="6" s="1"/>
  <c r="AH356" i="6"/>
  <c r="CK355" i="6" l="1"/>
  <c r="CD355" i="6" s="1"/>
  <c r="AI356" i="6"/>
  <c r="CL355" i="6" l="1"/>
  <c r="CE355" i="6" s="1"/>
  <c r="AJ356" i="6"/>
  <c r="W356" i="6"/>
  <c r="Z356" i="6" s="1"/>
  <c r="CM355" i="6" l="1"/>
  <c r="CF355" i="6" s="1"/>
  <c r="AK356" i="6"/>
  <c r="AC356" i="6"/>
  <c r="AL356" i="6" l="1"/>
  <c r="CN355" i="6"/>
  <c r="CG355" i="6" s="1"/>
  <c r="AE356" i="6" l="1"/>
  <c r="AF356" i="6" s="1"/>
  <c r="AT356" i="6" s="1"/>
  <c r="AM356" i="6"/>
  <c r="CO355" i="6"/>
  <c r="CH355" i="6" s="1"/>
  <c r="AS356" i="6" l="1"/>
  <c r="AR356" i="6"/>
  <c r="AQ356" i="6"/>
  <c r="AP356" i="6"/>
  <c r="AO356" i="6"/>
  <c r="AU356" i="6"/>
  <c r="AN356" i="6"/>
  <c r="X356" i="6" s="1"/>
  <c r="CP355" i="6"/>
  <c r="T355" i="6" s="1"/>
  <c r="AA356" i="6" l="1"/>
  <c r="Y356" i="6"/>
  <c r="AB356" i="6" s="1"/>
  <c r="AV356" i="6"/>
  <c r="AW356" i="6" s="1"/>
  <c r="AX356" i="6" l="1"/>
  <c r="BH356" i="6" l="1"/>
  <c r="AY356" i="6"/>
  <c r="BI356" i="6" l="1"/>
  <c r="BJ356" i="6" s="1"/>
  <c r="BD356" i="6"/>
  <c r="BO356" i="6" s="1"/>
  <c r="BA356" i="6"/>
  <c r="BL356" i="6" s="1"/>
  <c r="BE356" i="6"/>
  <c r="BP356" i="6" s="1"/>
  <c r="BC356" i="6"/>
  <c r="BN356" i="6" s="1"/>
  <c r="BB356" i="6"/>
  <c r="BM356" i="6" s="1"/>
  <c r="AZ356" i="6"/>
  <c r="BG356" i="6"/>
  <c r="BR356" i="6" s="1"/>
  <c r="BF356" i="6"/>
  <c r="BQ356" i="6" s="1"/>
  <c r="BW356" i="6" l="1"/>
  <c r="BT356" i="6"/>
  <c r="BX356" i="6"/>
  <c r="BV356" i="6"/>
  <c r="BU356" i="6"/>
  <c r="BZ356" i="6"/>
  <c r="BY356" i="6"/>
  <c r="BK356" i="6"/>
  <c r="BS356" i="6" l="1"/>
  <c r="CA356" i="6" l="1"/>
  <c r="AG357" i="6" l="1"/>
  <c r="CI356" i="6"/>
  <c r="CB356" i="6" s="1"/>
  <c r="Q357" i="6" l="1"/>
  <c r="R357" i="6" s="1"/>
  <c r="S357" i="6" s="1"/>
  <c r="AH357" i="6"/>
  <c r="CJ356" i="6"/>
  <c r="CC356" i="6" s="1"/>
  <c r="CK356" i="6" l="1"/>
  <c r="CD356" i="6" s="1"/>
  <c r="AI357" i="6"/>
  <c r="AJ357" i="6" l="1"/>
  <c r="CL356" i="6"/>
  <c r="CE356" i="6" s="1"/>
  <c r="W357" i="6"/>
  <c r="Z357" i="6" s="1"/>
  <c r="AC357" i="6" l="1"/>
  <c r="CM356" i="6"/>
  <c r="CF356" i="6" s="1"/>
  <c r="AK357" i="6"/>
  <c r="CN356" i="6" l="1"/>
  <c r="CG356" i="6" s="1"/>
  <c r="AL357" i="6"/>
  <c r="AM357" i="6" l="1"/>
  <c r="CO356" i="6"/>
  <c r="CH356" i="6" s="1"/>
  <c r="AE357" i="6"/>
  <c r="AF357" i="6" s="1"/>
  <c r="AT357" i="6"/>
  <c r="AU357" i="6" l="1"/>
  <c r="CP356" i="6"/>
  <c r="T356" i="6" s="1"/>
  <c r="AN357" i="6"/>
  <c r="X357" i="6" s="1"/>
  <c r="AS357" i="6"/>
  <c r="AR357" i="6"/>
  <c r="AQ357" i="6"/>
  <c r="AP357" i="6"/>
  <c r="AO357" i="6"/>
  <c r="AA357" i="6" l="1"/>
  <c r="Y357" i="6"/>
  <c r="AB357" i="6" s="1"/>
  <c r="AV357" i="6"/>
  <c r="AW357" i="6"/>
  <c r="AX357" i="6" l="1"/>
  <c r="BH357" i="6" l="1"/>
  <c r="AY357" i="6"/>
  <c r="BI357" i="6" l="1"/>
  <c r="BJ357" i="6" s="1"/>
  <c r="BK357" i="6" s="1"/>
  <c r="BF357" i="6"/>
  <c r="BQ357" i="6" s="1"/>
  <c r="BE357" i="6"/>
  <c r="BP357" i="6" s="1"/>
  <c r="BD357" i="6"/>
  <c r="BO357" i="6" s="1"/>
  <c r="BC357" i="6"/>
  <c r="BN357" i="6" s="1"/>
  <c r="BB357" i="6"/>
  <c r="BM357" i="6" s="1"/>
  <c r="BA357" i="6"/>
  <c r="BL357" i="6" s="1"/>
  <c r="AZ357" i="6"/>
  <c r="BG357" i="6"/>
  <c r="BR357" i="6" s="1"/>
  <c r="BY357" i="6" l="1"/>
  <c r="BX357" i="6"/>
  <c r="BW357" i="6"/>
  <c r="BV357" i="6"/>
  <c r="BU357" i="6"/>
  <c r="BT357" i="6"/>
  <c r="BS357" i="6"/>
  <c r="CA357" i="6"/>
  <c r="BZ357" i="6"/>
  <c r="CI357" i="6" l="1"/>
  <c r="CB357" i="6" s="1"/>
  <c r="AG358" i="6"/>
  <c r="AH358" i="6" l="1"/>
  <c r="CJ357" i="6"/>
  <c r="CC357" i="6" s="1"/>
  <c r="Q358" i="6"/>
  <c r="R358" i="6" s="1"/>
  <c r="S358" i="6" s="1"/>
  <c r="AI358" i="6" l="1"/>
  <c r="CK357" i="6"/>
  <c r="CD357" i="6" s="1"/>
  <c r="AJ358" i="6" l="1"/>
  <c r="W358" i="6" s="1"/>
  <c r="Z358" i="6" s="1"/>
  <c r="CL357" i="6"/>
  <c r="CE357" i="6" s="1"/>
  <c r="AC358" i="6" l="1"/>
  <c r="AK358" i="6"/>
  <c r="CM357" i="6"/>
  <c r="CF357" i="6" s="1"/>
  <c r="AL358" i="6" l="1"/>
  <c r="CN357" i="6"/>
  <c r="CG357" i="6" s="1"/>
  <c r="AE358" i="6" l="1"/>
  <c r="AF358" i="6" s="1"/>
  <c r="AT358" i="6" s="1"/>
  <c r="AM358" i="6"/>
  <c r="CO357" i="6"/>
  <c r="CH357" i="6" s="1"/>
  <c r="AS358" i="6" l="1"/>
  <c r="AR358" i="6"/>
  <c r="AQ358" i="6"/>
  <c r="AP358" i="6"/>
  <c r="AO358" i="6"/>
  <c r="AU358" i="6"/>
  <c r="AN358" i="6"/>
  <c r="X358" i="6" s="1"/>
  <c r="CP357" i="6"/>
  <c r="T357" i="6" s="1"/>
  <c r="AA358" i="6" l="1"/>
  <c r="Y358" i="6"/>
  <c r="AB358" i="6" s="1"/>
  <c r="AV358" i="6"/>
  <c r="AW358" i="6" s="1"/>
  <c r="AX358" i="6" l="1"/>
  <c r="BH358" i="6" l="1"/>
  <c r="AY358" i="6"/>
  <c r="BI358" i="6" l="1"/>
  <c r="BJ358" i="6" s="1"/>
  <c r="BK358" i="6" s="1"/>
  <c r="AZ358" i="6"/>
  <c r="BB358" i="6"/>
  <c r="BM358" i="6" s="1"/>
  <c r="BA358" i="6"/>
  <c r="BL358" i="6" s="1"/>
  <c r="BG358" i="6"/>
  <c r="BR358" i="6" s="1"/>
  <c r="BF358" i="6"/>
  <c r="BQ358" i="6" s="1"/>
  <c r="BE358" i="6"/>
  <c r="BP358" i="6" s="1"/>
  <c r="BD358" i="6"/>
  <c r="BO358" i="6" s="1"/>
  <c r="BC358" i="6"/>
  <c r="BN358" i="6" s="1"/>
  <c r="BS358" i="6" l="1"/>
  <c r="CA358" i="6"/>
  <c r="BU358" i="6"/>
  <c r="BT358" i="6"/>
  <c r="BZ358" i="6"/>
  <c r="BY358" i="6"/>
  <c r="BX358" i="6"/>
  <c r="BW358" i="6"/>
  <c r="BV358" i="6"/>
  <c r="CI358" i="6" l="1"/>
  <c r="CB358" i="6" s="1"/>
  <c r="AH359" i="6" s="1"/>
  <c r="AG359" i="6"/>
  <c r="CJ358" i="6"/>
  <c r="CC358" i="6" s="1"/>
  <c r="Q359" i="6" l="1"/>
  <c r="R359" i="6" s="1"/>
  <c r="S359" i="6" s="1"/>
  <c r="AI359" i="6"/>
  <c r="W359" i="6" s="1"/>
  <c r="Z359" i="6" s="1"/>
  <c r="CK358" i="6"/>
  <c r="CD358" i="6" s="1"/>
  <c r="AJ359" i="6"/>
  <c r="CL358" i="6"/>
  <c r="CE358" i="6" s="1"/>
  <c r="AK359" i="6"/>
  <c r="CM358" i="6"/>
  <c r="CF358" i="6" s="1"/>
  <c r="AC359" i="6" l="1"/>
  <c r="CN358" i="6"/>
  <c r="CG358" i="6" s="1"/>
  <c r="AL359" i="6"/>
  <c r="AM359" i="6" l="1"/>
  <c r="CO358" i="6"/>
  <c r="CH358" i="6" s="1"/>
  <c r="AE359" i="6"/>
  <c r="AF359" i="6" s="1"/>
  <c r="AT359" i="6"/>
  <c r="AU359" i="6" l="1"/>
  <c r="CP358" i="6"/>
  <c r="T358" i="6" s="1"/>
  <c r="AN359" i="6"/>
  <c r="X359" i="6" s="1"/>
  <c r="AR359" i="6"/>
  <c r="AQ359" i="6"/>
  <c r="AS359" i="6"/>
  <c r="AO359" i="6"/>
  <c r="AP359" i="6"/>
  <c r="AA359" i="6" l="1"/>
  <c r="Y359" i="6"/>
  <c r="AB359" i="6" s="1"/>
  <c r="AV359" i="6"/>
  <c r="AW359" i="6" s="1"/>
  <c r="AX359" i="6" l="1"/>
  <c r="BH359" i="6" l="1"/>
  <c r="AY359" i="6"/>
  <c r="BI359" i="6" l="1"/>
  <c r="BJ359" i="6" s="1"/>
  <c r="BK359" i="6" s="1"/>
  <c r="BD359" i="6"/>
  <c r="BO359" i="6" s="1"/>
  <c r="BC359" i="6"/>
  <c r="BN359" i="6" s="1"/>
  <c r="BB359" i="6"/>
  <c r="BM359" i="6" s="1"/>
  <c r="BA359" i="6"/>
  <c r="BL359" i="6" s="1"/>
  <c r="AZ359" i="6"/>
  <c r="BG359" i="6"/>
  <c r="BR359" i="6" s="1"/>
  <c r="BF359" i="6"/>
  <c r="BQ359" i="6" s="1"/>
  <c r="BE359" i="6"/>
  <c r="BP359" i="6" s="1"/>
  <c r="BW359" i="6" l="1"/>
  <c r="BV359" i="6"/>
  <c r="BU359" i="6"/>
  <c r="BT359" i="6"/>
  <c r="BS359" i="6"/>
  <c r="CA359" i="6"/>
  <c r="BZ359" i="6"/>
  <c r="BY359" i="6"/>
  <c r="BX359" i="6"/>
  <c r="CI359" i="6" l="1"/>
  <c r="CB359" i="6" s="1"/>
  <c r="AG360" i="6"/>
  <c r="AH360" i="6" l="1"/>
  <c r="CJ359" i="6"/>
  <c r="CC359" i="6" s="1"/>
  <c r="Q360" i="6"/>
  <c r="R360" i="6" s="1"/>
  <c r="S360" i="6" s="1"/>
  <c r="AI360" i="6" l="1"/>
  <c r="CK359" i="6"/>
  <c r="CD359" i="6" s="1"/>
  <c r="W360" i="6" l="1"/>
  <c r="Z360" i="6" s="1"/>
  <c r="AJ360" i="6"/>
  <c r="CL359" i="6"/>
  <c r="CE359" i="6" s="1"/>
  <c r="AC360" i="6" l="1"/>
  <c r="AK360" i="6"/>
  <c r="CM359" i="6"/>
  <c r="CF359" i="6" s="1"/>
  <c r="CN359" i="6" l="1"/>
  <c r="CG359" i="6" s="1"/>
  <c r="AL360" i="6"/>
  <c r="CO359" i="6" l="1"/>
  <c r="CH359" i="6" s="1"/>
  <c r="AM360" i="6"/>
  <c r="AN360" i="6" l="1"/>
  <c r="X360" i="6" s="1"/>
  <c r="CP359" i="6"/>
  <c r="T359" i="6" s="1"/>
  <c r="AE360" i="6"/>
  <c r="AF360" i="6" s="1"/>
  <c r="AU360" i="6" s="1"/>
  <c r="AV360" i="6" l="1"/>
  <c r="AA360" i="6"/>
  <c r="Y360" i="6"/>
  <c r="AB360" i="6" s="1"/>
  <c r="AT360" i="6"/>
  <c r="AS360" i="6"/>
  <c r="AR360" i="6"/>
  <c r="AQ360" i="6"/>
  <c r="AP360" i="6"/>
  <c r="AO360" i="6"/>
  <c r="AW360" i="6" l="1"/>
  <c r="AX360" i="6" l="1"/>
  <c r="BH360" i="6" l="1"/>
  <c r="AY360" i="6"/>
  <c r="BI360" i="6" l="1"/>
  <c r="BJ360" i="6" s="1"/>
  <c r="BF360" i="6"/>
  <c r="BQ360" i="6" s="1"/>
  <c r="BE360" i="6"/>
  <c r="BP360" i="6" s="1"/>
  <c r="BD360" i="6"/>
  <c r="BO360" i="6" s="1"/>
  <c r="BC360" i="6"/>
  <c r="BN360" i="6" s="1"/>
  <c r="BB360" i="6"/>
  <c r="BM360" i="6" s="1"/>
  <c r="BA360" i="6"/>
  <c r="BL360" i="6" s="1"/>
  <c r="AZ360" i="6"/>
  <c r="BG360" i="6"/>
  <c r="BR360" i="6" s="1"/>
  <c r="BY360" i="6" l="1"/>
  <c r="BX360" i="6"/>
  <c r="BW360" i="6"/>
  <c r="BV360" i="6"/>
  <c r="BU360" i="6"/>
  <c r="BT360" i="6"/>
  <c r="BZ360" i="6"/>
  <c r="BK360" i="6"/>
  <c r="BS360" i="6" l="1"/>
  <c r="CA360" i="6" s="1"/>
  <c r="CI360" i="6" l="1"/>
  <c r="CB360" i="6" s="1"/>
  <c r="AG361" i="6"/>
  <c r="Q361" i="6" l="1"/>
  <c r="R361" i="6" s="1"/>
  <c r="S361" i="6" s="1"/>
  <c r="AH361" i="6"/>
  <c r="CJ360" i="6"/>
  <c r="CC360" i="6" s="1"/>
  <c r="CK360" i="6" l="1"/>
  <c r="CD360" i="6" s="1"/>
  <c r="AI361" i="6"/>
  <c r="AJ361" i="6" l="1"/>
  <c r="W361" i="6" s="1"/>
  <c r="Z361" i="6" s="1"/>
  <c r="CL360" i="6"/>
  <c r="CE360" i="6" s="1"/>
  <c r="AC361" i="6" l="1"/>
  <c r="AK361" i="6"/>
  <c r="CM360" i="6"/>
  <c r="CF360" i="6" s="1"/>
  <c r="AL361" i="6" l="1"/>
  <c r="CN360" i="6"/>
  <c r="CG360" i="6" s="1"/>
  <c r="AM361" i="6" l="1"/>
  <c r="CO360" i="6"/>
  <c r="CH360" i="6" s="1"/>
  <c r="X361" i="6" l="1"/>
  <c r="AE361" i="6"/>
  <c r="AF361" i="6" s="1"/>
  <c r="AU361" i="6" s="1"/>
  <c r="AN361" i="6"/>
  <c r="CP360" i="6"/>
  <c r="T360" i="6" s="1"/>
  <c r="AA361" i="6" l="1"/>
  <c r="Y361" i="6"/>
  <c r="AB361" i="6" s="1"/>
  <c r="AT361" i="6"/>
  <c r="AS361" i="6"/>
  <c r="AR361" i="6"/>
  <c r="AQ361" i="6"/>
  <c r="AP361" i="6"/>
  <c r="AO361" i="6"/>
  <c r="AV361" i="6"/>
  <c r="AW361" i="6" l="1"/>
  <c r="AX361" i="6" l="1"/>
  <c r="BH361" i="6" l="1"/>
  <c r="AY361" i="6"/>
  <c r="BI361" i="6" l="1"/>
  <c r="BJ361" i="6" s="1"/>
  <c r="BB361" i="6"/>
  <c r="BM361" i="6" s="1"/>
  <c r="BA361" i="6"/>
  <c r="BL361" i="6" s="1"/>
  <c r="AZ361" i="6"/>
  <c r="BG361" i="6"/>
  <c r="BR361" i="6" s="1"/>
  <c r="BF361" i="6"/>
  <c r="BQ361" i="6" s="1"/>
  <c r="BE361" i="6"/>
  <c r="BP361" i="6" s="1"/>
  <c r="BD361" i="6"/>
  <c r="BO361" i="6" s="1"/>
  <c r="BC361" i="6"/>
  <c r="BN361" i="6" s="1"/>
  <c r="BU361" i="6" l="1"/>
  <c r="BT361" i="6"/>
  <c r="BZ361" i="6"/>
  <c r="BY361" i="6"/>
  <c r="BX361" i="6"/>
  <c r="BW361" i="6"/>
  <c r="BV361" i="6"/>
  <c r="BK361" i="6"/>
  <c r="BS361" i="6" l="1"/>
  <c r="CA361" i="6" s="1"/>
  <c r="CI361" i="6" l="1"/>
  <c r="CB361" i="6" s="1"/>
  <c r="AG362" i="6"/>
  <c r="AH362" i="6"/>
  <c r="CJ361" i="6"/>
  <c r="CC361" i="6" s="1"/>
  <c r="AI362" i="6"/>
  <c r="CK361" i="6"/>
  <c r="CD361" i="6" s="1"/>
  <c r="Q362" i="6" l="1"/>
  <c r="R362" i="6" s="1"/>
  <c r="S362" i="6" s="1"/>
  <c r="AJ362" i="6"/>
  <c r="W362" i="6" s="1"/>
  <c r="Z362" i="6" s="1"/>
  <c r="CL361" i="6"/>
  <c r="CE361" i="6" s="1"/>
  <c r="AC362" i="6" l="1"/>
  <c r="CM361" i="6"/>
  <c r="CF361" i="6" s="1"/>
  <c r="AK362" i="6"/>
  <c r="AL362" i="6" l="1"/>
  <c r="CN361" i="6"/>
  <c r="CG361" i="6" s="1"/>
  <c r="AM362" i="6" l="1"/>
  <c r="CO361" i="6"/>
  <c r="CH361" i="6" s="1"/>
  <c r="AE362" i="6" l="1"/>
  <c r="AF362" i="6" s="1"/>
  <c r="AU362" i="6"/>
  <c r="AN362" i="6"/>
  <c r="X362" i="6" s="1"/>
  <c r="CP361" i="6"/>
  <c r="T361" i="6" s="1"/>
  <c r="AA362" i="6" l="1"/>
  <c r="Y362" i="6"/>
  <c r="AB362" i="6" s="1"/>
  <c r="AT362" i="6"/>
  <c r="AS362" i="6"/>
  <c r="AR362" i="6"/>
  <c r="AO362" i="6"/>
  <c r="AW362" i="6" s="1"/>
  <c r="AP362" i="6"/>
  <c r="AQ362" i="6"/>
  <c r="AV362" i="6"/>
  <c r="AX362" i="6" l="1"/>
  <c r="BH362" i="6" l="1"/>
  <c r="AY362" i="6"/>
  <c r="BI362" i="6" l="1"/>
  <c r="BJ362" i="6" s="1"/>
  <c r="AZ362" i="6"/>
  <c r="BA362" i="6"/>
  <c r="BL362" i="6" s="1"/>
  <c r="BC362" i="6"/>
  <c r="BN362" i="6" s="1"/>
  <c r="BB362" i="6"/>
  <c r="BM362" i="6" s="1"/>
  <c r="BD362" i="6"/>
  <c r="BO362" i="6" s="1"/>
  <c r="BE362" i="6"/>
  <c r="BP362" i="6" s="1"/>
  <c r="BF362" i="6"/>
  <c r="BQ362" i="6" s="1"/>
  <c r="BG362" i="6"/>
  <c r="BR362" i="6" s="1"/>
  <c r="BT362" i="6" l="1"/>
  <c r="BV362" i="6"/>
  <c r="BU362" i="6"/>
  <c r="BW362" i="6"/>
  <c r="BX362" i="6"/>
  <c r="BY362" i="6"/>
  <c r="BZ362" i="6"/>
  <c r="BK362" i="6"/>
  <c r="CA362" i="6" l="1"/>
  <c r="BS362" i="6"/>
  <c r="CI362" i="6" l="1"/>
  <c r="CB362" i="6" s="1"/>
  <c r="AG363" i="6"/>
  <c r="Q363" i="6" l="1"/>
  <c r="R363" i="6" s="1"/>
  <c r="S363" i="6" s="1"/>
  <c r="AH363" i="6"/>
  <c r="CJ362" i="6"/>
  <c r="CC362" i="6" s="1"/>
  <c r="CK362" i="6" l="1"/>
  <c r="CD362" i="6" s="1"/>
  <c r="AI363" i="6"/>
  <c r="AJ363" i="6" l="1"/>
  <c r="W363" i="6" s="1"/>
  <c r="Z363" i="6" s="1"/>
  <c r="CL362" i="6"/>
  <c r="CE362" i="6" s="1"/>
  <c r="AC363" i="6" l="1"/>
  <c r="CM362" i="6"/>
  <c r="CF362" i="6" s="1"/>
  <c r="AK363" i="6"/>
  <c r="CN362" i="6" l="1"/>
  <c r="CG362" i="6" s="1"/>
  <c r="AL363" i="6"/>
  <c r="AM363" i="6" l="1"/>
  <c r="CO362" i="6"/>
  <c r="CH362" i="6" s="1"/>
  <c r="X363" i="6" l="1"/>
  <c r="AE363" i="6"/>
  <c r="AF363" i="6" s="1"/>
  <c r="AU363" i="6" s="1"/>
  <c r="CP362" i="6"/>
  <c r="T362" i="6" s="1"/>
  <c r="AN363" i="6"/>
  <c r="AA363" i="6" l="1"/>
  <c r="Y363" i="6"/>
  <c r="AB363" i="6" s="1"/>
  <c r="AT363" i="6"/>
  <c r="AS363" i="6"/>
  <c r="AR363" i="6"/>
  <c r="AQ363" i="6"/>
  <c r="AP363" i="6"/>
  <c r="AO363" i="6"/>
  <c r="AV363" i="6"/>
  <c r="AW363" i="6" l="1"/>
  <c r="AX363" i="6" l="1"/>
  <c r="BH363" i="6" l="1"/>
  <c r="AY363" i="6"/>
  <c r="BI363" i="6" l="1"/>
  <c r="BJ363" i="6" s="1"/>
  <c r="BK363" i="6" s="1"/>
  <c r="BE363" i="6"/>
  <c r="BP363" i="6" s="1"/>
  <c r="BD363" i="6"/>
  <c r="BO363" i="6" s="1"/>
  <c r="BC363" i="6"/>
  <c r="BN363" i="6" s="1"/>
  <c r="BB363" i="6"/>
  <c r="BM363" i="6" s="1"/>
  <c r="BA363" i="6"/>
  <c r="BL363" i="6" s="1"/>
  <c r="AZ363" i="6"/>
  <c r="BG363" i="6"/>
  <c r="BR363" i="6" s="1"/>
  <c r="BF363" i="6"/>
  <c r="BQ363" i="6" s="1"/>
  <c r="BX363" i="6" l="1"/>
  <c r="BW363" i="6"/>
  <c r="BV363" i="6"/>
  <c r="BU363" i="6"/>
  <c r="BT363" i="6"/>
  <c r="BS363" i="6"/>
  <c r="CA363" i="6"/>
  <c r="BZ363" i="6"/>
  <c r="BY363" i="6"/>
  <c r="CI363" i="6" l="1"/>
  <c r="CB363" i="6" s="1"/>
  <c r="AG364" i="6"/>
  <c r="AH364" i="6" l="1"/>
  <c r="CJ363" i="6"/>
  <c r="CC363" i="6" s="1"/>
  <c r="Q364" i="6"/>
  <c r="R364" i="6" s="1"/>
  <c r="S364" i="6" s="1"/>
  <c r="AI364" i="6" l="1"/>
  <c r="CK363" i="6"/>
  <c r="CD363" i="6" s="1"/>
  <c r="W364" i="6" l="1"/>
  <c r="Z364" i="6" s="1"/>
  <c r="AJ364" i="6"/>
  <c r="CL363" i="6"/>
  <c r="CE363" i="6" s="1"/>
  <c r="AC364" i="6" l="1"/>
  <c r="AK364" i="6"/>
  <c r="CM363" i="6"/>
  <c r="CF363" i="6" s="1"/>
  <c r="AL364" i="6" l="1"/>
  <c r="CN363" i="6"/>
  <c r="CG363" i="6" s="1"/>
  <c r="AM364" i="6" l="1"/>
  <c r="CO363" i="6"/>
  <c r="CH363" i="6" s="1"/>
  <c r="X364" i="6" l="1"/>
  <c r="AE364" i="6"/>
  <c r="AF364" i="6" s="1"/>
  <c r="AU364" i="6" s="1"/>
  <c r="AN364" i="6"/>
  <c r="CP363" i="6"/>
  <c r="T363" i="6" s="1"/>
  <c r="AA364" i="6" l="1"/>
  <c r="Y364" i="6"/>
  <c r="AB364" i="6" s="1"/>
  <c r="AT364" i="6"/>
  <c r="AS364" i="6"/>
  <c r="AR364" i="6"/>
  <c r="AQ364" i="6"/>
  <c r="AP364" i="6"/>
  <c r="AO364" i="6"/>
  <c r="AV364" i="6"/>
  <c r="AW364" i="6" l="1"/>
  <c r="AX364" i="6" l="1"/>
  <c r="BH364" i="6" l="1"/>
  <c r="AY364" i="6"/>
  <c r="BI364" i="6" l="1"/>
  <c r="BJ364" i="6" s="1"/>
  <c r="AZ364" i="6"/>
  <c r="BG364" i="6"/>
  <c r="BR364" i="6" s="1"/>
  <c r="BF364" i="6"/>
  <c r="BQ364" i="6" s="1"/>
  <c r="BE364" i="6"/>
  <c r="BP364" i="6" s="1"/>
  <c r="BD364" i="6"/>
  <c r="BO364" i="6" s="1"/>
  <c r="BC364" i="6"/>
  <c r="BN364" i="6" s="1"/>
  <c r="BB364" i="6"/>
  <c r="BM364" i="6" s="1"/>
  <c r="BA364" i="6"/>
  <c r="BL364" i="6" s="1"/>
  <c r="BZ364" i="6" l="1"/>
  <c r="BY364" i="6"/>
  <c r="BX364" i="6"/>
  <c r="BW364" i="6"/>
  <c r="BV364" i="6"/>
  <c r="BU364" i="6"/>
  <c r="BT364" i="6"/>
  <c r="BK364" i="6"/>
  <c r="BS364" i="6" l="1"/>
  <c r="CA364" i="6" s="1"/>
  <c r="CI364" i="6" l="1"/>
  <c r="CB364" i="6" s="1"/>
  <c r="AG365" i="6"/>
  <c r="AH365" i="6"/>
  <c r="CJ364" i="6"/>
  <c r="CC364" i="6" s="1"/>
  <c r="Q365" i="6" l="1"/>
  <c r="R365" i="6" s="1"/>
  <c r="S365" i="6" s="1"/>
  <c r="AI365" i="6"/>
  <c r="CK364" i="6"/>
  <c r="CD364" i="6" s="1"/>
  <c r="CL364" i="6" l="1"/>
  <c r="CE364" i="6" s="1"/>
  <c r="AJ365" i="6"/>
  <c r="AK365" i="6" l="1"/>
  <c r="CM364" i="6"/>
  <c r="CF364" i="6" s="1"/>
  <c r="W365" i="6"/>
  <c r="Z365" i="6" s="1"/>
  <c r="AC365" i="6"/>
  <c r="CN364" i="6" l="1"/>
  <c r="CG364" i="6" s="1"/>
  <c r="AL365" i="6"/>
  <c r="AM365" i="6" l="1"/>
  <c r="CO364" i="6"/>
  <c r="CH364" i="6" s="1"/>
  <c r="X365" i="6" l="1"/>
  <c r="AE365" i="6"/>
  <c r="AF365" i="6" s="1"/>
  <c r="AU365" i="6" s="1"/>
  <c r="AN365" i="6"/>
  <c r="CP364" i="6"/>
  <c r="T364" i="6" s="1"/>
  <c r="AA365" i="6" l="1"/>
  <c r="Y365" i="6"/>
  <c r="AB365" i="6" s="1"/>
  <c r="AT365" i="6"/>
  <c r="AS365" i="6"/>
  <c r="AR365" i="6"/>
  <c r="AQ365" i="6"/>
  <c r="AO365" i="6"/>
  <c r="AP365" i="6"/>
  <c r="AV365" i="6"/>
  <c r="AW365" i="6" l="1"/>
  <c r="AX365" i="6" l="1"/>
  <c r="BH365" i="6" l="1"/>
  <c r="AY365" i="6"/>
  <c r="BI365" i="6" l="1"/>
  <c r="BJ365" i="6" s="1"/>
  <c r="BK365" i="6" s="1"/>
  <c r="BC365" i="6"/>
  <c r="BN365" i="6" s="1"/>
  <c r="AZ365" i="6"/>
  <c r="BD365" i="6"/>
  <c r="BO365" i="6" s="1"/>
  <c r="BG365" i="6"/>
  <c r="BR365" i="6" s="1"/>
  <c r="BF365" i="6"/>
  <c r="BQ365" i="6" s="1"/>
  <c r="BE365" i="6"/>
  <c r="BP365" i="6" s="1"/>
  <c r="BB365" i="6"/>
  <c r="BM365" i="6" s="1"/>
  <c r="BA365" i="6"/>
  <c r="BL365" i="6" s="1"/>
  <c r="BV365" i="6" l="1"/>
  <c r="BS365" i="6"/>
  <c r="BW365" i="6"/>
  <c r="BZ365" i="6"/>
  <c r="BY365" i="6"/>
  <c r="BX365" i="6"/>
  <c r="BU365" i="6"/>
  <c r="BT365" i="6"/>
  <c r="CA365" i="6" l="1"/>
  <c r="AG366" i="6" l="1"/>
  <c r="CI365" i="6"/>
  <c r="CB365" i="6" s="1"/>
  <c r="Q366" i="6" l="1"/>
  <c r="R366" i="6" s="1"/>
  <c r="S366" i="6" s="1"/>
  <c r="CJ365" i="6"/>
  <c r="CC365" i="6" s="1"/>
  <c r="AH366" i="6"/>
  <c r="CK365" i="6" l="1"/>
  <c r="CD365" i="6" s="1"/>
  <c r="AI366" i="6"/>
  <c r="CL365" i="6" l="1"/>
  <c r="CE365" i="6" s="1"/>
  <c r="AJ366" i="6"/>
  <c r="W366" i="6"/>
  <c r="Z366" i="6" s="1"/>
  <c r="AK366" i="6" l="1"/>
  <c r="CM365" i="6"/>
  <c r="CF365" i="6" s="1"/>
  <c r="AC366" i="6"/>
  <c r="AL366" i="6" l="1"/>
  <c r="CN365" i="6"/>
  <c r="CG365" i="6" s="1"/>
  <c r="AM366" i="6" l="1"/>
  <c r="CO365" i="6"/>
  <c r="CH365" i="6" s="1"/>
  <c r="AE366" i="6" l="1"/>
  <c r="AF366" i="6" s="1"/>
  <c r="AU366" i="6" s="1"/>
  <c r="AN366" i="6"/>
  <c r="X366" i="6" s="1"/>
  <c r="CP365" i="6"/>
  <c r="T365" i="6" s="1"/>
  <c r="AA366" i="6" l="1"/>
  <c r="Y366" i="6"/>
  <c r="AB366" i="6" s="1"/>
  <c r="AT366" i="6"/>
  <c r="AS366" i="6"/>
  <c r="AR366" i="6"/>
  <c r="AQ366" i="6"/>
  <c r="AP366" i="6"/>
  <c r="AO366" i="6"/>
  <c r="AW366" i="6" s="1"/>
  <c r="AV366" i="6"/>
  <c r="AX366" i="6" l="1"/>
  <c r="BH366" i="6" l="1"/>
  <c r="AY366" i="6"/>
  <c r="BI366" i="6" l="1"/>
  <c r="BJ366" i="6" s="1"/>
  <c r="BK366" i="6" s="1"/>
  <c r="BB366" i="6"/>
  <c r="BM366" i="6" s="1"/>
  <c r="BC366" i="6"/>
  <c r="BN366" i="6" s="1"/>
  <c r="BD366" i="6"/>
  <c r="BO366" i="6" s="1"/>
  <c r="BE366" i="6"/>
  <c r="BP366" i="6" s="1"/>
  <c r="BF366" i="6"/>
  <c r="BQ366" i="6" s="1"/>
  <c r="BG366" i="6"/>
  <c r="BR366" i="6" s="1"/>
  <c r="AZ366" i="6"/>
  <c r="BA366" i="6"/>
  <c r="BL366" i="6" s="1"/>
  <c r="BU366" i="6" l="1"/>
  <c r="BV366" i="6"/>
  <c r="BW366" i="6"/>
  <c r="BX366" i="6"/>
  <c r="BY366" i="6"/>
  <c r="BZ366" i="6"/>
  <c r="BS366" i="6"/>
  <c r="BT366" i="6"/>
  <c r="CA366" i="6" l="1"/>
  <c r="AG367" i="6" l="1"/>
  <c r="CI366" i="6"/>
  <c r="CB366" i="6" s="1"/>
  <c r="Q367" i="6" l="1"/>
  <c r="R367" i="6" s="1"/>
  <c r="S367" i="6" s="1"/>
  <c r="CJ366" i="6"/>
  <c r="CC366" i="6" s="1"/>
  <c r="AH367" i="6"/>
  <c r="CK366" i="6" l="1"/>
  <c r="CD366" i="6" s="1"/>
  <c r="AI367" i="6"/>
  <c r="AJ367" i="6" l="1"/>
  <c r="W367" i="6" s="1"/>
  <c r="Z367" i="6" s="1"/>
  <c r="CL366" i="6"/>
  <c r="CE366" i="6" s="1"/>
  <c r="AC367" i="6" l="1"/>
  <c r="AK367" i="6"/>
  <c r="CM366" i="6"/>
  <c r="CF366" i="6" s="1"/>
  <c r="AL367" i="6" l="1"/>
  <c r="CN366" i="6"/>
  <c r="CG366" i="6" s="1"/>
  <c r="AM367" i="6" l="1"/>
  <c r="CO366" i="6"/>
  <c r="CH366" i="6" s="1"/>
  <c r="CP366" i="6" l="1"/>
  <c r="T366" i="6" s="1"/>
  <c r="AN367" i="6"/>
  <c r="X367" i="6" s="1"/>
  <c r="AA367" i="6" l="1"/>
  <c r="Y367" i="6"/>
  <c r="AB367" i="6" s="1"/>
  <c r="AE367" i="6"/>
  <c r="AF367" i="6" s="1"/>
  <c r="AV367" i="6" s="1"/>
  <c r="AU367" i="6" l="1"/>
  <c r="AT367" i="6"/>
  <c r="AS367" i="6"/>
  <c r="AR367" i="6"/>
  <c r="AQ367" i="6"/>
  <c r="AP367" i="6"/>
  <c r="AO367" i="6"/>
  <c r="AW367" i="6" s="1"/>
  <c r="AX367" i="6" l="1"/>
  <c r="BH367" i="6" l="1"/>
  <c r="AY367" i="6"/>
  <c r="BI367" i="6" l="1"/>
  <c r="BJ367" i="6" s="1"/>
  <c r="BD367" i="6"/>
  <c r="BO367" i="6" s="1"/>
  <c r="BE367" i="6"/>
  <c r="BP367" i="6" s="1"/>
  <c r="BF367" i="6"/>
  <c r="BQ367" i="6" s="1"/>
  <c r="BG367" i="6"/>
  <c r="BR367" i="6" s="1"/>
  <c r="AZ367" i="6"/>
  <c r="BA367" i="6"/>
  <c r="BL367" i="6" s="1"/>
  <c r="BB367" i="6"/>
  <c r="BM367" i="6" s="1"/>
  <c r="BC367" i="6"/>
  <c r="BN367" i="6" s="1"/>
  <c r="BW367" i="6" l="1"/>
  <c r="BX367" i="6"/>
  <c r="BY367" i="6"/>
  <c r="BZ367" i="6"/>
  <c r="BT367" i="6"/>
  <c r="BU367" i="6"/>
  <c r="BV367" i="6"/>
  <c r="BK367" i="6"/>
  <c r="BS367" i="6" l="1"/>
  <c r="CA367" i="6" s="1"/>
  <c r="CI367" i="6" l="1"/>
  <c r="CB367" i="6" s="1"/>
  <c r="AG368" i="6"/>
  <c r="AH368" i="6"/>
  <c r="CJ367" i="6"/>
  <c r="CC367" i="6" s="1"/>
  <c r="Q368" i="6" l="1"/>
  <c r="R368" i="6" s="1"/>
  <c r="S368" i="6" s="1"/>
  <c r="AI368" i="6"/>
  <c r="CK367" i="6"/>
  <c r="CD367" i="6" s="1"/>
  <c r="AJ368" i="6" l="1"/>
  <c r="CL367" i="6"/>
  <c r="CE367" i="6" s="1"/>
  <c r="W368" i="6" l="1"/>
  <c r="Z368" i="6" s="1"/>
  <c r="AC368" i="6"/>
  <c r="AK368" i="6"/>
  <c r="CM367" i="6"/>
  <c r="CF367" i="6" s="1"/>
  <c r="AL368" i="6" l="1"/>
  <c r="CN367" i="6"/>
  <c r="CG367" i="6" s="1"/>
  <c r="AM368" i="6" l="1"/>
  <c r="CO367" i="6"/>
  <c r="CH367" i="6" s="1"/>
  <c r="AN368" i="6" l="1"/>
  <c r="X368" i="6" s="1"/>
  <c r="CP367" i="6"/>
  <c r="T367" i="6" s="1"/>
  <c r="AA368" i="6" l="1"/>
  <c r="Y368" i="6"/>
  <c r="AB368" i="6" s="1"/>
  <c r="AE368" i="6"/>
  <c r="AF368" i="6" s="1"/>
  <c r="AV368" i="6" s="1"/>
  <c r="AU368" i="6" l="1"/>
  <c r="AT368" i="6"/>
  <c r="AS368" i="6"/>
  <c r="AR368" i="6"/>
  <c r="AQ368" i="6"/>
  <c r="AO368" i="6"/>
  <c r="AW368" i="6" s="1"/>
  <c r="AP368" i="6"/>
  <c r="AX368" i="6" l="1"/>
  <c r="BH368" i="6" l="1"/>
  <c r="AY368" i="6"/>
  <c r="BI368" i="6" l="1"/>
  <c r="BJ368" i="6" s="1"/>
  <c r="BK368" i="6" s="1"/>
  <c r="BG368" i="6"/>
  <c r="BR368" i="6" s="1"/>
  <c r="BF368" i="6"/>
  <c r="BQ368" i="6" s="1"/>
  <c r="AZ368" i="6"/>
  <c r="BA368" i="6"/>
  <c r="BL368" i="6" s="1"/>
  <c r="BB368" i="6"/>
  <c r="BM368" i="6" s="1"/>
  <c r="BC368" i="6"/>
  <c r="BN368" i="6" s="1"/>
  <c r="BD368" i="6"/>
  <c r="BO368" i="6" s="1"/>
  <c r="BE368" i="6"/>
  <c r="BP368" i="6" s="1"/>
  <c r="BZ368" i="6" l="1"/>
  <c r="BY368" i="6"/>
  <c r="BS368" i="6"/>
  <c r="CA368" i="6"/>
  <c r="BT368" i="6"/>
  <c r="BU368" i="6"/>
  <c r="BV368" i="6"/>
  <c r="BW368" i="6"/>
  <c r="BX368" i="6"/>
  <c r="CI368" i="6" l="1"/>
  <c r="CB368" i="6" s="1"/>
  <c r="AG369" i="6"/>
  <c r="Q369" i="6" l="1"/>
  <c r="R369" i="6" s="1"/>
  <c r="S369" i="6" s="1"/>
  <c r="CJ368" i="6"/>
  <c r="CC368" i="6" s="1"/>
  <c r="AH369" i="6"/>
  <c r="CK368" i="6" l="1"/>
  <c r="CD368" i="6" s="1"/>
  <c r="AI369" i="6"/>
  <c r="CL368" i="6" l="1"/>
  <c r="CE368" i="6" s="1"/>
  <c r="AJ369" i="6"/>
  <c r="W369" i="6"/>
  <c r="Z369" i="6" s="1"/>
  <c r="CM368" i="6" l="1"/>
  <c r="CF368" i="6" s="1"/>
  <c r="AK369" i="6"/>
  <c r="AC369" i="6"/>
  <c r="AL369" i="6" l="1"/>
  <c r="CN368" i="6"/>
  <c r="CG368" i="6" s="1"/>
  <c r="AM369" i="6" l="1"/>
  <c r="CO368" i="6"/>
  <c r="CH368" i="6" s="1"/>
  <c r="AN369" i="6" l="1"/>
  <c r="X369" i="6" s="1"/>
  <c r="CP368" i="6"/>
  <c r="T368" i="6" s="1"/>
  <c r="AA369" i="6" l="1"/>
  <c r="Y369" i="6"/>
  <c r="AB369" i="6" s="1"/>
  <c r="AE369" i="6"/>
  <c r="AF369" i="6" s="1"/>
  <c r="AV369" i="6" s="1"/>
  <c r="AU369" i="6" l="1"/>
  <c r="AT369" i="6"/>
  <c r="AS369" i="6"/>
  <c r="AR369" i="6"/>
  <c r="AQ369" i="6"/>
  <c r="AP369" i="6"/>
  <c r="AO369" i="6"/>
  <c r="AW369" i="6" l="1"/>
  <c r="AX369" i="6" l="1"/>
  <c r="BH369" i="6" l="1"/>
  <c r="AY369" i="6"/>
  <c r="BI369" i="6" l="1"/>
  <c r="BJ369" i="6" s="1"/>
  <c r="BK369" i="6" s="1"/>
  <c r="BC369" i="6"/>
  <c r="BN369" i="6" s="1"/>
  <c r="BA369" i="6"/>
  <c r="BL369" i="6" s="1"/>
  <c r="AZ369" i="6"/>
  <c r="BG369" i="6"/>
  <c r="BR369" i="6" s="1"/>
  <c r="BD369" i="6"/>
  <c r="BO369" i="6" s="1"/>
  <c r="BB369" i="6"/>
  <c r="BM369" i="6" s="1"/>
  <c r="BF369" i="6"/>
  <c r="BQ369" i="6" s="1"/>
  <c r="BE369" i="6"/>
  <c r="BP369" i="6" s="1"/>
  <c r="BV369" i="6" l="1"/>
  <c r="BT369" i="6"/>
  <c r="BS369" i="6"/>
  <c r="BZ369" i="6"/>
  <c r="BW369" i="6"/>
  <c r="BU369" i="6"/>
  <c r="BY369" i="6"/>
  <c r="BX369" i="6"/>
  <c r="CA369" i="6" l="1"/>
  <c r="AG370" i="6" l="1"/>
  <c r="CI369" i="6"/>
  <c r="CB369" i="6" s="1"/>
  <c r="Q370" i="6" l="1"/>
  <c r="R370" i="6" s="1"/>
  <c r="S370" i="6" s="1"/>
  <c r="CJ369" i="6"/>
  <c r="CC369" i="6" s="1"/>
  <c r="AH370" i="6"/>
  <c r="AI370" i="6" l="1"/>
  <c r="CK369" i="6"/>
  <c r="CD369" i="6" s="1"/>
  <c r="W370" i="6" l="1"/>
  <c r="Z370" i="6" s="1"/>
  <c r="AJ370" i="6"/>
  <c r="CL369" i="6"/>
  <c r="CE369" i="6" s="1"/>
  <c r="AC370" i="6" l="1"/>
  <c r="AK370" i="6"/>
  <c r="CM369" i="6"/>
  <c r="CF369" i="6" s="1"/>
  <c r="AL370" i="6" l="1"/>
  <c r="CN369" i="6"/>
  <c r="CG369" i="6" s="1"/>
  <c r="CO369" i="6" l="1"/>
  <c r="CH369" i="6" s="1"/>
  <c r="AM370" i="6"/>
  <c r="CP369" i="6" l="1"/>
  <c r="T369" i="6" s="1"/>
  <c r="AN370" i="6"/>
  <c r="X370" i="6" s="1"/>
  <c r="AE370" i="6" l="1"/>
  <c r="AF370" i="6" s="1"/>
  <c r="AV370" i="6" s="1"/>
  <c r="AA370" i="6"/>
  <c r="Y370" i="6"/>
  <c r="AB370" i="6" s="1"/>
  <c r="AU370" i="6" l="1"/>
  <c r="AT370" i="6"/>
  <c r="AS370" i="6"/>
  <c r="AR370" i="6"/>
  <c r="AQ370" i="6"/>
  <c r="AP370" i="6"/>
  <c r="AO370" i="6"/>
  <c r="AW370" i="6" s="1"/>
  <c r="AX370" i="6" l="1"/>
  <c r="BH370" i="6" l="1"/>
  <c r="AY370" i="6"/>
  <c r="BI370" i="6" l="1"/>
  <c r="BJ370" i="6" s="1"/>
  <c r="BD370" i="6"/>
  <c r="BO370" i="6" s="1"/>
  <c r="BE370" i="6"/>
  <c r="BP370" i="6" s="1"/>
  <c r="BF370" i="6"/>
  <c r="BQ370" i="6" s="1"/>
  <c r="BG370" i="6"/>
  <c r="BR370" i="6" s="1"/>
  <c r="AZ370" i="6"/>
  <c r="BA370" i="6"/>
  <c r="BL370" i="6" s="1"/>
  <c r="BB370" i="6"/>
  <c r="BM370" i="6" s="1"/>
  <c r="BC370" i="6"/>
  <c r="BN370" i="6" s="1"/>
  <c r="BW370" i="6" l="1"/>
  <c r="BX370" i="6"/>
  <c r="BY370" i="6"/>
  <c r="BZ370" i="6"/>
  <c r="BT370" i="6"/>
  <c r="BU370" i="6"/>
  <c r="BV370" i="6"/>
  <c r="BK370" i="6"/>
  <c r="BS370" i="6" l="1"/>
  <c r="CA370" i="6" s="1"/>
  <c r="CI370" i="6" l="1"/>
  <c r="CB370" i="6" s="1"/>
  <c r="AG371" i="6"/>
  <c r="Q371" i="6" l="1"/>
  <c r="R371" i="6" s="1"/>
  <c r="S371" i="6" s="1"/>
  <c r="CJ370" i="6"/>
  <c r="CC370" i="6" s="1"/>
  <c r="AH371" i="6"/>
  <c r="CK370" i="6" l="1"/>
  <c r="CD370" i="6" s="1"/>
  <c r="AI371" i="6"/>
  <c r="AJ371" i="6" l="1"/>
  <c r="W371" i="6" s="1"/>
  <c r="Z371" i="6" s="1"/>
  <c r="CL370" i="6"/>
  <c r="CE370" i="6" s="1"/>
  <c r="AC371" i="6" l="1"/>
  <c r="CM370" i="6"/>
  <c r="CF370" i="6" s="1"/>
  <c r="AK371" i="6"/>
  <c r="CN370" i="6" l="1"/>
  <c r="CG370" i="6" s="1"/>
  <c r="AL371" i="6"/>
  <c r="AM371" i="6" l="1"/>
  <c r="CO370" i="6"/>
  <c r="CH370" i="6" s="1"/>
  <c r="AN371" i="6" l="1"/>
  <c r="X371" i="6" s="1"/>
  <c r="CP370" i="6"/>
  <c r="T370" i="6" s="1"/>
  <c r="AA371" i="6" l="1"/>
  <c r="Y371" i="6"/>
  <c r="AB371" i="6" s="1"/>
  <c r="AE371" i="6"/>
  <c r="AF371" i="6" s="1"/>
  <c r="AV371" i="6" s="1"/>
  <c r="AU371" i="6" l="1"/>
  <c r="AT371" i="6"/>
  <c r="AS371" i="6"/>
  <c r="AR371" i="6"/>
  <c r="AQ371" i="6"/>
  <c r="AP371" i="6"/>
  <c r="AO371" i="6"/>
  <c r="AW371" i="6" s="1"/>
  <c r="AX371" i="6" l="1"/>
  <c r="BH371" i="6" l="1"/>
  <c r="AY371" i="6"/>
  <c r="BI371" i="6" l="1"/>
  <c r="BJ371" i="6" s="1"/>
  <c r="BK371" i="6" s="1"/>
  <c r="BG371" i="6"/>
  <c r="BR371" i="6" s="1"/>
  <c r="AZ371" i="6"/>
  <c r="BA371" i="6"/>
  <c r="BL371" i="6" s="1"/>
  <c r="BB371" i="6"/>
  <c r="BM371" i="6" s="1"/>
  <c r="BC371" i="6"/>
  <c r="BN371" i="6" s="1"/>
  <c r="BD371" i="6"/>
  <c r="BO371" i="6" s="1"/>
  <c r="BE371" i="6"/>
  <c r="BP371" i="6" s="1"/>
  <c r="BF371" i="6"/>
  <c r="BQ371" i="6" s="1"/>
  <c r="BZ371" i="6" l="1"/>
  <c r="BS371" i="6"/>
  <c r="BT371" i="6"/>
  <c r="BU371" i="6"/>
  <c r="BV371" i="6"/>
  <c r="BW371" i="6"/>
  <c r="BX371" i="6"/>
  <c r="BY371" i="6"/>
  <c r="CA371" i="6" l="1"/>
  <c r="AG372" i="6" l="1"/>
  <c r="CI371" i="6"/>
  <c r="CB371" i="6" s="1"/>
  <c r="Q372" i="6" l="1"/>
  <c r="R372" i="6" s="1"/>
  <c r="S372" i="6" s="1"/>
  <c r="AH372" i="6"/>
  <c r="CJ371" i="6"/>
  <c r="CC371" i="6" s="1"/>
  <c r="CK371" i="6" l="1"/>
  <c r="CD371" i="6" s="1"/>
  <c r="AI372" i="6"/>
  <c r="AJ372" i="6" l="1"/>
  <c r="CL371" i="6"/>
  <c r="CE371" i="6" s="1"/>
  <c r="W372" i="6"/>
  <c r="Z372" i="6" s="1"/>
  <c r="AC372" i="6" l="1"/>
  <c r="AK372" i="6"/>
  <c r="CM371" i="6"/>
  <c r="CF371" i="6" s="1"/>
  <c r="AL372" i="6" l="1"/>
  <c r="CN371" i="6"/>
  <c r="CG371" i="6" s="1"/>
  <c r="AM372" i="6" l="1"/>
  <c r="CO371" i="6"/>
  <c r="CH371" i="6" s="1"/>
  <c r="AN372" i="6" l="1"/>
  <c r="X372" i="6" s="1"/>
  <c r="CP371" i="6"/>
  <c r="T371" i="6" s="1"/>
  <c r="AA372" i="6" l="1"/>
  <c r="Y372" i="6"/>
  <c r="AB372" i="6" s="1"/>
  <c r="AE372" i="6"/>
  <c r="AF372" i="6" s="1"/>
  <c r="AV372" i="6" s="1"/>
  <c r="AU372" i="6" l="1"/>
  <c r="AT372" i="6"/>
  <c r="AS372" i="6"/>
  <c r="AR372" i="6"/>
  <c r="AQ372" i="6"/>
  <c r="AP372" i="6"/>
  <c r="AO372" i="6"/>
  <c r="AW372" i="6" s="1"/>
  <c r="AX372" i="6" l="1"/>
  <c r="BH372" i="6" l="1"/>
  <c r="AY372" i="6"/>
  <c r="BI372" i="6" l="1"/>
  <c r="BJ372" i="6" s="1"/>
  <c r="BK372" i="6" s="1"/>
  <c r="BB372" i="6"/>
  <c r="BM372" i="6" s="1"/>
  <c r="BC372" i="6"/>
  <c r="BN372" i="6" s="1"/>
  <c r="BD372" i="6"/>
  <c r="BO372" i="6" s="1"/>
  <c r="BE372" i="6"/>
  <c r="BP372" i="6" s="1"/>
  <c r="BF372" i="6"/>
  <c r="BQ372" i="6" s="1"/>
  <c r="BG372" i="6"/>
  <c r="BR372" i="6" s="1"/>
  <c r="AZ372" i="6"/>
  <c r="BA372" i="6"/>
  <c r="BL372" i="6" s="1"/>
  <c r="BU372" i="6" l="1"/>
  <c r="BV372" i="6"/>
  <c r="BW372" i="6"/>
  <c r="BX372" i="6"/>
  <c r="BY372" i="6"/>
  <c r="BZ372" i="6"/>
  <c r="BS372" i="6"/>
  <c r="CA372" i="6"/>
  <c r="BT372" i="6"/>
  <c r="CI372" i="6" l="1"/>
  <c r="CB372" i="6" s="1"/>
  <c r="AG373" i="6"/>
  <c r="Q373" i="6" l="1"/>
  <c r="R373" i="6" s="1"/>
  <c r="S373" i="6" s="1"/>
  <c r="CJ372" i="6"/>
  <c r="CC372" i="6" s="1"/>
  <c r="AH373" i="6"/>
  <c r="CK372" i="6" l="1"/>
  <c r="CD372" i="6" s="1"/>
  <c r="AI373" i="6"/>
  <c r="CL372" i="6" l="1"/>
  <c r="CE372" i="6" s="1"/>
  <c r="AJ373" i="6"/>
  <c r="W373" i="6"/>
  <c r="Z373" i="6" s="1"/>
  <c r="CM372" i="6" l="1"/>
  <c r="CF372" i="6" s="1"/>
  <c r="AK373" i="6"/>
  <c r="AC373" i="6"/>
  <c r="AL373" i="6" l="1"/>
  <c r="CN372" i="6"/>
  <c r="CG372" i="6" s="1"/>
  <c r="CO372" i="6" l="1"/>
  <c r="CH372" i="6" s="1"/>
  <c r="AM373" i="6"/>
  <c r="CP372" i="6" l="1"/>
  <c r="T372" i="6" s="1"/>
  <c r="AN373" i="6"/>
  <c r="X373" i="6" s="1"/>
  <c r="AE373" i="6" l="1"/>
  <c r="AF373" i="6" s="1"/>
  <c r="AV373" i="6" s="1"/>
  <c r="AA373" i="6"/>
  <c r="Y373" i="6"/>
  <c r="AB373" i="6" s="1"/>
  <c r="AU373" i="6" l="1"/>
  <c r="AT373" i="6"/>
  <c r="AS373" i="6"/>
  <c r="AR373" i="6"/>
  <c r="AQ373" i="6"/>
  <c r="AP373" i="6"/>
  <c r="AO373" i="6"/>
  <c r="AW373" i="6" s="1"/>
  <c r="AX373" i="6" l="1"/>
  <c r="BH373" i="6" l="1"/>
  <c r="AY373" i="6"/>
  <c r="BI373" i="6" l="1"/>
  <c r="BJ373" i="6" s="1"/>
  <c r="BD373" i="6"/>
  <c r="BO373" i="6" s="1"/>
  <c r="BE373" i="6"/>
  <c r="BP373" i="6" s="1"/>
  <c r="BF373" i="6"/>
  <c r="BQ373" i="6" s="1"/>
  <c r="BG373" i="6"/>
  <c r="BR373" i="6" s="1"/>
  <c r="AZ373" i="6"/>
  <c r="BA373" i="6"/>
  <c r="BL373" i="6" s="1"/>
  <c r="BB373" i="6"/>
  <c r="BM373" i="6" s="1"/>
  <c r="BC373" i="6"/>
  <c r="BN373" i="6" s="1"/>
  <c r="BW373" i="6" l="1"/>
  <c r="BX373" i="6"/>
  <c r="BY373" i="6"/>
  <c r="BZ373" i="6"/>
  <c r="BT373" i="6"/>
  <c r="BU373" i="6"/>
  <c r="BV373" i="6"/>
  <c r="BK373" i="6"/>
  <c r="BS373" i="6" l="1"/>
  <c r="CA373" i="6" s="1"/>
  <c r="CI373" i="6" l="1"/>
  <c r="CB373" i="6" s="1"/>
  <c r="AG374" i="6"/>
  <c r="Q374" i="6" l="1"/>
  <c r="R374" i="6" s="1"/>
  <c r="S374" i="6" s="1"/>
  <c r="AH374" i="6"/>
  <c r="CJ373" i="6"/>
  <c r="CC373" i="6" s="1"/>
  <c r="CK373" i="6" l="1"/>
  <c r="CD373" i="6" s="1"/>
  <c r="AI374" i="6"/>
  <c r="CL373" i="6" l="1"/>
  <c r="CE373" i="6" s="1"/>
  <c r="AJ374" i="6"/>
  <c r="W374" i="6" s="1"/>
  <c r="Z374" i="6" s="1"/>
  <c r="CM373" i="6" l="1"/>
  <c r="CF373" i="6" s="1"/>
  <c r="AK374" i="6"/>
  <c r="AC374" i="6"/>
  <c r="AL374" i="6" l="1"/>
  <c r="CN373" i="6"/>
  <c r="CG373" i="6" s="1"/>
  <c r="AM374" i="6" l="1"/>
  <c r="CO373" i="6"/>
  <c r="CH373" i="6" s="1"/>
  <c r="AN374" i="6" l="1"/>
  <c r="X374" i="6" s="1"/>
  <c r="CP373" i="6"/>
  <c r="T373" i="6" s="1"/>
  <c r="AA374" i="6" l="1"/>
  <c r="Y374" i="6"/>
  <c r="AB374" i="6" s="1"/>
  <c r="AE374" i="6"/>
  <c r="AF374" i="6" s="1"/>
  <c r="AV374" i="6" s="1"/>
  <c r="AU374" i="6" l="1"/>
  <c r="AT374" i="6"/>
  <c r="AS374" i="6"/>
  <c r="AR374" i="6"/>
  <c r="AQ374" i="6"/>
  <c r="AP374" i="6"/>
  <c r="AO374" i="6"/>
  <c r="AW374" i="6" l="1"/>
  <c r="AX374" i="6" l="1"/>
  <c r="BH374" i="6" l="1"/>
  <c r="AY374" i="6"/>
  <c r="BI374" i="6" l="1"/>
  <c r="BJ374" i="6" s="1"/>
  <c r="BC374" i="6"/>
  <c r="BN374" i="6" s="1"/>
  <c r="BB374" i="6"/>
  <c r="BM374" i="6" s="1"/>
  <c r="BA374" i="6"/>
  <c r="BL374" i="6" s="1"/>
  <c r="AZ374" i="6"/>
  <c r="BG374" i="6"/>
  <c r="BR374" i="6" s="1"/>
  <c r="BF374" i="6"/>
  <c r="BQ374" i="6" s="1"/>
  <c r="BE374" i="6"/>
  <c r="BP374" i="6" s="1"/>
  <c r="BD374" i="6"/>
  <c r="BO374" i="6" s="1"/>
  <c r="BV374" i="6" l="1"/>
  <c r="BU374" i="6"/>
  <c r="BT374" i="6"/>
  <c r="BZ374" i="6"/>
  <c r="BY374" i="6"/>
  <c r="BX374" i="6"/>
  <c r="BW374" i="6"/>
  <c r="BK374" i="6"/>
  <c r="BS374" i="6" l="1"/>
  <c r="CA374" i="6" s="1"/>
  <c r="AG375" i="6" l="1"/>
  <c r="CI374" i="6"/>
  <c r="CB374" i="6" s="1"/>
  <c r="AH375" i="6" s="1"/>
  <c r="CJ374" i="6"/>
  <c r="CC374" i="6" s="1"/>
  <c r="Q375" i="6" l="1"/>
  <c r="R375" i="6" s="1"/>
  <c r="S375" i="6" s="1"/>
  <c r="CK374" i="6"/>
  <c r="CD374" i="6" s="1"/>
  <c r="AI375" i="6"/>
  <c r="CL374" i="6" l="1"/>
  <c r="CE374" i="6" s="1"/>
  <c r="AJ375" i="6"/>
  <c r="CM374" i="6" l="1"/>
  <c r="CF374" i="6" s="1"/>
  <c r="AK375" i="6"/>
  <c r="W375" i="6"/>
  <c r="Z375" i="6" s="1"/>
  <c r="AC375" i="6"/>
  <c r="CN374" i="6" l="1"/>
  <c r="CG374" i="6" s="1"/>
  <c r="AL375" i="6"/>
  <c r="CO374" i="6" l="1"/>
  <c r="CH374" i="6" s="1"/>
  <c r="AM375" i="6"/>
  <c r="CP374" i="6" l="1"/>
  <c r="T374" i="6" s="1"/>
  <c r="AN375" i="6"/>
  <c r="X375" i="6" s="1"/>
  <c r="AE375" i="6" l="1"/>
  <c r="AF375" i="6" s="1"/>
  <c r="AV375" i="6" s="1"/>
  <c r="AA375" i="6"/>
  <c r="Y375" i="6"/>
  <c r="AB375" i="6" s="1"/>
  <c r="AU375" i="6" l="1"/>
  <c r="AT375" i="6"/>
  <c r="AS375" i="6"/>
  <c r="AR375" i="6"/>
  <c r="AQ375" i="6"/>
  <c r="AO375" i="6"/>
  <c r="AP375" i="6"/>
  <c r="AE376" i="6"/>
  <c r="AF376" i="6" s="1"/>
  <c r="AE377" i="6" l="1"/>
  <c r="AF377" i="6"/>
  <c r="AW375" i="6"/>
  <c r="AE378" i="6" l="1"/>
  <c r="AF378" i="6"/>
  <c r="AX375" i="6"/>
  <c r="AE379" i="6" l="1"/>
  <c r="AF379" i="6" s="1"/>
  <c r="BH375" i="6"/>
  <c r="AY375" i="6"/>
  <c r="AE380" i="6" l="1"/>
  <c r="AF380" i="6" s="1"/>
  <c r="BJ375" i="6"/>
  <c r="BI375" i="6"/>
  <c r="AZ375" i="6"/>
  <c r="BG375" i="6"/>
  <c r="BR375" i="6" s="1"/>
  <c r="BF375" i="6"/>
  <c r="BQ375" i="6" s="1"/>
  <c r="BE375" i="6"/>
  <c r="BP375" i="6" s="1"/>
  <c r="BD375" i="6"/>
  <c r="BO375" i="6" s="1"/>
  <c r="BC375" i="6"/>
  <c r="BN375" i="6" s="1"/>
  <c r="BB375" i="6"/>
  <c r="BM375" i="6" s="1"/>
  <c r="BA375" i="6"/>
  <c r="BL375" i="6" s="1"/>
  <c r="AE381" i="6" l="1"/>
  <c r="AF381" i="6"/>
  <c r="BZ375" i="6"/>
  <c r="BY375" i="6"/>
  <c r="BX375" i="6"/>
  <c r="BW375" i="6"/>
  <c r="BV375" i="6"/>
  <c r="BU375" i="6"/>
  <c r="BT375" i="6"/>
  <c r="BK375" i="6"/>
  <c r="AE382" i="6" l="1"/>
  <c r="AF382" i="6" s="1"/>
  <c r="BS375" i="6"/>
  <c r="CA375" i="6" s="1"/>
  <c r="AE383" i="6" l="1"/>
  <c r="AF383" i="6" s="1"/>
  <c r="AG376" i="6"/>
  <c r="CI375" i="6"/>
  <c r="CB375" i="6" s="1"/>
  <c r="AE384" i="6" l="1"/>
  <c r="AF384" i="6"/>
  <c r="AO376" i="6"/>
  <c r="Q376" i="6"/>
  <c r="R376" i="6" s="1"/>
  <c r="S376" i="6" s="1"/>
  <c r="CJ375" i="6"/>
  <c r="CC375" i="6" s="1"/>
  <c r="AH376" i="6"/>
  <c r="AE385" i="6" l="1"/>
  <c r="AF385" i="6"/>
  <c r="AI376" i="6"/>
  <c r="CK375" i="6"/>
  <c r="CD375" i="6" s="1"/>
  <c r="AP376" i="6"/>
  <c r="AE386" i="6" l="1"/>
  <c r="AF386" i="6"/>
  <c r="AQ376" i="6"/>
  <c r="CL375" i="6"/>
  <c r="CE375" i="6" s="1"/>
  <c r="AJ376" i="6"/>
  <c r="W376" i="6" s="1"/>
  <c r="Z376" i="6" s="1"/>
  <c r="AE387" i="6" l="1"/>
  <c r="AF387" i="6"/>
  <c r="CM375" i="6"/>
  <c r="CF375" i="6" s="1"/>
  <c r="AK376" i="6"/>
  <c r="AC376" i="6"/>
  <c r="AR376" i="6"/>
  <c r="AE388" i="6" l="1"/>
  <c r="AF388" i="6" s="1"/>
  <c r="CN375" i="6"/>
  <c r="CG375" i="6" s="1"/>
  <c r="AL376" i="6"/>
  <c r="AS376" i="6"/>
  <c r="AE389" i="6" l="1"/>
  <c r="AF389" i="6"/>
  <c r="CO375" i="6"/>
  <c r="CH375" i="6" s="1"/>
  <c r="AM376" i="6"/>
  <c r="AT376" i="6"/>
  <c r="AE390" i="6" l="1"/>
  <c r="AF390" i="6"/>
  <c r="CP375" i="6"/>
  <c r="T375" i="6" s="1"/>
  <c r="AN376" i="6"/>
  <c r="X376" i="6"/>
  <c r="AU376" i="6"/>
  <c r="AE391" i="6" l="1"/>
  <c r="AF391" i="6" s="1"/>
  <c r="AV376" i="6"/>
  <c r="AW376" i="6" s="1"/>
  <c r="AA376" i="6"/>
  <c r="Y376" i="6"/>
  <c r="AB376" i="6" s="1"/>
  <c r="AE392" i="6" l="1"/>
  <c r="AF392" i="6"/>
  <c r="AX376" i="6"/>
  <c r="AE393" i="6" l="1"/>
  <c r="AF393" i="6" s="1"/>
  <c r="AY376" i="6"/>
  <c r="BH376" i="6"/>
  <c r="AE394" i="6" l="1"/>
  <c r="AF394" i="6"/>
  <c r="BF376" i="6"/>
  <c r="BQ376" i="6" s="1"/>
  <c r="BC376" i="6"/>
  <c r="BN376" i="6" s="1"/>
  <c r="BA376" i="6"/>
  <c r="BL376" i="6" s="1"/>
  <c r="BD376" i="6"/>
  <c r="BO376" i="6" s="1"/>
  <c r="AZ376" i="6"/>
  <c r="BG376" i="6"/>
  <c r="BR376" i="6" s="1"/>
  <c r="BE376" i="6"/>
  <c r="BP376" i="6" s="1"/>
  <c r="BB376" i="6"/>
  <c r="BM376" i="6" s="1"/>
  <c r="BI376" i="6"/>
  <c r="BJ376" i="6" s="1"/>
  <c r="AE395" i="6" l="1"/>
  <c r="AF395" i="6" s="1"/>
  <c r="BY376" i="6"/>
  <c r="BV376" i="6"/>
  <c r="BT376" i="6"/>
  <c r="BW376" i="6"/>
  <c r="BZ376" i="6"/>
  <c r="BX376" i="6"/>
  <c r="BU376" i="6"/>
  <c r="BK376" i="6"/>
  <c r="AE396" i="6" l="1"/>
  <c r="AF396" i="6" s="1"/>
  <c r="BS376" i="6"/>
  <c r="AE397" i="6" l="1"/>
  <c r="AF397" i="6"/>
  <c r="CA376" i="6"/>
  <c r="AE398" i="6" l="1"/>
  <c r="AF398" i="6" s="1"/>
  <c r="CI376" i="6"/>
  <c r="CB376" i="6" s="1"/>
  <c r="AG377" i="6"/>
  <c r="AE399" i="6" l="1"/>
  <c r="AF399" i="6" s="1"/>
  <c r="AO377" i="6"/>
  <c r="Q377" i="6"/>
  <c r="R377" i="6" s="1"/>
  <c r="S377" i="6" s="1"/>
  <c r="AH377" i="6"/>
  <c r="CJ376" i="6"/>
  <c r="CC376" i="6" s="1"/>
  <c r="AE400" i="6" l="1"/>
  <c r="AF400" i="6"/>
  <c r="AP377" i="6"/>
  <c r="CK376" i="6"/>
  <c r="CD376" i="6" s="1"/>
  <c r="AI377" i="6"/>
  <c r="AE401" i="6" l="1"/>
  <c r="AF401" i="6" s="1"/>
  <c r="CL376" i="6"/>
  <c r="CE376" i="6" s="1"/>
  <c r="AJ377" i="6"/>
  <c r="W377" i="6"/>
  <c r="Z377" i="6" s="1"/>
  <c r="AQ377" i="6"/>
  <c r="AE402" i="6" l="1"/>
  <c r="AF402" i="6"/>
  <c r="CM376" i="6"/>
  <c r="CF376" i="6" s="1"/>
  <c r="AK377" i="6"/>
  <c r="AC377" i="6"/>
  <c r="AR377" i="6"/>
  <c r="AE403" i="6" l="1"/>
  <c r="AF403" i="6" s="1"/>
  <c r="CN376" i="6"/>
  <c r="CG376" i="6" s="1"/>
  <c r="AL377" i="6"/>
  <c r="AS377" i="6"/>
  <c r="AE404" i="6" l="1"/>
  <c r="AF404" i="6"/>
  <c r="CO376" i="6"/>
  <c r="CH376" i="6" s="1"/>
  <c r="AM377" i="6"/>
  <c r="AT377" i="6"/>
  <c r="AE405" i="6" l="1"/>
  <c r="AF405" i="6"/>
  <c r="CP376" i="6"/>
  <c r="T376" i="6" s="1"/>
  <c r="AN377" i="6"/>
  <c r="X377" i="6"/>
  <c r="AU377" i="6"/>
  <c r="AE406" i="6" l="1"/>
  <c r="AF406" i="6" s="1"/>
  <c r="AV377" i="6"/>
  <c r="AW377" i="6" s="1"/>
  <c r="AA377" i="6"/>
  <c r="Y377" i="6"/>
  <c r="AB377" i="6" s="1"/>
  <c r="AE407" i="6" l="1"/>
  <c r="AF407" i="6"/>
  <c r="AX377" i="6"/>
  <c r="AE408" i="6" l="1"/>
  <c r="AF408" i="6"/>
  <c r="AY377" i="6"/>
  <c r="BH377" i="6"/>
  <c r="AE409" i="6" l="1"/>
  <c r="AF409" i="6"/>
  <c r="BF377" i="6"/>
  <c r="BQ377" i="6" s="1"/>
  <c r="BE377" i="6"/>
  <c r="BP377" i="6" s="1"/>
  <c r="BD377" i="6"/>
  <c r="BO377" i="6" s="1"/>
  <c r="BC377" i="6"/>
  <c r="BN377" i="6" s="1"/>
  <c r="BB377" i="6"/>
  <c r="BM377" i="6" s="1"/>
  <c r="BA377" i="6"/>
  <c r="BL377" i="6" s="1"/>
  <c r="AZ377" i="6"/>
  <c r="BG377" i="6"/>
  <c r="BR377" i="6" s="1"/>
  <c r="BI377" i="6"/>
  <c r="BJ377" i="6" s="1"/>
  <c r="AE410" i="6" l="1"/>
  <c r="AF410" i="6"/>
  <c r="BY377" i="6"/>
  <c r="BX377" i="6"/>
  <c r="BW377" i="6"/>
  <c r="BV377" i="6"/>
  <c r="BU377" i="6"/>
  <c r="BT377" i="6"/>
  <c r="BZ377" i="6"/>
  <c r="BK377" i="6"/>
  <c r="AE411" i="6" l="1"/>
  <c r="AF411" i="6" s="1"/>
  <c r="BS377" i="6"/>
  <c r="CA377" i="6" s="1"/>
  <c r="AE412" i="6" l="1"/>
  <c r="AF412" i="6"/>
  <c r="AG378" i="6"/>
  <c r="CI377" i="6"/>
  <c r="CB377" i="6" s="1"/>
  <c r="AE413" i="6" l="1"/>
  <c r="AF413" i="6"/>
  <c r="AO378" i="6"/>
  <c r="Q378" i="6"/>
  <c r="R378" i="6" s="1"/>
  <c r="S378" i="6" s="1"/>
  <c r="AH378" i="6"/>
  <c r="CJ377" i="6"/>
  <c r="CC377" i="6" s="1"/>
  <c r="AE414" i="6" l="1"/>
  <c r="AF414" i="6" s="1"/>
  <c r="AP378" i="6"/>
  <c r="CK377" i="6"/>
  <c r="CD377" i="6" s="1"/>
  <c r="AI378" i="6"/>
  <c r="AE415" i="6" l="1"/>
  <c r="AF415" i="6"/>
  <c r="CL377" i="6"/>
  <c r="CE377" i="6" s="1"/>
  <c r="AJ378" i="6"/>
  <c r="W378" i="6"/>
  <c r="Z378" i="6" s="1"/>
  <c r="AQ378" i="6"/>
  <c r="AE416" i="6" l="1"/>
  <c r="AF416" i="6" s="1"/>
  <c r="CM377" i="6"/>
  <c r="CF377" i="6" s="1"/>
  <c r="AK378" i="6"/>
  <c r="AC378" i="6"/>
  <c r="AR378" i="6"/>
  <c r="AE417" i="6" l="1"/>
  <c r="AF417" i="6"/>
  <c r="CN377" i="6"/>
  <c r="CG377" i="6" s="1"/>
  <c r="AL378" i="6"/>
  <c r="AS378" i="6"/>
  <c r="AE418" i="6" l="1"/>
  <c r="AF418" i="6" s="1"/>
  <c r="AM378" i="6"/>
  <c r="CO377" i="6"/>
  <c r="CH377" i="6" s="1"/>
  <c r="AT378" i="6"/>
  <c r="AE419" i="6" l="1"/>
  <c r="AF419" i="6"/>
  <c r="X378" i="6"/>
  <c r="AU378" i="6"/>
  <c r="AN378" i="6"/>
  <c r="CP377" i="6"/>
  <c r="T377" i="6" s="1"/>
  <c r="AE420" i="6" l="1"/>
  <c r="AF420" i="6" s="1"/>
  <c r="AA378" i="6"/>
  <c r="Y378" i="6"/>
  <c r="AB378" i="6" s="1"/>
  <c r="AV378" i="6"/>
  <c r="AW378" i="6" s="1"/>
  <c r="AE421" i="6" l="1"/>
  <c r="AF421" i="6"/>
  <c r="AX378" i="6"/>
  <c r="AE422" i="6" l="1"/>
  <c r="AF422" i="6"/>
  <c r="BH378" i="6"/>
  <c r="AY378" i="6"/>
  <c r="AE423" i="6" l="1"/>
  <c r="AF423" i="6" s="1"/>
  <c r="BI378" i="6"/>
  <c r="BJ378" i="6" s="1"/>
  <c r="BB378" i="6"/>
  <c r="BM378" i="6" s="1"/>
  <c r="BD378" i="6"/>
  <c r="BO378" i="6" s="1"/>
  <c r="BE378" i="6"/>
  <c r="BP378" i="6" s="1"/>
  <c r="BC378" i="6"/>
  <c r="BN378" i="6" s="1"/>
  <c r="BF378" i="6"/>
  <c r="BQ378" i="6" s="1"/>
  <c r="BG378" i="6"/>
  <c r="BR378" i="6" s="1"/>
  <c r="AZ378" i="6"/>
  <c r="BA378" i="6"/>
  <c r="BL378" i="6" s="1"/>
  <c r="AE424" i="6" l="1"/>
  <c r="AF424" i="6"/>
  <c r="BU378" i="6"/>
  <c r="BW378" i="6"/>
  <c r="BX378" i="6"/>
  <c r="BV378" i="6"/>
  <c r="BY378" i="6"/>
  <c r="BZ378" i="6"/>
  <c r="BT378" i="6"/>
  <c r="BK378" i="6"/>
  <c r="AE425" i="6" l="1"/>
  <c r="AF425" i="6"/>
  <c r="BS378" i="6"/>
  <c r="CA378" i="6" s="1"/>
  <c r="AE426" i="6" l="1"/>
  <c r="AF426" i="6" s="1"/>
  <c r="AG379" i="6"/>
  <c r="CI378" i="6"/>
  <c r="CB378" i="6" s="1"/>
  <c r="AE427" i="6" l="1"/>
  <c r="AF427" i="6"/>
  <c r="AO379" i="6"/>
  <c r="Q379" i="6"/>
  <c r="R379" i="6" s="1"/>
  <c r="S379" i="6" s="1"/>
  <c r="CJ378" i="6"/>
  <c r="CC378" i="6" s="1"/>
  <c r="AH379" i="6"/>
  <c r="AE428" i="6" l="1"/>
  <c r="AF428" i="6" s="1"/>
  <c r="AI379" i="6"/>
  <c r="CK378" i="6"/>
  <c r="CD378" i="6" s="1"/>
  <c r="AP379" i="6"/>
  <c r="AE429" i="6" l="1"/>
  <c r="AF429" i="6" s="1"/>
  <c r="AQ379" i="6"/>
  <c r="CL378" i="6"/>
  <c r="CE378" i="6" s="1"/>
  <c r="AJ379" i="6"/>
  <c r="W379" i="6" s="1"/>
  <c r="Z379" i="6" s="1"/>
  <c r="AE430" i="6" l="1"/>
  <c r="AF430" i="6"/>
  <c r="CM378" i="6"/>
  <c r="CF378" i="6" s="1"/>
  <c r="AK379" i="6"/>
  <c r="AC379" i="6"/>
  <c r="AR379" i="6"/>
  <c r="AE431" i="6" l="1"/>
  <c r="AF431" i="6"/>
  <c r="CN378" i="6"/>
  <c r="CG378" i="6" s="1"/>
  <c r="AL379" i="6"/>
  <c r="AS379" i="6"/>
  <c r="AE432" i="6" l="1"/>
  <c r="AF432" i="6"/>
  <c r="CO378" i="6"/>
  <c r="CH378" i="6" s="1"/>
  <c r="AM379" i="6"/>
  <c r="AT379" i="6"/>
  <c r="AE433" i="6" l="1"/>
  <c r="AF433" i="6"/>
  <c r="CP378" i="6"/>
  <c r="T378" i="6" s="1"/>
  <c r="AN379" i="6"/>
  <c r="X379" i="6"/>
  <c r="AU379" i="6"/>
  <c r="AE434" i="6" l="1"/>
  <c r="AF434" i="6"/>
  <c r="AV379" i="6"/>
  <c r="AW379" i="6" s="1"/>
  <c r="AA379" i="6"/>
  <c r="Y379" i="6"/>
  <c r="AB379" i="6" s="1"/>
  <c r="AE435" i="6" l="1"/>
  <c r="AF435" i="6" s="1"/>
  <c r="AX379" i="6"/>
  <c r="AE436" i="6" l="1"/>
  <c r="AF436" i="6" s="1"/>
  <c r="AY379" i="6"/>
  <c r="BH379" i="6"/>
  <c r="AE437" i="6" l="1"/>
  <c r="AF437" i="6"/>
  <c r="BD379" i="6"/>
  <c r="BO379" i="6" s="1"/>
  <c r="BB379" i="6"/>
  <c r="BM379" i="6" s="1"/>
  <c r="AZ379" i="6"/>
  <c r="BF379" i="6"/>
  <c r="BQ379" i="6" s="1"/>
  <c r="BG379" i="6"/>
  <c r="BR379" i="6" s="1"/>
  <c r="BC379" i="6"/>
  <c r="BN379" i="6" s="1"/>
  <c r="BE379" i="6"/>
  <c r="BP379" i="6" s="1"/>
  <c r="BA379" i="6"/>
  <c r="BL379" i="6" s="1"/>
  <c r="BI379" i="6"/>
  <c r="BJ379" i="6" s="1"/>
  <c r="BK379" i="6" s="1"/>
  <c r="AE438" i="6" l="1"/>
  <c r="AF438" i="6"/>
  <c r="BW379" i="6"/>
  <c r="BU379" i="6"/>
  <c r="BS379" i="6"/>
  <c r="CA379" i="6" s="1"/>
  <c r="BY379" i="6"/>
  <c r="BZ379" i="6"/>
  <c r="BV379" i="6"/>
  <c r="BX379" i="6"/>
  <c r="BT379" i="6"/>
  <c r="AE439" i="6" l="1"/>
  <c r="AF439" i="6" s="1"/>
  <c r="AG380" i="6"/>
  <c r="CI379" i="6"/>
  <c r="CB379" i="6"/>
  <c r="AE440" i="6" l="1"/>
  <c r="AF440" i="6"/>
  <c r="AO380" i="6"/>
  <c r="Q380" i="6"/>
  <c r="R380" i="6" s="1"/>
  <c r="S380" i="6" s="1"/>
  <c r="AH380" i="6"/>
  <c r="CJ379" i="6"/>
  <c r="CC379" i="6" s="1"/>
  <c r="AE441" i="6" l="1"/>
  <c r="AF441" i="6"/>
  <c r="AP380" i="6"/>
  <c r="AI380" i="6"/>
  <c r="CK379" i="6"/>
  <c r="CD379" i="6" s="1"/>
  <c r="AE442" i="6" l="1"/>
  <c r="AF442" i="6" s="1"/>
  <c r="W380" i="6"/>
  <c r="Z380" i="6" s="1"/>
  <c r="AQ380" i="6"/>
  <c r="CL379" i="6"/>
  <c r="CE379" i="6" s="1"/>
  <c r="AJ380" i="6"/>
  <c r="AE443" i="6" l="1"/>
  <c r="AF443" i="6" s="1"/>
  <c r="CM379" i="6"/>
  <c r="CF379" i="6" s="1"/>
  <c r="AK380" i="6"/>
  <c r="AC380" i="6"/>
  <c r="AR380" i="6"/>
  <c r="AE444" i="6" l="1"/>
  <c r="AF444" i="6"/>
  <c r="CN379" i="6"/>
  <c r="CG379" i="6" s="1"/>
  <c r="AL380" i="6"/>
  <c r="AS380" i="6"/>
  <c r="AE445" i="6" l="1"/>
  <c r="AF445" i="6" s="1"/>
  <c r="CO379" i="6"/>
  <c r="CH379" i="6" s="1"/>
  <c r="AM380" i="6"/>
  <c r="AT380" i="6"/>
  <c r="AE446" i="6" l="1"/>
  <c r="AF446" i="6"/>
  <c r="CP379" i="6"/>
  <c r="T379" i="6" s="1"/>
  <c r="AN380" i="6"/>
  <c r="X380" i="6"/>
  <c r="AU380" i="6"/>
  <c r="AE447" i="6" l="1"/>
  <c r="AF447" i="6" s="1"/>
  <c r="AV380" i="6"/>
  <c r="AW380" i="6" s="1"/>
  <c r="AA380" i="6"/>
  <c r="Y380" i="6"/>
  <c r="AB380" i="6" s="1"/>
  <c r="AE448" i="6" l="1"/>
  <c r="AF448" i="6"/>
  <c r="AX380" i="6"/>
  <c r="AE449" i="6" l="1"/>
  <c r="AF449" i="6" s="1"/>
  <c r="BH380" i="6"/>
  <c r="AY380" i="6"/>
  <c r="AE450" i="6" l="1"/>
  <c r="AF450" i="6"/>
  <c r="BI380" i="6"/>
  <c r="BJ380" i="6" s="1"/>
  <c r="BK380" i="6" s="1"/>
  <c r="AZ380" i="6"/>
  <c r="BA380" i="6"/>
  <c r="BL380" i="6" s="1"/>
  <c r="BG380" i="6"/>
  <c r="BR380" i="6" s="1"/>
  <c r="BB380" i="6"/>
  <c r="BM380" i="6" s="1"/>
  <c r="BC380" i="6"/>
  <c r="BN380" i="6" s="1"/>
  <c r="BD380" i="6"/>
  <c r="BO380" i="6" s="1"/>
  <c r="BE380" i="6"/>
  <c r="BP380" i="6" s="1"/>
  <c r="BF380" i="6"/>
  <c r="BQ380" i="6" s="1"/>
  <c r="AE451" i="6" l="1"/>
  <c r="AF451" i="6"/>
  <c r="BS380" i="6"/>
  <c r="CA380" i="6"/>
  <c r="BT380" i="6"/>
  <c r="BZ380" i="6"/>
  <c r="BU380" i="6"/>
  <c r="BV380" i="6"/>
  <c r="BW380" i="6"/>
  <c r="BX380" i="6"/>
  <c r="BY380" i="6"/>
  <c r="AE452" i="6" l="1"/>
  <c r="AF452" i="6"/>
  <c r="AG381" i="6"/>
  <c r="CI380" i="6"/>
  <c r="CB380" i="6" s="1"/>
  <c r="AE453" i="6" l="1"/>
  <c r="AF453" i="6" s="1"/>
  <c r="AO381" i="6"/>
  <c r="Q381" i="6"/>
  <c r="R381" i="6" s="1"/>
  <c r="S381" i="6" s="1"/>
  <c r="AH381" i="6"/>
  <c r="CJ380" i="6"/>
  <c r="CC380" i="6" s="1"/>
  <c r="AE454" i="6" l="1"/>
  <c r="AF454" i="6" s="1"/>
  <c r="AP381" i="6"/>
  <c r="CK380" i="6"/>
  <c r="CD380" i="6" s="1"/>
  <c r="AI381" i="6"/>
  <c r="AE455" i="6" l="1"/>
  <c r="AF455" i="6"/>
  <c r="CL380" i="6"/>
  <c r="CE380" i="6" s="1"/>
  <c r="AJ381" i="6"/>
  <c r="W381" i="6"/>
  <c r="Z381" i="6" s="1"/>
  <c r="AQ381" i="6"/>
  <c r="AE456" i="6" l="1"/>
  <c r="AF456" i="6"/>
  <c r="CM380" i="6"/>
  <c r="CF380" i="6" s="1"/>
  <c r="AK381" i="6"/>
  <c r="AR381" i="6"/>
  <c r="AC381" i="6"/>
  <c r="AE457" i="6" l="1"/>
  <c r="AF457" i="6"/>
  <c r="CN380" i="6"/>
  <c r="CG380" i="6" s="1"/>
  <c r="AL381" i="6"/>
  <c r="AS381" i="6"/>
  <c r="AE458" i="6" l="1"/>
  <c r="AF458" i="6"/>
  <c r="CO380" i="6"/>
  <c r="CH380" i="6" s="1"/>
  <c r="AM381" i="6"/>
  <c r="AT381" i="6"/>
  <c r="AE459" i="6" l="1"/>
  <c r="AF459" i="6"/>
  <c r="AN381" i="6"/>
  <c r="X381" i="6" s="1"/>
  <c r="CP380" i="6"/>
  <c r="T380" i="6" s="1"/>
  <c r="AU381" i="6"/>
  <c r="AE460" i="6" l="1"/>
  <c r="AF460" i="6"/>
  <c r="AV381" i="6"/>
  <c r="AW381" i="6" s="1"/>
  <c r="AA381" i="6"/>
  <c r="Y381" i="6"/>
  <c r="AB381" i="6" s="1"/>
  <c r="AX381" i="6"/>
  <c r="AE461" i="6" l="1"/>
  <c r="AF461" i="6"/>
  <c r="BH381" i="6"/>
  <c r="AY381" i="6"/>
  <c r="BE381" i="6"/>
  <c r="BP381" i="6" s="1"/>
  <c r="BF381" i="6"/>
  <c r="BQ381" i="6" s="1"/>
  <c r="AE462" i="6" l="1"/>
  <c r="AF462" i="6"/>
  <c r="BI381" i="6"/>
  <c r="BJ381" i="6" s="1"/>
  <c r="BD381" i="6"/>
  <c r="BO381" i="6" s="1"/>
  <c r="BG381" i="6"/>
  <c r="BR381" i="6" s="1"/>
  <c r="BB381" i="6"/>
  <c r="BM381" i="6" s="1"/>
  <c r="AZ381" i="6"/>
  <c r="BC381" i="6"/>
  <c r="BN381" i="6" s="1"/>
  <c r="BA381" i="6"/>
  <c r="BL381" i="6" s="1"/>
  <c r="BX381" i="6"/>
  <c r="BY381" i="6"/>
  <c r="AE463" i="6" l="1"/>
  <c r="AF463" i="6"/>
  <c r="BW381" i="6"/>
  <c r="BZ381" i="6"/>
  <c r="BU381" i="6"/>
  <c r="BV381" i="6"/>
  <c r="BT381" i="6"/>
  <c r="BK381" i="6"/>
  <c r="AE464" i="6" l="1"/>
  <c r="AF464" i="6" s="1"/>
  <c r="CA381" i="6"/>
  <c r="BS381" i="6"/>
  <c r="AE465" i="6" l="1"/>
  <c r="AF465" i="6" s="1"/>
  <c r="AG382" i="6"/>
  <c r="CI381" i="6"/>
  <c r="CB381" i="6" s="1"/>
  <c r="AH382" i="6" s="1"/>
  <c r="CJ381" i="6"/>
  <c r="CC381" i="6" s="1"/>
  <c r="AE466" i="6" l="1"/>
  <c r="AF466" i="6"/>
  <c r="AO382" i="6"/>
  <c r="Q382" i="6"/>
  <c r="R382" i="6" s="1"/>
  <c r="S382" i="6" s="1"/>
  <c r="AI382" i="6"/>
  <c r="CK381" i="6"/>
  <c r="CD381" i="6" s="1"/>
  <c r="AP382" i="6"/>
  <c r="AE467" i="6" l="1"/>
  <c r="AF467" i="6" s="1"/>
  <c r="AQ382" i="6"/>
  <c r="AJ382" i="6"/>
  <c r="CL381" i="6"/>
  <c r="CE381" i="6" s="1"/>
  <c r="AE468" i="6" l="1"/>
  <c r="AF468" i="6" s="1"/>
  <c r="W382" i="6"/>
  <c r="Z382" i="6" s="1"/>
  <c r="AC382" i="6"/>
  <c r="AR382" i="6"/>
  <c r="CM381" i="6"/>
  <c r="CF381" i="6" s="1"/>
  <c r="AK382" i="6"/>
  <c r="AE469" i="6" l="1"/>
  <c r="AF469" i="6"/>
  <c r="CN381" i="6"/>
  <c r="CG381" i="6" s="1"/>
  <c r="AL382" i="6"/>
  <c r="AS382" i="6"/>
  <c r="AE470" i="6" l="1"/>
  <c r="AF470" i="6"/>
  <c r="CO381" i="6"/>
  <c r="CH381" i="6" s="1"/>
  <c r="AM382" i="6"/>
  <c r="AT382" i="6"/>
  <c r="AE471" i="6" l="1"/>
  <c r="AF471" i="6"/>
  <c r="CP381" i="6"/>
  <c r="T381" i="6" s="1"/>
  <c r="AN382" i="6"/>
  <c r="X382" i="6"/>
  <c r="AU382" i="6"/>
  <c r="AE472" i="6" l="1"/>
  <c r="AF472" i="6"/>
  <c r="AV382" i="6"/>
  <c r="AW382" i="6" s="1"/>
  <c r="AA382" i="6"/>
  <c r="Y382" i="6"/>
  <c r="AB382" i="6" s="1"/>
  <c r="AX382" i="6"/>
  <c r="AE473" i="6" l="1"/>
  <c r="AF473" i="6"/>
  <c r="AY382" i="6"/>
  <c r="BH382" i="6"/>
  <c r="BC382" i="6"/>
  <c r="BN382" i="6" s="1"/>
  <c r="BD382" i="6"/>
  <c r="BO382" i="6" s="1"/>
  <c r="BE382" i="6"/>
  <c r="BP382" i="6" s="1"/>
  <c r="BF382" i="6"/>
  <c r="BQ382" i="6" s="1"/>
  <c r="BG382" i="6"/>
  <c r="BR382" i="6" s="1"/>
  <c r="BA382" i="6"/>
  <c r="BL382" i="6" s="1"/>
  <c r="AE474" i="6" l="1"/>
  <c r="AF474" i="6"/>
  <c r="BB382" i="6"/>
  <c r="BM382" i="6" s="1"/>
  <c r="AZ382" i="6"/>
  <c r="BI382" i="6"/>
  <c r="BJ382" i="6" s="1"/>
  <c r="BK382" i="6" s="1"/>
  <c r="BV382" i="6"/>
  <c r="BW382" i="6"/>
  <c r="BX382" i="6"/>
  <c r="BY382" i="6"/>
  <c r="BZ382" i="6"/>
  <c r="BT382" i="6"/>
  <c r="AE475" i="6" l="1"/>
  <c r="AF475" i="6" s="1"/>
  <c r="BU382" i="6"/>
  <c r="CA382" i="6"/>
  <c r="BS382" i="6"/>
  <c r="AE476" i="6" l="1"/>
  <c r="AF476" i="6"/>
  <c r="AG383" i="6"/>
  <c r="CI382" i="6"/>
  <c r="CB382" i="6" s="1"/>
  <c r="AE477" i="6" l="1"/>
  <c r="AF477" i="6" s="1"/>
  <c r="AO383" i="6"/>
  <c r="Q383" i="6"/>
  <c r="R383" i="6" s="1"/>
  <c r="S383" i="6" s="1"/>
  <c r="CJ382" i="6"/>
  <c r="CC382" i="6" s="1"/>
  <c r="AH383" i="6"/>
  <c r="AE478" i="6" l="1"/>
  <c r="AF478" i="6"/>
  <c r="CK382" i="6"/>
  <c r="CD382" i="6" s="1"/>
  <c r="AI383" i="6"/>
  <c r="AP383" i="6"/>
  <c r="AE479" i="6" l="1"/>
  <c r="AF479" i="6" s="1"/>
  <c r="CL382" i="6"/>
  <c r="CE382" i="6" s="1"/>
  <c r="AJ383" i="6"/>
  <c r="W383" i="6"/>
  <c r="Z383" i="6" s="1"/>
  <c r="AQ383" i="6"/>
  <c r="AE480" i="6" l="1"/>
  <c r="AF480" i="6" s="1"/>
  <c r="CM382" i="6"/>
  <c r="CF382" i="6" s="1"/>
  <c r="AK383" i="6"/>
  <c r="AR383" i="6"/>
  <c r="AC383" i="6"/>
  <c r="AE481" i="6" l="1"/>
  <c r="AF481" i="6" s="1"/>
  <c r="CN382" i="6"/>
  <c r="CG382" i="6" s="1"/>
  <c r="AL383" i="6"/>
  <c r="AS383" i="6"/>
  <c r="AE482" i="6" l="1"/>
  <c r="AF482" i="6"/>
  <c r="CO382" i="6"/>
  <c r="CH382" i="6" s="1"/>
  <c r="AM383" i="6"/>
  <c r="AT383" i="6"/>
  <c r="AE483" i="6" l="1"/>
  <c r="AF483" i="6" s="1"/>
  <c r="CP382" i="6"/>
  <c r="T382" i="6" s="1"/>
  <c r="AN383" i="6"/>
  <c r="X383" i="6"/>
  <c r="AU383" i="6"/>
  <c r="AE484" i="6" l="1"/>
  <c r="AF484" i="6"/>
  <c r="AV383" i="6"/>
  <c r="AW383" i="6" s="1"/>
  <c r="AA383" i="6"/>
  <c r="Y383" i="6"/>
  <c r="AB383" i="6" s="1"/>
  <c r="AE485" i="6" l="1"/>
  <c r="AF485" i="6" s="1"/>
  <c r="AX383" i="6"/>
  <c r="AE486" i="6" l="1"/>
  <c r="AF486" i="6"/>
  <c r="AY383" i="6"/>
  <c r="BH383" i="6"/>
  <c r="AE487" i="6" l="1"/>
  <c r="AF487" i="6"/>
  <c r="AZ383" i="6"/>
  <c r="BG383" i="6"/>
  <c r="BR383" i="6" s="1"/>
  <c r="BE383" i="6"/>
  <c r="BP383" i="6" s="1"/>
  <c r="BC383" i="6"/>
  <c r="BN383" i="6" s="1"/>
  <c r="BA383" i="6"/>
  <c r="BL383" i="6" s="1"/>
  <c r="BF383" i="6"/>
  <c r="BQ383" i="6" s="1"/>
  <c r="BD383" i="6"/>
  <c r="BO383" i="6" s="1"/>
  <c r="BB383" i="6"/>
  <c r="BM383" i="6" s="1"/>
  <c r="BI383" i="6"/>
  <c r="BJ383" i="6" s="1"/>
  <c r="AE488" i="6" l="1"/>
  <c r="AF488" i="6" s="1"/>
  <c r="BZ383" i="6"/>
  <c r="BX383" i="6"/>
  <c r="BV383" i="6"/>
  <c r="BT383" i="6"/>
  <c r="BY383" i="6"/>
  <c r="BW383" i="6"/>
  <c r="BU383" i="6"/>
  <c r="BK383" i="6"/>
  <c r="AE489" i="6" l="1"/>
  <c r="AF489" i="6"/>
  <c r="BS383" i="6"/>
  <c r="CA383" i="6"/>
  <c r="AE490" i="6" l="1"/>
  <c r="AF490" i="6" s="1"/>
  <c r="AG384" i="6"/>
  <c r="CI383" i="6"/>
  <c r="CB383" i="6" s="1"/>
  <c r="AE491" i="6" l="1"/>
  <c r="AF491" i="6"/>
  <c r="AO384" i="6"/>
  <c r="Q384" i="6"/>
  <c r="R384" i="6" s="1"/>
  <c r="S384" i="6" s="1"/>
  <c r="CJ383" i="6"/>
  <c r="CC383" i="6" s="1"/>
  <c r="AH384" i="6"/>
  <c r="AE492" i="6" l="1"/>
  <c r="AF492" i="6"/>
  <c r="AF2" i="6"/>
  <c r="CK383" i="6"/>
  <c r="CD383" i="6" s="1"/>
  <c r="AI384" i="6"/>
  <c r="AP384" i="6"/>
  <c r="AE493" i="6" l="1"/>
  <c r="AF493" i="6" s="1"/>
  <c r="AJ384" i="6"/>
  <c r="CL383" i="6"/>
  <c r="CE383" i="6" s="1"/>
  <c r="W384" i="6"/>
  <c r="Z384" i="6" s="1"/>
  <c r="AQ384" i="6"/>
  <c r="AE494" i="6" l="1"/>
  <c r="AF494" i="6" s="1"/>
  <c r="AC384" i="6"/>
  <c r="AR384" i="6"/>
  <c r="CM383" i="6"/>
  <c r="CF383" i="6" s="1"/>
  <c r="AK384" i="6"/>
  <c r="AE495" i="6" l="1"/>
  <c r="AF495" i="6" s="1"/>
  <c r="CN383" i="6"/>
  <c r="CG383" i="6" s="1"/>
  <c r="AL384" i="6"/>
  <c r="AS384" i="6"/>
  <c r="AE496" i="6" l="1"/>
  <c r="AF496" i="6"/>
  <c r="AM384" i="6"/>
  <c r="CO383" i="6"/>
  <c r="CH383" i="6" s="1"/>
  <c r="AT384" i="6"/>
  <c r="AE497" i="6" l="1"/>
  <c r="AF497" i="6" s="1"/>
  <c r="X384" i="6"/>
  <c r="AU384" i="6"/>
  <c r="AN384" i="6"/>
  <c r="CP383" i="6"/>
  <c r="T383" i="6" s="1"/>
  <c r="AE498" i="6" l="1"/>
  <c r="AF498" i="6"/>
  <c r="AA384" i="6"/>
  <c r="Y384" i="6"/>
  <c r="AB384" i="6" s="1"/>
  <c r="AV384" i="6"/>
  <c r="AW384" i="6" s="1"/>
  <c r="AE499" i="6" l="1"/>
  <c r="AF499" i="6" s="1"/>
  <c r="AX384" i="6"/>
  <c r="AE500" i="6" l="1"/>
  <c r="AF500" i="6" s="1"/>
  <c r="BH384" i="6"/>
  <c r="AY384" i="6"/>
  <c r="AE501" i="6" l="1"/>
  <c r="AF501" i="6"/>
  <c r="BI384" i="6"/>
  <c r="BJ384" i="6" s="1"/>
  <c r="BK384" i="6" s="1"/>
  <c r="BD384" i="6"/>
  <c r="BO384" i="6" s="1"/>
  <c r="AZ384" i="6"/>
  <c r="BA384" i="6"/>
  <c r="BL384" i="6" s="1"/>
  <c r="BB384" i="6"/>
  <c r="BM384" i="6" s="1"/>
  <c r="BC384" i="6"/>
  <c r="BN384" i="6" s="1"/>
  <c r="BE384" i="6"/>
  <c r="BP384" i="6" s="1"/>
  <c r="BF384" i="6"/>
  <c r="BQ384" i="6" s="1"/>
  <c r="BG384" i="6"/>
  <c r="BR384" i="6" s="1"/>
  <c r="AE502" i="6" l="1"/>
  <c r="AF502" i="6" s="1"/>
  <c r="BW384" i="6"/>
  <c r="BS384" i="6"/>
  <c r="CA384" i="6"/>
  <c r="BT384" i="6"/>
  <c r="BU384" i="6"/>
  <c r="BV384" i="6"/>
  <c r="BX384" i="6"/>
  <c r="BY384" i="6"/>
  <c r="BZ384" i="6"/>
  <c r="AE503" i="6" l="1"/>
  <c r="AF503" i="6"/>
  <c r="AG385" i="6"/>
  <c r="CI384" i="6"/>
  <c r="CB384" i="6"/>
  <c r="AE504" i="6" l="1"/>
  <c r="AF504" i="6"/>
  <c r="AO385" i="6"/>
  <c r="Q385" i="6"/>
  <c r="R385" i="6" s="1"/>
  <c r="S385" i="6" s="1"/>
  <c r="CJ384" i="6"/>
  <c r="CC384" i="6" s="1"/>
  <c r="AH385" i="6"/>
  <c r="CK384" i="6"/>
  <c r="CD384" i="6" s="1"/>
  <c r="AI385" i="6"/>
  <c r="AE505" i="6" l="1"/>
  <c r="AF505" i="6"/>
  <c r="AP385" i="6"/>
  <c r="CL384" i="6"/>
  <c r="CE384" i="6" s="1"/>
  <c r="AJ385" i="6"/>
  <c r="AQ385" i="6"/>
  <c r="AE506" i="6" l="1"/>
  <c r="AF506" i="6"/>
  <c r="CM384" i="6"/>
  <c r="CF384" i="6" s="1"/>
  <c r="AK385" i="6"/>
  <c r="W385" i="6"/>
  <c r="Z385" i="6" s="1"/>
  <c r="AC385" i="6"/>
  <c r="AR385" i="6"/>
  <c r="AE507" i="6" l="1"/>
  <c r="AF507" i="6"/>
  <c r="CN384" i="6"/>
  <c r="CG384" i="6" s="1"/>
  <c r="AL385" i="6"/>
  <c r="AS385" i="6"/>
  <c r="AE508" i="6" l="1"/>
  <c r="AF508" i="6" s="1"/>
  <c r="CO384" i="6"/>
  <c r="CH384" i="6" s="1"/>
  <c r="AM385" i="6"/>
  <c r="AT385" i="6"/>
  <c r="AE509" i="6" l="1"/>
  <c r="AF509" i="6"/>
  <c r="CP384" i="6"/>
  <c r="T384" i="6" s="1"/>
  <c r="AN385" i="6"/>
  <c r="X385" i="6"/>
  <c r="AU385" i="6"/>
  <c r="AE510" i="6" l="1"/>
  <c r="AF510" i="6"/>
  <c r="AV385" i="6"/>
  <c r="AW385" i="6" s="1"/>
  <c r="AA385" i="6"/>
  <c r="Y385" i="6"/>
  <c r="AB385" i="6" s="1"/>
  <c r="AE511" i="6" l="1"/>
  <c r="AF511" i="6" s="1"/>
  <c r="AX385" i="6"/>
  <c r="AE512" i="6" l="1"/>
  <c r="AF512" i="6" s="1"/>
  <c r="BH385" i="6"/>
  <c r="AY385" i="6"/>
  <c r="AE513" i="6" l="1"/>
  <c r="AF513" i="6" s="1"/>
  <c r="BI385" i="6"/>
  <c r="BJ385" i="6" s="1"/>
  <c r="BK385" i="6" s="1"/>
  <c r="AZ385" i="6"/>
  <c r="BF385" i="6"/>
  <c r="BQ385" i="6" s="1"/>
  <c r="BD385" i="6"/>
  <c r="BO385" i="6" s="1"/>
  <c r="BC385" i="6"/>
  <c r="BN385" i="6" s="1"/>
  <c r="BB385" i="6"/>
  <c r="BM385" i="6" s="1"/>
  <c r="BA385" i="6"/>
  <c r="BL385" i="6" s="1"/>
  <c r="BG385" i="6"/>
  <c r="BR385" i="6" s="1"/>
  <c r="BE385" i="6"/>
  <c r="BP385" i="6" s="1"/>
  <c r="AE514" i="6" l="1"/>
  <c r="AF514" i="6"/>
  <c r="BS385" i="6"/>
  <c r="CA385" i="6"/>
  <c r="BY385" i="6"/>
  <c r="BW385" i="6"/>
  <c r="BV385" i="6"/>
  <c r="BU385" i="6"/>
  <c r="BT385" i="6"/>
  <c r="BZ385" i="6"/>
  <c r="BX385" i="6"/>
  <c r="AE515" i="6" l="1"/>
  <c r="AF515" i="6" s="1"/>
  <c r="AG386" i="6"/>
  <c r="CI385" i="6"/>
  <c r="CB385" i="6" s="1"/>
  <c r="AH386" i="6"/>
  <c r="CJ385" i="6"/>
  <c r="CC385" i="6" s="1"/>
  <c r="AE516" i="6" l="1"/>
  <c r="AF516" i="6"/>
  <c r="AO386" i="6"/>
  <c r="Q386" i="6"/>
  <c r="R386" i="6" s="1"/>
  <c r="S386" i="6" s="1"/>
  <c r="AP386" i="6"/>
  <c r="CK385" i="6"/>
  <c r="CD385" i="6" s="1"/>
  <c r="AI386" i="6"/>
  <c r="AE517" i="6" l="1"/>
  <c r="AF517" i="6"/>
  <c r="CL385" i="6"/>
  <c r="CE385" i="6" s="1"/>
  <c r="AJ386" i="6"/>
  <c r="AQ386" i="6"/>
  <c r="AE518" i="6" l="1"/>
  <c r="AF518" i="6"/>
  <c r="CM385" i="6"/>
  <c r="CF385" i="6" s="1"/>
  <c r="AK386" i="6"/>
  <c r="W386" i="6"/>
  <c r="Z386" i="6" s="1"/>
  <c r="AC386" i="6"/>
  <c r="AR386" i="6"/>
  <c r="AE519" i="6" l="1"/>
  <c r="AF519" i="6"/>
  <c r="AL386" i="6"/>
  <c r="CN385" i="6"/>
  <c r="CG385" i="6" s="1"/>
  <c r="AS386" i="6"/>
  <c r="AE520" i="6" l="1"/>
  <c r="AF520" i="6"/>
  <c r="AT386" i="6"/>
  <c r="AM386" i="6"/>
  <c r="CO385" i="6"/>
  <c r="CH385" i="6" s="1"/>
  <c r="AE521" i="6" l="1"/>
  <c r="AF521" i="6"/>
  <c r="X386" i="6"/>
  <c r="AU386" i="6"/>
  <c r="CP385" i="6"/>
  <c r="T385" i="6" s="1"/>
  <c r="AN386" i="6"/>
  <c r="AE522" i="6" l="1"/>
  <c r="AF522" i="6"/>
  <c r="AA386" i="6"/>
  <c r="Y386" i="6"/>
  <c r="AB386" i="6" s="1"/>
  <c r="AV386" i="6"/>
  <c r="AW386" i="6" s="1"/>
  <c r="AE523" i="6" l="1"/>
  <c r="AF523" i="6" s="1"/>
  <c r="AX386" i="6"/>
  <c r="AE524" i="6" l="1"/>
  <c r="AF524" i="6" s="1"/>
  <c r="BH386" i="6"/>
  <c r="AY386" i="6"/>
  <c r="AE525" i="6" l="1"/>
  <c r="AF525" i="6" s="1"/>
  <c r="BI386" i="6"/>
  <c r="BJ386" i="6" s="1"/>
  <c r="BG386" i="6"/>
  <c r="BR386" i="6" s="1"/>
  <c r="BF386" i="6"/>
  <c r="BQ386" i="6" s="1"/>
  <c r="BE386" i="6"/>
  <c r="BP386" i="6" s="1"/>
  <c r="BD386" i="6"/>
  <c r="BO386" i="6" s="1"/>
  <c r="BC386" i="6"/>
  <c r="BN386" i="6" s="1"/>
  <c r="BB386" i="6"/>
  <c r="BM386" i="6" s="1"/>
  <c r="BA386" i="6"/>
  <c r="BL386" i="6" s="1"/>
  <c r="AZ386" i="6"/>
  <c r="AE526" i="6" l="1"/>
  <c r="AF526" i="6" s="1"/>
  <c r="BZ386" i="6"/>
  <c r="BY386" i="6"/>
  <c r="BX386" i="6"/>
  <c r="BW386" i="6"/>
  <c r="BV386" i="6"/>
  <c r="BU386" i="6"/>
  <c r="BT386" i="6"/>
  <c r="BK386" i="6"/>
  <c r="AE527" i="6" l="1"/>
  <c r="AF527" i="6"/>
  <c r="BS386" i="6"/>
  <c r="CA386" i="6" s="1"/>
  <c r="AE528" i="6" l="1"/>
  <c r="AF528" i="6" s="1"/>
  <c r="AG387" i="6"/>
  <c r="CI386" i="6"/>
  <c r="CB386" i="6" s="1"/>
  <c r="CJ386" i="6"/>
  <c r="CC386" i="6" s="1"/>
  <c r="AH387" i="6"/>
  <c r="AE529" i="6" l="1"/>
  <c r="AF529" i="6" s="1"/>
  <c r="AO387" i="6"/>
  <c r="Q387" i="6"/>
  <c r="R387" i="6" s="1"/>
  <c r="S387" i="6" s="1"/>
  <c r="CK386" i="6"/>
  <c r="CD386" i="6" s="1"/>
  <c r="AI387" i="6"/>
  <c r="AP387" i="6"/>
  <c r="AE530" i="6" l="1"/>
  <c r="AF530" i="6"/>
  <c r="CL386" i="6"/>
  <c r="CE386" i="6" s="1"/>
  <c r="AJ387" i="6"/>
  <c r="AQ387" i="6"/>
  <c r="AE531" i="6" l="1"/>
  <c r="AF531" i="6" s="1"/>
  <c r="AK387" i="6"/>
  <c r="CM386" i="6"/>
  <c r="CF386" i="6" s="1"/>
  <c r="W387" i="6"/>
  <c r="Z387" i="6" s="1"/>
  <c r="AC387" i="6"/>
  <c r="AR387" i="6"/>
  <c r="AE532" i="6" l="1"/>
  <c r="AF532" i="6"/>
  <c r="AS387" i="6"/>
  <c r="AL387" i="6"/>
  <c r="CN386" i="6"/>
  <c r="CG386" i="6" s="1"/>
  <c r="AE533" i="6" l="1"/>
  <c r="AF533" i="6" s="1"/>
  <c r="AT387" i="6"/>
  <c r="CO386" i="6"/>
  <c r="CH386" i="6" s="1"/>
  <c r="AM387" i="6"/>
  <c r="AE534" i="6" l="1"/>
  <c r="AF534" i="6" s="1"/>
  <c r="CP386" i="6"/>
  <c r="T386" i="6" s="1"/>
  <c r="AN387" i="6"/>
  <c r="X387" i="6" s="1"/>
  <c r="AU387" i="6"/>
  <c r="AE535" i="6" l="1"/>
  <c r="AF535" i="6" s="1"/>
  <c r="AV387" i="6"/>
  <c r="AW387" i="6" s="1"/>
  <c r="AA387" i="6"/>
  <c r="Y387" i="6"/>
  <c r="AB387" i="6" s="1"/>
  <c r="AE536" i="6" l="1"/>
  <c r="AF536" i="6" s="1"/>
  <c r="AX387" i="6"/>
  <c r="AE537" i="6" l="1"/>
  <c r="AF537" i="6"/>
  <c r="BH387" i="6"/>
  <c r="AY387" i="6"/>
  <c r="AE538" i="6" l="1"/>
  <c r="AF538" i="6" s="1"/>
  <c r="BI387" i="6"/>
  <c r="BJ387" i="6" s="1"/>
  <c r="BK387" i="6" s="1"/>
  <c r="BG387" i="6"/>
  <c r="BR387" i="6" s="1"/>
  <c r="BF387" i="6"/>
  <c r="BQ387" i="6" s="1"/>
  <c r="BA387" i="6"/>
  <c r="BL387" i="6" s="1"/>
  <c r="BE387" i="6"/>
  <c r="BP387" i="6" s="1"/>
  <c r="BD387" i="6"/>
  <c r="BO387" i="6" s="1"/>
  <c r="BC387" i="6"/>
  <c r="BN387" i="6" s="1"/>
  <c r="BB387" i="6"/>
  <c r="BM387" i="6" s="1"/>
  <c r="AZ387" i="6"/>
  <c r="AE539" i="6" l="1"/>
  <c r="AF539" i="6"/>
  <c r="BZ387" i="6"/>
  <c r="BY387" i="6"/>
  <c r="BT387" i="6"/>
  <c r="BX387" i="6"/>
  <c r="BW387" i="6"/>
  <c r="BV387" i="6"/>
  <c r="BU387" i="6"/>
  <c r="BS387" i="6"/>
  <c r="AE540" i="6" l="1"/>
  <c r="AF540" i="6"/>
  <c r="CA387" i="6"/>
  <c r="AE541" i="6" l="1"/>
  <c r="AF541" i="6"/>
  <c r="CI387" i="6"/>
  <c r="CB387" i="6" s="1"/>
  <c r="AG388" i="6"/>
  <c r="AE542" i="6" l="1"/>
  <c r="AF542" i="6"/>
  <c r="AH388" i="6"/>
  <c r="CJ387" i="6"/>
  <c r="CC387" i="6" s="1"/>
  <c r="AO388" i="6"/>
  <c r="Q388" i="6"/>
  <c r="R388" i="6" s="1"/>
  <c r="S388" i="6" s="1"/>
  <c r="AE543" i="6" l="1"/>
  <c r="AF543" i="6" s="1"/>
  <c r="AP388" i="6"/>
  <c r="CK387" i="6"/>
  <c r="CD387" i="6" s="1"/>
  <c r="AI388" i="6"/>
  <c r="AE544" i="6" l="1"/>
  <c r="AF544" i="6"/>
  <c r="CL387" i="6"/>
  <c r="CE387" i="6" s="1"/>
  <c r="AJ388" i="6"/>
  <c r="W388" i="6"/>
  <c r="Z388" i="6" s="1"/>
  <c r="AQ388" i="6"/>
  <c r="AE545" i="6" l="1"/>
  <c r="AF545" i="6"/>
  <c r="CM387" i="6"/>
  <c r="CF387" i="6" s="1"/>
  <c r="AK388" i="6"/>
  <c r="AC388" i="6"/>
  <c r="AR388" i="6"/>
  <c r="AE546" i="6" l="1"/>
  <c r="AF546" i="6"/>
  <c r="CN387" i="6"/>
  <c r="CG387" i="6" s="1"/>
  <c r="AL388" i="6"/>
  <c r="AS388" i="6"/>
  <c r="AE547" i="6" l="1"/>
  <c r="AF547" i="6" s="1"/>
  <c r="CO387" i="6"/>
  <c r="CH387" i="6" s="1"/>
  <c r="AM388" i="6"/>
  <c r="AT388" i="6"/>
  <c r="AE548" i="6" l="1"/>
  <c r="AF548" i="6"/>
  <c r="CP387" i="6"/>
  <c r="T387" i="6" s="1"/>
  <c r="AN388" i="6"/>
  <c r="X388" i="6"/>
  <c r="AU388" i="6"/>
  <c r="AE549" i="6" l="1"/>
  <c r="AF549" i="6" s="1"/>
  <c r="AV388" i="6"/>
  <c r="AW388" i="6" s="1"/>
  <c r="AA388" i="6"/>
  <c r="Y388" i="6"/>
  <c r="AB388" i="6" s="1"/>
  <c r="AE550" i="6" l="1"/>
  <c r="AF550" i="6" s="1"/>
  <c r="AX388" i="6"/>
  <c r="AE551" i="6" l="1"/>
  <c r="AF551" i="6"/>
  <c r="BH388" i="6"/>
  <c r="AY388" i="6"/>
  <c r="BI388" i="6" l="1"/>
  <c r="BJ388" i="6" s="1"/>
  <c r="BK388" i="6" s="1"/>
  <c r="BB388" i="6"/>
  <c r="BM388" i="6" s="1"/>
  <c r="AZ388" i="6"/>
  <c r="BA388" i="6"/>
  <c r="BL388" i="6" s="1"/>
  <c r="BC388" i="6"/>
  <c r="BN388" i="6" s="1"/>
  <c r="BD388" i="6"/>
  <c r="BO388" i="6" s="1"/>
  <c r="BG388" i="6"/>
  <c r="BR388" i="6" s="1"/>
  <c r="BE388" i="6"/>
  <c r="BP388" i="6" s="1"/>
  <c r="BF388" i="6"/>
  <c r="BQ388" i="6" s="1"/>
  <c r="BU388" i="6" l="1"/>
  <c r="BS388" i="6"/>
  <c r="CA388" i="6" s="1"/>
  <c r="BT388" i="6"/>
  <c r="BV388" i="6"/>
  <c r="BW388" i="6"/>
  <c r="BZ388" i="6"/>
  <c r="BX388" i="6"/>
  <c r="BY388" i="6"/>
  <c r="AG389" i="6" l="1"/>
  <c r="CI388" i="6"/>
  <c r="CB388" i="6" s="1"/>
  <c r="AH389" i="6"/>
  <c r="CJ388" i="6"/>
  <c r="CC388" i="6" s="1"/>
  <c r="AO389" i="6" l="1"/>
  <c r="Q389" i="6"/>
  <c r="R389" i="6" s="1"/>
  <c r="S389" i="6" s="1"/>
  <c r="AP389" i="6"/>
  <c r="CK388" i="6"/>
  <c r="CD388" i="6" s="1"/>
  <c r="AI389" i="6"/>
  <c r="CL388" i="6" l="1"/>
  <c r="CE388" i="6" s="1"/>
  <c r="AJ389" i="6"/>
  <c r="AQ389" i="6"/>
  <c r="CM388" i="6" l="1"/>
  <c r="CF388" i="6" s="1"/>
  <c r="AK389" i="6"/>
  <c r="W389" i="6"/>
  <c r="Z389" i="6" s="1"/>
  <c r="AC389" i="6"/>
  <c r="AR389" i="6"/>
  <c r="CN388" i="6" l="1"/>
  <c r="CG388" i="6" s="1"/>
  <c r="AL389" i="6"/>
  <c r="AS389" i="6"/>
  <c r="CO388" i="6" l="1"/>
  <c r="CH388" i="6" s="1"/>
  <c r="AM389" i="6"/>
  <c r="AT389" i="6"/>
  <c r="CP388" i="6" l="1"/>
  <c r="T388" i="6" s="1"/>
  <c r="AN389" i="6"/>
  <c r="X389" i="6"/>
  <c r="AU389" i="6"/>
  <c r="AV389" i="6" l="1"/>
  <c r="AW389" i="6" s="1"/>
  <c r="AA389" i="6"/>
  <c r="Y389" i="6"/>
  <c r="AB389" i="6" s="1"/>
  <c r="AX389" i="6" l="1"/>
  <c r="AY389" i="6" l="1"/>
  <c r="BH389" i="6"/>
  <c r="BA389" i="6" l="1"/>
  <c r="BL389" i="6" s="1"/>
  <c r="BC389" i="6"/>
  <c r="BN389" i="6" s="1"/>
  <c r="BE389" i="6"/>
  <c r="BP389" i="6" s="1"/>
  <c r="BG389" i="6"/>
  <c r="BR389" i="6" s="1"/>
  <c r="AZ389" i="6"/>
  <c r="BB389" i="6"/>
  <c r="BM389" i="6" s="1"/>
  <c r="BD389" i="6"/>
  <c r="BO389" i="6" s="1"/>
  <c r="BF389" i="6"/>
  <c r="BQ389" i="6" s="1"/>
  <c r="BI389" i="6"/>
  <c r="BJ389" i="6" s="1"/>
  <c r="BT389" i="6" l="1"/>
  <c r="BV389" i="6"/>
  <c r="BX389" i="6"/>
  <c r="BZ389" i="6"/>
  <c r="BU389" i="6"/>
  <c r="BW389" i="6"/>
  <c r="BY389" i="6"/>
  <c r="BK389" i="6"/>
  <c r="BS389" i="6" l="1"/>
  <c r="CA389" i="6"/>
  <c r="AG390" i="6" l="1"/>
  <c r="CI389" i="6"/>
  <c r="CB389" i="6" s="1"/>
  <c r="AO390" i="6" l="1"/>
  <c r="Q390" i="6"/>
  <c r="R390" i="6" s="1"/>
  <c r="S390" i="6" s="1"/>
  <c r="AH390" i="6"/>
  <c r="CJ389" i="6"/>
  <c r="CC389" i="6" s="1"/>
  <c r="AP390" i="6" l="1"/>
  <c r="AI390" i="6"/>
  <c r="CK389" i="6"/>
  <c r="CD389" i="6" s="1"/>
  <c r="AQ390" i="6" l="1"/>
  <c r="AJ390" i="6"/>
  <c r="W390" i="6" s="1"/>
  <c r="Z390" i="6" s="1"/>
  <c r="CL389" i="6"/>
  <c r="CE389" i="6" s="1"/>
  <c r="AC390" i="6" l="1"/>
  <c r="AR390" i="6"/>
  <c r="CM389" i="6"/>
  <c r="CF389" i="6" s="1"/>
  <c r="AK390" i="6"/>
  <c r="CN389" i="6" l="1"/>
  <c r="CG389" i="6" s="1"/>
  <c r="AL390" i="6"/>
  <c r="AS390" i="6"/>
  <c r="CO389" i="6" l="1"/>
  <c r="CH389" i="6" s="1"/>
  <c r="AM390" i="6"/>
  <c r="AT390" i="6"/>
  <c r="CP389" i="6" l="1"/>
  <c r="T389" i="6" s="1"/>
  <c r="AN390" i="6"/>
  <c r="X390" i="6"/>
  <c r="AU390" i="6"/>
  <c r="AV390" i="6" l="1"/>
  <c r="AW390" i="6" s="1"/>
  <c r="AA390" i="6"/>
  <c r="Y390" i="6"/>
  <c r="AB390" i="6" s="1"/>
  <c r="AX390" i="6" l="1"/>
  <c r="BH390" i="6" l="1"/>
  <c r="AY390" i="6"/>
  <c r="BI390" i="6" l="1"/>
  <c r="BJ390" i="6" s="1"/>
  <c r="BG390" i="6"/>
  <c r="BR390" i="6" s="1"/>
  <c r="AZ390" i="6"/>
  <c r="BA390" i="6"/>
  <c r="BL390" i="6" s="1"/>
  <c r="BB390" i="6"/>
  <c r="BM390" i="6" s="1"/>
  <c r="BC390" i="6"/>
  <c r="BN390" i="6" s="1"/>
  <c r="BD390" i="6"/>
  <c r="BO390" i="6" s="1"/>
  <c r="BE390" i="6"/>
  <c r="BP390" i="6" s="1"/>
  <c r="BF390" i="6"/>
  <c r="BQ390" i="6" s="1"/>
  <c r="BZ390" i="6" l="1"/>
  <c r="BT390" i="6"/>
  <c r="BU390" i="6"/>
  <c r="BV390" i="6"/>
  <c r="BW390" i="6"/>
  <c r="BX390" i="6"/>
  <c r="BY390" i="6"/>
  <c r="BK390" i="6"/>
  <c r="CA390" i="6" l="1"/>
  <c r="BS390" i="6"/>
  <c r="AG391" i="6" l="1"/>
  <c r="CI390" i="6"/>
  <c r="CB390" i="6" s="1"/>
  <c r="AO391" i="6" l="1"/>
  <c r="Q391" i="6"/>
  <c r="R391" i="6" s="1"/>
  <c r="S391" i="6" s="1"/>
  <c r="CJ390" i="6"/>
  <c r="CC390" i="6" s="1"/>
  <c r="AH391" i="6"/>
  <c r="AI391" i="6" l="1"/>
  <c r="CK390" i="6"/>
  <c r="CD390" i="6" s="1"/>
  <c r="AP391" i="6"/>
  <c r="AQ391" i="6" l="1"/>
  <c r="AJ391" i="6"/>
  <c r="W391" i="6" s="1"/>
  <c r="Z391" i="6" s="1"/>
  <c r="CL390" i="6"/>
  <c r="CE390" i="6" s="1"/>
  <c r="AR391" i="6" l="1"/>
  <c r="AC391" i="6"/>
  <c r="AK391" i="6"/>
  <c r="CM390" i="6"/>
  <c r="CF390" i="6" s="1"/>
  <c r="AS391" i="6" l="1"/>
  <c r="CN390" i="6"/>
  <c r="CG390" i="6" s="1"/>
  <c r="AL391" i="6"/>
  <c r="CO390" i="6" l="1"/>
  <c r="CH390" i="6" s="1"/>
  <c r="AM391" i="6"/>
  <c r="AT391" i="6"/>
  <c r="CP390" i="6" l="1"/>
  <c r="T390" i="6" s="1"/>
  <c r="AN391" i="6"/>
  <c r="X391" i="6"/>
  <c r="AU391" i="6"/>
  <c r="AV391" i="6" l="1"/>
  <c r="AW391" i="6" s="1"/>
  <c r="AA391" i="6"/>
  <c r="Y391" i="6"/>
  <c r="AB391" i="6" s="1"/>
  <c r="AX391" i="6" l="1"/>
  <c r="BH391" i="6" l="1"/>
  <c r="AY391" i="6"/>
  <c r="BI391" i="6" l="1"/>
  <c r="BJ391" i="6" s="1"/>
  <c r="BE391" i="6"/>
  <c r="BP391" i="6" s="1"/>
  <c r="BF391" i="6"/>
  <c r="BQ391" i="6" s="1"/>
  <c r="BG391" i="6"/>
  <c r="BR391" i="6" s="1"/>
  <c r="BA391" i="6"/>
  <c r="BL391" i="6" s="1"/>
  <c r="BB391" i="6"/>
  <c r="BM391" i="6" s="1"/>
  <c r="BC391" i="6"/>
  <c r="BN391" i="6" s="1"/>
  <c r="AZ391" i="6"/>
  <c r="BD391" i="6"/>
  <c r="BO391" i="6" s="1"/>
  <c r="BX391" i="6" l="1"/>
  <c r="BY391" i="6"/>
  <c r="BZ391" i="6"/>
  <c r="BT391" i="6"/>
  <c r="BU391" i="6"/>
  <c r="BV391" i="6"/>
  <c r="BW391" i="6"/>
  <c r="BK391" i="6"/>
  <c r="CA391" i="6" l="1"/>
  <c r="BS391" i="6"/>
  <c r="AG392" i="6" l="1"/>
  <c r="CI391" i="6"/>
  <c r="CB391" i="6" s="1"/>
  <c r="AO392" i="6" l="1"/>
  <c r="Q392" i="6"/>
  <c r="R392" i="6" s="1"/>
  <c r="S392" i="6" s="1"/>
  <c r="AH392" i="6"/>
  <c r="CJ391" i="6"/>
  <c r="CC391" i="6" s="1"/>
  <c r="AP392" i="6" l="1"/>
  <c r="AI392" i="6"/>
  <c r="CK391" i="6"/>
  <c r="CD391" i="6" s="1"/>
  <c r="W392" i="6" l="1"/>
  <c r="Z392" i="6" s="1"/>
  <c r="AQ392" i="6"/>
  <c r="CL391" i="6"/>
  <c r="CE391" i="6" s="1"/>
  <c r="AJ392" i="6"/>
  <c r="CM391" i="6" l="1"/>
  <c r="CF391" i="6" s="1"/>
  <c r="AK392" i="6"/>
  <c r="AC392" i="6"/>
  <c r="AR392" i="6"/>
  <c r="CN391" i="6" l="1"/>
  <c r="CG391" i="6" s="1"/>
  <c r="AL392" i="6"/>
  <c r="AS392" i="6"/>
  <c r="CO391" i="6" l="1"/>
  <c r="CH391" i="6" s="1"/>
  <c r="AM392" i="6"/>
  <c r="AT392" i="6"/>
  <c r="CP391" i="6" l="1"/>
  <c r="T391" i="6" s="1"/>
  <c r="AN392" i="6"/>
  <c r="X392" i="6"/>
  <c r="AU392" i="6"/>
  <c r="AV392" i="6" l="1"/>
  <c r="AW392" i="6" s="1"/>
  <c r="AA392" i="6"/>
  <c r="Y392" i="6"/>
  <c r="AB392" i="6" s="1"/>
  <c r="AX392" i="6" l="1"/>
  <c r="BH392" i="6" l="1"/>
  <c r="AY392" i="6"/>
  <c r="BI392" i="6" l="1"/>
  <c r="BJ392" i="6" s="1"/>
  <c r="BK392" i="6" s="1"/>
  <c r="BA392" i="6"/>
  <c r="BL392" i="6" s="1"/>
  <c r="BB392" i="6"/>
  <c r="BM392" i="6" s="1"/>
  <c r="BC392" i="6"/>
  <c r="BN392" i="6" s="1"/>
  <c r="BE392" i="6"/>
  <c r="BP392" i="6" s="1"/>
  <c r="AZ392" i="6"/>
  <c r="BD392" i="6"/>
  <c r="BO392" i="6" s="1"/>
  <c r="BF392" i="6"/>
  <c r="BQ392" i="6" s="1"/>
  <c r="BG392" i="6"/>
  <c r="BR392" i="6" s="1"/>
  <c r="BT392" i="6" l="1"/>
  <c r="BU392" i="6"/>
  <c r="BV392" i="6"/>
  <c r="BX392" i="6"/>
  <c r="BS392" i="6"/>
  <c r="CA392" i="6"/>
  <c r="BW392" i="6"/>
  <c r="BY392" i="6"/>
  <c r="BZ392" i="6"/>
  <c r="AG393" i="6" l="1"/>
  <c r="CI392" i="6"/>
  <c r="CB392" i="6" s="1"/>
  <c r="AO393" i="6" l="1"/>
  <c r="Q393" i="6"/>
  <c r="R393" i="6" s="1"/>
  <c r="S393" i="6" s="1"/>
  <c r="CJ392" i="6"/>
  <c r="CC392" i="6" s="1"/>
  <c r="AH393" i="6"/>
  <c r="CK392" i="6" l="1"/>
  <c r="CD392" i="6" s="1"/>
  <c r="AI393" i="6"/>
  <c r="AP393" i="6"/>
  <c r="CL392" i="6" l="1"/>
  <c r="CE392" i="6" s="1"/>
  <c r="AJ393" i="6"/>
  <c r="W393" i="6"/>
  <c r="Z393" i="6" s="1"/>
  <c r="AQ393" i="6"/>
  <c r="CM392" i="6" l="1"/>
  <c r="CF392" i="6" s="1"/>
  <c r="AK393" i="6"/>
  <c r="AC393" i="6"/>
  <c r="AR393" i="6"/>
  <c r="CN392" i="6" l="1"/>
  <c r="CG392" i="6" s="1"/>
  <c r="AL393" i="6"/>
  <c r="AS393" i="6"/>
  <c r="CO392" i="6" l="1"/>
  <c r="CH392" i="6" s="1"/>
  <c r="AM393" i="6"/>
  <c r="AT393" i="6"/>
  <c r="CP392" i="6" l="1"/>
  <c r="T392" i="6" s="1"/>
  <c r="AN393" i="6"/>
  <c r="X393" i="6"/>
  <c r="AU393" i="6"/>
  <c r="AV393" i="6" l="1"/>
  <c r="AW393" i="6" s="1"/>
  <c r="AA393" i="6"/>
  <c r="Y393" i="6"/>
  <c r="AB393" i="6" s="1"/>
  <c r="AX393" i="6" l="1"/>
  <c r="AY393" i="6" l="1"/>
  <c r="BH393" i="6"/>
  <c r="BD393" i="6" l="1"/>
  <c r="BO393" i="6" s="1"/>
  <c r="BB393" i="6"/>
  <c r="BM393" i="6" s="1"/>
  <c r="BA393" i="6"/>
  <c r="BL393" i="6" s="1"/>
  <c r="BF393" i="6"/>
  <c r="BQ393" i="6" s="1"/>
  <c r="BE393" i="6"/>
  <c r="BP393" i="6" s="1"/>
  <c r="BC393" i="6"/>
  <c r="BN393" i="6" s="1"/>
  <c r="AZ393" i="6"/>
  <c r="BG393" i="6"/>
  <c r="BR393" i="6" s="1"/>
  <c r="BI393" i="6"/>
  <c r="BJ393" i="6" s="1"/>
  <c r="BK393" i="6" s="1"/>
  <c r="BW393" i="6" l="1"/>
  <c r="BU393" i="6"/>
  <c r="BT393" i="6"/>
  <c r="BY393" i="6"/>
  <c r="BX393" i="6"/>
  <c r="BV393" i="6"/>
  <c r="BS393" i="6"/>
  <c r="CA393" i="6" s="1"/>
  <c r="BZ393" i="6"/>
  <c r="AG394" i="6" l="1"/>
  <c r="CI393" i="6"/>
  <c r="CB393" i="6" s="1"/>
  <c r="AO394" i="6" l="1"/>
  <c r="Q394" i="6"/>
  <c r="R394" i="6" s="1"/>
  <c r="S394" i="6" s="1"/>
  <c r="CJ393" i="6"/>
  <c r="CC393" i="6" s="1"/>
  <c r="AH394" i="6"/>
  <c r="AI394" i="6" l="1"/>
  <c r="CK393" i="6"/>
  <c r="CD393" i="6" s="1"/>
  <c r="AP394" i="6"/>
  <c r="AQ394" i="6" l="1"/>
  <c r="CL393" i="6"/>
  <c r="CE393" i="6" s="1"/>
  <c r="AJ394" i="6"/>
  <c r="W394" i="6" s="1"/>
  <c r="Z394" i="6" s="1"/>
  <c r="CM393" i="6" l="1"/>
  <c r="CF393" i="6" s="1"/>
  <c r="AK394" i="6"/>
  <c r="AC394" i="6"/>
  <c r="AR394" i="6"/>
  <c r="CN393" i="6" l="1"/>
  <c r="CG393" i="6" s="1"/>
  <c r="AL394" i="6"/>
  <c r="AS394" i="6"/>
  <c r="CO393" i="6" l="1"/>
  <c r="CH393" i="6" s="1"/>
  <c r="AM394" i="6"/>
  <c r="AT394" i="6"/>
  <c r="CP393" i="6" l="1"/>
  <c r="T393" i="6" s="1"/>
  <c r="AN394" i="6"/>
  <c r="X394" i="6" s="1"/>
  <c r="AU394" i="6"/>
  <c r="AV394" i="6" l="1"/>
  <c r="AW394" i="6" s="1"/>
  <c r="AA394" i="6"/>
  <c r="Y394" i="6"/>
  <c r="AB394" i="6" s="1"/>
  <c r="AX394" i="6" l="1"/>
  <c r="AY394" i="6" l="1"/>
  <c r="BH394" i="6"/>
  <c r="BA394" i="6" l="1"/>
  <c r="BL394" i="6" s="1"/>
  <c r="BD394" i="6"/>
  <c r="BO394" i="6" s="1"/>
  <c r="BC394" i="6"/>
  <c r="BN394" i="6" s="1"/>
  <c r="BB394" i="6"/>
  <c r="BM394" i="6" s="1"/>
  <c r="BE394" i="6"/>
  <c r="BP394" i="6" s="1"/>
  <c r="BF394" i="6"/>
  <c r="BQ394" i="6" s="1"/>
  <c r="AZ394" i="6"/>
  <c r="BG394" i="6"/>
  <c r="BR394" i="6" s="1"/>
  <c r="BI394" i="6"/>
  <c r="BJ394" i="6" s="1"/>
  <c r="BK394" i="6" s="1"/>
  <c r="BT394" i="6" l="1"/>
  <c r="BW394" i="6"/>
  <c r="BV394" i="6"/>
  <c r="BU394" i="6"/>
  <c r="BX394" i="6"/>
  <c r="BY394" i="6"/>
  <c r="BS394" i="6"/>
  <c r="CA394" i="6" s="1"/>
  <c r="BZ394" i="6"/>
  <c r="AG395" i="6" l="1"/>
  <c r="CI394" i="6"/>
  <c r="CB394" i="6" s="1"/>
  <c r="AO395" i="6" l="1"/>
  <c r="Q395" i="6"/>
  <c r="R395" i="6" s="1"/>
  <c r="S395" i="6" s="1"/>
  <c r="CJ394" i="6"/>
  <c r="CC394" i="6" s="1"/>
  <c r="AH395" i="6"/>
  <c r="AP395" i="6" l="1"/>
  <c r="CK394" i="6"/>
  <c r="CD394" i="6" s="1"/>
  <c r="AI395" i="6"/>
  <c r="AJ395" i="6" l="1"/>
  <c r="CL394" i="6"/>
  <c r="CE394" i="6" s="1"/>
  <c r="AQ395" i="6"/>
  <c r="W395" i="6"/>
  <c r="Z395" i="6" s="1"/>
  <c r="AR395" i="6" l="1"/>
  <c r="AC395" i="6"/>
  <c r="AK395" i="6"/>
  <c r="CM394" i="6"/>
  <c r="CF394" i="6" s="1"/>
  <c r="AS395" i="6" l="1"/>
  <c r="CN394" i="6"/>
  <c r="CG394" i="6" s="1"/>
  <c r="AL395" i="6"/>
  <c r="AM395" i="6" l="1"/>
  <c r="CO394" i="6"/>
  <c r="CH394" i="6" s="1"/>
  <c r="AT395" i="6"/>
  <c r="AU395" i="6" l="1"/>
  <c r="AN395" i="6"/>
  <c r="X395" i="6" s="1"/>
  <c r="CP394" i="6"/>
  <c r="T394" i="6" s="1"/>
  <c r="AA395" i="6" l="1"/>
  <c r="Y395" i="6"/>
  <c r="AB395" i="6" s="1"/>
  <c r="AV395" i="6"/>
  <c r="AW395" i="6" s="1"/>
  <c r="AX395" i="6" l="1"/>
  <c r="BH395" i="6" l="1"/>
  <c r="AY395" i="6"/>
  <c r="BI395" i="6" l="1"/>
  <c r="BJ395" i="6" s="1"/>
  <c r="BF395" i="6"/>
  <c r="BQ395" i="6" s="1"/>
  <c r="BC395" i="6"/>
  <c r="BN395" i="6" s="1"/>
  <c r="BG395" i="6"/>
  <c r="BR395" i="6" s="1"/>
  <c r="BA395" i="6"/>
  <c r="BL395" i="6" s="1"/>
  <c r="AZ395" i="6"/>
  <c r="BB395" i="6"/>
  <c r="BM395" i="6" s="1"/>
  <c r="BD395" i="6"/>
  <c r="BO395" i="6" s="1"/>
  <c r="BE395" i="6"/>
  <c r="BP395" i="6" s="1"/>
  <c r="BY395" i="6" l="1"/>
  <c r="BV395" i="6"/>
  <c r="BZ395" i="6"/>
  <c r="BT395" i="6"/>
  <c r="BU395" i="6"/>
  <c r="BW395" i="6"/>
  <c r="BX395" i="6"/>
  <c r="BK395" i="6"/>
  <c r="BS395" i="6" l="1"/>
  <c r="CA395" i="6" s="1"/>
  <c r="CI395" i="6" l="1"/>
  <c r="CB395" i="6" s="1"/>
  <c r="AG396" i="6"/>
  <c r="AO396" i="6" l="1"/>
  <c r="Q396" i="6"/>
  <c r="R396" i="6" s="1"/>
  <c r="S396" i="6" s="1"/>
  <c r="AH396" i="6"/>
  <c r="CJ395" i="6"/>
  <c r="CC395" i="6" s="1"/>
  <c r="AP396" i="6" l="1"/>
  <c r="AI396" i="6"/>
  <c r="CK395" i="6"/>
  <c r="CD395" i="6" s="1"/>
  <c r="W396" i="6" l="1"/>
  <c r="Z396" i="6" s="1"/>
  <c r="AQ396" i="6"/>
  <c r="AJ396" i="6"/>
  <c r="CL395" i="6"/>
  <c r="CE395" i="6" s="1"/>
  <c r="AR396" i="6" l="1"/>
  <c r="AC396" i="6"/>
  <c r="AK396" i="6"/>
  <c r="CM395" i="6"/>
  <c r="CF395" i="6" s="1"/>
  <c r="AS396" i="6" l="1"/>
  <c r="AL396" i="6"/>
  <c r="CN395" i="6"/>
  <c r="CG395" i="6" s="1"/>
  <c r="AT396" i="6" l="1"/>
  <c r="AM396" i="6"/>
  <c r="CO395" i="6"/>
  <c r="CH395" i="6" s="1"/>
  <c r="AU396" i="6" l="1"/>
  <c r="AN396" i="6"/>
  <c r="X396" i="6" s="1"/>
  <c r="CP395" i="6"/>
  <c r="T395" i="6" s="1"/>
  <c r="AA396" i="6" l="1"/>
  <c r="Y396" i="6"/>
  <c r="AB396" i="6" s="1"/>
  <c r="AV396" i="6"/>
  <c r="AW396" i="6" s="1"/>
  <c r="AX396" i="6" l="1"/>
  <c r="BH396" i="6" l="1"/>
  <c r="AY396" i="6"/>
  <c r="BI396" i="6" l="1"/>
  <c r="BJ396" i="6" s="1"/>
  <c r="BK396" i="6" s="1"/>
  <c r="BG396" i="6"/>
  <c r="BR396" i="6" s="1"/>
  <c r="AZ396" i="6"/>
  <c r="BA396" i="6"/>
  <c r="BL396" i="6" s="1"/>
  <c r="BB396" i="6"/>
  <c r="BM396" i="6" s="1"/>
  <c r="BC396" i="6"/>
  <c r="BN396" i="6" s="1"/>
  <c r="BD396" i="6"/>
  <c r="BO396" i="6" s="1"/>
  <c r="BE396" i="6"/>
  <c r="BP396" i="6" s="1"/>
  <c r="BF396" i="6"/>
  <c r="BQ396" i="6" s="1"/>
  <c r="BZ396" i="6" l="1"/>
  <c r="BS396" i="6"/>
  <c r="CA396" i="6"/>
  <c r="BT396" i="6"/>
  <c r="BU396" i="6"/>
  <c r="BV396" i="6"/>
  <c r="BW396" i="6"/>
  <c r="BX396" i="6"/>
  <c r="BY396" i="6"/>
  <c r="CI396" i="6" l="1"/>
  <c r="CB396" i="6" s="1"/>
  <c r="AG397" i="6"/>
  <c r="CJ396" i="6"/>
  <c r="CC396" i="6" s="1"/>
  <c r="AH397" i="6"/>
  <c r="CK396" i="6"/>
  <c r="CD396" i="6" s="1"/>
  <c r="AI397" i="6"/>
  <c r="AO397" i="6" l="1"/>
  <c r="Q397" i="6"/>
  <c r="R397" i="6" s="1"/>
  <c r="S397" i="6" s="1"/>
  <c r="AP397" i="6"/>
  <c r="AQ397" i="6"/>
  <c r="CL396" i="6"/>
  <c r="CE396" i="6" s="1"/>
  <c r="AJ397" i="6"/>
  <c r="W397" i="6" s="1"/>
  <c r="Z397" i="6" s="1"/>
  <c r="AK397" i="6" l="1"/>
  <c r="CM396" i="6"/>
  <c r="CF396" i="6" s="1"/>
  <c r="AC397" i="6"/>
  <c r="AR397" i="6"/>
  <c r="AS397" i="6" l="1"/>
  <c r="CN396" i="6"/>
  <c r="CG396" i="6" s="1"/>
  <c r="AL397" i="6"/>
  <c r="AM397" i="6" l="1"/>
  <c r="CO396" i="6"/>
  <c r="CH396" i="6" s="1"/>
  <c r="AT397" i="6"/>
  <c r="AU397" i="6" l="1"/>
  <c r="AN397" i="6"/>
  <c r="X397" i="6" s="1"/>
  <c r="CP396" i="6"/>
  <c r="T396" i="6" s="1"/>
  <c r="AA397" i="6" l="1"/>
  <c r="Y397" i="6"/>
  <c r="AB397" i="6" s="1"/>
  <c r="AV397" i="6"/>
  <c r="AW397" i="6" s="1"/>
  <c r="AX397" i="6" l="1"/>
  <c r="BH397" i="6" l="1"/>
  <c r="AY397" i="6"/>
  <c r="BI397" i="6" l="1"/>
  <c r="BJ397" i="6" s="1"/>
  <c r="BC397" i="6"/>
  <c r="BN397" i="6" s="1"/>
  <c r="BD397" i="6"/>
  <c r="BO397" i="6" s="1"/>
  <c r="BG397" i="6"/>
  <c r="BR397" i="6" s="1"/>
  <c r="BE397" i="6"/>
  <c r="BP397" i="6" s="1"/>
  <c r="BF397" i="6"/>
  <c r="BQ397" i="6" s="1"/>
  <c r="AZ397" i="6"/>
  <c r="BA397" i="6"/>
  <c r="BL397" i="6" s="1"/>
  <c r="BB397" i="6"/>
  <c r="BM397" i="6" s="1"/>
  <c r="BV397" i="6" l="1"/>
  <c r="BW397" i="6"/>
  <c r="BZ397" i="6"/>
  <c r="BX397" i="6"/>
  <c r="BY397" i="6"/>
  <c r="BT397" i="6"/>
  <c r="BU397" i="6"/>
  <c r="BK397" i="6"/>
  <c r="CA397" i="6" l="1"/>
  <c r="BS397" i="6"/>
  <c r="CI397" i="6" l="1"/>
  <c r="CB397" i="6" s="1"/>
  <c r="AG398" i="6"/>
  <c r="AH398" i="6"/>
  <c r="CJ397" i="6"/>
  <c r="CC397" i="6" s="1"/>
  <c r="AO398" i="6" l="1"/>
  <c r="Q398" i="6"/>
  <c r="R398" i="6" s="1"/>
  <c r="S398" i="6" s="1"/>
  <c r="AP398" i="6"/>
  <c r="AI398" i="6"/>
  <c r="CK397" i="6"/>
  <c r="CD397" i="6" s="1"/>
  <c r="AQ398" i="6" l="1"/>
  <c r="AJ398" i="6"/>
  <c r="CL397" i="6"/>
  <c r="CE397" i="6" s="1"/>
  <c r="W398" i="6" l="1"/>
  <c r="Z398" i="6" s="1"/>
  <c r="AR398" i="6"/>
  <c r="AC398" i="6"/>
  <c r="AK398" i="6"/>
  <c r="CM397" i="6"/>
  <c r="CF397" i="6" s="1"/>
  <c r="AS398" i="6" l="1"/>
  <c r="AL398" i="6"/>
  <c r="CN397" i="6"/>
  <c r="CG397" i="6" s="1"/>
  <c r="AT398" i="6" l="1"/>
  <c r="AM398" i="6"/>
  <c r="CO397" i="6"/>
  <c r="CH397" i="6" s="1"/>
  <c r="X398" i="6" l="1"/>
  <c r="AU398" i="6"/>
  <c r="CP397" i="6"/>
  <c r="T397" i="6" s="1"/>
  <c r="AN398" i="6"/>
  <c r="AA398" i="6" l="1"/>
  <c r="Y398" i="6"/>
  <c r="AB398" i="6" s="1"/>
  <c r="AV398" i="6"/>
  <c r="AW398" i="6" s="1"/>
  <c r="AX398" i="6" l="1"/>
  <c r="BH398" i="6" l="1"/>
  <c r="AY398" i="6"/>
  <c r="BI398" i="6" l="1"/>
  <c r="BJ398" i="6" s="1"/>
  <c r="BK398" i="6" s="1"/>
  <c r="AZ398" i="6"/>
  <c r="BG398" i="6"/>
  <c r="BR398" i="6" s="1"/>
  <c r="BF398" i="6"/>
  <c r="BQ398" i="6" s="1"/>
  <c r="BE398" i="6"/>
  <c r="BP398" i="6" s="1"/>
  <c r="BD398" i="6"/>
  <c r="BO398" i="6" s="1"/>
  <c r="BC398" i="6"/>
  <c r="BN398" i="6" s="1"/>
  <c r="BB398" i="6"/>
  <c r="BM398" i="6" s="1"/>
  <c r="BA398" i="6"/>
  <c r="BL398" i="6" s="1"/>
  <c r="BS398" i="6" l="1"/>
  <c r="CA398" i="6" s="1"/>
  <c r="BZ398" i="6"/>
  <c r="BY398" i="6"/>
  <c r="BX398" i="6"/>
  <c r="BW398" i="6"/>
  <c r="BV398" i="6"/>
  <c r="BU398" i="6"/>
  <c r="BT398" i="6"/>
  <c r="CI398" i="6" l="1"/>
  <c r="CB398" i="6" s="1"/>
  <c r="AG399" i="6"/>
  <c r="AO399" i="6" l="1"/>
  <c r="Q399" i="6"/>
  <c r="R399" i="6" s="1"/>
  <c r="S399" i="6" s="1"/>
  <c r="CJ398" i="6"/>
  <c r="CC398" i="6" s="1"/>
  <c r="AH399" i="6"/>
  <c r="CK398" i="6" l="1"/>
  <c r="CD398" i="6" s="1"/>
  <c r="AI399" i="6"/>
  <c r="AP399" i="6"/>
  <c r="CL398" i="6" l="1"/>
  <c r="CE398" i="6" s="1"/>
  <c r="AJ399" i="6"/>
  <c r="W399" i="6" s="1"/>
  <c r="Z399" i="6" s="1"/>
  <c r="AQ399" i="6"/>
  <c r="AK399" i="6" l="1"/>
  <c r="CM398" i="6"/>
  <c r="CF398" i="6" s="1"/>
  <c r="AR399" i="6"/>
  <c r="AC399" i="6"/>
  <c r="AS399" i="6" l="1"/>
  <c r="AL399" i="6"/>
  <c r="CN398" i="6"/>
  <c r="CG398" i="6" s="1"/>
  <c r="AT399" i="6" l="1"/>
  <c r="AM399" i="6"/>
  <c r="CO398" i="6"/>
  <c r="CH398" i="6" s="1"/>
  <c r="AU399" i="6" l="1"/>
  <c r="CP398" i="6"/>
  <c r="T398" i="6" s="1"/>
  <c r="AN399" i="6"/>
  <c r="X399" i="6" s="1"/>
  <c r="AA399" i="6" l="1"/>
  <c r="Y399" i="6"/>
  <c r="AB399" i="6" s="1"/>
  <c r="AV399" i="6"/>
  <c r="AW399" i="6" s="1"/>
  <c r="AX399" i="6" l="1"/>
  <c r="BH399" i="6" l="1"/>
  <c r="AY399" i="6"/>
  <c r="BI399" i="6" l="1"/>
  <c r="BJ399" i="6" s="1"/>
  <c r="BK399" i="6" s="1"/>
  <c r="AZ399" i="6"/>
  <c r="BA399" i="6"/>
  <c r="BL399" i="6" s="1"/>
  <c r="BB399" i="6"/>
  <c r="BM399" i="6" s="1"/>
  <c r="BC399" i="6"/>
  <c r="BN399" i="6" s="1"/>
  <c r="BD399" i="6"/>
  <c r="BO399" i="6" s="1"/>
  <c r="BE399" i="6"/>
  <c r="BP399" i="6" s="1"/>
  <c r="BF399" i="6"/>
  <c r="BQ399" i="6" s="1"/>
  <c r="BG399" i="6"/>
  <c r="BR399" i="6" s="1"/>
  <c r="BS399" i="6" l="1"/>
  <c r="CA399" i="6"/>
  <c r="BT399" i="6"/>
  <c r="BU399" i="6"/>
  <c r="BV399" i="6"/>
  <c r="BW399" i="6"/>
  <c r="BX399" i="6"/>
  <c r="BY399" i="6"/>
  <c r="BZ399" i="6"/>
  <c r="CI399" i="6" l="1"/>
  <c r="CB399" i="6" s="1"/>
  <c r="AG400" i="6"/>
  <c r="AO400" i="6" l="1"/>
  <c r="Q400" i="6"/>
  <c r="R400" i="6" s="1"/>
  <c r="S400" i="6" s="1"/>
  <c r="CJ399" i="6"/>
  <c r="CC399" i="6" s="1"/>
  <c r="AH400" i="6"/>
  <c r="AI400" i="6" l="1"/>
  <c r="CK399" i="6"/>
  <c r="CD399" i="6" s="1"/>
  <c r="AP400" i="6"/>
  <c r="W400" i="6" l="1"/>
  <c r="Z400" i="6" s="1"/>
  <c r="AQ400" i="6"/>
  <c r="CL399" i="6"/>
  <c r="CE399" i="6" s="1"/>
  <c r="AJ400" i="6"/>
  <c r="AK400" i="6" l="1"/>
  <c r="CM399" i="6"/>
  <c r="CF399" i="6" s="1"/>
  <c r="AC400" i="6"/>
  <c r="AR400" i="6"/>
  <c r="AS400" i="6" l="1"/>
  <c r="AL400" i="6"/>
  <c r="CN399" i="6"/>
  <c r="CG399" i="6" s="1"/>
  <c r="AT400" i="6" l="1"/>
  <c r="AM400" i="6"/>
  <c r="CO399" i="6"/>
  <c r="CH399" i="6" s="1"/>
  <c r="AU400" i="6" l="1"/>
  <c r="CP399" i="6"/>
  <c r="T399" i="6" s="1"/>
  <c r="AN400" i="6"/>
  <c r="X400" i="6" s="1"/>
  <c r="AA400" i="6" l="1"/>
  <c r="Y400" i="6"/>
  <c r="AB400" i="6" s="1"/>
  <c r="AV400" i="6"/>
  <c r="AW400" i="6" s="1"/>
  <c r="AX400" i="6" l="1"/>
  <c r="BH400" i="6" l="1"/>
  <c r="AY400" i="6"/>
  <c r="BI400" i="6" l="1"/>
  <c r="BJ400" i="6" s="1"/>
  <c r="BB400" i="6"/>
  <c r="BM400" i="6" s="1"/>
  <c r="BC400" i="6"/>
  <c r="BN400" i="6" s="1"/>
  <c r="BD400" i="6"/>
  <c r="BO400" i="6" s="1"/>
  <c r="BE400" i="6"/>
  <c r="BP400" i="6" s="1"/>
  <c r="BF400" i="6"/>
  <c r="BQ400" i="6" s="1"/>
  <c r="BG400" i="6"/>
  <c r="BR400" i="6" s="1"/>
  <c r="AZ400" i="6"/>
  <c r="BA400" i="6"/>
  <c r="BL400" i="6" s="1"/>
  <c r="BU400" i="6" l="1"/>
  <c r="BV400" i="6"/>
  <c r="BW400" i="6"/>
  <c r="BX400" i="6"/>
  <c r="BY400" i="6"/>
  <c r="BZ400" i="6"/>
  <c r="BT400" i="6"/>
  <c r="BK400" i="6"/>
  <c r="BS400" i="6" l="1"/>
  <c r="CA400" i="6" s="1"/>
  <c r="CI400" i="6" l="1"/>
  <c r="CB400" i="6" s="1"/>
  <c r="AG401" i="6"/>
  <c r="AO401" i="6" l="1"/>
  <c r="Q401" i="6"/>
  <c r="R401" i="6" s="1"/>
  <c r="S401" i="6" s="1"/>
  <c r="AH401" i="6"/>
  <c r="CJ400" i="6"/>
  <c r="CC400" i="6" s="1"/>
  <c r="AP401" i="6" l="1"/>
  <c r="CK400" i="6"/>
  <c r="CD400" i="6" s="1"/>
  <c r="AI401" i="6"/>
  <c r="AJ401" i="6" l="1"/>
  <c r="W401" i="6" s="1"/>
  <c r="Z401" i="6" s="1"/>
  <c r="CL400" i="6"/>
  <c r="CE400" i="6" s="1"/>
  <c r="AQ401" i="6"/>
  <c r="AR401" i="6" l="1"/>
  <c r="AC401" i="6"/>
  <c r="AK401" i="6"/>
  <c r="CM400" i="6"/>
  <c r="CF400" i="6" s="1"/>
  <c r="AS401" i="6" l="1"/>
  <c r="AL401" i="6"/>
  <c r="CN400" i="6"/>
  <c r="CG400" i="6" s="1"/>
  <c r="AT401" i="6" l="1"/>
  <c r="AM401" i="6"/>
  <c r="CO400" i="6"/>
  <c r="CH400" i="6" s="1"/>
  <c r="X401" i="6" l="1"/>
  <c r="AU401" i="6"/>
  <c r="AN401" i="6"/>
  <c r="CP400" i="6"/>
  <c r="T400" i="6" s="1"/>
  <c r="AA401" i="6" l="1"/>
  <c r="Y401" i="6"/>
  <c r="AB401" i="6" s="1"/>
  <c r="AV401" i="6"/>
  <c r="AW401" i="6" s="1"/>
  <c r="AX401" i="6" l="1"/>
  <c r="AY401" i="6" l="1"/>
  <c r="BH401" i="6"/>
  <c r="BA401" i="6" l="1"/>
  <c r="BL401" i="6" s="1"/>
  <c r="AZ401" i="6"/>
  <c r="BG401" i="6"/>
  <c r="BR401" i="6" s="1"/>
  <c r="BF401" i="6"/>
  <c r="BQ401" i="6" s="1"/>
  <c r="BE401" i="6"/>
  <c r="BP401" i="6" s="1"/>
  <c r="BD401" i="6"/>
  <c r="BO401" i="6" s="1"/>
  <c r="BC401" i="6"/>
  <c r="BN401" i="6" s="1"/>
  <c r="BB401" i="6"/>
  <c r="BM401" i="6" s="1"/>
  <c r="BI401" i="6"/>
  <c r="BJ401" i="6" s="1"/>
  <c r="BK401" i="6" s="1"/>
  <c r="BT401" i="6" l="1"/>
  <c r="BS401" i="6"/>
  <c r="CA401" i="6" s="1"/>
  <c r="BZ401" i="6"/>
  <c r="BY401" i="6"/>
  <c r="BX401" i="6"/>
  <c r="BW401" i="6"/>
  <c r="BV401" i="6"/>
  <c r="BU401" i="6"/>
  <c r="CI401" i="6" l="1"/>
  <c r="CB401" i="6" s="1"/>
  <c r="AG402" i="6"/>
  <c r="AO402" i="6" l="1"/>
  <c r="Q402" i="6"/>
  <c r="R402" i="6" s="1"/>
  <c r="S402" i="6" s="1"/>
  <c r="AH402" i="6"/>
  <c r="CJ401" i="6"/>
  <c r="CC401" i="6" s="1"/>
  <c r="AP402" i="6" l="1"/>
  <c r="AI402" i="6"/>
  <c r="CK401" i="6"/>
  <c r="CD401" i="6" s="1"/>
  <c r="W402" i="6" l="1"/>
  <c r="Z402" i="6" s="1"/>
  <c r="AQ402" i="6"/>
  <c r="AJ402" i="6"/>
  <c r="CL401" i="6"/>
  <c r="CE401" i="6" s="1"/>
  <c r="AR402" i="6" l="1"/>
  <c r="AC402" i="6"/>
  <c r="AK402" i="6"/>
  <c r="CM401" i="6"/>
  <c r="CF401" i="6" s="1"/>
  <c r="AS402" i="6" l="1"/>
  <c r="AL402" i="6"/>
  <c r="CN401" i="6"/>
  <c r="CG401" i="6" s="1"/>
  <c r="AT402" i="6" l="1"/>
  <c r="AM402" i="6"/>
  <c r="CO401" i="6"/>
  <c r="CH401" i="6" s="1"/>
  <c r="X402" i="6" l="1"/>
  <c r="AU402" i="6"/>
  <c r="CP401" i="6"/>
  <c r="T401" i="6" s="1"/>
  <c r="AN402" i="6"/>
  <c r="AA402" i="6" l="1"/>
  <c r="Y402" i="6"/>
  <c r="AB402" i="6" s="1"/>
  <c r="AV402" i="6"/>
  <c r="AW402" i="6" s="1"/>
  <c r="AX402" i="6" l="1"/>
  <c r="BH402" i="6" l="1"/>
  <c r="AY402" i="6"/>
  <c r="BI402" i="6" l="1"/>
  <c r="BJ402" i="6" s="1"/>
  <c r="BE402" i="6"/>
  <c r="BP402" i="6" s="1"/>
  <c r="BG402" i="6"/>
  <c r="BR402" i="6" s="1"/>
  <c r="AZ402" i="6"/>
  <c r="BA402" i="6"/>
  <c r="BL402" i="6" s="1"/>
  <c r="BB402" i="6"/>
  <c r="BM402" i="6" s="1"/>
  <c r="BC402" i="6"/>
  <c r="BN402" i="6" s="1"/>
  <c r="BD402" i="6"/>
  <c r="BO402" i="6" s="1"/>
  <c r="BF402" i="6"/>
  <c r="BQ402" i="6" s="1"/>
  <c r="BX402" i="6" l="1"/>
  <c r="BZ402" i="6"/>
  <c r="BT402" i="6"/>
  <c r="BU402" i="6"/>
  <c r="BV402" i="6"/>
  <c r="BW402" i="6"/>
  <c r="BY402" i="6"/>
  <c r="BK402" i="6"/>
  <c r="BS402" i="6" l="1"/>
  <c r="CA402" i="6" s="1"/>
  <c r="CI402" i="6" l="1"/>
  <c r="CB402" i="6" s="1"/>
  <c r="CJ402" i="6" s="1"/>
  <c r="CC402" i="6" s="1"/>
  <c r="AG403" i="6"/>
  <c r="AH403" i="6"/>
  <c r="AO403" i="6" l="1"/>
  <c r="Q403" i="6"/>
  <c r="R403" i="6" s="1"/>
  <c r="S403" i="6" s="1"/>
  <c r="AP403" i="6"/>
  <c r="AI403" i="6"/>
  <c r="CK402" i="6"/>
  <c r="CD402" i="6" s="1"/>
  <c r="AQ403" i="6" l="1"/>
  <c r="AJ403" i="6"/>
  <c r="CL402" i="6"/>
  <c r="CE402" i="6" s="1"/>
  <c r="W403" i="6" l="1"/>
  <c r="Z403" i="6" s="1"/>
  <c r="AR403" i="6"/>
  <c r="AC403" i="6"/>
  <c r="AK403" i="6"/>
  <c r="CM402" i="6"/>
  <c r="CF402" i="6" s="1"/>
  <c r="AS403" i="6" l="1"/>
  <c r="AL403" i="6"/>
  <c r="CN402" i="6"/>
  <c r="CG402" i="6" s="1"/>
  <c r="AT403" i="6" l="1"/>
  <c r="AM403" i="6"/>
  <c r="CO402" i="6"/>
  <c r="CH402" i="6" s="1"/>
  <c r="X403" i="6" l="1"/>
  <c r="AU403" i="6"/>
  <c r="CP402" i="6"/>
  <c r="T402" i="6" s="1"/>
  <c r="AN403" i="6"/>
  <c r="AA403" i="6" l="1"/>
  <c r="Y403" i="6"/>
  <c r="AB403" i="6" s="1"/>
  <c r="AV403" i="6"/>
  <c r="AW403" i="6" s="1"/>
  <c r="AX403" i="6" l="1"/>
  <c r="AY403" i="6" l="1"/>
  <c r="BH403" i="6"/>
  <c r="AZ403" i="6" l="1"/>
  <c r="BA403" i="6"/>
  <c r="BL403" i="6" s="1"/>
  <c r="BB403" i="6"/>
  <c r="BM403" i="6" s="1"/>
  <c r="BC403" i="6"/>
  <c r="BN403" i="6" s="1"/>
  <c r="BD403" i="6"/>
  <c r="BO403" i="6" s="1"/>
  <c r="BE403" i="6"/>
  <c r="BP403" i="6" s="1"/>
  <c r="BF403" i="6"/>
  <c r="BQ403" i="6" s="1"/>
  <c r="BG403" i="6"/>
  <c r="BR403" i="6" s="1"/>
  <c r="BJ403" i="6"/>
  <c r="BI403" i="6"/>
  <c r="BT403" i="6" l="1"/>
  <c r="BU403" i="6"/>
  <c r="BV403" i="6"/>
  <c r="BW403" i="6"/>
  <c r="BX403" i="6"/>
  <c r="BY403" i="6"/>
  <c r="BZ403" i="6"/>
  <c r="BK403" i="6"/>
  <c r="BS403" i="6" l="1"/>
  <c r="CA403" i="6" s="1"/>
  <c r="CI403" i="6" l="1"/>
  <c r="CB403" i="6" s="1"/>
  <c r="AG404" i="6"/>
  <c r="CJ403" i="6" l="1"/>
  <c r="CC403" i="6" s="1"/>
  <c r="AH404" i="6"/>
  <c r="AO404" i="6"/>
  <c r="Q404" i="6"/>
  <c r="R404" i="6" s="1"/>
  <c r="S404" i="6" s="1"/>
  <c r="AI404" i="6" l="1"/>
  <c r="CK403" i="6"/>
  <c r="CD403" i="6" s="1"/>
  <c r="AP404" i="6"/>
  <c r="W404" i="6" l="1"/>
  <c r="Z404" i="6" s="1"/>
  <c r="AQ404" i="6"/>
  <c r="AJ404" i="6"/>
  <c r="CL403" i="6"/>
  <c r="CE403" i="6" s="1"/>
  <c r="AR404" i="6" l="1"/>
  <c r="AC404" i="6"/>
  <c r="AK404" i="6"/>
  <c r="CM403" i="6"/>
  <c r="CF403" i="6" s="1"/>
  <c r="AS404" i="6" l="1"/>
  <c r="AL404" i="6"/>
  <c r="CN403" i="6"/>
  <c r="CG403" i="6" s="1"/>
  <c r="AT404" i="6" l="1"/>
  <c r="AM404" i="6"/>
  <c r="CO403" i="6"/>
  <c r="CH403" i="6" s="1"/>
  <c r="AU404" i="6" l="1"/>
  <c r="CP403" i="6"/>
  <c r="T403" i="6" s="1"/>
  <c r="AN404" i="6"/>
  <c r="X404" i="6" s="1"/>
  <c r="AA404" i="6" l="1"/>
  <c r="Y404" i="6"/>
  <c r="AB404" i="6" s="1"/>
  <c r="AV404" i="6"/>
  <c r="AW404" i="6" s="1"/>
  <c r="AX404" i="6" l="1"/>
  <c r="AY404" i="6" l="1"/>
  <c r="BH404" i="6"/>
  <c r="BG404" i="6" l="1"/>
  <c r="BR404" i="6" s="1"/>
  <c r="BF404" i="6"/>
  <c r="BQ404" i="6" s="1"/>
  <c r="BE404" i="6"/>
  <c r="BP404" i="6" s="1"/>
  <c r="BD404" i="6"/>
  <c r="BO404" i="6" s="1"/>
  <c r="BC404" i="6"/>
  <c r="BN404" i="6" s="1"/>
  <c r="BB404" i="6"/>
  <c r="BM404" i="6" s="1"/>
  <c r="BA404" i="6"/>
  <c r="BL404" i="6" s="1"/>
  <c r="AZ404" i="6"/>
  <c r="BI404" i="6"/>
  <c r="BJ404" i="6" s="1"/>
  <c r="BZ404" i="6" l="1"/>
  <c r="BY404" i="6"/>
  <c r="BX404" i="6"/>
  <c r="BW404" i="6"/>
  <c r="BV404" i="6"/>
  <c r="BU404" i="6"/>
  <c r="BT404" i="6"/>
  <c r="BK404" i="6"/>
  <c r="BS404" i="6" l="1"/>
  <c r="CA404" i="6" s="1"/>
  <c r="AG405" i="6" l="1"/>
  <c r="CI404" i="6"/>
  <c r="CB404" i="6" s="1"/>
  <c r="AO405" i="6" l="1"/>
  <c r="Q405" i="6"/>
  <c r="R405" i="6" s="1"/>
  <c r="S405" i="6" s="1"/>
  <c r="AH405" i="6"/>
  <c r="CJ404" i="6"/>
  <c r="CC404" i="6" s="1"/>
  <c r="AP405" i="6" l="1"/>
  <c r="CK404" i="6"/>
  <c r="CD404" i="6" s="1"/>
  <c r="AI405" i="6"/>
  <c r="CL404" i="6" l="1"/>
  <c r="CE404" i="6" s="1"/>
  <c r="AJ405" i="6"/>
  <c r="W405" i="6"/>
  <c r="Z405" i="6" s="1"/>
  <c r="AQ405" i="6"/>
  <c r="CM404" i="6" l="1"/>
  <c r="CF404" i="6" s="1"/>
  <c r="AK405" i="6"/>
  <c r="AC405" i="6"/>
  <c r="AR405" i="6"/>
  <c r="CN404" i="6" l="1"/>
  <c r="CG404" i="6" s="1"/>
  <c r="AL405" i="6"/>
  <c r="AS405" i="6"/>
  <c r="CO404" i="6" l="1"/>
  <c r="CH404" i="6" s="1"/>
  <c r="AM405" i="6"/>
  <c r="AT405" i="6"/>
  <c r="CP404" i="6" l="1"/>
  <c r="T404" i="6" s="1"/>
  <c r="AN405" i="6"/>
  <c r="X405" i="6" s="1"/>
  <c r="AU405" i="6"/>
  <c r="AV405" i="6" l="1"/>
  <c r="AW405" i="6" s="1"/>
  <c r="AA405" i="6"/>
  <c r="Y405" i="6"/>
  <c r="AB405" i="6" s="1"/>
  <c r="AX405" i="6"/>
  <c r="BH405" i="6" l="1"/>
  <c r="AY405" i="6"/>
  <c r="BI405" i="6" l="1"/>
  <c r="BJ405" i="6" s="1"/>
  <c r="BG405" i="6"/>
  <c r="BR405" i="6" s="1"/>
  <c r="BE405" i="6"/>
  <c r="BP405" i="6" s="1"/>
  <c r="BC405" i="6"/>
  <c r="BN405" i="6" s="1"/>
  <c r="BA405" i="6"/>
  <c r="BL405" i="6" s="1"/>
  <c r="BF405" i="6"/>
  <c r="BQ405" i="6" s="1"/>
  <c r="BD405" i="6"/>
  <c r="BO405" i="6" s="1"/>
  <c r="BB405" i="6"/>
  <c r="BM405" i="6" s="1"/>
  <c r="AZ405" i="6"/>
  <c r="BZ405" i="6" l="1"/>
  <c r="BX405" i="6"/>
  <c r="BV405" i="6"/>
  <c r="BT405" i="6"/>
  <c r="BY405" i="6"/>
  <c r="BW405" i="6"/>
  <c r="BU405" i="6"/>
  <c r="BK405" i="6"/>
  <c r="BS405" i="6" l="1"/>
  <c r="CA405" i="6" s="1"/>
  <c r="CI405" i="6" l="1"/>
  <c r="CB405" i="6" s="1"/>
  <c r="AG406" i="6"/>
  <c r="AO406" i="6" l="1"/>
  <c r="Q406" i="6"/>
  <c r="R406" i="6" s="1"/>
  <c r="S406" i="6" s="1"/>
  <c r="AH406" i="6"/>
  <c r="CJ405" i="6"/>
  <c r="CC405" i="6" s="1"/>
  <c r="AP406" i="6" l="1"/>
  <c r="CK405" i="6"/>
  <c r="CD405" i="6" s="1"/>
  <c r="AI406" i="6"/>
  <c r="CL405" i="6" l="1"/>
  <c r="CE405" i="6" s="1"/>
  <c r="AJ406" i="6"/>
  <c r="W406" i="6"/>
  <c r="Z406" i="6" s="1"/>
  <c r="AQ406" i="6"/>
  <c r="AK406" i="6" l="1"/>
  <c r="CM405" i="6"/>
  <c r="CF405" i="6" s="1"/>
  <c r="AR406" i="6"/>
  <c r="AC406" i="6"/>
  <c r="AS406" i="6" l="1"/>
  <c r="CN405" i="6"/>
  <c r="CG405" i="6" s="1"/>
  <c r="AL406" i="6"/>
  <c r="CO405" i="6" l="1"/>
  <c r="CH405" i="6" s="1"/>
  <c r="AM406" i="6"/>
  <c r="AT406" i="6"/>
  <c r="AN406" i="6" l="1"/>
  <c r="CP405" i="6"/>
  <c r="T405" i="6" s="1"/>
  <c r="X406" i="6"/>
  <c r="AU406" i="6"/>
  <c r="AV406" i="6" l="1"/>
  <c r="AW406" i="6" s="1"/>
  <c r="AA406" i="6"/>
  <c r="Y406" i="6"/>
  <c r="AB406" i="6" s="1"/>
  <c r="AX406" i="6" l="1"/>
  <c r="BH406" i="6" l="1"/>
  <c r="AY406" i="6"/>
  <c r="BI406" i="6" l="1"/>
  <c r="BJ406" i="6" s="1"/>
  <c r="BK406" i="6" s="1"/>
  <c r="AZ406" i="6"/>
  <c r="BA406" i="6"/>
  <c r="BL406" i="6" s="1"/>
  <c r="BB406" i="6"/>
  <c r="BM406" i="6" s="1"/>
  <c r="BC406" i="6"/>
  <c r="BN406" i="6" s="1"/>
  <c r="BD406" i="6"/>
  <c r="BO406" i="6" s="1"/>
  <c r="BE406" i="6"/>
  <c r="BP406" i="6" s="1"/>
  <c r="BF406" i="6"/>
  <c r="BQ406" i="6" s="1"/>
  <c r="BG406" i="6"/>
  <c r="BR406" i="6" s="1"/>
  <c r="BS406" i="6" l="1"/>
  <c r="CA406" i="6"/>
  <c r="BT406" i="6"/>
  <c r="BU406" i="6"/>
  <c r="BV406" i="6"/>
  <c r="BW406" i="6"/>
  <c r="BX406" i="6"/>
  <c r="BY406" i="6"/>
  <c r="BZ406" i="6"/>
  <c r="CI406" i="6" l="1"/>
  <c r="CB406" i="6" s="1"/>
  <c r="AG407" i="6"/>
  <c r="CJ406" i="6"/>
  <c r="CC406" i="6" s="1"/>
  <c r="AH407" i="6"/>
  <c r="CK406" i="6"/>
  <c r="CD406" i="6" s="1"/>
  <c r="AI407" i="6"/>
  <c r="CL406" i="6"/>
  <c r="CE406" i="6" s="1"/>
  <c r="AJ407" i="6"/>
  <c r="CM406" i="6"/>
  <c r="AK407" i="6"/>
  <c r="CF406" i="6"/>
  <c r="AO407" i="6" l="1"/>
  <c r="Q407" i="6"/>
  <c r="R407" i="6" s="1"/>
  <c r="S407" i="6" s="1"/>
  <c r="W407" i="6"/>
  <c r="Z407" i="6" s="1"/>
  <c r="AP407" i="6"/>
  <c r="AQ407" i="6"/>
  <c r="AR407" i="6"/>
  <c r="AC407" i="6"/>
  <c r="AS407" i="6"/>
  <c r="CN406" i="6"/>
  <c r="CG406" i="6" s="1"/>
  <c r="AL407" i="6"/>
  <c r="AM407" i="6"/>
  <c r="CO406" i="6"/>
  <c r="CH406" i="6" s="1"/>
  <c r="AT407" i="6" l="1"/>
  <c r="AU407" i="6"/>
  <c r="CP406" i="6"/>
  <c r="T406" i="6" s="1"/>
  <c r="AN407" i="6"/>
  <c r="X407" i="6" l="1"/>
  <c r="AV407" i="6"/>
  <c r="AW407" i="6" s="1"/>
  <c r="AA407" i="6" l="1"/>
  <c r="Y407" i="6"/>
  <c r="AB407" i="6" s="1"/>
  <c r="AX407" i="6"/>
  <c r="BH407" i="6" l="1"/>
  <c r="AY407" i="6"/>
  <c r="BI407" i="6" l="1"/>
  <c r="BJ407" i="6" s="1"/>
  <c r="BC407" i="6"/>
  <c r="BN407" i="6" s="1"/>
  <c r="BA407" i="6"/>
  <c r="BL407" i="6" s="1"/>
  <c r="AZ407" i="6"/>
  <c r="BG407" i="6"/>
  <c r="BR407" i="6" s="1"/>
  <c r="BF407" i="6"/>
  <c r="BQ407" i="6" s="1"/>
  <c r="BE407" i="6"/>
  <c r="BP407" i="6" s="1"/>
  <c r="BD407" i="6"/>
  <c r="BO407" i="6" s="1"/>
  <c r="BB407" i="6"/>
  <c r="BM407" i="6" s="1"/>
  <c r="BV407" i="6" l="1"/>
  <c r="BT407" i="6"/>
  <c r="BZ407" i="6"/>
  <c r="BY407" i="6"/>
  <c r="BX407" i="6"/>
  <c r="BW407" i="6"/>
  <c r="BU407" i="6"/>
  <c r="BK407" i="6"/>
  <c r="BS407" i="6" l="1"/>
  <c r="CA407" i="6" s="1"/>
  <c r="CI407" i="6" l="1"/>
  <c r="CB407" i="6" s="1"/>
  <c r="AG408" i="6"/>
  <c r="AH408" i="6"/>
  <c r="CJ407" i="6"/>
  <c r="CC407" i="6" s="1"/>
  <c r="AI408" i="6"/>
  <c r="CK407" i="6"/>
  <c r="CD407" i="6" s="1"/>
  <c r="CL407" i="6" s="1"/>
  <c r="CE407" i="6" s="1"/>
  <c r="AJ408" i="6"/>
  <c r="AO408" i="6" l="1"/>
  <c r="Q408" i="6"/>
  <c r="R408" i="6" s="1"/>
  <c r="S408" i="6" s="1"/>
  <c r="W408" i="6"/>
  <c r="Z408" i="6" s="1"/>
  <c r="AP408" i="6"/>
  <c r="AQ408" i="6"/>
  <c r="AR408" i="6"/>
  <c r="AC408" i="6"/>
  <c r="AK408" i="6"/>
  <c r="CM407" i="6"/>
  <c r="CF407" i="6" s="1"/>
  <c r="AS408" i="6" l="1"/>
  <c r="AL408" i="6"/>
  <c r="CN407" i="6"/>
  <c r="CG407" i="6" s="1"/>
  <c r="AT408" i="6" l="1"/>
  <c r="AM408" i="6"/>
  <c r="CO407" i="6"/>
  <c r="CH407" i="6" s="1"/>
  <c r="X408" i="6" l="1"/>
  <c r="AU408" i="6"/>
  <c r="CP407" i="6"/>
  <c r="T407" i="6" s="1"/>
  <c r="AN408" i="6"/>
  <c r="AA408" i="6" l="1"/>
  <c r="Y408" i="6"/>
  <c r="AB408" i="6" s="1"/>
  <c r="AV408" i="6"/>
  <c r="AW408" i="6" s="1"/>
  <c r="AX408" i="6" l="1"/>
  <c r="AY408" i="6" l="1"/>
  <c r="BH408" i="6"/>
  <c r="BA408" i="6" l="1"/>
  <c r="BL408" i="6" s="1"/>
  <c r="AZ408" i="6"/>
  <c r="BB408" i="6"/>
  <c r="BM408" i="6" s="1"/>
  <c r="BC408" i="6"/>
  <c r="BN408" i="6" s="1"/>
  <c r="BD408" i="6"/>
  <c r="BO408" i="6" s="1"/>
  <c r="BE408" i="6"/>
  <c r="BP408" i="6" s="1"/>
  <c r="BF408" i="6"/>
  <c r="BQ408" i="6" s="1"/>
  <c r="BG408" i="6"/>
  <c r="BR408" i="6" s="1"/>
  <c r="BI408" i="6"/>
  <c r="BJ408" i="6" s="1"/>
  <c r="BT408" i="6" l="1"/>
  <c r="BU408" i="6"/>
  <c r="BV408" i="6"/>
  <c r="BW408" i="6"/>
  <c r="BX408" i="6"/>
  <c r="BY408" i="6"/>
  <c r="BZ408" i="6"/>
  <c r="BK408" i="6"/>
  <c r="BS408" i="6" l="1"/>
  <c r="CA408" i="6"/>
  <c r="CI408" i="6" l="1"/>
  <c r="CB408" i="6" s="1"/>
  <c r="AG409" i="6"/>
  <c r="CJ408" i="6" l="1"/>
  <c r="CC408" i="6" s="1"/>
  <c r="AH409" i="6"/>
  <c r="AO409" i="6"/>
  <c r="Q409" i="6"/>
  <c r="R409" i="6" s="1"/>
  <c r="S409" i="6" s="1"/>
  <c r="AI409" i="6" l="1"/>
  <c r="CK408" i="6"/>
  <c r="CD408" i="6" s="1"/>
  <c r="AP409" i="6"/>
  <c r="W409" i="6" l="1"/>
  <c r="Z409" i="6" s="1"/>
  <c r="AQ409" i="6"/>
  <c r="AJ409" i="6"/>
  <c r="CL408" i="6"/>
  <c r="CE408" i="6" s="1"/>
  <c r="AR409" i="6" l="1"/>
  <c r="AC409" i="6"/>
  <c r="AK409" i="6"/>
  <c r="CM408" i="6"/>
  <c r="CF408" i="6" s="1"/>
  <c r="AS409" i="6" l="1"/>
  <c r="AL409" i="6"/>
  <c r="CN408" i="6"/>
  <c r="CG408" i="6" s="1"/>
  <c r="AT409" i="6" l="1"/>
  <c r="AM409" i="6"/>
  <c r="CO408" i="6"/>
  <c r="CH408" i="6" s="1"/>
  <c r="AU409" i="6" l="1"/>
  <c r="CP408" i="6"/>
  <c r="T408" i="6" s="1"/>
  <c r="AN409" i="6"/>
  <c r="X409" i="6" s="1"/>
  <c r="AA409" i="6" l="1"/>
  <c r="Y409" i="6"/>
  <c r="AB409" i="6" s="1"/>
  <c r="AV409" i="6"/>
  <c r="AW409" i="6" s="1"/>
  <c r="AX409" i="6" l="1"/>
  <c r="AY409" i="6" l="1"/>
  <c r="BH409" i="6"/>
  <c r="BG409" i="6" l="1"/>
  <c r="BR409" i="6" s="1"/>
  <c r="BF409" i="6"/>
  <c r="BQ409" i="6" s="1"/>
  <c r="BE409" i="6"/>
  <c r="BP409" i="6" s="1"/>
  <c r="BD409" i="6"/>
  <c r="BO409" i="6" s="1"/>
  <c r="BC409" i="6"/>
  <c r="BN409" i="6" s="1"/>
  <c r="BB409" i="6"/>
  <c r="BM409" i="6" s="1"/>
  <c r="BA409" i="6"/>
  <c r="BL409" i="6" s="1"/>
  <c r="AZ409" i="6"/>
  <c r="BI409" i="6"/>
  <c r="BJ409" i="6" s="1"/>
  <c r="BZ409" i="6" l="1"/>
  <c r="BY409" i="6"/>
  <c r="BX409" i="6"/>
  <c r="BW409" i="6"/>
  <c r="BV409" i="6"/>
  <c r="BU409" i="6"/>
  <c r="BT409" i="6"/>
  <c r="BK409" i="6"/>
  <c r="BS409" i="6" l="1"/>
  <c r="CA409" i="6" s="1"/>
  <c r="AG410" i="6" l="1"/>
  <c r="CI409" i="6"/>
  <c r="CB409" i="6" s="1"/>
  <c r="AO410" i="6" l="1"/>
  <c r="Q410" i="6"/>
  <c r="R410" i="6" s="1"/>
  <c r="S410" i="6" s="1"/>
  <c r="AH410" i="6"/>
  <c r="CJ409" i="6"/>
  <c r="CC409" i="6" s="1"/>
  <c r="AP410" i="6" l="1"/>
  <c r="CK409" i="6"/>
  <c r="CD409" i="6" s="1"/>
  <c r="AI410" i="6"/>
  <c r="CL409" i="6" l="1"/>
  <c r="CE409" i="6" s="1"/>
  <c r="AJ410" i="6"/>
  <c r="W410" i="6" s="1"/>
  <c r="Z410" i="6" s="1"/>
  <c r="AQ410" i="6"/>
  <c r="CM409" i="6" l="1"/>
  <c r="CF409" i="6" s="1"/>
  <c r="AK410" i="6"/>
  <c r="AR410" i="6"/>
  <c r="AC410" i="6"/>
  <c r="CN409" i="6" l="1"/>
  <c r="CG409" i="6" s="1"/>
  <c r="AL410" i="6"/>
  <c r="AS410" i="6"/>
  <c r="CO409" i="6" l="1"/>
  <c r="CH409" i="6" s="1"/>
  <c r="AM410" i="6"/>
  <c r="AT410" i="6"/>
  <c r="CP409" i="6" l="1"/>
  <c r="T409" i="6" s="1"/>
  <c r="AN410" i="6"/>
  <c r="X410" i="6"/>
  <c r="AU410" i="6"/>
  <c r="AV410" i="6" l="1"/>
  <c r="AW410" i="6" s="1"/>
  <c r="AA410" i="6"/>
  <c r="Y410" i="6"/>
  <c r="AB410" i="6" s="1"/>
  <c r="AX410" i="6"/>
  <c r="BH410" i="6" l="1"/>
  <c r="AY410" i="6"/>
  <c r="BI410" i="6" l="1"/>
  <c r="BJ410" i="6" s="1"/>
  <c r="BF410" i="6"/>
  <c r="BQ410" i="6" s="1"/>
  <c r="BC410" i="6"/>
  <c r="BN410" i="6" s="1"/>
  <c r="BA410" i="6"/>
  <c r="BL410" i="6" s="1"/>
  <c r="BD410" i="6"/>
  <c r="BO410" i="6" s="1"/>
  <c r="BG410" i="6"/>
  <c r="BR410" i="6" s="1"/>
  <c r="BE410" i="6"/>
  <c r="BP410" i="6" s="1"/>
  <c r="BB410" i="6"/>
  <c r="BM410" i="6" s="1"/>
  <c r="AZ410" i="6"/>
  <c r="BY410" i="6" l="1"/>
  <c r="BV410" i="6"/>
  <c r="BT410" i="6"/>
  <c r="BW410" i="6"/>
  <c r="BZ410" i="6"/>
  <c r="BX410" i="6"/>
  <c r="BU410" i="6"/>
  <c r="BK410" i="6"/>
  <c r="CA410" i="6" l="1"/>
  <c r="BS410" i="6"/>
  <c r="CI410" i="6" l="1"/>
  <c r="CB410" i="6" s="1"/>
  <c r="AG411" i="6"/>
  <c r="AO411" i="6" l="1"/>
  <c r="Q411" i="6"/>
  <c r="R411" i="6" s="1"/>
  <c r="S411" i="6" s="1"/>
  <c r="AH411" i="6"/>
  <c r="CJ410" i="6"/>
  <c r="CC410" i="6" s="1"/>
  <c r="AP411" i="6" l="1"/>
  <c r="AI411" i="6"/>
  <c r="CK410" i="6"/>
  <c r="CD410" i="6" s="1"/>
  <c r="W411" i="6" l="1"/>
  <c r="Z411" i="6" s="1"/>
  <c r="AQ411" i="6"/>
  <c r="AJ411" i="6"/>
  <c r="CL410" i="6"/>
  <c r="CE410" i="6" s="1"/>
  <c r="AR411" i="6" l="1"/>
  <c r="AC411" i="6"/>
  <c r="CM410" i="6"/>
  <c r="CF410" i="6" s="1"/>
  <c r="AK411" i="6"/>
  <c r="AL411" i="6" l="1"/>
  <c r="CN410" i="6"/>
  <c r="CG410" i="6" s="1"/>
  <c r="AS411" i="6"/>
  <c r="AT411" i="6" l="1"/>
  <c r="CO410" i="6"/>
  <c r="CH410" i="6" s="1"/>
  <c r="AM411" i="6"/>
  <c r="AN411" i="6" l="1"/>
  <c r="X411" i="6" s="1"/>
  <c r="CP410" i="6"/>
  <c r="T410" i="6" s="1"/>
  <c r="AU411" i="6"/>
  <c r="AV411" i="6" l="1"/>
  <c r="AW411" i="6" s="1"/>
  <c r="AA411" i="6"/>
  <c r="Y411" i="6"/>
  <c r="AB411" i="6" s="1"/>
  <c r="AX411" i="6" l="1"/>
  <c r="BH411" i="6" l="1"/>
  <c r="AY411" i="6"/>
  <c r="BI411" i="6" l="1"/>
  <c r="BJ411" i="6" s="1"/>
  <c r="BE411" i="6"/>
  <c r="BP411" i="6" s="1"/>
  <c r="BB411" i="6"/>
  <c r="BM411" i="6" s="1"/>
  <c r="BG411" i="6"/>
  <c r="BR411" i="6" s="1"/>
  <c r="BC411" i="6"/>
  <c r="BN411" i="6" s="1"/>
  <c r="BD411" i="6"/>
  <c r="BO411" i="6" s="1"/>
  <c r="AZ411" i="6"/>
  <c r="BA411" i="6"/>
  <c r="BL411" i="6" s="1"/>
  <c r="BF411" i="6"/>
  <c r="BQ411" i="6" s="1"/>
  <c r="BX411" i="6" l="1"/>
  <c r="BU411" i="6"/>
  <c r="BZ411" i="6"/>
  <c r="BV411" i="6"/>
  <c r="BW411" i="6"/>
  <c r="BT411" i="6"/>
  <c r="BY411" i="6"/>
  <c r="BK411" i="6"/>
  <c r="BS411" i="6" l="1"/>
  <c r="CA411" i="6" s="1"/>
  <c r="CI411" i="6" l="1"/>
  <c r="CB411" i="6" s="1"/>
  <c r="AG412" i="6"/>
  <c r="AO412" i="6" l="1"/>
  <c r="Q412" i="6"/>
  <c r="R412" i="6" s="1"/>
  <c r="S412" i="6" s="1"/>
  <c r="AH412" i="6"/>
  <c r="CJ411" i="6"/>
  <c r="CC411" i="6" s="1"/>
  <c r="AP412" i="6" l="1"/>
  <c r="CK411" i="6"/>
  <c r="CD411" i="6" s="1"/>
  <c r="AI412" i="6"/>
  <c r="CL411" i="6" l="1"/>
  <c r="CE411" i="6" s="1"/>
  <c r="AJ412" i="6"/>
  <c r="W412" i="6"/>
  <c r="Z412" i="6" s="1"/>
  <c r="AQ412" i="6"/>
  <c r="AK412" i="6" l="1"/>
  <c r="CM411" i="6"/>
  <c r="CF411" i="6" s="1"/>
  <c r="AR412" i="6"/>
  <c r="AC412" i="6"/>
  <c r="AS412" i="6" l="1"/>
  <c r="AL412" i="6"/>
  <c r="CN411" i="6"/>
  <c r="CG411" i="6" s="1"/>
  <c r="AT412" i="6" l="1"/>
  <c r="AM412" i="6"/>
  <c r="CO411" i="6"/>
  <c r="CH411" i="6" s="1"/>
  <c r="AU412" i="6" l="1"/>
  <c r="CP411" i="6"/>
  <c r="T411" i="6" s="1"/>
  <c r="AN412" i="6"/>
  <c r="X412" i="6" s="1"/>
  <c r="AA412" i="6" l="1"/>
  <c r="Y412" i="6"/>
  <c r="AB412" i="6" s="1"/>
  <c r="AV412" i="6"/>
  <c r="AW412" i="6" s="1"/>
  <c r="AX412" i="6" l="1"/>
  <c r="AY412" i="6" l="1"/>
  <c r="BH412" i="6"/>
  <c r="BC412" i="6" l="1"/>
  <c r="BN412" i="6" s="1"/>
  <c r="BE412" i="6"/>
  <c r="BP412" i="6" s="1"/>
  <c r="BB412" i="6"/>
  <c r="BM412" i="6" s="1"/>
  <c r="AZ412" i="6"/>
  <c r="BG412" i="6"/>
  <c r="BR412" i="6" s="1"/>
  <c r="BF412" i="6"/>
  <c r="BQ412" i="6" s="1"/>
  <c r="BD412" i="6"/>
  <c r="BO412" i="6" s="1"/>
  <c r="BA412" i="6"/>
  <c r="BL412" i="6" s="1"/>
  <c r="BI412" i="6"/>
  <c r="BJ412" i="6" s="1"/>
  <c r="BV412" i="6" l="1"/>
  <c r="BX412" i="6"/>
  <c r="BU412" i="6"/>
  <c r="BZ412" i="6"/>
  <c r="BY412" i="6"/>
  <c r="BW412" i="6"/>
  <c r="BT412" i="6"/>
  <c r="BK412" i="6"/>
  <c r="BS412" i="6" l="1"/>
  <c r="CA412" i="6" s="1"/>
  <c r="CI412" i="6" l="1"/>
  <c r="CB412" i="6" s="1"/>
  <c r="AG413" i="6"/>
  <c r="CJ412" i="6" l="1"/>
  <c r="CC412" i="6" s="1"/>
  <c r="AH413" i="6"/>
  <c r="AO413" i="6"/>
  <c r="Q413" i="6"/>
  <c r="R413" i="6" s="1"/>
  <c r="S413" i="6" s="1"/>
  <c r="CK412" i="6" l="1"/>
  <c r="CD412" i="6" s="1"/>
  <c r="AI413" i="6"/>
  <c r="AP413" i="6"/>
  <c r="AJ413" i="6" l="1"/>
  <c r="W413" i="6" s="1"/>
  <c r="Z413" i="6" s="1"/>
  <c r="CL412" i="6"/>
  <c r="CE412" i="6" s="1"/>
  <c r="AQ413" i="6"/>
  <c r="AR413" i="6" l="1"/>
  <c r="AC413" i="6"/>
  <c r="AK413" i="6"/>
  <c r="CM412" i="6"/>
  <c r="CF412" i="6" s="1"/>
  <c r="AS413" i="6" l="1"/>
  <c r="AL413" i="6"/>
  <c r="CN412" i="6"/>
  <c r="CG412" i="6" s="1"/>
  <c r="AT413" i="6" l="1"/>
  <c r="AM413" i="6"/>
  <c r="CO412" i="6"/>
  <c r="CH412" i="6" s="1"/>
  <c r="X413" i="6" l="1"/>
  <c r="AU413" i="6"/>
  <c r="CP412" i="6"/>
  <c r="T412" i="6" s="1"/>
  <c r="AN413" i="6"/>
  <c r="AA413" i="6" l="1"/>
  <c r="Y413" i="6"/>
  <c r="AB413" i="6" s="1"/>
  <c r="AV413" i="6"/>
  <c r="AW413" i="6" s="1"/>
  <c r="AX413" i="6" l="1"/>
  <c r="BH413" i="6" l="1"/>
  <c r="AY413" i="6"/>
  <c r="BI413" i="6" l="1"/>
  <c r="BJ413" i="6" s="1"/>
  <c r="BK413" i="6" s="1"/>
  <c r="AZ413" i="6"/>
  <c r="BC413" i="6"/>
  <c r="BN413" i="6" s="1"/>
  <c r="BD413" i="6"/>
  <c r="BO413" i="6" s="1"/>
  <c r="BE413" i="6"/>
  <c r="BP413" i="6" s="1"/>
  <c r="BF413" i="6"/>
  <c r="BQ413" i="6" s="1"/>
  <c r="BG413" i="6"/>
  <c r="BR413" i="6" s="1"/>
  <c r="BB413" i="6"/>
  <c r="BM413" i="6" s="1"/>
  <c r="BA413" i="6"/>
  <c r="BL413" i="6" s="1"/>
  <c r="BS413" i="6" l="1"/>
  <c r="CA413" i="6" s="1"/>
  <c r="BV413" i="6"/>
  <c r="BW413" i="6"/>
  <c r="BX413" i="6"/>
  <c r="BY413" i="6"/>
  <c r="BZ413" i="6"/>
  <c r="BU413" i="6"/>
  <c r="BT413" i="6"/>
  <c r="AG414" i="6" l="1"/>
  <c r="CI413" i="6"/>
  <c r="CB413" i="6"/>
  <c r="AO414" i="6" l="1"/>
  <c r="Q414" i="6"/>
  <c r="R414" i="6" s="1"/>
  <c r="S414" i="6" s="1"/>
  <c r="AH414" i="6"/>
  <c r="CJ413" i="6"/>
  <c r="CC413" i="6" s="1"/>
  <c r="AP414" i="6" l="1"/>
  <c r="AI414" i="6"/>
  <c r="CK413" i="6"/>
  <c r="CD413" i="6" s="1"/>
  <c r="AQ414" i="6" l="1"/>
  <c r="AJ414" i="6"/>
  <c r="W414" i="6" s="1"/>
  <c r="Z414" i="6" s="1"/>
  <c r="CL413" i="6"/>
  <c r="CE413" i="6" s="1"/>
  <c r="AR414" i="6" l="1"/>
  <c r="AC414" i="6"/>
  <c r="CM413" i="6"/>
  <c r="CF413" i="6" s="1"/>
  <c r="AK414" i="6"/>
  <c r="CN413" i="6" l="1"/>
  <c r="CG413" i="6" s="1"/>
  <c r="AL414" i="6"/>
  <c r="AS414" i="6"/>
  <c r="AM414" i="6" l="1"/>
  <c r="CO413" i="6"/>
  <c r="CH413" i="6" s="1"/>
  <c r="AT414" i="6"/>
  <c r="X414" i="6" l="1"/>
  <c r="AU414" i="6"/>
  <c r="CP413" i="6"/>
  <c r="T413" i="6" s="1"/>
  <c r="AN414" i="6"/>
  <c r="AA414" i="6" l="1"/>
  <c r="Y414" i="6"/>
  <c r="AB414" i="6" s="1"/>
  <c r="AV414" i="6"/>
  <c r="AW414" i="6" s="1"/>
  <c r="AX414" i="6" l="1"/>
  <c r="AY414" i="6" l="1"/>
  <c r="BH414" i="6"/>
  <c r="BD414" i="6" l="1"/>
  <c r="BO414" i="6" s="1"/>
  <c r="BC414" i="6"/>
  <c r="BN414" i="6" s="1"/>
  <c r="BB414" i="6"/>
  <c r="BM414" i="6" s="1"/>
  <c r="BA414" i="6"/>
  <c r="BL414" i="6" s="1"/>
  <c r="AZ414" i="6"/>
  <c r="BG414" i="6"/>
  <c r="BR414" i="6" s="1"/>
  <c r="BF414" i="6"/>
  <c r="BQ414" i="6" s="1"/>
  <c r="BE414" i="6"/>
  <c r="BP414" i="6" s="1"/>
  <c r="BI414" i="6"/>
  <c r="BJ414" i="6" s="1"/>
  <c r="BW414" i="6" l="1"/>
  <c r="BV414" i="6"/>
  <c r="BU414" i="6"/>
  <c r="BT414" i="6"/>
  <c r="BZ414" i="6"/>
  <c r="BY414" i="6"/>
  <c r="BX414" i="6"/>
  <c r="BK414" i="6"/>
  <c r="BS414" i="6" l="1"/>
  <c r="CA414" i="6" s="1"/>
  <c r="CI414" i="6" l="1"/>
  <c r="CB414" i="6" s="1"/>
  <c r="AG415" i="6"/>
  <c r="CJ414" i="6" l="1"/>
  <c r="CC414" i="6" s="1"/>
  <c r="AH415" i="6"/>
  <c r="AO415" i="6"/>
  <c r="Q415" i="6"/>
  <c r="R415" i="6" s="1"/>
  <c r="S415" i="6" s="1"/>
  <c r="AI415" i="6" l="1"/>
  <c r="CK414" i="6"/>
  <c r="CD414" i="6" s="1"/>
  <c r="AP415" i="6"/>
  <c r="W415" i="6" l="1"/>
  <c r="Z415" i="6" s="1"/>
  <c r="AQ415" i="6"/>
  <c r="CL414" i="6"/>
  <c r="CE414" i="6" s="1"/>
  <c r="AJ415" i="6"/>
  <c r="AK415" i="6" l="1"/>
  <c r="CM414" i="6"/>
  <c r="CF414" i="6" s="1"/>
  <c r="AR415" i="6"/>
  <c r="AC415" i="6"/>
  <c r="AS415" i="6" l="1"/>
  <c r="AL415" i="6"/>
  <c r="CN414" i="6"/>
  <c r="CG414" i="6" s="1"/>
  <c r="AT415" i="6" l="1"/>
  <c r="AM415" i="6"/>
  <c r="CO414" i="6"/>
  <c r="CH414" i="6" s="1"/>
  <c r="X415" i="6" l="1"/>
  <c r="AU415" i="6"/>
  <c r="CP414" i="6"/>
  <c r="T414" i="6" s="1"/>
  <c r="AN415" i="6"/>
  <c r="AA415" i="6" l="1"/>
  <c r="Y415" i="6"/>
  <c r="AB415" i="6" s="1"/>
  <c r="AV415" i="6"/>
  <c r="AW415" i="6" s="1"/>
  <c r="AX415" i="6" l="1"/>
  <c r="BH415" i="6" l="1"/>
  <c r="AY415" i="6"/>
  <c r="BI415" i="6" l="1"/>
  <c r="BJ415" i="6" s="1"/>
  <c r="BC415" i="6"/>
  <c r="BN415" i="6" s="1"/>
  <c r="AZ415" i="6"/>
  <c r="BD415" i="6"/>
  <c r="BO415" i="6" s="1"/>
  <c r="BA415" i="6"/>
  <c r="BL415" i="6" s="1"/>
  <c r="BB415" i="6"/>
  <c r="BM415" i="6" s="1"/>
  <c r="BE415" i="6"/>
  <c r="BP415" i="6" s="1"/>
  <c r="BF415" i="6"/>
  <c r="BQ415" i="6" s="1"/>
  <c r="BG415" i="6"/>
  <c r="BR415" i="6" s="1"/>
  <c r="BV415" i="6" l="1"/>
  <c r="BW415" i="6"/>
  <c r="BT415" i="6"/>
  <c r="BU415" i="6"/>
  <c r="BX415" i="6"/>
  <c r="BY415" i="6"/>
  <c r="BZ415" i="6"/>
  <c r="BK415" i="6"/>
  <c r="BS415" i="6" l="1"/>
  <c r="CA415" i="6" s="1"/>
  <c r="AG416" i="6" l="1"/>
  <c r="CI415" i="6"/>
  <c r="CB415" i="6" s="1"/>
  <c r="AO416" i="6" l="1"/>
  <c r="Q416" i="6"/>
  <c r="R416" i="6" s="1"/>
  <c r="S416" i="6" s="1"/>
  <c r="CJ415" i="6"/>
  <c r="CC415" i="6" s="1"/>
  <c r="AH416" i="6"/>
  <c r="CK415" i="6" l="1"/>
  <c r="CD415" i="6" s="1"/>
  <c r="AI416" i="6"/>
  <c r="AP416" i="6"/>
  <c r="AJ416" i="6" l="1"/>
  <c r="CL415" i="6"/>
  <c r="CE415" i="6" s="1"/>
  <c r="W416" i="6"/>
  <c r="Z416" i="6" s="1"/>
  <c r="AQ416" i="6"/>
  <c r="AR416" i="6" l="1"/>
  <c r="AC416" i="6"/>
  <c r="AK416" i="6"/>
  <c r="CM415" i="6"/>
  <c r="CF415" i="6" s="1"/>
  <c r="AS416" i="6" l="1"/>
  <c r="AL416" i="6"/>
  <c r="CN415" i="6"/>
  <c r="CG415" i="6" s="1"/>
  <c r="AT416" i="6" l="1"/>
  <c r="AM416" i="6"/>
  <c r="CO415" i="6"/>
  <c r="CH415" i="6" s="1"/>
  <c r="AU416" i="6" l="1"/>
  <c r="CP415" i="6"/>
  <c r="T415" i="6" s="1"/>
  <c r="AN416" i="6"/>
  <c r="X416" i="6" s="1"/>
  <c r="AA416" i="6" l="1"/>
  <c r="Y416" i="6"/>
  <c r="AB416" i="6" s="1"/>
  <c r="AV416" i="6"/>
  <c r="AW416" i="6" s="1"/>
  <c r="AX416" i="6" l="1"/>
  <c r="AY416" i="6" l="1"/>
  <c r="BH416" i="6"/>
  <c r="BE416" i="6" l="1"/>
  <c r="BP416" i="6" s="1"/>
  <c r="BC416" i="6"/>
  <c r="BN416" i="6" s="1"/>
  <c r="BA416" i="6"/>
  <c r="BL416" i="6" s="1"/>
  <c r="BG416" i="6"/>
  <c r="BR416" i="6" s="1"/>
  <c r="BB416" i="6"/>
  <c r="BM416" i="6" s="1"/>
  <c r="AZ416" i="6"/>
  <c r="BD416" i="6"/>
  <c r="BO416" i="6" s="1"/>
  <c r="BF416" i="6"/>
  <c r="BQ416" i="6" s="1"/>
  <c r="BI416" i="6"/>
  <c r="BJ416" i="6" s="1"/>
  <c r="BX416" i="6" l="1"/>
  <c r="BV416" i="6"/>
  <c r="BT416" i="6"/>
  <c r="BZ416" i="6"/>
  <c r="BU416" i="6"/>
  <c r="BW416" i="6"/>
  <c r="BY416" i="6"/>
  <c r="BK416" i="6"/>
  <c r="BS416" i="6" l="1"/>
  <c r="CA416" i="6" s="1"/>
  <c r="CI416" i="6" l="1"/>
  <c r="CB416" i="6" s="1"/>
  <c r="AG417" i="6"/>
  <c r="AH417" i="6" l="1"/>
  <c r="CJ416" i="6"/>
  <c r="CC416" i="6" s="1"/>
  <c r="AO417" i="6"/>
  <c r="Q417" i="6"/>
  <c r="R417" i="6" s="1"/>
  <c r="S417" i="6" s="1"/>
  <c r="AP417" i="6" l="1"/>
  <c r="AI417" i="6"/>
  <c r="CK416" i="6"/>
  <c r="CD416" i="6" s="1"/>
  <c r="W417" i="6" l="1"/>
  <c r="Z417" i="6" s="1"/>
  <c r="AQ417" i="6"/>
  <c r="CL416" i="6"/>
  <c r="CE416" i="6" s="1"/>
  <c r="AJ417" i="6"/>
  <c r="CM416" i="6" l="1"/>
  <c r="CF416" i="6" s="1"/>
  <c r="AK417" i="6"/>
  <c r="AR417" i="6"/>
  <c r="AC417" i="6"/>
  <c r="AL417" i="6" l="1"/>
  <c r="CN416" i="6"/>
  <c r="CG416" i="6" s="1"/>
  <c r="AS417" i="6"/>
  <c r="AT417" i="6" l="1"/>
  <c r="AM417" i="6"/>
  <c r="CO416" i="6"/>
  <c r="CH416" i="6" s="1"/>
  <c r="AU417" i="6" l="1"/>
  <c r="CP416" i="6"/>
  <c r="T416" i="6" s="1"/>
  <c r="AN417" i="6"/>
  <c r="X417" i="6" s="1"/>
  <c r="AA417" i="6" l="1"/>
  <c r="Y417" i="6"/>
  <c r="AB417" i="6" s="1"/>
  <c r="AV417" i="6"/>
  <c r="AW417" i="6" s="1"/>
  <c r="AX417" i="6" l="1"/>
  <c r="BH417" i="6" l="1"/>
  <c r="AY417" i="6"/>
  <c r="BI417" i="6" l="1"/>
  <c r="BJ417" i="6" s="1"/>
  <c r="BG417" i="6"/>
  <c r="BR417" i="6" s="1"/>
  <c r="AZ417" i="6"/>
  <c r="BA417" i="6"/>
  <c r="BL417" i="6" s="1"/>
  <c r="BB417" i="6"/>
  <c r="BM417" i="6" s="1"/>
  <c r="BC417" i="6"/>
  <c r="BN417" i="6" s="1"/>
  <c r="BD417" i="6"/>
  <c r="BO417" i="6" s="1"/>
  <c r="BE417" i="6"/>
  <c r="BP417" i="6" s="1"/>
  <c r="BF417" i="6"/>
  <c r="BQ417" i="6" s="1"/>
  <c r="BZ417" i="6" l="1"/>
  <c r="BT417" i="6"/>
  <c r="BU417" i="6"/>
  <c r="BV417" i="6"/>
  <c r="BW417" i="6"/>
  <c r="BX417" i="6"/>
  <c r="BY417" i="6"/>
  <c r="BK417" i="6"/>
  <c r="BS417" i="6" l="1"/>
  <c r="CA417" i="6" s="1"/>
  <c r="AG418" i="6" l="1"/>
  <c r="CI417" i="6"/>
  <c r="CB417" i="6" s="1"/>
  <c r="AO418" i="6" l="1"/>
  <c r="Q418" i="6"/>
  <c r="R418" i="6" s="1"/>
  <c r="S418" i="6" s="1"/>
  <c r="CJ417" i="6"/>
  <c r="CC417" i="6" s="1"/>
  <c r="AH418" i="6"/>
  <c r="AI418" i="6" l="1"/>
  <c r="CK417" i="6"/>
  <c r="CD417" i="6" s="1"/>
  <c r="AP418" i="6"/>
  <c r="AQ418" i="6" l="1"/>
  <c r="CL417" i="6"/>
  <c r="CE417" i="6" s="1"/>
  <c r="AJ418" i="6"/>
  <c r="W418" i="6" s="1"/>
  <c r="Z418" i="6" s="1"/>
  <c r="AK418" i="6" l="1"/>
  <c r="CM417" i="6"/>
  <c r="CF417" i="6" s="1"/>
  <c r="AR418" i="6"/>
  <c r="AC418" i="6"/>
  <c r="AS418" i="6" l="1"/>
  <c r="AL418" i="6"/>
  <c r="CN417" i="6"/>
  <c r="CG417" i="6" s="1"/>
  <c r="AT418" i="6" l="1"/>
  <c r="AM418" i="6"/>
  <c r="CO417" i="6"/>
  <c r="CH417" i="6" s="1"/>
  <c r="AU418" i="6" l="1"/>
  <c r="CP417" i="6"/>
  <c r="T417" i="6" s="1"/>
  <c r="AN418" i="6"/>
  <c r="X418" i="6" s="1"/>
  <c r="AA418" i="6" l="1"/>
  <c r="Y418" i="6"/>
  <c r="AB418" i="6" s="1"/>
  <c r="AV418" i="6"/>
  <c r="AW418" i="6" s="1"/>
  <c r="AX418" i="6" l="1"/>
  <c r="BH418" i="6" l="1"/>
  <c r="AY418" i="6"/>
  <c r="BI418" i="6" l="1"/>
  <c r="BJ418" i="6" s="1"/>
  <c r="BD418" i="6"/>
  <c r="BO418" i="6" s="1"/>
  <c r="BE418" i="6"/>
  <c r="BP418" i="6" s="1"/>
  <c r="BG418" i="6"/>
  <c r="BR418" i="6" s="1"/>
  <c r="BF418" i="6"/>
  <c r="BQ418" i="6" s="1"/>
  <c r="AZ418" i="6"/>
  <c r="BA418" i="6"/>
  <c r="BL418" i="6" s="1"/>
  <c r="BB418" i="6"/>
  <c r="BM418" i="6" s="1"/>
  <c r="BC418" i="6"/>
  <c r="BN418" i="6" s="1"/>
  <c r="BW418" i="6" l="1"/>
  <c r="BX418" i="6"/>
  <c r="BZ418" i="6"/>
  <c r="BY418" i="6"/>
  <c r="BT418" i="6"/>
  <c r="BU418" i="6"/>
  <c r="BV418" i="6"/>
  <c r="BK418" i="6"/>
  <c r="BS418" i="6" l="1"/>
  <c r="CA418" i="6" s="1"/>
  <c r="CI418" i="6" l="1"/>
  <c r="CB418" i="6" s="1"/>
  <c r="AG419" i="6"/>
  <c r="AO419" i="6" l="1"/>
  <c r="Q419" i="6"/>
  <c r="R419" i="6" s="1"/>
  <c r="S419" i="6" s="1"/>
  <c r="CJ418" i="6"/>
  <c r="CC418" i="6" s="1"/>
  <c r="AH419" i="6"/>
  <c r="CK418" i="6" l="1"/>
  <c r="CD418" i="6" s="1"/>
  <c r="AI419" i="6"/>
  <c r="AP419" i="6"/>
  <c r="CL418" i="6" l="1"/>
  <c r="CE418" i="6" s="1"/>
  <c r="AJ419" i="6"/>
  <c r="W419" i="6"/>
  <c r="Z419" i="6" s="1"/>
  <c r="AQ419" i="6"/>
  <c r="CM418" i="6" l="1"/>
  <c r="CF418" i="6" s="1"/>
  <c r="AK419" i="6"/>
  <c r="AR419" i="6"/>
  <c r="AC419" i="6"/>
  <c r="CN418" i="6" l="1"/>
  <c r="CG418" i="6" s="1"/>
  <c r="AL419" i="6"/>
  <c r="AS419" i="6"/>
  <c r="AM419" i="6" l="1"/>
  <c r="CO418" i="6"/>
  <c r="CH418" i="6" s="1"/>
  <c r="AT419" i="6"/>
  <c r="AU419" i="6" l="1"/>
  <c r="CP418" i="6"/>
  <c r="T418" i="6" s="1"/>
  <c r="AN419" i="6"/>
  <c r="X419" i="6" s="1"/>
  <c r="AA419" i="6" l="1"/>
  <c r="Y419" i="6"/>
  <c r="AB419" i="6" s="1"/>
  <c r="AV419" i="6"/>
  <c r="AW419" i="6" s="1"/>
  <c r="AX419" i="6" l="1"/>
  <c r="AY419" i="6" l="1"/>
  <c r="BH419" i="6"/>
  <c r="BF419" i="6" l="1"/>
  <c r="BQ419" i="6" s="1"/>
  <c r="AZ419" i="6"/>
  <c r="BB419" i="6"/>
  <c r="BM419" i="6" s="1"/>
  <c r="BA419" i="6"/>
  <c r="BL419" i="6" s="1"/>
  <c r="BG419" i="6"/>
  <c r="BR419" i="6" s="1"/>
  <c r="BE419" i="6"/>
  <c r="BP419" i="6" s="1"/>
  <c r="BD419" i="6"/>
  <c r="BO419" i="6" s="1"/>
  <c r="BC419" i="6"/>
  <c r="BN419" i="6" s="1"/>
  <c r="BI419" i="6"/>
  <c r="BJ419" i="6" s="1"/>
  <c r="BK419" i="6" s="1"/>
  <c r="BY419" i="6" l="1"/>
  <c r="BS419" i="6"/>
  <c r="CA419" i="6" s="1"/>
  <c r="BU419" i="6"/>
  <c r="BT419" i="6"/>
  <c r="BZ419" i="6"/>
  <c r="BX419" i="6"/>
  <c r="BW419" i="6"/>
  <c r="BV419" i="6"/>
  <c r="CI419" i="6" l="1"/>
  <c r="AG420" i="6"/>
  <c r="CB419" i="6"/>
  <c r="AO420" i="6" l="1"/>
  <c r="Q420" i="6"/>
  <c r="R420" i="6" s="1"/>
  <c r="S420" i="6" s="1"/>
  <c r="AH420" i="6"/>
  <c r="CJ419" i="6"/>
  <c r="CC419" i="6" s="1"/>
  <c r="AP420" i="6" l="1"/>
  <c r="CK419" i="6"/>
  <c r="CD419" i="6" s="1"/>
  <c r="AI420" i="6"/>
  <c r="CL419" i="6" l="1"/>
  <c r="CE419" i="6" s="1"/>
  <c r="AJ420" i="6"/>
  <c r="W420" i="6"/>
  <c r="Z420" i="6" s="1"/>
  <c r="AQ420" i="6"/>
  <c r="AK420" i="6" l="1"/>
  <c r="CM419" i="6"/>
  <c r="CF419" i="6" s="1"/>
  <c r="AR420" i="6"/>
  <c r="AC420" i="6"/>
  <c r="AS420" i="6" l="1"/>
  <c r="AL420" i="6"/>
  <c r="CN419" i="6"/>
  <c r="CG419" i="6" s="1"/>
  <c r="AT420" i="6" l="1"/>
  <c r="CO419" i="6"/>
  <c r="CH419" i="6" s="1"/>
  <c r="AM420" i="6"/>
  <c r="CP419" i="6" l="1"/>
  <c r="T419" i="6" s="1"/>
  <c r="AN420" i="6"/>
  <c r="X420" i="6"/>
  <c r="AU420" i="6"/>
  <c r="AV420" i="6" l="1"/>
  <c r="AW420" i="6" s="1"/>
  <c r="AX420" i="6" s="1"/>
  <c r="AA420" i="6"/>
  <c r="Y420" i="6"/>
  <c r="AB420" i="6" s="1"/>
  <c r="AY420" i="6" l="1"/>
  <c r="BH420" i="6"/>
  <c r="BA420" i="6" l="1"/>
  <c r="BL420" i="6" s="1"/>
  <c r="BC420" i="6"/>
  <c r="BN420" i="6" s="1"/>
  <c r="BD420" i="6"/>
  <c r="BO420" i="6" s="1"/>
  <c r="BE420" i="6"/>
  <c r="BP420" i="6" s="1"/>
  <c r="BF420" i="6"/>
  <c r="BQ420" i="6" s="1"/>
  <c r="BG420" i="6"/>
  <c r="BR420" i="6" s="1"/>
  <c r="BB420" i="6"/>
  <c r="BM420" i="6" s="1"/>
  <c r="AZ420" i="6"/>
  <c r="BI420" i="6"/>
  <c r="BJ420" i="6" s="1"/>
  <c r="BT420" i="6" l="1"/>
  <c r="BV420" i="6"/>
  <c r="BW420" i="6"/>
  <c r="BX420" i="6"/>
  <c r="BY420" i="6"/>
  <c r="BZ420" i="6"/>
  <c r="BU420" i="6"/>
  <c r="BK420" i="6"/>
  <c r="BS420" i="6" l="1"/>
  <c r="CA420" i="6" l="1"/>
  <c r="AG421" i="6" l="1"/>
  <c r="CI420" i="6"/>
  <c r="CB420" i="6" s="1"/>
  <c r="AO421" i="6" l="1"/>
  <c r="Q421" i="6"/>
  <c r="R421" i="6" s="1"/>
  <c r="S421" i="6" s="1"/>
  <c r="AH421" i="6"/>
  <c r="CJ420" i="6"/>
  <c r="CC420" i="6" s="1"/>
  <c r="AP421" i="6" l="1"/>
  <c r="AI421" i="6"/>
  <c r="CK420" i="6"/>
  <c r="CD420" i="6" s="1"/>
  <c r="W421" i="6" l="1"/>
  <c r="Z421" i="6" s="1"/>
  <c r="AQ421" i="6"/>
  <c r="CL420" i="6"/>
  <c r="CE420" i="6" s="1"/>
  <c r="AJ421" i="6"/>
  <c r="CM420" i="6" l="1"/>
  <c r="CF420" i="6" s="1"/>
  <c r="AK421" i="6"/>
  <c r="AR421" i="6"/>
  <c r="AC421" i="6"/>
  <c r="AL421" i="6" l="1"/>
  <c r="CN420" i="6"/>
  <c r="CG420" i="6" s="1"/>
  <c r="AS421" i="6"/>
  <c r="AT421" i="6" l="1"/>
  <c r="CO420" i="6"/>
  <c r="CH420" i="6" s="1"/>
  <c r="AM421" i="6"/>
  <c r="AN421" i="6" l="1"/>
  <c r="CP420" i="6"/>
  <c r="T420" i="6" s="1"/>
  <c r="X421" i="6"/>
  <c r="AU421" i="6"/>
  <c r="AV421" i="6" l="1"/>
  <c r="AW421" i="6" s="1"/>
  <c r="AA421" i="6"/>
  <c r="Y421" i="6"/>
  <c r="AB421" i="6" s="1"/>
  <c r="AX421" i="6" l="1"/>
  <c r="BH421" i="6" l="1"/>
  <c r="AY421" i="6"/>
  <c r="BI421" i="6" l="1"/>
  <c r="BJ421" i="6" s="1"/>
  <c r="BG421" i="6"/>
  <c r="BR421" i="6" s="1"/>
  <c r="AZ421" i="6"/>
  <c r="BA421" i="6"/>
  <c r="BL421" i="6" s="1"/>
  <c r="BB421" i="6"/>
  <c r="BM421" i="6" s="1"/>
  <c r="BF421" i="6"/>
  <c r="BQ421" i="6" s="1"/>
  <c r="BC421" i="6"/>
  <c r="BN421" i="6" s="1"/>
  <c r="BD421" i="6"/>
  <c r="BO421" i="6" s="1"/>
  <c r="BE421" i="6"/>
  <c r="BP421" i="6" s="1"/>
  <c r="BZ421" i="6" l="1"/>
  <c r="BT421" i="6"/>
  <c r="BU421" i="6"/>
  <c r="BY421" i="6"/>
  <c r="BV421" i="6"/>
  <c r="BW421" i="6"/>
  <c r="BX421" i="6"/>
  <c r="BK421" i="6"/>
  <c r="BS421" i="6" l="1"/>
  <c r="CA421" i="6" s="1"/>
  <c r="CI421" i="6" l="1"/>
  <c r="CB421" i="6" s="1"/>
  <c r="AG422" i="6"/>
  <c r="AO422" i="6" l="1"/>
  <c r="Q422" i="6"/>
  <c r="R422" i="6" s="1"/>
  <c r="S422" i="6" s="1"/>
  <c r="AH422" i="6"/>
  <c r="CJ421" i="6"/>
  <c r="CC421" i="6" s="1"/>
  <c r="AP422" i="6" l="1"/>
  <c r="CK421" i="6"/>
  <c r="CD421" i="6" s="1"/>
  <c r="AI422" i="6"/>
  <c r="CL421" i="6" l="1"/>
  <c r="CE421" i="6" s="1"/>
  <c r="AJ422" i="6"/>
  <c r="W422" i="6"/>
  <c r="Z422" i="6" s="1"/>
  <c r="AQ422" i="6"/>
  <c r="AK422" i="6" l="1"/>
  <c r="CM421" i="6"/>
  <c r="CF421" i="6" s="1"/>
  <c r="AR422" i="6"/>
  <c r="AC422" i="6"/>
  <c r="AS422" i="6" l="1"/>
  <c r="AL422" i="6"/>
  <c r="CN421" i="6"/>
  <c r="CG421" i="6" s="1"/>
  <c r="AT422" i="6" l="1"/>
  <c r="CO421" i="6"/>
  <c r="CH421" i="6" s="1"/>
  <c r="AM422" i="6"/>
  <c r="AN422" i="6" l="1"/>
  <c r="CP421" i="6"/>
  <c r="T421" i="6" s="1"/>
  <c r="X422" i="6"/>
  <c r="AU422" i="6"/>
  <c r="AV422" i="6" l="1"/>
  <c r="AW422" i="6" s="1"/>
  <c r="AA422" i="6"/>
  <c r="Y422" i="6"/>
  <c r="AB422" i="6" s="1"/>
  <c r="AX422" i="6" l="1"/>
  <c r="BH422" i="6" l="1"/>
  <c r="AY422" i="6"/>
  <c r="BI422" i="6" l="1"/>
  <c r="BJ422" i="6" s="1"/>
  <c r="BA422" i="6"/>
  <c r="BL422" i="6" s="1"/>
  <c r="BB422" i="6"/>
  <c r="BM422" i="6" s="1"/>
  <c r="BC422" i="6"/>
  <c r="BN422" i="6" s="1"/>
  <c r="BD422" i="6"/>
  <c r="BO422" i="6" s="1"/>
  <c r="BE422" i="6"/>
  <c r="BP422" i="6" s="1"/>
  <c r="BF422" i="6"/>
  <c r="BQ422" i="6" s="1"/>
  <c r="BG422" i="6"/>
  <c r="BR422" i="6" s="1"/>
  <c r="AZ422" i="6"/>
  <c r="BT422" i="6" l="1"/>
  <c r="BU422" i="6"/>
  <c r="BV422" i="6"/>
  <c r="BW422" i="6"/>
  <c r="BX422" i="6"/>
  <c r="BY422" i="6"/>
  <c r="BZ422" i="6"/>
  <c r="BK422" i="6"/>
  <c r="BS422" i="6" l="1"/>
  <c r="CA422" i="6" s="1"/>
  <c r="CI422" i="6" l="1"/>
  <c r="CB422" i="6" s="1"/>
  <c r="AG423" i="6"/>
  <c r="AH423" i="6"/>
  <c r="CJ422" i="6"/>
  <c r="CC422" i="6" s="1"/>
  <c r="AO423" i="6" l="1"/>
  <c r="Q423" i="6"/>
  <c r="R423" i="6" s="1"/>
  <c r="S423" i="6" s="1"/>
  <c r="AP423" i="6"/>
  <c r="CK422" i="6"/>
  <c r="CD422" i="6" s="1"/>
  <c r="AI423" i="6"/>
  <c r="AJ423" i="6" l="1"/>
  <c r="CL422" i="6"/>
  <c r="CE422" i="6" s="1"/>
  <c r="AQ423" i="6"/>
  <c r="W423" i="6" l="1"/>
  <c r="Z423" i="6" s="1"/>
  <c r="AR423" i="6"/>
  <c r="AC423" i="6"/>
  <c r="AK423" i="6"/>
  <c r="CM422" i="6"/>
  <c r="CF422" i="6" s="1"/>
  <c r="AS423" i="6" l="1"/>
  <c r="AL423" i="6"/>
  <c r="CN422" i="6"/>
  <c r="CG422" i="6" s="1"/>
  <c r="AT423" i="6" l="1"/>
  <c r="CO422" i="6"/>
  <c r="CH422" i="6" s="1"/>
  <c r="AM423" i="6"/>
  <c r="AN423" i="6" l="1"/>
  <c r="X423" i="6" s="1"/>
  <c r="CP422" i="6"/>
  <c r="T422" i="6" s="1"/>
  <c r="AU423" i="6"/>
  <c r="AV423" i="6" l="1"/>
  <c r="AW423" i="6" s="1"/>
  <c r="AA423" i="6"/>
  <c r="Y423" i="6"/>
  <c r="AB423" i="6" s="1"/>
  <c r="AX423" i="6"/>
  <c r="AY423" i="6" l="1"/>
  <c r="BH423" i="6"/>
  <c r="BA423" i="6"/>
  <c r="BL423" i="6" s="1"/>
  <c r="BB423" i="6"/>
  <c r="BM423" i="6" s="1"/>
  <c r="BC423" i="6"/>
  <c r="BN423" i="6" s="1"/>
  <c r="AZ423" i="6" l="1"/>
  <c r="BG423" i="6"/>
  <c r="BR423" i="6" s="1"/>
  <c r="BI423" i="6"/>
  <c r="BJ423" i="6" s="1"/>
  <c r="BT423" i="6"/>
  <c r="BU423" i="6"/>
  <c r="BV423" i="6"/>
  <c r="BD423" i="6"/>
  <c r="BO423" i="6" s="1"/>
  <c r="BE423" i="6"/>
  <c r="BP423" i="6" s="1"/>
  <c r="BF423" i="6"/>
  <c r="BQ423" i="6" s="1"/>
  <c r="BZ423" i="6" l="1"/>
  <c r="BW423" i="6"/>
  <c r="BX423" i="6"/>
  <c r="BY423" i="6"/>
  <c r="BK423" i="6"/>
  <c r="BS423" i="6" l="1"/>
  <c r="CA423" i="6"/>
  <c r="CI423" i="6" l="1"/>
  <c r="CB423" i="6" s="1"/>
  <c r="AG424" i="6"/>
  <c r="CJ423" i="6" l="1"/>
  <c r="CC423" i="6" s="1"/>
  <c r="AH424" i="6"/>
  <c r="AO424" i="6"/>
  <c r="Q424" i="6"/>
  <c r="R424" i="6" s="1"/>
  <c r="S424" i="6" s="1"/>
  <c r="AI424" i="6" l="1"/>
  <c r="CK423" i="6"/>
  <c r="CD423" i="6" s="1"/>
  <c r="AP424" i="6"/>
  <c r="AQ424" i="6" l="1"/>
  <c r="AJ424" i="6"/>
  <c r="W424" i="6" s="1"/>
  <c r="Z424" i="6" s="1"/>
  <c r="CL423" i="6"/>
  <c r="CE423" i="6" s="1"/>
  <c r="AR424" i="6" l="1"/>
  <c r="AC424" i="6"/>
  <c r="AK424" i="6"/>
  <c r="CM423" i="6"/>
  <c r="CF423" i="6" s="1"/>
  <c r="AS424" i="6" l="1"/>
  <c r="CN423" i="6"/>
  <c r="CG423" i="6" s="1"/>
  <c r="AL424" i="6"/>
  <c r="AM424" i="6" l="1"/>
  <c r="CO423" i="6"/>
  <c r="CH423" i="6" s="1"/>
  <c r="AT424" i="6"/>
  <c r="AU424" i="6" l="1"/>
  <c r="AN424" i="6"/>
  <c r="X424" i="6" s="1"/>
  <c r="CP423" i="6"/>
  <c r="T423" i="6" s="1"/>
  <c r="AA424" i="6" l="1"/>
  <c r="Y424" i="6"/>
  <c r="AB424" i="6" s="1"/>
  <c r="AV424" i="6"/>
  <c r="AW424" i="6" s="1"/>
  <c r="AX424" i="6" l="1"/>
  <c r="BH424" i="6" l="1"/>
  <c r="AY424" i="6"/>
  <c r="BI424" i="6" l="1"/>
  <c r="BJ424" i="6" s="1"/>
  <c r="BE424" i="6"/>
  <c r="BP424" i="6" s="1"/>
  <c r="BF424" i="6"/>
  <c r="BQ424" i="6" s="1"/>
  <c r="BG424" i="6"/>
  <c r="BR424" i="6" s="1"/>
  <c r="BA424" i="6"/>
  <c r="BL424" i="6" s="1"/>
  <c r="BB424" i="6"/>
  <c r="BM424" i="6" s="1"/>
  <c r="BC424" i="6"/>
  <c r="BN424" i="6" s="1"/>
  <c r="BD424" i="6"/>
  <c r="BO424" i="6" s="1"/>
  <c r="AZ424" i="6"/>
  <c r="BX424" i="6" l="1"/>
  <c r="BY424" i="6"/>
  <c r="BZ424" i="6"/>
  <c r="BT424" i="6"/>
  <c r="BU424" i="6"/>
  <c r="BV424" i="6"/>
  <c r="BW424" i="6"/>
  <c r="BK424" i="6"/>
  <c r="BS424" i="6" l="1"/>
  <c r="CA424" i="6" s="1"/>
  <c r="AG425" i="6" l="1"/>
  <c r="CI424" i="6"/>
  <c r="CB424" i="6" s="1"/>
  <c r="AO425" i="6" l="1"/>
  <c r="Q425" i="6"/>
  <c r="R425" i="6" s="1"/>
  <c r="S425" i="6" s="1"/>
  <c r="CJ424" i="6"/>
  <c r="CC424" i="6" s="1"/>
  <c r="AH425" i="6"/>
  <c r="AI425" i="6" l="1"/>
  <c r="CK424" i="6"/>
  <c r="CD424" i="6" s="1"/>
  <c r="AP425" i="6"/>
  <c r="AQ425" i="6" l="1"/>
  <c r="CL424" i="6"/>
  <c r="CE424" i="6" s="1"/>
  <c r="AJ425" i="6"/>
  <c r="W425" i="6" s="1"/>
  <c r="Z425" i="6" s="1"/>
  <c r="CM424" i="6" l="1"/>
  <c r="CF424" i="6" s="1"/>
  <c r="AK425" i="6"/>
  <c r="AR425" i="6"/>
  <c r="AC425" i="6"/>
  <c r="CN424" i="6" l="1"/>
  <c r="CG424" i="6" s="1"/>
  <c r="AL425" i="6"/>
  <c r="AS425" i="6"/>
  <c r="AM425" i="6" l="1"/>
  <c r="CO424" i="6"/>
  <c r="CH424" i="6" s="1"/>
  <c r="AT425" i="6"/>
  <c r="AU425" i="6" l="1"/>
  <c r="CP424" i="6"/>
  <c r="T424" i="6" s="1"/>
  <c r="AN425" i="6"/>
  <c r="X425" i="6" s="1"/>
  <c r="AA425" i="6" l="1"/>
  <c r="Y425" i="6"/>
  <c r="AB425" i="6" s="1"/>
  <c r="AV425" i="6"/>
  <c r="AW425" i="6" s="1"/>
  <c r="AX425" i="6" l="1"/>
  <c r="AY425" i="6" l="1"/>
  <c r="BH425" i="6"/>
  <c r="BA425" i="6" l="1"/>
  <c r="BL425" i="6" s="1"/>
  <c r="AZ425" i="6"/>
  <c r="BG425" i="6"/>
  <c r="BR425" i="6" s="1"/>
  <c r="BF425" i="6"/>
  <c r="BQ425" i="6" s="1"/>
  <c r="BE425" i="6"/>
  <c r="BP425" i="6" s="1"/>
  <c r="BD425" i="6"/>
  <c r="BO425" i="6" s="1"/>
  <c r="BC425" i="6"/>
  <c r="BN425" i="6" s="1"/>
  <c r="BB425" i="6"/>
  <c r="BM425" i="6" s="1"/>
  <c r="BI425" i="6"/>
  <c r="BJ425" i="6" s="1"/>
  <c r="BK425" i="6" s="1"/>
  <c r="BT425" i="6" l="1"/>
  <c r="BS425" i="6"/>
  <c r="BZ425" i="6"/>
  <c r="BY425" i="6"/>
  <c r="BX425" i="6"/>
  <c r="BW425" i="6"/>
  <c r="BV425" i="6"/>
  <c r="BU425" i="6"/>
  <c r="CA425" i="6" l="1"/>
  <c r="AG426" i="6" l="1"/>
  <c r="CI425" i="6"/>
  <c r="CB425" i="6" s="1"/>
  <c r="AO426" i="6" l="1"/>
  <c r="Q426" i="6"/>
  <c r="R426" i="6" s="1"/>
  <c r="S426" i="6" s="1"/>
  <c r="AH426" i="6"/>
  <c r="CJ425" i="6"/>
  <c r="CC425" i="6" s="1"/>
  <c r="AP426" i="6" l="1"/>
  <c r="AI426" i="6"/>
  <c r="CK425" i="6"/>
  <c r="CD425" i="6" s="1"/>
  <c r="AQ426" i="6" l="1"/>
  <c r="CL425" i="6"/>
  <c r="CE425" i="6" s="1"/>
  <c r="AJ426" i="6"/>
  <c r="W426" i="6" s="1"/>
  <c r="Z426" i="6" s="1"/>
  <c r="CM425" i="6" l="1"/>
  <c r="CF425" i="6" s="1"/>
  <c r="AK426" i="6"/>
  <c r="AR426" i="6"/>
  <c r="AC426" i="6"/>
  <c r="AL426" i="6" l="1"/>
  <c r="CN425" i="6"/>
  <c r="CG425" i="6" s="1"/>
  <c r="AS426" i="6"/>
  <c r="AT426" i="6" l="1"/>
  <c r="AM426" i="6"/>
  <c r="CO425" i="6"/>
  <c r="CH425" i="6" s="1"/>
  <c r="X426" i="6" l="1"/>
  <c r="AU426" i="6"/>
  <c r="CP425" i="6"/>
  <c r="T425" i="6" s="1"/>
  <c r="AN426" i="6"/>
  <c r="AA426" i="6" l="1"/>
  <c r="Y426" i="6"/>
  <c r="AB426" i="6" s="1"/>
  <c r="AV426" i="6"/>
  <c r="AW426" i="6" s="1"/>
  <c r="AX426" i="6" l="1"/>
  <c r="AY426" i="6" l="1"/>
  <c r="BH426" i="6"/>
  <c r="BG426" i="6" l="1"/>
  <c r="BR426" i="6" s="1"/>
  <c r="BF426" i="6"/>
  <c r="BQ426" i="6" s="1"/>
  <c r="BE426" i="6"/>
  <c r="BP426" i="6" s="1"/>
  <c r="BD426" i="6"/>
  <c r="BO426" i="6" s="1"/>
  <c r="BC426" i="6"/>
  <c r="BN426" i="6" s="1"/>
  <c r="BB426" i="6"/>
  <c r="BM426" i="6" s="1"/>
  <c r="BA426" i="6"/>
  <c r="BL426" i="6" s="1"/>
  <c r="AZ426" i="6"/>
  <c r="BI426" i="6"/>
  <c r="BJ426" i="6" s="1"/>
  <c r="BZ426" i="6" l="1"/>
  <c r="BY426" i="6"/>
  <c r="BX426" i="6"/>
  <c r="BW426" i="6"/>
  <c r="BV426" i="6"/>
  <c r="BU426" i="6"/>
  <c r="BT426" i="6"/>
  <c r="BK426" i="6"/>
  <c r="BS426" i="6" l="1"/>
  <c r="CA426" i="6" s="1"/>
  <c r="CI426" i="6" l="1"/>
  <c r="CB426" i="6" s="1"/>
  <c r="AG427" i="6"/>
  <c r="CJ426" i="6" l="1"/>
  <c r="CC426" i="6" s="1"/>
  <c r="AH427" i="6"/>
  <c r="AO427" i="6"/>
  <c r="Q427" i="6"/>
  <c r="R427" i="6" s="1"/>
  <c r="S427" i="6" s="1"/>
  <c r="CK426" i="6" l="1"/>
  <c r="CD426" i="6" s="1"/>
  <c r="AI427" i="6"/>
  <c r="AP427" i="6"/>
  <c r="AJ427" i="6" l="1"/>
  <c r="CL426" i="6"/>
  <c r="CE426" i="6" s="1"/>
  <c r="W427" i="6"/>
  <c r="Z427" i="6" s="1"/>
  <c r="AQ427" i="6"/>
  <c r="AR427" i="6" l="1"/>
  <c r="AC427" i="6"/>
  <c r="AK427" i="6"/>
  <c r="CM426" i="6"/>
  <c r="CF426" i="6" s="1"/>
  <c r="AS427" i="6" l="1"/>
  <c r="AL427" i="6"/>
  <c r="CN426" i="6"/>
  <c r="CG426" i="6" s="1"/>
  <c r="AT427" i="6" l="1"/>
  <c r="AM427" i="6"/>
  <c r="CO426" i="6"/>
  <c r="CH426" i="6" s="1"/>
  <c r="AU427" i="6" l="1"/>
  <c r="CP426" i="6"/>
  <c r="T426" i="6" s="1"/>
  <c r="AN427" i="6"/>
  <c r="X427" i="6" s="1"/>
  <c r="AA427" i="6" l="1"/>
  <c r="Y427" i="6"/>
  <c r="AB427" i="6" s="1"/>
  <c r="AV427" i="6"/>
  <c r="AW427" i="6" s="1"/>
  <c r="AX427" i="6" l="1"/>
  <c r="BH427" i="6" l="1"/>
  <c r="AY427" i="6"/>
  <c r="BI427" i="6" l="1"/>
  <c r="BJ427" i="6" s="1"/>
  <c r="BA427" i="6"/>
  <c r="BL427" i="6" s="1"/>
  <c r="BB427" i="6"/>
  <c r="BM427" i="6" s="1"/>
  <c r="BC427" i="6"/>
  <c r="BN427" i="6" s="1"/>
  <c r="BD427" i="6"/>
  <c r="BO427" i="6" s="1"/>
  <c r="BE427" i="6"/>
  <c r="BP427" i="6" s="1"/>
  <c r="BF427" i="6"/>
  <c r="BQ427" i="6" s="1"/>
  <c r="BG427" i="6"/>
  <c r="BR427" i="6" s="1"/>
  <c r="AZ427" i="6"/>
  <c r="BT427" i="6" l="1"/>
  <c r="BU427" i="6"/>
  <c r="BV427" i="6"/>
  <c r="BW427" i="6"/>
  <c r="BX427" i="6"/>
  <c r="BY427" i="6"/>
  <c r="BZ427" i="6"/>
  <c r="BK427" i="6"/>
  <c r="BS427" i="6" l="1"/>
  <c r="CA427" i="6" s="1"/>
  <c r="AG428" i="6" l="1"/>
  <c r="CI427" i="6"/>
  <c r="CB427" i="6" s="1"/>
  <c r="AO428" i="6" l="1"/>
  <c r="Q428" i="6"/>
  <c r="R428" i="6" s="1"/>
  <c r="S428" i="6" s="1"/>
  <c r="CJ427" i="6"/>
  <c r="CC427" i="6" s="1"/>
  <c r="AH428" i="6"/>
  <c r="CK427" i="6" l="1"/>
  <c r="CD427" i="6" s="1"/>
  <c r="AI428" i="6"/>
  <c r="AP428" i="6"/>
  <c r="CL427" i="6" l="1"/>
  <c r="CE427" i="6" s="1"/>
  <c r="AJ428" i="6"/>
  <c r="W428" i="6" s="1"/>
  <c r="Z428" i="6" s="1"/>
  <c r="AQ428" i="6"/>
  <c r="CM427" i="6" l="1"/>
  <c r="CF427" i="6" s="1"/>
  <c r="AK428" i="6"/>
  <c r="AR428" i="6"/>
  <c r="AC428" i="6"/>
  <c r="AL428" i="6" l="1"/>
  <c r="CN427" i="6"/>
  <c r="CG427" i="6" s="1"/>
  <c r="AS428" i="6"/>
  <c r="AT428" i="6" l="1"/>
  <c r="AM428" i="6"/>
  <c r="CO427" i="6"/>
  <c r="CH427" i="6" s="1"/>
  <c r="AU428" i="6" l="1"/>
  <c r="CP427" i="6"/>
  <c r="T427" i="6" s="1"/>
  <c r="AN428" i="6"/>
  <c r="X428" i="6" s="1"/>
  <c r="AA428" i="6" l="1"/>
  <c r="Y428" i="6"/>
  <c r="AB428" i="6" s="1"/>
  <c r="AV428" i="6"/>
  <c r="AW428" i="6" s="1"/>
  <c r="AX428" i="6" l="1"/>
  <c r="BH428" i="6" l="1"/>
  <c r="AY428" i="6"/>
  <c r="BI428" i="6" l="1"/>
  <c r="BJ428" i="6" s="1"/>
  <c r="BK428" i="6" s="1"/>
  <c r="BA428" i="6"/>
  <c r="BL428" i="6" s="1"/>
  <c r="BB428" i="6"/>
  <c r="BM428" i="6" s="1"/>
  <c r="BC428" i="6"/>
  <c r="BN428" i="6" s="1"/>
  <c r="BD428" i="6"/>
  <c r="BO428" i="6" s="1"/>
  <c r="BE428" i="6"/>
  <c r="BP428" i="6" s="1"/>
  <c r="BF428" i="6"/>
  <c r="BQ428" i="6" s="1"/>
  <c r="BG428" i="6"/>
  <c r="BR428" i="6" s="1"/>
  <c r="AZ428" i="6"/>
  <c r="BT428" i="6" l="1"/>
  <c r="BU428" i="6"/>
  <c r="BV428" i="6"/>
  <c r="BW428" i="6"/>
  <c r="BX428" i="6"/>
  <c r="BY428" i="6"/>
  <c r="BZ428" i="6"/>
  <c r="BS428" i="6"/>
  <c r="CA428" i="6"/>
  <c r="CI428" i="6" l="1"/>
  <c r="CB428" i="6" s="1"/>
  <c r="AG429" i="6"/>
  <c r="CJ428" i="6" l="1"/>
  <c r="CC428" i="6" s="1"/>
  <c r="AH429" i="6"/>
  <c r="AO429" i="6"/>
  <c r="Q429" i="6"/>
  <c r="R429" i="6" s="1"/>
  <c r="S429" i="6" s="1"/>
  <c r="AP429" i="6" l="1"/>
  <c r="AI429" i="6"/>
  <c r="CK428" i="6"/>
  <c r="CD428" i="6" s="1"/>
  <c r="AQ429" i="6" l="1"/>
  <c r="W429" i="6"/>
  <c r="Z429" i="6" s="1"/>
  <c r="CL428" i="6"/>
  <c r="CE428" i="6" s="1"/>
  <c r="AJ429" i="6"/>
  <c r="AK429" i="6" l="1"/>
  <c r="CM428" i="6"/>
  <c r="CF428" i="6" s="1"/>
  <c r="AR429" i="6"/>
  <c r="AC429" i="6"/>
  <c r="AS429" i="6" l="1"/>
  <c r="AL429" i="6"/>
  <c r="CN428" i="6"/>
  <c r="CG428" i="6" s="1"/>
  <c r="AT429" i="6" l="1"/>
  <c r="AM429" i="6"/>
  <c r="CO428" i="6"/>
  <c r="CH428" i="6" s="1"/>
  <c r="X429" i="6" l="1"/>
  <c r="AU429" i="6"/>
  <c r="CP428" i="6"/>
  <c r="T428" i="6" s="1"/>
  <c r="AN429" i="6"/>
  <c r="AA429" i="6" l="1"/>
  <c r="Y429" i="6"/>
  <c r="AB429" i="6" s="1"/>
  <c r="AV429" i="6"/>
  <c r="AW429" i="6" s="1"/>
  <c r="AX429" i="6" l="1"/>
  <c r="BH429" i="6" l="1"/>
  <c r="AY429" i="6"/>
  <c r="BI429" i="6" l="1"/>
  <c r="BJ429" i="6" s="1"/>
  <c r="BK429" i="6" s="1"/>
  <c r="AZ429" i="6"/>
  <c r="BC429" i="6"/>
  <c r="BN429" i="6" s="1"/>
  <c r="BD429" i="6"/>
  <c r="BO429" i="6" s="1"/>
  <c r="BE429" i="6"/>
  <c r="BP429" i="6" s="1"/>
  <c r="BF429" i="6"/>
  <c r="BQ429" i="6" s="1"/>
  <c r="BG429" i="6"/>
  <c r="BR429" i="6" s="1"/>
  <c r="BA429" i="6"/>
  <c r="BL429" i="6" s="1"/>
  <c r="BB429" i="6"/>
  <c r="BM429" i="6" s="1"/>
  <c r="BS429" i="6" l="1"/>
  <c r="CA429" i="6" s="1"/>
  <c r="BV429" i="6"/>
  <c r="BW429" i="6"/>
  <c r="BX429" i="6"/>
  <c r="BY429" i="6"/>
  <c r="BZ429" i="6"/>
  <c r="BT429" i="6"/>
  <c r="BU429" i="6"/>
  <c r="AG430" i="6" l="1"/>
  <c r="CI429" i="6"/>
  <c r="CB429" i="6" s="1"/>
  <c r="AO430" i="6" l="1"/>
  <c r="Q430" i="6"/>
  <c r="R430" i="6" s="1"/>
  <c r="S430" i="6" s="1"/>
  <c r="CJ429" i="6"/>
  <c r="CC429" i="6" s="1"/>
  <c r="AH430" i="6"/>
  <c r="AI430" i="6" l="1"/>
  <c r="CK429" i="6"/>
  <c r="CD429" i="6" s="1"/>
  <c r="AP430" i="6"/>
  <c r="AQ430" i="6" l="1"/>
  <c r="AJ430" i="6"/>
  <c r="W430" i="6" s="1"/>
  <c r="Z430" i="6" s="1"/>
  <c r="CL429" i="6"/>
  <c r="CE429" i="6" s="1"/>
  <c r="AR430" i="6" l="1"/>
  <c r="AC430" i="6"/>
  <c r="AK430" i="6"/>
  <c r="CM429" i="6"/>
  <c r="CF429" i="6" s="1"/>
  <c r="AS430" i="6" l="1"/>
  <c r="AL430" i="6"/>
  <c r="CN429" i="6"/>
  <c r="CG429" i="6" s="1"/>
  <c r="AT430" i="6" l="1"/>
  <c r="AM430" i="6"/>
  <c r="CO429" i="6"/>
  <c r="CH429" i="6" s="1"/>
  <c r="X430" i="6" l="1"/>
  <c r="AU430" i="6"/>
  <c r="CP429" i="6"/>
  <c r="T429" i="6" s="1"/>
  <c r="AN430" i="6"/>
  <c r="AA430" i="6" l="1"/>
  <c r="Y430" i="6"/>
  <c r="AB430" i="6" s="1"/>
  <c r="AV430" i="6"/>
  <c r="AW430" i="6" s="1"/>
  <c r="AX430" i="6" l="1"/>
  <c r="AY430" i="6" l="1"/>
  <c r="BH430" i="6"/>
  <c r="BD430" i="6" l="1"/>
  <c r="BO430" i="6" s="1"/>
  <c r="BC430" i="6"/>
  <c r="BN430" i="6" s="1"/>
  <c r="BB430" i="6"/>
  <c r="BM430" i="6" s="1"/>
  <c r="BA430" i="6"/>
  <c r="BL430" i="6" s="1"/>
  <c r="AZ430" i="6"/>
  <c r="BG430" i="6"/>
  <c r="BR430" i="6" s="1"/>
  <c r="BF430" i="6"/>
  <c r="BQ430" i="6" s="1"/>
  <c r="BE430" i="6"/>
  <c r="BP430" i="6" s="1"/>
  <c r="BI430" i="6"/>
  <c r="BJ430" i="6" s="1"/>
  <c r="BW430" i="6" l="1"/>
  <c r="BV430" i="6"/>
  <c r="BU430" i="6"/>
  <c r="BT430" i="6"/>
  <c r="BZ430" i="6"/>
  <c r="BY430" i="6"/>
  <c r="BX430" i="6"/>
  <c r="BK430" i="6"/>
  <c r="BS430" i="6" l="1"/>
  <c r="CA430" i="6" l="1"/>
  <c r="AG431" i="6" l="1"/>
  <c r="CI430" i="6"/>
  <c r="CB430" i="6" s="1"/>
  <c r="AO431" i="6" l="1"/>
  <c r="Q431" i="6"/>
  <c r="R431" i="6" s="1"/>
  <c r="S431" i="6" s="1"/>
  <c r="CJ430" i="6"/>
  <c r="CC430" i="6" s="1"/>
  <c r="AH431" i="6"/>
  <c r="AI431" i="6" l="1"/>
  <c r="CK430" i="6"/>
  <c r="CD430" i="6" s="1"/>
  <c r="AP431" i="6"/>
  <c r="AQ431" i="6" l="1"/>
  <c r="AJ431" i="6"/>
  <c r="W431" i="6" s="1"/>
  <c r="Z431" i="6" s="1"/>
  <c r="CL430" i="6"/>
  <c r="CE430" i="6" s="1"/>
  <c r="AR431" i="6" l="1"/>
  <c r="AC431" i="6"/>
  <c r="AK431" i="6"/>
  <c r="CM430" i="6"/>
  <c r="CF430" i="6" s="1"/>
  <c r="AS431" i="6" l="1"/>
  <c r="AL431" i="6"/>
  <c r="CN430" i="6"/>
  <c r="CG430" i="6" s="1"/>
  <c r="AT431" i="6" l="1"/>
  <c r="AM431" i="6"/>
  <c r="CO430" i="6"/>
  <c r="CH430" i="6" s="1"/>
  <c r="X431" i="6" l="1"/>
  <c r="AU431" i="6"/>
  <c r="CP430" i="6"/>
  <c r="T430" i="6" s="1"/>
  <c r="AN431" i="6"/>
  <c r="AA431" i="6" l="1"/>
  <c r="Y431" i="6"/>
  <c r="AB431" i="6" s="1"/>
  <c r="AV431" i="6"/>
  <c r="AW431" i="6" s="1"/>
  <c r="AX431" i="6" l="1"/>
  <c r="AY431" i="6" l="1"/>
  <c r="BH431" i="6"/>
  <c r="BE431" i="6" l="1"/>
  <c r="BP431" i="6" s="1"/>
  <c r="BD431" i="6"/>
  <c r="BO431" i="6" s="1"/>
  <c r="BC431" i="6"/>
  <c r="BN431" i="6" s="1"/>
  <c r="BB431" i="6"/>
  <c r="BM431" i="6" s="1"/>
  <c r="BA431" i="6"/>
  <c r="BL431" i="6" s="1"/>
  <c r="AZ431" i="6"/>
  <c r="BG431" i="6"/>
  <c r="BR431" i="6" s="1"/>
  <c r="BF431" i="6"/>
  <c r="BQ431" i="6" s="1"/>
  <c r="BI431" i="6"/>
  <c r="BJ431" i="6" s="1"/>
  <c r="BK431" i="6" s="1"/>
  <c r="BX431" i="6" l="1"/>
  <c r="BW431" i="6"/>
  <c r="BV431" i="6"/>
  <c r="BU431" i="6"/>
  <c r="BT431" i="6"/>
  <c r="BS431" i="6"/>
  <c r="CA431" i="6" s="1"/>
  <c r="BZ431" i="6"/>
  <c r="BY431" i="6"/>
  <c r="CI431" i="6" l="1"/>
  <c r="CB431" i="6" s="1"/>
  <c r="AG432" i="6"/>
  <c r="AO432" i="6" l="1"/>
  <c r="Q432" i="6"/>
  <c r="R432" i="6" s="1"/>
  <c r="S432" i="6" s="1"/>
  <c r="AH432" i="6"/>
  <c r="CJ431" i="6"/>
  <c r="CC431" i="6" s="1"/>
  <c r="AP432" i="6" l="1"/>
  <c r="CK431" i="6"/>
  <c r="CD431" i="6" s="1"/>
  <c r="AI432" i="6"/>
  <c r="CL431" i="6" l="1"/>
  <c r="CE431" i="6" s="1"/>
  <c r="AJ432" i="6"/>
  <c r="W432" i="6"/>
  <c r="Z432" i="6" s="1"/>
  <c r="AQ432" i="6"/>
  <c r="CM431" i="6" l="1"/>
  <c r="CF431" i="6" s="1"/>
  <c r="AK432" i="6"/>
  <c r="AR432" i="6"/>
  <c r="AC432" i="6"/>
  <c r="AL432" i="6" l="1"/>
  <c r="CN431" i="6"/>
  <c r="CG431" i="6" s="1"/>
  <c r="AS432" i="6"/>
  <c r="AT432" i="6" l="1"/>
  <c r="AM432" i="6"/>
  <c r="CO431" i="6"/>
  <c r="CH431" i="6" s="1"/>
  <c r="X432" i="6" l="1"/>
  <c r="AU432" i="6"/>
  <c r="CP431" i="6"/>
  <c r="T431" i="6" s="1"/>
  <c r="AN432" i="6"/>
  <c r="AA432" i="6" l="1"/>
  <c r="Y432" i="6"/>
  <c r="AB432" i="6" s="1"/>
  <c r="AV432" i="6"/>
  <c r="AW432" i="6" s="1"/>
  <c r="AX432" i="6" l="1"/>
  <c r="BH432" i="6" l="1"/>
  <c r="AY432" i="6"/>
  <c r="BI432" i="6" l="1"/>
  <c r="BJ432" i="6" s="1"/>
  <c r="BK432" i="6" s="1"/>
  <c r="AZ432" i="6"/>
  <c r="BA432" i="6"/>
  <c r="BL432" i="6" s="1"/>
  <c r="BE432" i="6"/>
  <c r="BP432" i="6" s="1"/>
  <c r="BB432" i="6"/>
  <c r="BM432" i="6" s="1"/>
  <c r="BD432" i="6"/>
  <c r="BO432" i="6" s="1"/>
  <c r="BF432" i="6"/>
  <c r="BQ432" i="6" s="1"/>
  <c r="BG432" i="6"/>
  <c r="BR432" i="6" s="1"/>
  <c r="BC432" i="6"/>
  <c r="BN432" i="6" s="1"/>
  <c r="BS432" i="6" l="1"/>
  <c r="BT432" i="6"/>
  <c r="BX432" i="6"/>
  <c r="BU432" i="6"/>
  <c r="BW432" i="6"/>
  <c r="BY432" i="6"/>
  <c r="BZ432" i="6"/>
  <c r="BV432" i="6"/>
  <c r="CA432" i="6" l="1"/>
  <c r="AG433" i="6" l="1"/>
  <c r="CI432" i="6"/>
  <c r="CB432" i="6" s="1"/>
  <c r="AO433" i="6" l="1"/>
  <c r="Q433" i="6"/>
  <c r="R433" i="6" s="1"/>
  <c r="S433" i="6" s="1"/>
  <c r="CJ432" i="6"/>
  <c r="CC432" i="6" s="1"/>
  <c r="AH433" i="6"/>
  <c r="CK432" i="6" l="1"/>
  <c r="CD432" i="6" s="1"/>
  <c r="AI433" i="6"/>
  <c r="AP433" i="6"/>
  <c r="CL432" i="6" l="1"/>
  <c r="CE432" i="6" s="1"/>
  <c r="AJ433" i="6"/>
  <c r="W433" i="6"/>
  <c r="Z433" i="6" s="1"/>
  <c r="AQ433" i="6"/>
  <c r="AK433" i="6" l="1"/>
  <c r="CM432" i="6"/>
  <c r="CF432" i="6" s="1"/>
  <c r="AR433" i="6"/>
  <c r="AC433" i="6"/>
  <c r="AS433" i="6" l="1"/>
  <c r="AL433" i="6"/>
  <c r="CN432" i="6"/>
  <c r="CG432" i="6" s="1"/>
  <c r="AT433" i="6" l="1"/>
  <c r="AM433" i="6"/>
  <c r="CO432" i="6"/>
  <c r="CH432" i="6" s="1"/>
  <c r="AU433" i="6" l="1"/>
  <c r="CP432" i="6"/>
  <c r="T432" i="6" s="1"/>
  <c r="AN433" i="6"/>
  <c r="X433" i="6" s="1"/>
  <c r="AA433" i="6" l="1"/>
  <c r="Y433" i="6"/>
  <c r="AB433" i="6" s="1"/>
  <c r="AV433" i="6"/>
  <c r="AW433" i="6" s="1"/>
  <c r="AX433" i="6" l="1"/>
  <c r="BH433" i="6" l="1"/>
  <c r="AY433" i="6"/>
  <c r="BI433" i="6" l="1"/>
  <c r="BJ433" i="6" s="1"/>
  <c r="BK433" i="6" s="1"/>
  <c r="AZ433" i="6"/>
  <c r="BA433" i="6"/>
  <c r="BL433" i="6" s="1"/>
  <c r="BB433" i="6"/>
  <c r="BM433" i="6" s="1"/>
  <c r="BC433" i="6"/>
  <c r="BN433" i="6" s="1"/>
  <c r="BD433" i="6"/>
  <c r="BO433" i="6" s="1"/>
  <c r="BE433" i="6"/>
  <c r="BP433" i="6" s="1"/>
  <c r="BF433" i="6"/>
  <c r="BQ433" i="6" s="1"/>
  <c r="BG433" i="6"/>
  <c r="BR433" i="6" s="1"/>
  <c r="BS433" i="6" l="1"/>
  <c r="CA433" i="6"/>
  <c r="BT433" i="6"/>
  <c r="BU433" i="6"/>
  <c r="BV433" i="6"/>
  <c r="BW433" i="6"/>
  <c r="BX433" i="6"/>
  <c r="BY433" i="6"/>
  <c r="BZ433" i="6"/>
  <c r="CI433" i="6" l="1"/>
  <c r="CB433" i="6" s="1"/>
  <c r="CJ433" i="6" s="1"/>
  <c r="CC433" i="6" s="1"/>
  <c r="AG434" i="6"/>
  <c r="AH434" i="6"/>
  <c r="AO434" i="6" l="1"/>
  <c r="Q434" i="6"/>
  <c r="R434" i="6" s="1"/>
  <c r="S434" i="6" s="1"/>
  <c r="AP434" i="6"/>
  <c r="AI434" i="6"/>
  <c r="CK433" i="6"/>
  <c r="CD433" i="6" s="1"/>
  <c r="AQ434" i="6" l="1"/>
  <c r="AJ434" i="6"/>
  <c r="CL433" i="6"/>
  <c r="CE433" i="6" s="1"/>
  <c r="W434" i="6" l="1"/>
  <c r="Z434" i="6" s="1"/>
  <c r="AR434" i="6"/>
  <c r="AC434" i="6"/>
  <c r="AK434" i="6"/>
  <c r="CM433" i="6"/>
  <c r="CF433" i="6" s="1"/>
  <c r="AS434" i="6" l="1"/>
  <c r="AL434" i="6"/>
  <c r="CN433" i="6"/>
  <c r="CG433" i="6" s="1"/>
  <c r="AT434" i="6" l="1"/>
  <c r="AM434" i="6"/>
  <c r="CO433" i="6"/>
  <c r="CH433" i="6" s="1"/>
  <c r="AU434" i="6" l="1"/>
  <c r="CP433" i="6"/>
  <c r="T433" i="6" s="1"/>
  <c r="AN434" i="6"/>
  <c r="X434" i="6" s="1"/>
  <c r="AA434" i="6" l="1"/>
  <c r="Y434" i="6"/>
  <c r="AB434" i="6" s="1"/>
  <c r="AV434" i="6"/>
  <c r="AW434" i="6" s="1"/>
  <c r="AX434" i="6" l="1"/>
  <c r="BH434" i="6" l="1"/>
  <c r="AY434" i="6"/>
  <c r="BI434" i="6" l="1"/>
  <c r="BJ434" i="6" s="1"/>
  <c r="BA434" i="6"/>
  <c r="BL434" i="6" s="1"/>
  <c r="BG434" i="6"/>
  <c r="BR434" i="6" s="1"/>
  <c r="BF434" i="6"/>
  <c r="BQ434" i="6" s="1"/>
  <c r="BE434" i="6"/>
  <c r="BP434" i="6" s="1"/>
  <c r="BD434" i="6"/>
  <c r="BO434" i="6" s="1"/>
  <c r="BC434" i="6"/>
  <c r="BN434" i="6" s="1"/>
  <c r="AZ434" i="6"/>
  <c r="BB434" i="6"/>
  <c r="BM434" i="6" s="1"/>
  <c r="BT434" i="6" l="1"/>
  <c r="BZ434" i="6"/>
  <c r="BY434" i="6"/>
  <c r="BX434" i="6"/>
  <c r="BW434" i="6"/>
  <c r="BV434" i="6"/>
  <c r="BU434" i="6"/>
  <c r="BK434" i="6"/>
  <c r="BS434" i="6" l="1"/>
  <c r="CA434" i="6" l="1"/>
  <c r="AG435" i="6" l="1"/>
  <c r="CI434" i="6"/>
  <c r="CB434" i="6" s="1"/>
  <c r="AH435" i="6" s="1"/>
  <c r="CJ434" i="6"/>
  <c r="CC434" i="6" s="1"/>
  <c r="AO435" i="6" l="1"/>
  <c r="Q435" i="6"/>
  <c r="R435" i="6" s="1"/>
  <c r="S435" i="6" s="1"/>
  <c r="CK434" i="6"/>
  <c r="CD434" i="6" s="1"/>
  <c r="AI435" i="6"/>
  <c r="AP435" i="6"/>
  <c r="AJ435" i="6" l="1"/>
  <c r="CL434" i="6"/>
  <c r="CE434" i="6" s="1"/>
  <c r="AQ435" i="6"/>
  <c r="W435" i="6" l="1"/>
  <c r="Z435" i="6" s="1"/>
  <c r="AR435" i="6"/>
  <c r="AC435" i="6"/>
  <c r="CM434" i="6"/>
  <c r="CF434" i="6" s="1"/>
  <c r="AK435" i="6"/>
  <c r="CN434" i="6" l="1"/>
  <c r="CG434" i="6" s="1"/>
  <c r="AL435" i="6"/>
  <c r="AS435" i="6"/>
  <c r="AM435" i="6" l="1"/>
  <c r="CO434" i="6"/>
  <c r="CH434" i="6" s="1"/>
  <c r="AT435" i="6"/>
  <c r="X435" i="6" l="1"/>
  <c r="AU435" i="6"/>
  <c r="CP434" i="6"/>
  <c r="T434" i="6" s="1"/>
  <c r="AN435" i="6"/>
  <c r="AA435" i="6" l="1"/>
  <c r="Y435" i="6"/>
  <c r="AB435" i="6" s="1"/>
  <c r="AV435" i="6"/>
  <c r="AW435" i="6" s="1"/>
  <c r="AX435" i="6" l="1"/>
  <c r="BH435" i="6" l="1"/>
  <c r="AY435" i="6"/>
  <c r="BI435" i="6" l="1"/>
  <c r="BJ435" i="6" s="1"/>
  <c r="BK435" i="6" s="1"/>
  <c r="AZ435" i="6"/>
  <c r="BG435" i="6"/>
  <c r="BR435" i="6" s="1"/>
  <c r="BF435" i="6"/>
  <c r="BQ435" i="6" s="1"/>
  <c r="BE435" i="6"/>
  <c r="BP435" i="6" s="1"/>
  <c r="BD435" i="6"/>
  <c r="BO435" i="6" s="1"/>
  <c r="BC435" i="6"/>
  <c r="BN435" i="6" s="1"/>
  <c r="BB435" i="6"/>
  <c r="BM435" i="6" s="1"/>
  <c r="BA435" i="6"/>
  <c r="BL435" i="6" s="1"/>
  <c r="BS435" i="6" l="1"/>
  <c r="CA435" i="6"/>
  <c r="BZ435" i="6"/>
  <c r="BY435" i="6"/>
  <c r="BX435" i="6"/>
  <c r="BW435" i="6"/>
  <c r="BV435" i="6"/>
  <c r="BU435" i="6"/>
  <c r="BT435" i="6"/>
  <c r="CI435" i="6" l="1"/>
  <c r="CB435" i="6" s="1"/>
  <c r="AH436" i="6" s="1"/>
  <c r="AG436" i="6"/>
  <c r="CJ435" i="6"/>
  <c r="CC435" i="6" s="1"/>
  <c r="AO436" i="6" l="1"/>
  <c r="Q436" i="6"/>
  <c r="R436" i="6" s="1"/>
  <c r="S436" i="6" s="1"/>
  <c r="AI436" i="6"/>
  <c r="CK435" i="6"/>
  <c r="CD435" i="6" s="1"/>
  <c r="AP436" i="6"/>
  <c r="AQ436" i="6" l="1"/>
  <c r="AJ436" i="6"/>
  <c r="CL435" i="6"/>
  <c r="CE435" i="6" s="1"/>
  <c r="W436" i="6" l="1"/>
  <c r="Z436" i="6" s="1"/>
  <c r="AR436" i="6"/>
  <c r="AC436" i="6"/>
  <c r="AK436" i="6"/>
  <c r="CM435" i="6"/>
  <c r="CF435" i="6" s="1"/>
  <c r="AS436" i="6" l="1"/>
  <c r="CN435" i="6"/>
  <c r="CG435" i="6" s="1"/>
  <c r="AL436" i="6"/>
  <c r="AM436" i="6" l="1"/>
  <c r="CO435" i="6"/>
  <c r="CH435" i="6" s="1"/>
  <c r="AT436" i="6"/>
  <c r="AU436" i="6" l="1"/>
  <c r="CP435" i="6"/>
  <c r="T435" i="6" s="1"/>
  <c r="AN436" i="6"/>
  <c r="X436" i="6" s="1"/>
  <c r="AA436" i="6" l="1"/>
  <c r="Y436" i="6"/>
  <c r="AB436" i="6" s="1"/>
  <c r="AV436" i="6"/>
  <c r="AW436" i="6" s="1"/>
  <c r="AX436" i="6" l="1"/>
  <c r="AY436" i="6" l="1"/>
  <c r="BH436" i="6"/>
  <c r="BF436" i="6" l="1"/>
  <c r="BQ436" i="6" s="1"/>
  <c r="BD436" i="6"/>
  <c r="BO436" i="6" s="1"/>
  <c r="BG436" i="6"/>
  <c r="BR436" i="6" s="1"/>
  <c r="BC436" i="6"/>
  <c r="BN436" i="6" s="1"/>
  <c r="AZ436" i="6"/>
  <c r="BA436" i="6"/>
  <c r="BL436" i="6" s="1"/>
  <c r="BB436" i="6"/>
  <c r="BM436" i="6" s="1"/>
  <c r="BE436" i="6"/>
  <c r="BP436" i="6" s="1"/>
  <c r="BI436" i="6"/>
  <c r="BJ436" i="6" s="1"/>
  <c r="BY436" i="6" l="1"/>
  <c r="BW436" i="6"/>
  <c r="BZ436" i="6"/>
  <c r="BV436" i="6"/>
  <c r="BT436" i="6"/>
  <c r="BU436" i="6"/>
  <c r="BX436" i="6"/>
  <c r="BK436" i="6"/>
  <c r="BS436" i="6" l="1"/>
  <c r="CA436" i="6"/>
  <c r="CI436" i="6" l="1"/>
  <c r="CB436" i="6" s="1"/>
  <c r="AG437" i="6"/>
  <c r="CJ436" i="6" l="1"/>
  <c r="CC436" i="6" s="1"/>
  <c r="AH437" i="6"/>
  <c r="AO437" i="6"/>
  <c r="Q437" i="6"/>
  <c r="R437" i="6" s="1"/>
  <c r="S437" i="6" s="1"/>
  <c r="AI437" i="6" l="1"/>
  <c r="CK436" i="6"/>
  <c r="CD436" i="6" s="1"/>
  <c r="AP437" i="6"/>
  <c r="AQ437" i="6" l="1"/>
  <c r="AJ437" i="6"/>
  <c r="W437" i="6" s="1"/>
  <c r="Z437" i="6" s="1"/>
  <c r="CL436" i="6"/>
  <c r="CE436" i="6" s="1"/>
  <c r="AR437" i="6" l="1"/>
  <c r="AC437" i="6"/>
  <c r="AK437" i="6"/>
  <c r="CM436" i="6"/>
  <c r="CF436" i="6" s="1"/>
  <c r="AS437" i="6" l="1"/>
  <c r="AL437" i="6"/>
  <c r="CN436" i="6"/>
  <c r="CG436" i="6" s="1"/>
  <c r="AT437" i="6" l="1"/>
  <c r="CO436" i="6"/>
  <c r="CH436" i="6" s="1"/>
  <c r="AM437" i="6"/>
  <c r="CP436" i="6" l="1"/>
  <c r="T436" i="6" s="1"/>
  <c r="AN437" i="6"/>
  <c r="X437" i="6"/>
  <c r="AU437" i="6"/>
  <c r="AV437" i="6" l="1"/>
  <c r="AW437" i="6" s="1"/>
  <c r="AA437" i="6"/>
  <c r="Y437" i="6"/>
  <c r="AB437" i="6" s="1"/>
  <c r="AX437" i="6" l="1"/>
  <c r="BH437" i="6" l="1"/>
  <c r="AY437" i="6"/>
  <c r="BI437" i="6" l="1"/>
  <c r="BJ437" i="6" s="1"/>
  <c r="BE437" i="6"/>
  <c r="BP437" i="6" s="1"/>
  <c r="BA437" i="6"/>
  <c r="BL437" i="6" s="1"/>
  <c r="BB437" i="6"/>
  <c r="BM437" i="6" s="1"/>
  <c r="BC437" i="6"/>
  <c r="BN437" i="6" s="1"/>
  <c r="BD437" i="6"/>
  <c r="BO437" i="6" s="1"/>
  <c r="BF437" i="6"/>
  <c r="BQ437" i="6" s="1"/>
  <c r="AZ437" i="6"/>
  <c r="BG437" i="6"/>
  <c r="BR437" i="6" s="1"/>
  <c r="BX437" i="6" l="1"/>
  <c r="BT437" i="6"/>
  <c r="BU437" i="6"/>
  <c r="BV437" i="6"/>
  <c r="BW437" i="6"/>
  <c r="BY437" i="6"/>
  <c r="BZ437" i="6"/>
  <c r="BK437" i="6"/>
  <c r="BS437" i="6" l="1"/>
  <c r="CA437" i="6" s="1"/>
  <c r="AG438" i="6" l="1"/>
  <c r="CI437" i="6"/>
  <c r="CB437" i="6" s="1"/>
  <c r="AH438" i="6"/>
  <c r="CJ437" i="6"/>
  <c r="CC437" i="6" s="1"/>
  <c r="AO438" i="6" l="1"/>
  <c r="Q438" i="6"/>
  <c r="R438" i="6" s="1"/>
  <c r="S438" i="6" s="1"/>
  <c r="AP438" i="6"/>
  <c r="AI438" i="6"/>
  <c r="CK437" i="6"/>
  <c r="CD437" i="6" s="1"/>
  <c r="AQ438" i="6" l="1"/>
  <c r="AJ438" i="6"/>
  <c r="CL437" i="6"/>
  <c r="CE437" i="6" s="1"/>
  <c r="W438" i="6" l="1"/>
  <c r="Z438" i="6" s="1"/>
  <c r="AR438" i="6"/>
  <c r="AC438" i="6"/>
  <c r="AK438" i="6"/>
  <c r="CM437" i="6"/>
  <c r="CF437" i="6" s="1"/>
  <c r="AS438" i="6" l="1"/>
  <c r="CN437" i="6"/>
  <c r="CG437" i="6" s="1"/>
  <c r="AL438" i="6"/>
  <c r="AM438" i="6" l="1"/>
  <c r="CO437" i="6"/>
  <c r="CH437" i="6" s="1"/>
  <c r="AT438" i="6"/>
  <c r="X438" i="6" l="1"/>
  <c r="AU438" i="6"/>
  <c r="AN438" i="6"/>
  <c r="CP437" i="6"/>
  <c r="T437" i="6" s="1"/>
  <c r="AA438" i="6" l="1"/>
  <c r="Y438" i="6"/>
  <c r="AB438" i="6" s="1"/>
  <c r="AV438" i="6"/>
  <c r="AW438" i="6" s="1"/>
  <c r="AX438" i="6" l="1"/>
  <c r="BH438" i="6" l="1"/>
  <c r="AY438" i="6"/>
  <c r="BI438" i="6" l="1"/>
  <c r="BJ438" i="6" s="1"/>
  <c r="BK438" i="6" s="1"/>
  <c r="BA438" i="6"/>
  <c r="BL438" i="6" s="1"/>
  <c r="AZ438" i="6"/>
  <c r="BB438" i="6"/>
  <c r="BM438" i="6" s="1"/>
  <c r="BG438" i="6"/>
  <c r="BR438" i="6" s="1"/>
  <c r="BF438" i="6"/>
  <c r="BQ438" i="6" s="1"/>
  <c r="BE438" i="6"/>
  <c r="BP438" i="6" s="1"/>
  <c r="BD438" i="6"/>
  <c r="BO438" i="6" s="1"/>
  <c r="BC438" i="6"/>
  <c r="BN438" i="6" s="1"/>
  <c r="BT438" i="6" l="1"/>
  <c r="BS438" i="6"/>
  <c r="CA438" i="6"/>
  <c r="BU438" i="6"/>
  <c r="BZ438" i="6"/>
  <c r="BY438" i="6"/>
  <c r="BX438" i="6"/>
  <c r="BW438" i="6"/>
  <c r="BV438" i="6"/>
  <c r="CI438" i="6" l="1"/>
  <c r="CB438" i="6" s="1"/>
  <c r="AG439" i="6"/>
  <c r="AH439" i="6" l="1"/>
  <c r="CJ438" i="6"/>
  <c r="CC438" i="6" s="1"/>
  <c r="AO439" i="6"/>
  <c r="Q439" i="6"/>
  <c r="R439" i="6" s="1"/>
  <c r="S439" i="6" s="1"/>
  <c r="AP439" i="6" l="1"/>
  <c r="AI439" i="6"/>
  <c r="CK438" i="6"/>
  <c r="CD438" i="6" s="1"/>
  <c r="W439" i="6" l="1"/>
  <c r="Z439" i="6" s="1"/>
  <c r="AQ439" i="6"/>
  <c r="AJ439" i="6"/>
  <c r="CL438" i="6"/>
  <c r="CE438" i="6" s="1"/>
  <c r="AR439" i="6" l="1"/>
  <c r="AC439" i="6"/>
  <c r="AK439" i="6"/>
  <c r="CM438" i="6"/>
  <c r="CF438" i="6" s="1"/>
  <c r="AS439" i="6" l="1"/>
  <c r="AL439" i="6"/>
  <c r="CN438" i="6"/>
  <c r="CG438" i="6" s="1"/>
  <c r="AT439" i="6" l="1"/>
  <c r="CO438" i="6"/>
  <c r="CH438" i="6" s="1"/>
  <c r="AM439" i="6"/>
  <c r="CP438" i="6" l="1"/>
  <c r="T438" i="6" s="1"/>
  <c r="AN439" i="6"/>
  <c r="X439" i="6" s="1"/>
  <c r="AU439" i="6"/>
  <c r="AV439" i="6" l="1"/>
  <c r="AW439" i="6" s="1"/>
  <c r="AX439" i="6" s="1"/>
  <c r="AA439" i="6"/>
  <c r="Y439" i="6"/>
  <c r="AB439" i="6" s="1"/>
  <c r="AY439" i="6" l="1"/>
  <c r="BH439" i="6"/>
  <c r="BD439" i="6" l="1"/>
  <c r="BO439" i="6" s="1"/>
  <c r="BE439" i="6"/>
  <c r="BP439" i="6" s="1"/>
  <c r="BF439" i="6"/>
  <c r="BQ439" i="6" s="1"/>
  <c r="BG439" i="6"/>
  <c r="BR439" i="6" s="1"/>
  <c r="AZ439" i="6"/>
  <c r="BA439" i="6"/>
  <c r="BL439" i="6" s="1"/>
  <c r="BB439" i="6"/>
  <c r="BM439" i="6" s="1"/>
  <c r="BC439" i="6"/>
  <c r="BN439" i="6" s="1"/>
  <c r="BI439" i="6"/>
  <c r="BJ439" i="6" s="1"/>
  <c r="BW439" i="6" l="1"/>
  <c r="BX439" i="6"/>
  <c r="BY439" i="6"/>
  <c r="BZ439" i="6"/>
  <c r="BT439" i="6"/>
  <c r="BU439" i="6"/>
  <c r="BV439" i="6"/>
  <c r="BK439" i="6"/>
  <c r="BS439" i="6" l="1"/>
  <c r="CA439" i="6" s="1"/>
  <c r="AG440" i="6" l="1"/>
  <c r="CI439" i="6"/>
  <c r="CB439" i="6" s="1"/>
  <c r="AO440" i="6" l="1"/>
  <c r="Q440" i="6"/>
  <c r="R440" i="6" s="1"/>
  <c r="S440" i="6" s="1"/>
  <c r="AH440" i="6"/>
  <c r="CJ439" i="6"/>
  <c r="CC439" i="6" s="1"/>
  <c r="AP440" i="6" l="1"/>
  <c r="CK439" i="6"/>
  <c r="CD439" i="6" s="1"/>
  <c r="AI440" i="6"/>
  <c r="AJ440" i="6" l="1"/>
  <c r="CL439" i="6"/>
  <c r="CE439" i="6" s="1"/>
  <c r="W440" i="6"/>
  <c r="Z440" i="6" s="1"/>
  <c r="AQ440" i="6"/>
  <c r="AR440" i="6" l="1"/>
  <c r="AC440" i="6"/>
  <c r="CM439" i="6"/>
  <c r="CF439" i="6" s="1"/>
  <c r="AK440" i="6"/>
  <c r="CN439" i="6" l="1"/>
  <c r="CG439" i="6" s="1"/>
  <c r="AL440" i="6"/>
  <c r="AS440" i="6"/>
  <c r="CO439" i="6" l="1"/>
  <c r="CH439" i="6" s="1"/>
  <c r="AM440" i="6"/>
  <c r="AT440" i="6"/>
  <c r="AN440" i="6" l="1"/>
  <c r="CP439" i="6"/>
  <c r="T439" i="6" s="1"/>
  <c r="X440" i="6"/>
  <c r="AU440" i="6"/>
  <c r="AV440" i="6" l="1"/>
  <c r="AW440" i="6" s="1"/>
  <c r="AA440" i="6"/>
  <c r="Y440" i="6"/>
  <c r="AB440" i="6" s="1"/>
  <c r="AX440" i="6"/>
  <c r="BH440" i="6" l="1"/>
  <c r="AY440" i="6"/>
  <c r="BI440" i="6" l="1"/>
  <c r="BJ440" i="6" s="1"/>
  <c r="BF440" i="6"/>
  <c r="BQ440" i="6" s="1"/>
  <c r="BE440" i="6"/>
  <c r="BP440" i="6" s="1"/>
  <c r="BD440" i="6"/>
  <c r="BO440" i="6" s="1"/>
  <c r="BC440" i="6"/>
  <c r="BN440" i="6" s="1"/>
  <c r="BB440" i="6"/>
  <c r="BM440" i="6" s="1"/>
  <c r="BA440" i="6"/>
  <c r="BL440" i="6" s="1"/>
  <c r="AZ440" i="6"/>
  <c r="BG440" i="6"/>
  <c r="BR440" i="6" s="1"/>
  <c r="BY440" i="6" l="1"/>
  <c r="BX440" i="6"/>
  <c r="BW440" i="6"/>
  <c r="BV440" i="6"/>
  <c r="BU440" i="6"/>
  <c r="BT440" i="6"/>
  <c r="BZ440" i="6"/>
  <c r="BK440" i="6"/>
  <c r="BS440" i="6" l="1"/>
  <c r="CA440" i="6" s="1"/>
  <c r="CI440" i="6" l="1"/>
  <c r="CB440" i="6" s="1"/>
  <c r="AG441" i="6"/>
  <c r="AH441" i="6"/>
  <c r="CJ440" i="6"/>
  <c r="CC440" i="6" s="1"/>
  <c r="AO441" i="6" l="1"/>
  <c r="Q441" i="6"/>
  <c r="R441" i="6" s="1"/>
  <c r="S441" i="6" s="1"/>
  <c r="AP441" i="6"/>
  <c r="CK440" i="6"/>
  <c r="CD440" i="6" s="1"/>
  <c r="AI441" i="6"/>
  <c r="CL440" i="6" l="1"/>
  <c r="CE440" i="6" s="1"/>
  <c r="AJ441" i="6"/>
  <c r="AQ441" i="6"/>
  <c r="AK441" i="6" l="1"/>
  <c r="CM440" i="6"/>
  <c r="CF440" i="6" s="1"/>
  <c r="W441" i="6"/>
  <c r="Z441" i="6" s="1"/>
  <c r="AR441" i="6"/>
  <c r="AC441" i="6"/>
  <c r="AS441" i="6" l="1"/>
  <c r="AL441" i="6"/>
  <c r="CN440" i="6"/>
  <c r="CG440" i="6" s="1"/>
  <c r="AT441" i="6" l="1"/>
  <c r="CO440" i="6"/>
  <c r="CH440" i="6" s="1"/>
  <c r="AM441" i="6"/>
  <c r="AN441" i="6" l="1"/>
  <c r="CP440" i="6"/>
  <c r="T440" i="6" s="1"/>
  <c r="X441" i="6"/>
  <c r="AU441" i="6"/>
  <c r="AV441" i="6" l="1"/>
  <c r="AW441" i="6" s="1"/>
  <c r="AA441" i="6"/>
  <c r="Y441" i="6"/>
  <c r="AB441" i="6" s="1"/>
  <c r="AX441" i="6"/>
  <c r="AY441" i="6" l="1"/>
  <c r="BH441" i="6"/>
  <c r="BC441" i="6" l="1"/>
  <c r="BN441" i="6" s="1"/>
  <c r="AZ441" i="6"/>
  <c r="BB441" i="6"/>
  <c r="BM441" i="6" s="1"/>
  <c r="BA441" i="6"/>
  <c r="BL441" i="6" s="1"/>
  <c r="BI441" i="6"/>
  <c r="BJ441" i="6" s="1"/>
  <c r="BK441" i="6" s="1"/>
  <c r="BD441" i="6"/>
  <c r="BO441" i="6" s="1"/>
  <c r="BE441" i="6"/>
  <c r="BP441" i="6" s="1"/>
  <c r="BF441" i="6"/>
  <c r="BQ441" i="6" s="1"/>
  <c r="BG441" i="6"/>
  <c r="BR441" i="6" s="1"/>
  <c r="BV441" i="6" l="1"/>
  <c r="BS441" i="6"/>
  <c r="CA441" i="6" s="1"/>
  <c r="BU441" i="6"/>
  <c r="BT441" i="6"/>
  <c r="BW441" i="6"/>
  <c r="BX441" i="6"/>
  <c r="BY441" i="6"/>
  <c r="BZ441" i="6"/>
  <c r="CI441" i="6" l="1"/>
  <c r="CB441" i="6" s="1"/>
  <c r="AG442" i="6"/>
  <c r="CJ441" i="6"/>
  <c r="CC441" i="6" s="1"/>
  <c r="AH442" i="6"/>
  <c r="AO442" i="6" l="1"/>
  <c r="Q442" i="6"/>
  <c r="R442" i="6" s="1"/>
  <c r="S442" i="6" s="1"/>
  <c r="CK441" i="6"/>
  <c r="CD441" i="6" s="1"/>
  <c r="AI442" i="6"/>
  <c r="AP442" i="6"/>
  <c r="AJ442" i="6" l="1"/>
  <c r="CL441" i="6"/>
  <c r="CE441" i="6" s="1"/>
  <c r="AQ442" i="6"/>
  <c r="W442" i="6" l="1"/>
  <c r="Z442" i="6" s="1"/>
  <c r="AR442" i="6"/>
  <c r="AC442" i="6"/>
  <c r="AK442" i="6"/>
  <c r="CM441" i="6"/>
  <c r="CF441" i="6" s="1"/>
  <c r="AS442" i="6" l="1"/>
  <c r="AL442" i="6"/>
  <c r="CN441" i="6"/>
  <c r="CG441" i="6" s="1"/>
  <c r="AT442" i="6" l="1"/>
  <c r="CO441" i="6"/>
  <c r="CH441" i="6" s="1"/>
  <c r="AM442" i="6"/>
  <c r="AN442" i="6" l="1"/>
  <c r="X442" i="6" s="1"/>
  <c r="CP441" i="6"/>
  <c r="T441" i="6" s="1"/>
  <c r="AU442" i="6"/>
  <c r="AV442" i="6" l="1"/>
  <c r="AW442" i="6" s="1"/>
  <c r="AA442" i="6"/>
  <c r="Y442" i="6"/>
  <c r="AB442" i="6" s="1"/>
  <c r="AX442" i="6"/>
  <c r="AY442" i="6" l="1"/>
  <c r="BH442" i="6"/>
  <c r="BI442" i="6" l="1"/>
  <c r="BJ442" i="6" s="1"/>
  <c r="BK442" i="6" s="1"/>
  <c r="AZ442" i="6"/>
  <c r="BA442" i="6"/>
  <c r="BL442" i="6" s="1"/>
  <c r="BB442" i="6"/>
  <c r="BM442" i="6" s="1"/>
  <c r="BC442" i="6"/>
  <c r="BN442" i="6" s="1"/>
  <c r="BD442" i="6"/>
  <c r="BO442" i="6" s="1"/>
  <c r="BE442" i="6"/>
  <c r="BP442" i="6" s="1"/>
  <c r="BF442" i="6"/>
  <c r="BQ442" i="6" s="1"/>
  <c r="BG442" i="6"/>
  <c r="BR442" i="6" s="1"/>
  <c r="BS442" i="6" l="1"/>
  <c r="BT442" i="6"/>
  <c r="BU442" i="6"/>
  <c r="BV442" i="6"/>
  <c r="BW442" i="6"/>
  <c r="BX442" i="6"/>
  <c r="BY442" i="6"/>
  <c r="BZ442" i="6"/>
  <c r="CA442" i="6" l="1"/>
  <c r="CI442" i="6" l="1"/>
  <c r="CB442" i="6" s="1"/>
  <c r="AG443" i="6"/>
  <c r="AO443" i="6" l="1"/>
  <c r="Q443" i="6"/>
  <c r="R443" i="6" s="1"/>
  <c r="S443" i="6" s="1"/>
  <c r="AH443" i="6"/>
  <c r="CJ442" i="6"/>
  <c r="CC442" i="6" s="1"/>
  <c r="AP443" i="6" l="1"/>
  <c r="AI443" i="6"/>
  <c r="CK442" i="6"/>
  <c r="CD442" i="6" s="1"/>
  <c r="AQ443" i="6" l="1"/>
  <c r="AJ443" i="6"/>
  <c r="W443" i="6" s="1"/>
  <c r="Z443" i="6" s="1"/>
  <c r="CL442" i="6"/>
  <c r="CE442" i="6" s="1"/>
  <c r="AR443" i="6" l="1"/>
  <c r="AC443" i="6"/>
  <c r="AK443" i="6"/>
  <c r="CM442" i="6"/>
  <c r="CF442" i="6" s="1"/>
  <c r="AS443" i="6" l="1"/>
  <c r="AL443" i="6"/>
  <c r="CN442" i="6"/>
  <c r="CG442" i="6" s="1"/>
  <c r="AT443" i="6" l="1"/>
  <c r="CO442" i="6"/>
  <c r="CH442" i="6" s="1"/>
  <c r="AM443" i="6"/>
  <c r="AN443" i="6" l="1"/>
  <c r="CP442" i="6"/>
  <c r="T442" i="6" s="1"/>
  <c r="X443" i="6"/>
  <c r="AU443" i="6"/>
  <c r="AV443" i="6" l="1"/>
  <c r="AW443" i="6" s="1"/>
  <c r="AA443" i="6"/>
  <c r="Y443" i="6"/>
  <c r="AB443" i="6" s="1"/>
  <c r="AX443" i="6"/>
  <c r="BH443" i="6" l="1"/>
  <c r="AY443" i="6"/>
  <c r="BA443" i="6"/>
  <c r="BL443" i="6" s="1"/>
  <c r="BI443" i="6" l="1"/>
  <c r="BJ443" i="6" s="1"/>
  <c r="BK443" i="6" s="1"/>
  <c r="BT443" i="6"/>
  <c r="AZ443" i="6"/>
  <c r="BB443" i="6"/>
  <c r="BM443" i="6" s="1"/>
  <c r="BC443" i="6"/>
  <c r="BN443" i="6" s="1"/>
  <c r="BD443" i="6"/>
  <c r="BO443" i="6" s="1"/>
  <c r="BE443" i="6"/>
  <c r="BP443" i="6" s="1"/>
  <c r="BF443" i="6"/>
  <c r="BQ443" i="6" s="1"/>
  <c r="BG443" i="6"/>
  <c r="BR443" i="6" s="1"/>
  <c r="BS443" i="6" l="1"/>
  <c r="CA443" i="6"/>
  <c r="BU443" i="6"/>
  <c r="BV443" i="6"/>
  <c r="BW443" i="6"/>
  <c r="BX443" i="6"/>
  <c r="BY443" i="6"/>
  <c r="BZ443" i="6"/>
  <c r="AG444" i="6" l="1"/>
  <c r="CI443" i="6"/>
  <c r="CB443" i="6" s="1"/>
  <c r="AO444" i="6" l="1"/>
  <c r="Q444" i="6"/>
  <c r="R444" i="6" s="1"/>
  <c r="S444" i="6" s="1"/>
  <c r="AH444" i="6"/>
  <c r="CJ443" i="6"/>
  <c r="CC443" i="6" s="1"/>
  <c r="AP444" i="6" l="1"/>
  <c r="AI444" i="6"/>
  <c r="CK443" i="6"/>
  <c r="CD443" i="6" s="1"/>
  <c r="W444" i="6" l="1"/>
  <c r="Z444" i="6" s="1"/>
  <c r="AQ444" i="6"/>
  <c r="AJ444" i="6"/>
  <c r="CL443" i="6"/>
  <c r="CE443" i="6" s="1"/>
  <c r="AR444" i="6" l="1"/>
  <c r="AC444" i="6"/>
  <c r="AK444" i="6"/>
  <c r="CM443" i="6"/>
  <c r="CF443" i="6" s="1"/>
  <c r="AS444" i="6" l="1"/>
  <c r="AL444" i="6"/>
  <c r="CN443" i="6"/>
  <c r="CG443" i="6" s="1"/>
  <c r="AT444" i="6" l="1"/>
  <c r="CO443" i="6"/>
  <c r="CH443" i="6" s="1"/>
  <c r="AM444" i="6"/>
  <c r="AN444" i="6" l="1"/>
  <c r="CP443" i="6"/>
  <c r="T443" i="6" s="1"/>
  <c r="X444" i="6"/>
  <c r="AU444" i="6"/>
  <c r="AV444" i="6" l="1"/>
  <c r="AW444" i="6" s="1"/>
  <c r="AA444" i="6"/>
  <c r="Y444" i="6"/>
  <c r="AB444" i="6" s="1"/>
  <c r="AX444" i="6"/>
  <c r="BH444" i="6" l="1"/>
  <c r="AY444" i="6"/>
  <c r="BD444" i="6"/>
  <c r="BO444" i="6" s="1"/>
  <c r="BI444" i="6" l="1"/>
  <c r="BJ444" i="6" s="1"/>
  <c r="BK444" i="6" s="1"/>
  <c r="BB444" i="6"/>
  <c r="BM444" i="6" s="1"/>
  <c r="AZ444" i="6"/>
  <c r="BA444" i="6"/>
  <c r="BL444" i="6" s="1"/>
  <c r="BW444" i="6"/>
  <c r="BE444" i="6"/>
  <c r="BP444" i="6" s="1"/>
  <c r="BF444" i="6"/>
  <c r="BQ444" i="6" s="1"/>
  <c r="BG444" i="6"/>
  <c r="BR444" i="6" s="1"/>
  <c r="BC444" i="6"/>
  <c r="BN444" i="6" s="1"/>
  <c r="BU444" i="6" l="1"/>
  <c r="BS444" i="6"/>
  <c r="CA444" i="6" s="1"/>
  <c r="BT444" i="6"/>
  <c r="BX444" i="6"/>
  <c r="BY444" i="6"/>
  <c r="BZ444" i="6"/>
  <c r="BV444" i="6"/>
  <c r="CI444" i="6" l="1"/>
  <c r="CB444" i="6" s="1"/>
  <c r="AG445" i="6"/>
  <c r="AO445" i="6" l="1"/>
  <c r="Q445" i="6"/>
  <c r="R445" i="6" s="1"/>
  <c r="S445" i="6" s="1"/>
  <c r="AH445" i="6"/>
  <c r="CJ444" i="6"/>
  <c r="CC444" i="6" s="1"/>
  <c r="AP445" i="6" l="1"/>
  <c r="CK444" i="6"/>
  <c r="CD444" i="6" s="1"/>
  <c r="AI445" i="6"/>
  <c r="AJ445" i="6" l="1"/>
  <c r="CL444" i="6"/>
  <c r="CE444" i="6" s="1"/>
  <c r="W445" i="6"/>
  <c r="Z445" i="6" s="1"/>
  <c r="AQ445" i="6"/>
  <c r="AR445" i="6" l="1"/>
  <c r="AC445" i="6"/>
  <c r="CM444" i="6"/>
  <c r="CF444" i="6" s="1"/>
  <c r="AK445" i="6"/>
  <c r="AL445" i="6" l="1"/>
  <c r="CN444" i="6"/>
  <c r="CG444" i="6" s="1"/>
  <c r="AS445" i="6"/>
  <c r="AT445" i="6" l="1"/>
  <c r="CO444" i="6"/>
  <c r="CH444" i="6" s="1"/>
  <c r="AM445" i="6"/>
  <c r="AN445" i="6" l="1"/>
  <c r="CP444" i="6"/>
  <c r="T444" i="6" s="1"/>
  <c r="X445" i="6"/>
  <c r="AU445" i="6"/>
  <c r="AV445" i="6" l="1"/>
  <c r="AW445" i="6" s="1"/>
  <c r="AA445" i="6"/>
  <c r="Y445" i="6"/>
  <c r="AB445" i="6" s="1"/>
  <c r="AX445" i="6" l="1"/>
  <c r="AY445" i="6" l="1"/>
  <c r="BH445" i="6"/>
  <c r="BB445" i="6" l="1"/>
  <c r="BM445" i="6" s="1"/>
  <c r="BA445" i="6"/>
  <c r="BL445" i="6" s="1"/>
  <c r="AZ445" i="6"/>
  <c r="BG445" i="6"/>
  <c r="BR445" i="6" s="1"/>
  <c r="BF445" i="6"/>
  <c r="BQ445" i="6" s="1"/>
  <c r="BE445" i="6"/>
  <c r="BP445" i="6" s="1"/>
  <c r="BD445" i="6"/>
  <c r="BO445" i="6" s="1"/>
  <c r="BC445" i="6"/>
  <c r="BN445" i="6" s="1"/>
  <c r="BI445" i="6"/>
  <c r="BJ445" i="6" s="1"/>
  <c r="BU445" i="6" l="1"/>
  <c r="BT445" i="6"/>
  <c r="BZ445" i="6"/>
  <c r="BY445" i="6"/>
  <c r="BX445" i="6"/>
  <c r="BW445" i="6"/>
  <c r="BV445" i="6"/>
  <c r="BK445" i="6"/>
  <c r="BS445" i="6" l="1"/>
  <c r="CA445" i="6"/>
  <c r="CI445" i="6" l="1"/>
  <c r="CB445" i="6" s="1"/>
  <c r="AG446" i="6"/>
  <c r="AH446" i="6"/>
  <c r="CJ445" i="6"/>
  <c r="CC445" i="6" s="1"/>
  <c r="AO446" i="6" l="1"/>
  <c r="Q446" i="6"/>
  <c r="R446" i="6" s="1"/>
  <c r="S446" i="6" s="1"/>
  <c r="AP446" i="6"/>
  <c r="CK445" i="6"/>
  <c r="CD445" i="6" s="1"/>
  <c r="AI446" i="6"/>
  <c r="CL445" i="6" l="1"/>
  <c r="CE445" i="6" s="1"/>
  <c r="AJ446" i="6"/>
  <c r="AQ446" i="6"/>
  <c r="CM445" i="6" l="1"/>
  <c r="CF445" i="6" s="1"/>
  <c r="AK446" i="6"/>
  <c r="W446" i="6"/>
  <c r="Z446" i="6" s="1"/>
  <c r="AR446" i="6"/>
  <c r="AC446" i="6"/>
  <c r="CN445" i="6" l="1"/>
  <c r="CG445" i="6" s="1"/>
  <c r="AL446" i="6"/>
  <c r="AS446" i="6"/>
  <c r="AM446" i="6" l="1"/>
  <c r="CO445" i="6"/>
  <c r="CH445" i="6" s="1"/>
  <c r="AT446" i="6"/>
  <c r="X446" i="6" l="1"/>
  <c r="AU446" i="6"/>
  <c r="AN446" i="6"/>
  <c r="CP445" i="6"/>
  <c r="T445" i="6" s="1"/>
  <c r="AA446" i="6" l="1"/>
  <c r="Y446" i="6"/>
  <c r="AB446" i="6" s="1"/>
  <c r="AV446" i="6"/>
  <c r="AW446" i="6" s="1"/>
  <c r="AX446" i="6" l="1"/>
  <c r="BH446" i="6" l="1"/>
  <c r="AY446" i="6"/>
  <c r="BI446" i="6" l="1"/>
  <c r="BJ446" i="6" s="1"/>
  <c r="AZ446" i="6"/>
  <c r="BG446" i="6"/>
  <c r="BR446" i="6" s="1"/>
  <c r="BF446" i="6"/>
  <c r="BQ446" i="6" s="1"/>
  <c r="BE446" i="6"/>
  <c r="BP446" i="6" s="1"/>
  <c r="BD446" i="6"/>
  <c r="BO446" i="6" s="1"/>
  <c r="BC446" i="6"/>
  <c r="BN446" i="6" s="1"/>
  <c r="BB446" i="6"/>
  <c r="BM446" i="6" s="1"/>
  <c r="BA446" i="6"/>
  <c r="BL446" i="6" s="1"/>
  <c r="BZ446" i="6" l="1"/>
  <c r="BY446" i="6"/>
  <c r="BX446" i="6"/>
  <c r="BW446" i="6"/>
  <c r="BV446" i="6"/>
  <c r="BU446" i="6"/>
  <c r="BT446" i="6"/>
  <c r="BK446" i="6"/>
  <c r="BS446" i="6" l="1"/>
  <c r="CA446" i="6" s="1"/>
  <c r="CI446" i="6" l="1"/>
  <c r="CB446" i="6" s="1"/>
  <c r="AG447" i="6"/>
  <c r="AO447" i="6" l="1"/>
  <c r="Q447" i="6"/>
  <c r="R447" i="6" s="1"/>
  <c r="S447" i="6" s="1"/>
  <c r="CJ446" i="6"/>
  <c r="CC446" i="6" s="1"/>
  <c r="AH447" i="6"/>
  <c r="CK446" i="6" l="1"/>
  <c r="CD446" i="6" s="1"/>
  <c r="AI447" i="6"/>
  <c r="AP447" i="6"/>
  <c r="AJ447" i="6" l="1"/>
  <c r="CL446" i="6"/>
  <c r="CE446" i="6" s="1"/>
  <c r="W447" i="6"/>
  <c r="Z447" i="6" s="1"/>
  <c r="AQ447" i="6"/>
  <c r="AR447" i="6" l="1"/>
  <c r="AC447" i="6"/>
  <c r="AK447" i="6"/>
  <c r="CM446" i="6"/>
  <c r="CF446" i="6" s="1"/>
  <c r="AS447" i="6" l="1"/>
  <c r="CN446" i="6"/>
  <c r="CG446" i="6" s="1"/>
  <c r="AL447" i="6"/>
  <c r="AM447" i="6" l="1"/>
  <c r="CO446" i="6"/>
  <c r="CH446" i="6" s="1"/>
  <c r="AT447" i="6"/>
  <c r="AU447" i="6" l="1"/>
  <c r="CP446" i="6"/>
  <c r="T446" i="6" s="1"/>
  <c r="AN447" i="6"/>
  <c r="X447" i="6" s="1"/>
  <c r="AA447" i="6" l="1"/>
  <c r="Y447" i="6"/>
  <c r="AB447" i="6" s="1"/>
  <c r="AV447" i="6"/>
  <c r="AW447" i="6" s="1"/>
  <c r="AX447" i="6" l="1"/>
  <c r="BH447" i="6" l="1"/>
  <c r="AY447" i="6"/>
  <c r="BI447" i="6" l="1"/>
  <c r="BJ447" i="6" s="1"/>
  <c r="BK447" i="6" s="1"/>
  <c r="AZ447" i="6"/>
  <c r="BG447" i="6"/>
  <c r="BR447" i="6" s="1"/>
  <c r="BA447" i="6"/>
  <c r="BL447" i="6" s="1"/>
  <c r="BB447" i="6"/>
  <c r="BM447" i="6" s="1"/>
  <c r="BC447" i="6"/>
  <c r="BN447" i="6" s="1"/>
  <c r="BD447" i="6"/>
  <c r="BO447" i="6" s="1"/>
  <c r="BE447" i="6"/>
  <c r="BP447" i="6" s="1"/>
  <c r="BF447" i="6"/>
  <c r="BQ447" i="6" s="1"/>
  <c r="BS447" i="6" l="1"/>
  <c r="CA447" i="6"/>
  <c r="BZ447" i="6"/>
  <c r="BT447" i="6"/>
  <c r="BU447" i="6"/>
  <c r="BV447" i="6"/>
  <c r="BW447" i="6"/>
  <c r="BX447" i="6"/>
  <c r="BY447" i="6"/>
  <c r="AG448" i="6" l="1"/>
  <c r="CI447" i="6"/>
  <c r="CB447" i="6" s="1"/>
  <c r="AH448" i="6"/>
  <c r="CJ447" i="6"/>
  <c r="CC447" i="6" s="1"/>
  <c r="AO448" i="6" l="1"/>
  <c r="Q448" i="6"/>
  <c r="R448" i="6" s="1"/>
  <c r="S448" i="6" s="1"/>
  <c r="AP448" i="6"/>
  <c r="AI448" i="6"/>
  <c r="CK447" i="6"/>
  <c r="CD447" i="6" s="1"/>
  <c r="AQ448" i="6" l="1"/>
  <c r="CL447" i="6"/>
  <c r="CE447" i="6" s="1"/>
  <c r="AJ448" i="6"/>
  <c r="CM447" i="6" l="1"/>
  <c r="CF447" i="6" s="1"/>
  <c r="AK448" i="6"/>
  <c r="W448" i="6"/>
  <c r="Z448" i="6" s="1"/>
  <c r="AR448" i="6"/>
  <c r="AC448" i="6"/>
  <c r="CN447" i="6" l="1"/>
  <c r="CG447" i="6" s="1"/>
  <c r="AL448" i="6"/>
  <c r="AS448" i="6"/>
  <c r="AM448" i="6" l="1"/>
  <c r="CO447" i="6"/>
  <c r="CH447" i="6" s="1"/>
  <c r="AT448" i="6"/>
  <c r="X448" i="6" l="1"/>
  <c r="AU448" i="6"/>
  <c r="AN448" i="6"/>
  <c r="CP447" i="6"/>
  <c r="T447" i="6" s="1"/>
  <c r="AA448" i="6" l="1"/>
  <c r="Y448" i="6"/>
  <c r="AB448" i="6" s="1"/>
  <c r="AV448" i="6"/>
  <c r="AW448" i="6" s="1"/>
  <c r="AX448" i="6" l="1"/>
  <c r="BH448" i="6" l="1"/>
  <c r="AY448" i="6"/>
  <c r="BI448" i="6" l="1"/>
  <c r="BJ448" i="6" s="1"/>
  <c r="BK448" i="6" s="1"/>
  <c r="AZ448" i="6"/>
  <c r="BB448" i="6"/>
  <c r="BM448" i="6" s="1"/>
  <c r="BA448" i="6"/>
  <c r="BL448" i="6" s="1"/>
  <c r="BG448" i="6"/>
  <c r="BR448" i="6" s="1"/>
  <c r="BF448" i="6"/>
  <c r="BQ448" i="6" s="1"/>
  <c r="BE448" i="6"/>
  <c r="BP448" i="6" s="1"/>
  <c r="BC448" i="6"/>
  <c r="BN448" i="6" s="1"/>
  <c r="BD448" i="6"/>
  <c r="BO448" i="6" s="1"/>
  <c r="BS448" i="6" l="1"/>
  <c r="CA448" i="6" s="1"/>
  <c r="BU448" i="6"/>
  <c r="BT448" i="6"/>
  <c r="BZ448" i="6"/>
  <c r="BY448" i="6"/>
  <c r="BX448" i="6"/>
  <c r="BV448" i="6"/>
  <c r="BW448" i="6"/>
  <c r="AG449" i="6" l="1"/>
  <c r="CI448" i="6"/>
  <c r="CB448" i="6" s="1"/>
  <c r="AO449" i="6" l="1"/>
  <c r="Q449" i="6"/>
  <c r="R449" i="6" s="1"/>
  <c r="S449" i="6" s="1"/>
  <c r="AH449" i="6"/>
  <c r="CJ448" i="6"/>
  <c r="CC448" i="6" s="1"/>
  <c r="AP449" i="6" l="1"/>
  <c r="AI449" i="6"/>
  <c r="CK448" i="6"/>
  <c r="CD448" i="6" s="1"/>
  <c r="W449" i="6" l="1"/>
  <c r="Z449" i="6" s="1"/>
  <c r="AQ449" i="6"/>
  <c r="AJ449" i="6"/>
  <c r="CL448" i="6"/>
  <c r="CE448" i="6" s="1"/>
  <c r="AC449" i="6" l="1"/>
  <c r="AR449" i="6"/>
  <c r="CM448" i="6"/>
  <c r="CF448" i="6" s="1"/>
  <c r="AK449" i="6"/>
  <c r="AL449" i="6" l="1"/>
  <c r="CN448" i="6"/>
  <c r="CG448" i="6" s="1"/>
  <c r="AS449" i="6"/>
  <c r="AT449" i="6" l="1"/>
  <c r="AM449" i="6"/>
  <c r="CO448" i="6"/>
  <c r="CH448" i="6" s="1"/>
  <c r="AU449" i="6" l="1"/>
  <c r="CP448" i="6"/>
  <c r="T448" i="6" s="1"/>
  <c r="AN449" i="6"/>
  <c r="X449" i="6" s="1"/>
  <c r="AA449" i="6" l="1"/>
  <c r="Y449" i="6"/>
  <c r="AB449" i="6" s="1"/>
  <c r="AV449" i="6"/>
  <c r="AW449" i="6" s="1"/>
  <c r="AX449" i="6" l="1"/>
  <c r="AY449" i="6" l="1"/>
  <c r="BH449" i="6"/>
  <c r="BG449" i="6" l="1"/>
  <c r="BR449" i="6" s="1"/>
  <c r="BF449" i="6"/>
  <c r="BQ449" i="6" s="1"/>
  <c r="BE449" i="6"/>
  <c r="BP449" i="6" s="1"/>
  <c r="BB449" i="6"/>
  <c r="BM449" i="6" s="1"/>
  <c r="AZ449" i="6"/>
  <c r="BD449" i="6"/>
  <c r="BO449" i="6" s="1"/>
  <c r="BC449" i="6"/>
  <c r="BN449" i="6" s="1"/>
  <c r="BA449" i="6"/>
  <c r="BL449" i="6" s="1"/>
  <c r="BI449" i="6"/>
  <c r="BJ449" i="6" s="1"/>
  <c r="BK449" i="6" s="1"/>
  <c r="BZ449" i="6" l="1"/>
  <c r="BY449" i="6"/>
  <c r="BX449" i="6"/>
  <c r="BU449" i="6"/>
  <c r="BS449" i="6"/>
  <c r="CA449" i="6" s="1"/>
  <c r="BW449" i="6"/>
  <c r="BV449" i="6"/>
  <c r="BT449" i="6"/>
  <c r="AG450" i="6" l="1"/>
  <c r="CI449" i="6"/>
  <c r="CB449" i="6" s="1"/>
  <c r="AH450" i="6"/>
  <c r="CJ449" i="6"/>
  <c r="CC449" i="6" s="1"/>
  <c r="AO450" i="6" l="1"/>
  <c r="Q450" i="6"/>
  <c r="R450" i="6" s="1"/>
  <c r="S450" i="6" s="1"/>
  <c r="AP450" i="6"/>
  <c r="CK449" i="6"/>
  <c r="CD449" i="6" s="1"/>
  <c r="AI450" i="6"/>
  <c r="CL449" i="6" l="1"/>
  <c r="CE449" i="6" s="1"/>
  <c r="AJ450" i="6"/>
  <c r="AQ450" i="6"/>
  <c r="AK450" i="6" l="1"/>
  <c r="CM449" i="6"/>
  <c r="CF449" i="6" s="1"/>
  <c r="W450" i="6"/>
  <c r="Z450" i="6" s="1"/>
  <c r="AC450" i="6"/>
  <c r="AR450" i="6"/>
  <c r="AS450" i="6" l="1"/>
  <c r="AL450" i="6"/>
  <c r="CN449" i="6"/>
  <c r="CG449" i="6" s="1"/>
  <c r="AT450" i="6" l="1"/>
  <c r="CO449" i="6"/>
  <c r="CH449" i="6" s="1"/>
  <c r="AM450" i="6"/>
  <c r="CP449" i="6" l="1"/>
  <c r="T449" i="6" s="1"/>
  <c r="AN450" i="6"/>
  <c r="X450" i="6" s="1"/>
  <c r="AU450" i="6"/>
  <c r="AV450" i="6" l="1"/>
  <c r="AW450" i="6" s="1"/>
  <c r="AA450" i="6"/>
  <c r="Y450" i="6"/>
  <c r="AB450" i="6" s="1"/>
  <c r="AX450" i="6"/>
  <c r="AY450" i="6" l="1"/>
  <c r="BH450" i="6"/>
  <c r="BC450" i="6"/>
  <c r="BN450" i="6" s="1"/>
  <c r="BB450" i="6"/>
  <c r="BM450" i="6" s="1"/>
  <c r="BA450" i="6" l="1"/>
  <c r="BL450" i="6" s="1"/>
  <c r="AZ450" i="6"/>
  <c r="BD450" i="6"/>
  <c r="BO450" i="6" s="1"/>
  <c r="BI450" i="6"/>
  <c r="BJ450" i="6" s="1"/>
  <c r="BK450" i="6" s="1"/>
  <c r="BV450" i="6"/>
  <c r="BU450" i="6"/>
  <c r="BE450" i="6"/>
  <c r="BP450" i="6" s="1"/>
  <c r="BF450" i="6"/>
  <c r="BQ450" i="6" s="1"/>
  <c r="BG450" i="6"/>
  <c r="BR450" i="6" s="1"/>
  <c r="BT450" i="6" l="1"/>
  <c r="CA450" i="6"/>
  <c r="BS450" i="6"/>
  <c r="BW450" i="6"/>
  <c r="BX450" i="6"/>
  <c r="BY450" i="6"/>
  <c r="BZ450" i="6"/>
  <c r="AG451" i="6" l="1"/>
  <c r="CI450" i="6"/>
  <c r="CB450" i="6" s="1"/>
  <c r="AO451" i="6" l="1"/>
  <c r="Q451" i="6"/>
  <c r="R451" i="6" s="1"/>
  <c r="S451" i="6" s="1"/>
  <c r="CJ450" i="6"/>
  <c r="CC450" i="6" s="1"/>
  <c r="AH451" i="6"/>
  <c r="CK450" i="6" l="1"/>
  <c r="CD450" i="6" s="1"/>
  <c r="AI451" i="6"/>
  <c r="AP451" i="6"/>
  <c r="AJ451" i="6" l="1"/>
  <c r="CL450" i="6"/>
  <c r="CE450" i="6" s="1"/>
  <c r="W451" i="6"/>
  <c r="Z451" i="6" s="1"/>
  <c r="AQ451" i="6"/>
  <c r="AC451" i="6" l="1"/>
  <c r="AR451" i="6"/>
  <c r="CM450" i="6"/>
  <c r="CF450" i="6" s="1"/>
  <c r="AK451" i="6"/>
  <c r="CN450" i="6" l="1"/>
  <c r="CG450" i="6" s="1"/>
  <c r="AL451" i="6"/>
  <c r="AS451" i="6"/>
  <c r="CO450" i="6" l="1"/>
  <c r="CH450" i="6" s="1"/>
  <c r="AM451" i="6"/>
  <c r="AT451" i="6"/>
  <c r="CP450" i="6" l="1"/>
  <c r="T450" i="6" s="1"/>
  <c r="AN451" i="6"/>
  <c r="X451" i="6"/>
  <c r="AU451" i="6"/>
  <c r="AV451" i="6" l="1"/>
  <c r="AW451" i="6" s="1"/>
  <c r="AA451" i="6"/>
  <c r="Y451" i="6"/>
  <c r="AB451" i="6" s="1"/>
  <c r="AX451" i="6"/>
  <c r="BH451" i="6" l="1"/>
  <c r="AY451" i="6"/>
  <c r="BC451" i="6"/>
  <c r="BN451" i="6" s="1"/>
  <c r="BD451" i="6"/>
  <c r="BO451" i="6" s="1"/>
  <c r="BE451" i="6"/>
  <c r="BP451" i="6" s="1"/>
  <c r="BI451" i="6" l="1"/>
  <c r="BJ451" i="6" s="1"/>
  <c r="BB451" i="6"/>
  <c r="BM451" i="6" s="1"/>
  <c r="AZ451" i="6"/>
  <c r="BA451" i="6"/>
  <c r="BL451" i="6" s="1"/>
  <c r="BV451" i="6"/>
  <c r="BW451" i="6"/>
  <c r="BX451" i="6"/>
  <c r="BF451" i="6"/>
  <c r="BQ451" i="6" s="1"/>
  <c r="BG451" i="6"/>
  <c r="BR451" i="6" s="1"/>
  <c r="BU451" i="6" l="1"/>
  <c r="BT451" i="6"/>
  <c r="BY451" i="6"/>
  <c r="BZ451" i="6"/>
  <c r="BK451" i="6"/>
  <c r="BS451" i="6" l="1"/>
  <c r="CA451" i="6" s="1"/>
  <c r="AG452" i="6" l="1"/>
  <c r="CI451" i="6"/>
  <c r="CB451" i="6" s="1"/>
  <c r="AO452" i="6" l="1"/>
  <c r="Q452" i="6"/>
  <c r="R452" i="6" s="1"/>
  <c r="S452" i="6" s="1"/>
  <c r="CJ451" i="6"/>
  <c r="CC451" i="6" s="1"/>
  <c r="AH452" i="6"/>
  <c r="AI452" i="6" l="1"/>
  <c r="CK451" i="6"/>
  <c r="CD451" i="6" s="1"/>
  <c r="AP452" i="6"/>
  <c r="AQ452" i="6" l="1"/>
  <c r="AJ452" i="6"/>
  <c r="W452" i="6" s="1"/>
  <c r="Z452" i="6" s="1"/>
  <c r="CL451" i="6"/>
  <c r="CE451" i="6" s="1"/>
  <c r="AC452" i="6" l="1"/>
  <c r="AR452" i="6"/>
  <c r="AK452" i="6"/>
  <c r="CM451" i="6"/>
  <c r="CF451" i="6" s="1"/>
  <c r="AS452" i="6" l="1"/>
  <c r="CN451" i="6"/>
  <c r="CG451" i="6" s="1"/>
  <c r="AL452" i="6"/>
  <c r="CO451" i="6" l="1"/>
  <c r="CH451" i="6" s="1"/>
  <c r="AM452" i="6"/>
  <c r="AT452" i="6"/>
  <c r="CP451" i="6" l="1"/>
  <c r="T451" i="6" s="1"/>
  <c r="AN452" i="6"/>
  <c r="X452" i="6"/>
  <c r="AU452" i="6"/>
  <c r="AV452" i="6" l="1"/>
  <c r="AW452" i="6" s="1"/>
  <c r="AA452" i="6"/>
  <c r="Y452" i="6"/>
  <c r="AB452" i="6" s="1"/>
  <c r="AX452" i="6" l="1"/>
  <c r="BH452" i="6" l="1"/>
  <c r="AY452" i="6"/>
  <c r="BI452" i="6" l="1"/>
  <c r="BJ452" i="6" s="1"/>
  <c r="BK452" i="6" s="1"/>
  <c r="BA452" i="6"/>
  <c r="BL452" i="6" s="1"/>
  <c r="BC452" i="6"/>
  <c r="BN452" i="6" s="1"/>
  <c r="BE452" i="6"/>
  <c r="BP452" i="6" s="1"/>
  <c r="BG452" i="6"/>
  <c r="BR452" i="6" s="1"/>
  <c r="BB452" i="6"/>
  <c r="BM452" i="6" s="1"/>
  <c r="BD452" i="6"/>
  <c r="BO452" i="6" s="1"/>
  <c r="BF452" i="6"/>
  <c r="BQ452" i="6" s="1"/>
  <c r="AZ452" i="6"/>
  <c r="BT452" i="6" l="1"/>
  <c r="BV452" i="6"/>
  <c r="BX452" i="6"/>
  <c r="BZ452" i="6"/>
  <c r="BU452" i="6"/>
  <c r="BW452" i="6"/>
  <c r="BY452" i="6"/>
  <c r="BS452" i="6"/>
  <c r="CA452" i="6"/>
  <c r="AG453" i="6" l="1"/>
  <c r="CI452" i="6"/>
  <c r="CB452" i="6" s="1"/>
  <c r="AO453" i="6" l="1"/>
  <c r="Q453" i="6"/>
  <c r="R453" i="6" s="1"/>
  <c r="S453" i="6" s="1"/>
  <c r="AH453" i="6"/>
  <c r="CJ452" i="6"/>
  <c r="CC452" i="6" s="1"/>
  <c r="AP453" i="6" l="1"/>
  <c r="CK452" i="6"/>
  <c r="CD452" i="6" s="1"/>
  <c r="AI453" i="6"/>
  <c r="CL452" i="6" l="1"/>
  <c r="CE452" i="6" s="1"/>
  <c r="AJ453" i="6"/>
  <c r="W453" i="6"/>
  <c r="Z453" i="6" s="1"/>
  <c r="AQ453" i="6"/>
  <c r="CM452" i="6" l="1"/>
  <c r="CF452" i="6" s="1"/>
  <c r="AK453" i="6"/>
  <c r="AC453" i="6"/>
  <c r="AR453" i="6"/>
  <c r="AL453" i="6" l="1"/>
  <c r="CN452" i="6"/>
  <c r="CG452" i="6" s="1"/>
  <c r="AS453" i="6"/>
  <c r="AT453" i="6" l="1"/>
  <c r="AM453" i="6"/>
  <c r="CO452" i="6"/>
  <c r="CH452" i="6" s="1"/>
  <c r="X453" i="6" l="1"/>
  <c r="AU453" i="6"/>
  <c r="CP452" i="6"/>
  <c r="T452" i="6" s="1"/>
  <c r="AN453" i="6"/>
  <c r="AA453" i="6" l="1"/>
  <c r="Y453" i="6"/>
  <c r="AB453" i="6" s="1"/>
  <c r="AV453" i="6"/>
  <c r="AW453" i="6" s="1"/>
  <c r="AX453" i="6" l="1"/>
  <c r="BH453" i="6" l="1"/>
  <c r="AY453" i="6"/>
  <c r="BI453" i="6" l="1"/>
  <c r="BJ453" i="6" s="1"/>
  <c r="BK453" i="6" s="1"/>
  <c r="BB453" i="6"/>
  <c r="BM453" i="6" s="1"/>
  <c r="BG453" i="6"/>
  <c r="BR453" i="6" s="1"/>
  <c r="AZ453" i="6"/>
  <c r="BA453" i="6"/>
  <c r="BL453" i="6" s="1"/>
  <c r="BD453" i="6"/>
  <c r="BO453" i="6" s="1"/>
  <c r="BE453" i="6"/>
  <c r="BP453" i="6" s="1"/>
  <c r="BF453" i="6"/>
  <c r="BQ453" i="6" s="1"/>
  <c r="BC453" i="6"/>
  <c r="BN453" i="6" s="1"/>
  <c r="BU453" i="6" l="1"/>
  <c r="BZ453" i="6"/>
  <c r="BS453" i="6"/>
  <c r="CA453" i="6"/>
  <c r="BT453" i="6"/>
  <c r="BW453" i="6"/>
  <c r="BX453" i="6"/>
  <c r="BY453" i="6"/>
  <c r="BV453" i="6"/>
  <c r="AG454" i="6" l="1"/>
  <c r="CI453" i="6"/>
  <c r="CB453" i="6" s="1"/>
  <c r="AH454" i="6"/>
  <c r="CJ453" i="6"/>
  <c r="CC453" i="6" s="1"/>
  <c r="AO454" i="6" l="1"/>
  <c r="Q454" i="6"/>
  <c r="R454" i="6" s="1"/>
  <c r="S454" i="6" s="1"/>
  <c r="AP454" i="6"/>
  <c r="CK453" i="6"/>
  <c r="CD453" i="6" s="1"/>
  <c r="AI454" i="6"/>
  <c r="CL453" i="6" l="1"/>
  <c r="CE453" i="6" s="1"/>
  <c r="AJ454" i="6"/>
  <c r="AQ454" i="6"/>
  <c r="CM453" i="6" l="1"/>
  <c r="CF453" i="6" s="1"/>
  <c r="AK454" i="6"/>
  <c r="W454" i="6"/>
  <c r="Z454" i="6" s="1"/>
  <c r="AC454" i="6"/>
  <c r="AR454" i="6"/>
  <c r="CN453" i="6" l="1"/>
  <c r="CG453" i="6" s="1"/>
  <c r="AL454" i="6"/>
  <c r="AS454" i="6"/>
  <c r="CO453" i="6" l="1"/>
  <c r="CH453" i="6" s="1"/>
  <c r="AM454" i="6"/>
  <c r="AT454" i="6"/>
  <c r="CP453" i="6" l="1"/>
  <c r="T453" i="6" s="1"/>
  <c r="AN454" i="6"/>
  <c r="X454" i="6" s="1"/>
  <c r="AU454" i="6"/>
  <c r="AV454" i="6" l="1"/>
  <c r="AW454" i="6" s="1"/>
  <c r="AA454" i="6"/>
  <c r="Y454" i="6"/>
  <c r="AB454" i="6" s="1"/>
  <c r="AX454" i="6" l="1"/>
  <c r="AY454" i="6" l="1"/>
  <c r="BH454" i="6"/>
  <c r="AZ454" i="6" l="1"/>
  <c r="BA454" i="6"/>
  <c r="BL454" i="6" s="1"/>
  <c r="BB454" i="6"/>
  <c r="BM454" i="6" s="1"/>
  <c r="BE454" i="6"/>
  <c r="BP454" i="6" s="1"/>
  <c r="BF454" i="6"/>
  <c r="BQ454" i="6" s="1"/>
  <c r="BG454" i="6"/>
  <c r="BR454" i="6" s="1"/>
  <c r="BC454" i="6"/>
  <c r="BN454" i="6" s="1"/>
  <c r="BD454" i="6"/>
  <c r="BO454" i="6" s="1"/>
  <c r="BI454" i="6"/>
  <c r="BJ454" i="6" s="1"/>
  <c r="BT454" i="6" l="1"/>
  <c r="BU454" i="6"/>
  <c r="BX454" i="6"/>
  <c r="BY454" i="6"/>
  <c r="BZ454" i="6"/>
  <c r="BV454" i="6"/>
  <c r="BW454" i="6"/>
  <c r="BK454" i="6"/>
  <c r="BS454" i="6" l="1"/>
  <c r="CA454" i="6" s="1"/>
  <c r="AG455" i="6" l="1"/>
  <c r="CI454" i="6"/>
  <c r="CB454" i="6" s="1"/>
  <c r="AO455" i="6" l="1"/>
  <c r="Q455" i="6"/>
  <c r="R455" i="6" s="1"/>
  <c r="S455" i="6" s="1"/>
  <c r="AH455" i="6"/>
  <c r="CJ454" i="6"/>
  <c r="CC454" i="6" s="1"/>
  <c r="AP455" i="6" l="1"/>
  <c r="AI455" i="6"/>
  <c r="CK454" i="6"/>
  <c r="CD454" i="6" s="1"/>
  <c r="AQ455" i="6" l="1"/>
  <c r="AJ455" i="6"/>
  <c r="W455" i="6" s="1"/>
  <c r="Z455" i="6" s="1"/>
  <c r="CL454" i="6"/>
  <c r="CE454" i="6" s="1"/>
  <c r="AC455" i="6" l="1"/>
  <c r="AR455" i="6"/>
  <c r="CM454" i="6"/>
  <c r="CF454" i="6" s="1"/>
  <c r="AK455" i="6"/>
  <c r="CN454" i="6" l="1"/>
  <c r="CG454" i="6" s="1"/>
  <c r="AL455" i="6"/>
  <c r="AS455" i="6"/>
  <c r="CO454" i="6" l="1"/>
  <c r="CH454" i="6" s="1"/>
  <c r="AM455" i="6"/>
  <c r="AT455" i="6"/>
  <c r="CP454" i="6" l="1"/>
  <c r="T454" i="6" s="1"/>
  <c r="AN455" i="6"/>
  <c r="X455" i="6"/>
  <c r="AU455" i="6"/>
  <c r="AV455" i="6" l="1"/>
  <c r="AW455" i="6" s="1"/>
  <c r="AA455" i="6"/>
  <c r="Y455" i="6"/>
  <c r="AB455" i="6" s="1"/>
  <c r="AX455" i="6" l="1"/>
  <c r="BH455" i="6" l="1"/>
  <c r="AY455" i="6"/>
  <c r="BI455" i="6" l="1"/>
  <c r="BJ455" i="6" s="1"/>
  <c r="BC455" i="6"/>
  <c r="BN455" i="6" s="1"/>
  <c r="BF455" i="6"/>
  <c r="BQ455" i="6" s="1"/>
  <c r="AZ455" i="6"/>
  <c r="BA455" i="6"/>
  <c r="BL455" i="6" s="1"/>
  <c r="BB455" i="6"/>
  <c r="BM455" i="6" s="1"/>
  <c r="BD455" i="6"/>
  <c r="BO455" i="6" s="1"/>
  <c r="BE455" i="6"/>
  <c r="BP455" i="6" s="1"/>
  <c r="BG455" i="6"/>
  <c r="BR455" i="6" s="1"/>
  <c r="BV455" i="6" l="1"/>
  <c r="BY455" i="6"/>
  <c r="BT455" i="6"/>
  <c r="BU455" i="6"/>
  <c r="BW455" i="6"/>
  <c r="BX455" i="6"/>
  <c r="BZ455" i="6"/>
  <c r="BK455" i="6"/>
  <c r="BS455" i="6" l="1"/>
  <c r="CA455" i="6" s="1"/>
  <c r="AG456" i="6" l="1"/>
  <c r="CI455" i="6"/>
  <c r="CB455" i="6" s="1"/>
  <c r="CJ455" i="6"/>
  <c r="CC455" i="6" s="1"/>
  <c r="AH456" i="6"/>
  <c r="AO456" i="6" l="1"/>
  <c r="Q456" i="6"/>
  <c r="R456" i="6" s="1"/>
  <c r="S456" i="6" s="1"/>
  <c r="AP456" i="6"/>
  <c r="CK455" i="6"/>
  <c r="CD455" i="6" s="1"/>
  <c r="AI456" i="6"/>
  <c r="CL455" i="6" l="1"/>
  <c r="CE455" i="6" s="1"/>
  <c r="AJ456" i="6"/>
  <c r="AQ456" i="6"/>
  <c r="CM455" i="6" l="1"/>
  <c r="CF455" i="6" s="1"/>
  <c r="AK456" i="6"/>
  <c r="W456" i="6"/>
  <c r="Z456" i="6" s="1"/>
  <c r="AC456" i="6"/>
  <c r="AR456" i="6"/>
  <c r="CN455" i="6" l="1"/>
  <c r="CG455" i="6" s="1"/>
  <c r="AL456" i="6"/>
  <c r="AS456" i="6"/>
  <c r="AM456" i="6" l="1"/>
  <c r="CO455" i="6"/>
  <c r="CH455" i="6" s="1"/>
  <c r="AT456" i="6"/>
  <c r="AU456" i="6" l="1"/>
  <c r="AN456" i="6"/>
  <c r="X456" i="6" s="1"/>
  <c r="CP455" i="6"/>
  <c r="T455" i="6" s="1"/>
  <c r="AA456" i="6" l="1"/>
  <c r="Y456" i="6"/>
  <c r="AB456" i="6" s="1"/>
  <c r="AV456" i="6"/>
  <c r="AW456" i="6" s="1"/>
  <c r="AX456" i="6" l="1"/>
  <c r="BH456" i="6" l="1"/>
  <c r="AY456" i="6"/>
  <c r="BI456" i="6" l="1"/>
  <c r="BJ456" i="6" s="1"/>
  <c r="BK456" i="6" s="1"/>
  <c r="BG456" i="6"/>
  <c r="BR456" i="6" s="1"/>
  <c r="BE456" i="6"/>
  <c r="BP456" i="6" s="1"/>
  <c r="BC456" i="6"/>
  <c r="BN456" i="6" s="1"/>
  <c r="BF456" i="6"/>
  <c r="BQ456" i="6" s="1"/>
  <c r="BD456" i="6"/>
  <c r="BO456" i="6" s="1"/>
  <c r="BB456" i="6"/>
  <c r="BM456" i="6" s="1"/>
  <c r="BA456" i="6"/>
  <c r="BL456" i="6" s="1"/>
  <c r="AZ456" i="6"/>
  <c r="BZ456" i="6" l="1"/>
  <c r="BX456" i="6"/>
  <c r="BV456" i="6"/>
  <c r="BY456" i="6"/>
  <c r="BW456" i="6"/>
  <c r="BU456" i="6"/>
  <c r="BT456" i="6"/>
  <c r="BS456" i="6"/>
  <c r="CA456" i="6"/>
  <c r="AG457" i="6" l="1"/>
  <c r="CI456" i="6"/>
  <c r="CB456" i="6" s="1"/>
  <c r="AO457" i="6" l="1"/>
  <c r="Q457" i="6"/>
  <c r="R457" i="6" s="1"/>
  <c r="S457" i="6" s="1"/>
  <c r="CJ456" i="6"/>
  <c r="CC456" i="6" s="1"/>
  <c r="AH457" i="6"/>
  <c r="CK456" i="6" l="1"/>
  <c r="CD456" i="6" s="1"/>
  <c r="AI457" i="6"/>
  <c r="AP457" i="6"/>
  <c r="CL456" i="6" l="1"/>
  <c r="CE456" i="6" s="1"/>
  <c r="AJ457" i="6"/>
  <c r="W457" i="6"/>
  <c r="Z457" i="6" s="1"/>
  <c r="AQ457" i="6"/>
  <c r="CM456" i="6" l="1"/>
  <c r="CF456" i="6" s="1"/>
  <c r="AK457" i="6"/>
  <c r="AC457" i="6"/>
  <c r="AR457" i="6"/>
  <c r="CN456" i="6" l="1"/>
  <c r="CG456" i="6" s="1"/>
  <c r="AL457" i="6"/>
  <c r="AS457" i="6"/>
  <c r="CO456" i="6" l="1"/>
  <c r="CH456" i="6" s="1"/>
  <c r="AM457" i="6"/>
  <c r="AT457" i="6"/>
  <c r="CP456" i="6" l="1"/>
  <c r="T456" i="6" s="1"/>
  <c r="AN457" i="6"/>
  <c r="X457" i="6"/>
  <c r="AU457" i="6"/>
  <c r="AV457" i="6" l="1"/>
  <c r="AW457" i="6" s="1"/>
  <c r="AA457" i="6"/>
  <c r="Y457" i="6"/>
  <c r="AB457" i="6" s="1"/>
  <c r="AX457" i="6" l="1"/>
  <c r="AY457" i="6" l="1"/>
  <c r="BH457" i="6"/>
  <c r="BA457" i="6" l="1"/>
  <c r="BL457" i="6" s="1"/>
  <c r="BE457" i="6"/>
  <c r="BP457" i="6" s="1"/>
  <c r="BB457" i="6"/>
  <c r="BM457" i="6" s="1"/>
  <c r="BG457" i="6"/>
  <c r="BR457" i="6" s="1"/>
  <c r="BC457" i="6"/>
  <c r="BN457" i="6" s="1"/>
  <c r="BF457" i="6"/>
  <c r="BQ457" i="6" s="1"/>
  <c r="BD457" i="6"/>
  <c r="BO457" i="6" s="1"/>
  <c r="AZ457" i="6"/>
  <c r="BI457" i="6"/>
  <c r="BJ457" i="6" s="1"/>
  <c r="BT457" i="6" l="1"/>
  <c r="BX457" i="6"/>
  <c r="BU457" i="6"/>
  <c r="BZ457" i="6"/>
  <c r="BV457" i="6"/>
  <c r="BY457" i="6"/>
  <c r="BW457" i="6"/>
  <c r="BK457" i="6"/>
  <c r="BS457" i="6" l="1"/>
  <c r="CA457" i="6" s="1"/>
  <c r="AG458" i="6" l="1"/>
  <c r="CI457" i="6"/>
  <c r="CB457" i="6" s="1"/>
  <c r="AO458" i="6" l="1"/>
  <c r="Q458" i="6"/>
  <c r="R458" i="6" s="1"/>
  <c r="S458" i="6" s="1"/>
  <c r="AH458" i="6"/>
  <c r="CJ457" i="6"/>
  <c r="CC457" i="6" s="1"/>
  <c r="AP458" i="6" l="1"/>
  <c r="CK457" i="6"/>
  <c r="CD457" i="6" s="1"/>
  <c r="AI458" i="6"/>
  <c r="CL457" i="6" l="1"/>
  <c r="CE457" i="6" s="1"/>
  <c r="AJ458" i="6"/>
  <c r="W458" i="6"/>
  <c r="Z458" i="6" s="1"/>
  <c r="AQ458" i="6"/>
  <c r="CM457" i="6" l="1"/>
  <c r="CF457" i="6" s="1"/>
  <c r="AK458" i="6"/>
  <c r="AC458" i="6"/>
  <c r="AR458" i="6"/>
  <c r="CN457" i="6" l="1"/>
  <c r="CG457" i="6" s="1"/>
  <c r="AL458" i="6"/>
  <c r="AS458" i="6"/>
  <c r="CO457" i="6" l="1"/>
  <c r="CH457" i="6" s="1"/>
  <c r="AM458" i="6"/>
  <c r="AT458" i="6"/>
  <c r="CP457" i="6" l="1"/>
  <c r="T457" i="6" s="1"/>
  <c r="AN458" i="6"/>
  <c r="X458" i="6"/>
  <c r="AU458" i="6"/>
  <c r="AV458" i="6" l="1"/>
  <c r="AW458" i="6" s="1"/>
  <c r="AA458" i="6"/>
  <c r="Y458" i="6"/>
  <c r="AB458" i="6" s="1"/>
  <c r="AX458" i="6" l="1"/>
  <c r="AY458" i="6" l="1"/>
  <c r="BH458" i="6"/>
  <c r="BD458" i="6" l="1"/>
  <c r="BO458" i="6" s="1"/>
  <c r="BC458" i="6"/>
  <c r="BN458" i="6" s="1"/>
  <c r="BB458" i="6"/>
  <c r="BM458" i="6" s="1"/>
  <c r="BA458" i="6"/>
  <c r="BL458" i="6" s="1"/>
  <c r="BG458" i="6"/>
  <c r="BR458" i="6" s="1"/>
  <c r="BF458" i="6"/>
  <c r="BQ458" i="6" s="1"/>
  <c r="BE458" i="6"/>
  <c r="BP458" i="6" s="1"/>
  <c r="AZ458" i="6"/>
  <c r="BI458" i="6"/>
  <c r="BJ458" i="6" s="1"/>
  <c r="BW458" i="6" l="1"/>
  <c r="BV458" i="6"/>
  <c r="BU458" i="6"/>
  <c r="BT458" i="6"/>
  <c r="BZ458" i="6"/>
  <c r="BY458" i="6"/>
  <c r="BX458" i="6"/>
  <c r="BK458" i="6"/>
  <c r="CA458" i="6" l="1"/>
  <c r="BS458" i="6"/>
  <c r="AG459" i="6" l="1"/>
  <c r="CI458" i="6"/>
  <c r="CB458" i="6" s="1"/>
  <c r="CJ458" i="6" s="1"/>
  <c r="CC458" i="6" s="1"/>
  <c r="AH459" i="6"/>
  <c r="AO459" i="6" l="1"/>
  <c r="Q459" i="6"/>
  <c r="R459" i="6" s="1"/>
  <c r="S459" i="6" s="1"/>
  <c r="AP459" i="6"/>
  <c r="CK458" i="6"/>
  <c r="CD458" i="6" s="1"/>
  <c r="AI459" i="6"/>
  <c r="CL458" i="6" l="1"/>
  <c r="CE458" i="6" s="1"/>
  <c r="AJ459" i="6"/>
  <c r="AQ459" i="6"/>
  <c r="CM458" i="6" l="1"/>
  <c r="CF458" i="6" s="1"/>
  <c r="AK459" i="6"/>
  <c r="W459" i="6"/>
  <c r="Z459" i="6" s="1"/>
  <c r="AC459" i="6"/>
  <c r="AR459" i="6"/>
  <c r="CN458" i="6" l="1"/>
  <c r="CG458" i="6" s="1"/>
  <c r="AL459" i="6"/>
  <c r="AS459" i="6"/>
  <c r="CO458" i="6" l="1"/>
  <c r="CH458" i="6" s="1"/>
  <c r="AM459" i="6"/>
  <c r="AT459" i="6"/>
  <c r="CP458" i="6" l="1"/>
  <c r="T458" i="6" s="1"/>
  <c r="AN459" i="6"/>
  <c r="X459" i="6"/>
  <c r="AU459" i="6"/>
  <c r="AV459" i="6" l="1"/>
  <c r="AW459" i="6" s="1"/>
  <c r="AA459" i="6"/>
  <c r="Y459" i="6"/>
  <c r="AB459" i="6" s="1"/>
  <c r="AX459" i="6" l="1"/>
  <c r="AY459" i="6" l="1"/>
  <c r="BH459" i="6"/>
  <c r="AZ459" i="6" l="1"/>
  <c r="BF459" i="6"/>
  <c r="BQ459" i="6" s="1"/>
  <c r="BA459" i="6"/>
  <c r="BL459" i="6" s="1"/>
  <c r="BG459" i="6"/>
  <c r="BR459" i="6" s="1"/>
  <c r="BC459" i="6"/>
  <c r="BN459" i="6" s="1"/>
  <c r="BB459" i="6"/>
  <c r="BM459" i="6" s="1"/>
  <c r="BD459" i="6"/>
  <c r="BO459" i="6" s="1"/>
  <c r="BE459" i="6"/>
  <c r="BP459" i="6" s="1"/>
  <c r="BI459" i="6"/>
  <c r="BJ459" i="6" s="1"/>
  <c r="BK459" i="6" s="1"/>
  <c r="BS459" i="6" l="1"/>
  <c r="CA459" i="6" s="1"/>
  <c r="BY459" i="6"/>
  <c r="BT459" i="6"/>
  <c r="BZ459" i="6"/>
  <c r="BV459" i="6"/>
  <c r="BU459" i="6"/>
  <c r="BW459" i="6"/>
  <c r="BX459" i="6"/>
  <c r="AG460" i="6" l="1"/>
  <c r="CI459" i="6"/>
  <c r="CB459" i="6" s="1"/>
  <c r="CJ459" i="6" s="1"/>
  <c r="CC459" i="6" s="1"/>
  <c r="AH460" i="6"/>
  <c r="AO460" i="6" l="1"/>
  <c r="Q460" i="6"/>
  <c r="R460" i="6" s="1"/>
  <c r="S460" i="6" s="1"/>
  <c r="AP460" i="6"/>
  <c r="AI460" i="6"/>
  <c r="CK459" i="6"/>
  <c r="CD459" i="6" s="1"/>
  <c r="AQ460" i="6" l="1"/>
  <c r="AJ460" i="6"/>
  <c r="CL459" i="6"/>
  <c r="CE459" i="6" s="1"/>
  <c r="W460" i="6" l="1"/>
  <c r="Z460" i="6" s="1"/>
  <c r="AC460" i="6"/>
  <c r="AR460" i="6"/>
  <c r="CM459" i="6"/>
  <c r="CF459" i="6" s="1"/>
  <c r="AK460" i="6"/>
  <c r="CN459" i="6" l="1"/>
  <c r="CG459" i="6" s="1"/>
  <c r="AL460" i="6"/>
  <c r="AS460" i="6"/>
  <c r="CO459" i="6" l="1"/>
  <c r="CH459" i="6" s="1"/>
  <c r="AM460" i="6"/>
  <c r="AT460" i="6"/>
  <c r="CP459" i="6" l="1"/>
  <c r="T459" i="6" s="1"/>
  <c r="AN460" i="6"/>
  <c r="X460" i="6"/>
  <c r="AU460" i="6"/>
  <c r="AV460" i="6" l="1"/>
  <c r="AW460" i="6" s="1"/>
  <c r="AA460" i="6"/>
  <c r="Y460" i="6"/>
  <c r="AB460" i="6" s="1"/>
  <c r="AX460" i="6" l="1"/>
  <c r="BH460" i="6" l="1"/>
  <c r="AY460" i="6"/>
  <c r="BI460" i="6" l="1"/>
  <c r="BJ460" i="6" s="1"/>
  <c r="BG460" i="6"/>
  <c r="BR460" i="6" s="1"/>
  <c r="BF460" i="6"/>
  <c r="BQ460" i="6" s="1"/>
  <c r="BD460" i="6"/>
  <c r="BO460" i="6" s="1"/>
  <c r="BC460" i="6"/>
  <c r="BN460" i="6" s="1"/>
  <c r="BB460" i="6"/>
  <c r="BM460" i="6" s="1"/>
  <c r="BE460" i="6"/>
  <c r="BP460" i="6" s="1"/>
  <c r="BA460" i="6"/>
  <c r="BL460" i="6" s="1"/>
  <c r="AZ460" i="6"/>
  <c r="BZ460" i="6" l="1"/>
  <c r="BY460" i="6"/>
  <c r="BW460" i="6"/>
  <c r="BV460" i="6"/>
  <c r="BU460" i="6"/>
  <c r="BX460" i="6"/>
  <c r="BT460" i="6"/>
  <c r="BK460" i="6"/>
  <c r="CA460" i="6" l="1"/>
  <c r="BS460" i="6"/>
  <c r="AG461" i="6" l="1"/>
  <c r="CI460" i="6"/>
  <c r="CB460" i="6" s="1"/>
  <c r="CJ460" i="6"/>
  <c r="CC460" i="6" s="1"/>
  <c r="AH461" i="6"/>
  <c r="AO461" i="6" l="1"/>
  <c r="Q461" i="6"/>
  <c r="R461" i="6" s="1"/>
  <c r="S461" i="6" s="1"/>
  <c r="CK460" i="6"/>
  <c r="CD460" i="6" s="1"/>
  <c r="AI461" i="6"/>
  <c r="AP461" i="6"/>
  <c r="CL460" i="6" l="1"/>
  <c r="CE460" i="6" s="1"/>
  <c r="AJ461" i="6"/>
  <c r="AQ461" i="6"/>
  <c r="CM460" i="6" l="1"/>
  <c r="CF460" i="6" s="1"/>
  <c r="AK461" i="6"/>
  <c r="W461" i="6"/>
  <c r="Z461" i="6" s="1"/>
  <c r="AC461" i="6"/>
  <c r="AR461" i="6"/>
  <c r="CN460" i="6" l="1"/>
  <c r="CG460" i="6" s="1"/>
  <c r="AL461" i="6"/>
  <c r="AS461" i="6"/>
  <c r="CO460" i="6" l="1"/>
  <c r="CH460" i="6" s="1"/>
  <c r="AM461" i="6"/>
  <c r="AT461" i="6"/>
  <c r="CP460" i="6" l="1"/>
  <c r="T460" i="6" s="1"/>
  <c r="AN461" i="6"/>
  <c r="X461" i="6"/>
  <c r="AU461" i="6"/>
  <c r="AV461" i="6" l="1"/>
  <c r="AW461" i="6" s="1"/>
  <c r="AA461" i="6"/>
  <c r="Y461" i="6"/>
  <c r="AB461" i="6" s="1"/>
  <c r="AX461" i="6" l="1"/>
  <c r="AY461" i="6" l="1"/>
  <c r="BH461" i="6"/>
  <c r="AZ461" i="6" l="1"/>
  <c r="BA461" i="6"/>
  <c r="BL461" i="6" s="1"/>
  <c r="BB461" i="6"/>
  <c r="BM461" i="6" s="1"/>
  <c r="BC461" i="6"/>
  <c r="BN461" i="6" s="1"/>
  <c r="BD461" i="6"/>
  <c r="BO461" i="6" s="1"/>
  <c r="BE461" i="6"/>
  <c r="BP461" i="6" s="1"/>
  <c r="BF461" i="6"/>
  <c r="BQ461" i="6" s="1"/>
  <c r="BG461" i="6"/>
  <c r="BR461" i="6" s="1"/>
  <c r="BI461" i="6"/>
  <c r="BJ461" i="6" s="1"/>
  <c r="BK461" i="6" s="1"/>
  <c r="BS461" i="6" l="1"/>
  <c r="CA461" i="6" s="1"/>
  <c r="BT461" i="6"/>
  <c r="BU461" i="6"/>
  <c r="BV461" i="6"/>
  <c r="BW461" i="6"/>
  <c r="BX461" i="6"/>
  <c r="BY461" i="6"/>
  <c r="BZ461" i="6"/>
  <c r="AG462" i="6" l="1"/>
  <c r="CI461" i="6"/>
  <c r="CB461" i="6" s="1"/>
  <c r="AH462" i="6"/>
  <c r="CJ461" i="6"/>
  <c r="CC461" i="6" s="1"/>
  <c r="AI462" i="6"/>
  <c r="CK461" i="6"/>
  <c r="CD461" i="6" s="1"/>
  <c r="AJ462" i="6"/>
  <c r="CL461" i="6"/>
  <c r="CE461" i="6" s="1"/>
  <c r="AK462" i="6"/>
  <c r="CM461" i="6"/>
  <c r="CF461" i="6" s="1"/>
  <c r="AL462" i="6"/>
  <c r="CN461" i="6"/>
  <c r="CG461" i="6" s="1"/>
  <c r="AM462" i="6"/>
  <c r="CO461" i="6"/>
  <c r="CH461" i="6" s="1"/>
  <c r="AN462" i="6"/>
  <c r="CP461" i="6"/>
  <c r="T461" i="6" s="1"/>
  <c r="W462" i="6" l="1"/>
  <c r="Z462" i="6" s="1"/>
  <c r="AO462" i="6"/>
  <c r="Q462" i="6"/>
  <c r="R462" i="6" s="1"/>
  <c r="S462" i="6" s="1"/>
  <c r="AP462" i="6"/>
  <c r="AQ462" i="6"/>
  <c r="AC462" i="6"/>
  <c r="AR462" i="6"/>
  <c r="X462" i="6"/>
  <c r="AS462" i="6"/>
  <c r="AT462" i="6"/>
  <c r="AU462" i="6"/>
  <c r="AV462" i="6"/>
  <c r="Y462" i="6" l="1"/>
  <c r="AB462" i="6" s="1"/>
  <c r="AA462" i="6"/>
  <c r="AW462" i="6"/>
  <c r="AX462" i="6" l="1"/>
  <c r="BH462" i="6" l="1"/>
  <c r="AY462" i="6"/>
  <c r="BI462" i="6" l="1"/>
  <c r="BJ462" i="6" s="1"/>
  <c r="BK462" i="6" s="1"/>
  <c r="BA462" i="6"/>
  <c r="BL462" i="6" s="1"/>
  <c r="BB462" i="6"/>
  <c r="BM462" i="6" s="1"/>
  <c r="BC462" i="6"/>
  <c r="BN462" i="6" s="1"/>
  <c r="BD462" i="6"/>
  <c r="BO462" i="6" s="1"/>
  <c r="BE462" i="6"/>
  <c r="BP462" i="6" s="1"/>
  <c r="AZ462" i="6"/>
  <c r="BF462" i="6"/>
  <c r="BQ462" i="6" s="1"/>
  <c r="BG462" i="6"/>
  <c r="BR462" i="6" s="1"/>
  <c r="BT462" i="6" l="1"/>
  <c r="BU462" i="6"/>
  <c r="BV462" i="6"/>
  <c r="BW462" i="6"/>
  <c r="BX462" i="6"/>
  <c r="BS462" i="6"/>
  <c r="BY462" i="6"/>
  <c r="BZ462" i="6"/>
  <c r="CA462" i="6" l="1"/>
  <c r="CI462" i="6" l="1"/>
  <c r="CB462" i="6" s="1"/>
  <c r="AG463" i="6"/>
  <c r="AH463" i="6" l="1"/>
  <c r="CJ462" i="6"/>
  <c r="CC462" i="6" s="1"/>
  <c r="AO463" i="6"/>
  <c r="Q463" i="6"/>
  <c r="R463" i="6" s="1"/>
  <c r="S463" i="6" s="1"/>
  <c r="AP463" i="6" l="1"/>
  <c r="CK462" i="6"/>
  <c r="CD462" i="6" s="1"/>
  <c r="AI463" i="6"/>
  <c r="CL462" i="6" l="1"/>
  <c r="CE462" i="6" s="1"/>
  <c r="AJ463" i="6"/>
  <c r="W463" i="6"/>
  <c r="Z463" i="6" s="1"/>
  <c r="AQ463" i="6"/>
  <c r="CM462" i="6" l="1"/>
  <c r="CF462" i="6" s="1"/>
  <c r="AK463" i="6"/>
  <c r="AC463" i="6"/>
  <c r="AR463" i="6"/>
  <c r="CN462" i="6" l="1"/>
  <c r="CG462" i="6" s="1"/>
  <c r="AL463" i="6"/>
  <c r="AS463" i="6"/>
  <c r="CO462" i="6" l="1"/>
  <c r="CH462" i="6" s="1"/>
  <c r="AM463" i="6"/>
  <c r="AT463" i="6"/>
  <c r="CP462" i="6" l="1"/>
  <c r="T462" i="6" s="1"/>
  <c r="AN463" i="6"/>
  <c r="X463" i="6"/>
  <c r="AU463" i="6"/>
  <c r="AV463" i="6" l="1"/>
  <c r="AW463" i="6" s="1"/>
  <c r="AA463" i="6"/>
  <c r="Y463" i="6"/>
  <c r="AB463" i="6" s="1"/>
  <c r="AX463" i="6"/>
  <c r="AY463" i="6" l="1"/>
  <c r="BH463" i="6"/>
  <c r="BG463" i="6" l="1"/>
  <c r="BR463" i="6" s="1"/>
  <c r="BB463" i="6"/>
  <c r="BM463" i="6" s="1"/>
  <c r="BE463" i="6"/>
  <c r="BP463" i="6" s="1"/>
  <c r="BF463" i="6"/>
  <c r="BQ463" i="6" s="1"/>
  <c r="BD463" i="6"/>
  <c r="BO463" i="6" s="1"/>
  <c r="AZ463" i="6"/>
  <c r="BJ463" i="6"/>
  <c r="BI463" i="6"/>
  <c r="BA463" i="6"/>
  <c r="BL463" i="6" s="1"/>
  <c r="BC463" i="6"/>
  <c r="BN463" i="6" s="1"/>
  <c r="BZ463" i="6" l="1"/>
  <c r="BU463" i="6"/>
  <c r="BX463" i="6"/>
  <c r="BY463" i="6"/>
  <c r="BW463" i="6"/>
  <c r="BT463" i="6"/>
  <c r="BV463" i="6"/>
  <c r="BK463" i="6"/>
  <c r="BS463" i="6" l="1"/>
  <c r="CA463" i="6" s="1"/>
  <c r="AG464" i="6" l="1"/>
  <c r="CI463" i="6"/>
  <c r="CB463" i="6" s="1"/>
  <c r="AO464" i="6" l="1"/>
  <c r="Q464" i="6"/>
  <c r="R464" i="6" s="1"/>
  <c r="S464" i="6" s="1"/>
  <c r="AH464" i="6"/>
  <c r="CJ463" i="6"/>
  <c r="CC463" i="6" s="1"/>
  <c r="AP464" i="6" l="1"/>
  <c r="CK463" i="6"/>
  <c r="CD463" i="6" s="1"/>
  <c r="AI464" i="6"/>
  <c r="CL463" i="6" l="1"/>
  <c r="CE463" i="6" s="1"/>
  <c r="AJ464" i="6"/>
  <c r="W464" i="6" s="1"/>
  <c r="Z464" i="6" s="1"/>
  <c r="AQ464" i="6"/>
  <c r="CM463" i="6" l="1"/>
  <c r="CF463" i="6" s="1"/>
  <c r="AK464" i="6"/>
  <c r="AC464" i="6"/>
  <c r="AR464" i="6"/>
  <c r="CN463" i="6" l="1"/>
  <c r="CG463" i="6" s="1"/>
  <c r="AL464" i="6"/>
  <c r="AS464" i="6"/>
  <c r="CO463" i="6" l="1"/>
  <c r="CH463" i="6" s="1"/>
  <c r="AM464" i="6"/>
  <c r="AT464" i="6"/>
  <c r="CP463" i="6" l="1"/>
  <c r="T463" i="6" s="1"/>
  <c r="AN464" i="6"/>
  <c r="X464" i="6"/>
  <c r="AU464" i="6"/>
  <c r="AV464" i="6" l="1"/>
  <c r="AW464" i="6" s="1"/>
  <c r="AA464" i="6"/>
  <c r="Y464" i="6"/>
  <c r="AB464" i="6" s="1"/>
  <c r="AX464" i="6" l="1"/>
  <c r="AY464" i="6" l="1"/>
  <c r="BH464" i="6"/>
  <c r="AZ464" i="6" l="1"/>
  <c r="BD464" i="6"/>
  <c r="BO464" i="6" s="1"/>
  <c r="BF464" i="6"/>
  <c r="BQ464" i="6" s="1"/>
  <c r="BB464" i="6"/>
  <c r="BM464" i="6" s="1"/>
  <c r="BC464" i="6"/>
  <c r="BN464" i="6" s="1"/>
  <c r="BG464" i="6"/>
  <c r="BR464" i="6" s="1"/>
  <c r="BE464" i="6"/>
  <c r="BP464" i="6" s="1"/>
  <c r="BA464" i="6"/>
  <c r="BL464" i="6" s="1"/>
  <c r="BI464" i="6"/>
  <c r="BJ464" i="6" s="1"/>
  <c r="BK464" i="6" s="1"/>
  <c r="BS464" i="6" l="1"/>
  <c r="BW464" i="6"/>
  <c r="BY464" i="6"/>
  <c r="BU464" i="6"/>
  <c r="BV464" i="6"/>
  <c r="BZ464" i="6"/>
  <c r="BX464" i="6"/>
  <c r="BT464" i="6"/>
  <c r="CA464" i="6" l="1"/>
  <c r="CI464" i="6" l="1"/>
  <c r="CB464" i="6" s="1"/>
  <c r="AG465" i="6"/>
  <c r="AH465" i="6" l="1"/>
  <c r="CJ464" i="6"/>
  <c r="CC464" i="6" s="1"/>
  <c r="AO465" i="6"/>
  <c r="Q465" i="6"/>
  <c r="R465" i="6" s="1"/>
  <c r="S465" i="6" s="1"/>
  <c r="AP465" i="6" l="1"/>
  <c r="CK464" i="6"/>
  <c r="CD464" i="6" s="1"/>
  <c r="AI465" i="6"/>
  <c r="CL464" i="6" l="1"/>
  <c r="CE464" i="6" s="1"/>
  <c r="AJ465" i="6"/>
  <c r="W465" i="6"/>
  <c r="Z465" i="6" s="1"/>
  <c r="AQ465" i="6"/>
  <c r="CM464" i="6" l="1"/>
  <c r="CF464" i="6" s="1"/>
  <c r="AK465" i="6"/>
  <c r="AC465" i="6"/>
  <c r="AR465" i="6"/>
  <c r="CN464" i="6" l="1"/>
  <c r="CG464" i="6" s="1"/>
  <c r="AL465" i="6"/>
  <c r="AS465" i="6"/>
  <c r="CO464" i="6" l="1"/>
  <c r="CH464" i="6" s="1"/>
  <c r="AM465" i="6"/>
  <c r="AT465" i="6"/>
  <c r="CP464" i="6" l="1"/>
  <c r="T464" i="6" s="1"/>
  <c r="AN465" i="6"/>
  <c r="X465" i="6"/>
  <c r="AU465" i="6"/>
  <c r="AV465" i="6" l="1"/>
  <c r="AW465" i="6" s="1"/>
  <c r="AA465" i="6"/>
  <c r="Y465" i="6"/>
  <c r="AB465" i="6" s="1"/>
  <c r="AX465" i="6" l="1"/>
  <c r="BH465" i="6" l="1"/>
  <c r="AY465" i="6"/>
  <c r="BI465" i="6" l="1"/>
  <c r="BJ465" i="6" s="1"/>
  <c r="BK465" i="6" s="1"/>
  <c r="BA465" i="6"/>
  <c r="BL465" i="6" s="1"/>
  <c r="BB465" i="6"/>
  <c r="BM465" i="6" s="1"/>
  <c r="BG465" i="6"/>
  <c r="BR465" i="6" s="1"/>
  <c r="AZ465" i="6"/>
  <c r="BF465" i="6"/>
  <c r="BQ465" i="6" s="1"/>
  <c r="BC465" i="6"/>
  <c r="BN465" i="6" s="1"/>
  <c r="BD465" i="6"/>
  <c r="BO465" i="6" s="1"/>
  <c r="BE465" i="6"/>
  <c r="BP465" i="6" s="1"/>
  <c r="BT465" i="6" l="1"/>
  <c r="BU465" i="6"/>
  <c r="BZ465" i="6"/>
  <c r="BS465" i="6"/>
  <c r="CA465" i="6" s="1"/>
  <c r="BY465" i="6"/>
  <c r="BV465" i="6"/>
  <c r="BW465" i="6"/>
  <c r="BX465" i="6"/>
  <c r="AG466" i="6" l="1"/>
  <c r="CI465" i="6"/>
  <c r="CB465" i="6" s="1"/>
  <c r="AO466" i="6" l="1"/>
  <c r="Q466" i="6"/>
  <c r="R466" i="6" s="1"/>
  <c r="S466" i="6" s="1"/>
  <c r="CJ465" i="6"/>
  <c r="CC465" i="6" s="1"/>
  <c r="AH466" i="6"/>
  <c r="CK465" i="6" l="1"/>
  <c r="CD465" i="6" s="1"/>
  <c r="AI466" i="6"/>
  <c r="AP466" i="6"/>
  <c r="CL465" i="6" l="1"/>
  <c r="CE465" i="6" s="1"/>
  <c r="AJ466" i="6"/>
  <c r="W466" i="6"/>
  <c r="Z466" i="6" s="1"/>
  <c r="AQ466" i="6"/>
  <c r="CM465" i="6" l="1"/>
  <c r="CF465" i="6" s="1"/>
  <c r="AK466" i="6"/>
  <c r="AC466" i="6"/>
  <c r="AR466" i="6"/>
  <c r="CN465" i="6" l="1"/>
  <c r="CG465" i="6" s="1"/>
  <c r="AL466" i="6"/>
  <c r="AS466" i="6"/>
  <c r="AM466" i="6" l="1"/>
  <c r="CO465" i="6"/>
  <c r="CH465" i="6" s="1"/>
  <c r="AT466" i="6"/>
  <c r="AU466" i="6" l="1"/>
  <c r="AN466" i="6"/>
  <c r="X466" i="6" s="1"/>
  <c r="CP465" i="6"/>
  <c r="T465" i="6" s="1"/>
  <c r="AA466" i="6" l="1"/>
  <c r="Y466" i="6"/>
  <c r="AB466" i="6" s="1"/>
  <c r="AV466" i="6"/>
  <c r="AW466" i="6" s="1"/>
  <c r="AX466" i="6" l="1"/>
  <c r="AY466" i="6" l="1"/>
  <c r="BH466" i="6"/>
  <c r="BF466" i="6" l="1"/>
  <c r="BQ466" i="6" s="1"/>
  <c r="AZ466" i="6"/>
  <c r="BG466" i="6"/>
  <c r="BR466" i="6" s="1"/>
  <c r="BE466" i="6"/>
  <c r="BP466" i="6" s="1"/>
  <c r="BD466" i="6"/>
  <c r="BO466" i="6" s="1"/>
  <c r="BC466" i="6"/>
  <c r="BN466" i="6" s="1"/>
  <c r="BB466" i="6"/>
  <c r="BM466" i="6" s="1"/>
  <c r="BA466" i="6"/>
  <c r="BL466" i="6" s="1"/>
  <c r="BI466" i="6"/>
  <c r="BJ466" i="6" s="1"/>
  <c r="BY466" i="6" l="1"/>
  <c r="BZ466" i="6"/>
  <c r="BX466" i="6"/>
  <c r="BW466" i="6"/>
  <c r="BV466" i="6"/>
  <c r="BU466" i="6"/>
  <c r="BT466" i="6"/>
  <c r="BK466" i="6"/>
  <c r="BS466" i="6" l="1"/>
  <c r="CA466" i="6" s="1"/>
  <c r="AG467" i="6" l="1"/>
  <c r="CI466" i="6"/>
  <c r="CB466" i="6" s="1"/>
  <c r="AO467" i="6" l="1"/>
  <c r="Q467" i="6"/>
  <c r="R467" i="6" s="1"/>
  <c r="S467" i="6" s="1"/>
  <c r="AH467" i="6"/>
  <c r="CJ466" i="6"/>
  <c r="CC466" i="6" s="1"/>
  <c r="AP467" i="6" l="1"/>
  <c r="CK466" i="6"/>
  <c r="CD466" i="6" s="1"/>
  <c r="AI467" i="6"/>
  <c r="CL466" i="6" l="1"/>
  <c r="CE466" i="6" s="1"/>
  <c r="AJ467" i="6"/>
  <c r="W467" i="6"/>
  <c r="Z467" i="6" s="1"/>
  <c r="AQ467" i="6"/>
  <c r="CM466" i="6" l="1"/>
  <c r="CF466" i="6" s="1"/>
  <c r="AK467" i="6"/>
  <c r="AC467" i="6"/>
  <c r="AR467" i="6"/>
  <c r="AL467" i="6" l="1"/>
  <c r="CN466" i="6"/>
  <c r="CG466" i="6" s="1"/>
  <c r="AS467" i="6"/>
  <c r="AT467" i="6" l="1"/>
  <c r="AM467" i="6"/>
  <c r="CO466" i="6"/>
  <c r="CH466" i="6" s="1"/>
  <c r="X467" i="6" l="1"/>
  <c r="AU467" i="6"/>
  <c r="CP466" i="6"/>
  <c r="T466" i="6" s="1"/>
  <c r="AN467" i="6"/>
  <c r="AA467" i="6" l="1"/>
  <c r="Y467" i="6"/>
  <c r="AB467" i="6" s="1"/>
  <c r="AV467" i="6"/>
  <c r="AW467" i="6" s="1"/>
  <c r="AX467" i="6" l="1"/>
  <c r="BH467" i="6" l="1"/>
  <c r="AY467" i="6"/>
  <c r="BI467" i="6" l="1"/>
  <c r="BJ467" i="6" s="1"/>
  <c r="BK467" i="6" s="1"/>
  <c r="BE467" i="6"/>
  <c r="BP467" i="6" s="1"/>
  <c r="BF467" i="6"/>
  <c r="BQ467" i="6" s="1"/>
  <c r="BG467" i="6"/>
  <c r="BR467" i="6" s="1"/>
  <c r="AZ467" i="6"/>
  <c r="BA467" i="6"/>
  <c r="BL467" i="6" s="1"/>
  <c r="BB467" i="6"/>
  <c r="BM467" i="6" s="1"/>
  <c r="BC467" i="6"/>
  <c r="BN467" i="6" s="1"/>
  <c r="BD467" i="6"/>
  <c r="BO467" i="6" s="1"/>
  <c r="BX467" i="6" l="1"/>
  <c r="BY467" i="6"/>
  <c r="BZ467" i="6"/>
  <c r="BS467" i="6"/>
  <c r="CA467" i="6"/>
  <c r="BT467" i="6"/>
  <c r="BU467" i="6"/>
  <c r="BV467" i="6"/>
  <c r="BW467" i="6"/>
  <c r="AG468" i="6" l="1"/>
  <c r="CI467" i="6"/>
  <c r="CB467" i="6" s="1"/>
  <c r="AH468" i="6"/>
  <c r="CJ467" i="6"/>
  <c r="CC467" i="6" s="1"/>
  <c r="AO468" i="6" l="1"/>
  <c r="Q468" i="6"/>
  <c r="R468" i="6" s="1"/>
  <c r="S468" i="6" s="1"/>
  <c r="AP468" i="6"/>
  <c r="AI468" i="6"/>
  <c r="CK467" i="6"/>
  <c r="CD467" i="6" s="1"/>
  <c r="AQ468" i="6" l="1"/>
  <c r="CL467" i="6"/>
  <c r="CE467" i="6" s="1"/>
  <c r="AJ468" i="6"/>
  <c r="CM467" i="6" l="1"/>
  <c r="CF467" i="6" s="1"/>
  <c r="AK468" i="6"/>
  <c r="W468" i="6"/>
  <c r="Z468" i="6" s="1"/>
  <c r="AR468" i="6"/>
  <c r="AC468" i="6"/>
  <c r="AL468" i="6" l="1"/>
  <c r="CN467" i="6"/>
  <c r="CG467" i="6" s="1"/>
  <c r="AS468" i="6"/>
  <c r="AT468" i="6" l="1"/>
  <c r="CO467" i="6"/>
  <c r="CH467" i="6" s="1"/>
  <c r="AM468" i="6"/>
  <c r="CP467" i="6" l="1"/>
  <c r="T467" i="6" s="1"/>
  <c r="AN468" i="6"/>
  <c r="X468" i="6"/>
  <c r="AU468" i="6"/>
  <c r="AV468" i="6" l="1"/>
  <c r="AW468" i="6" s="1"/>
  <c r="AA468" i="6"/>
  <c r="Y468" i="6"/>
  <c r="AB468" i="6" s="1"/>
  <c r="AX468" i="6" l="1"/>
  <c r="BH468" i="6" l="1"/>
  <c r="AY468" i="6"/>
  <c r="BI468" i="6" l="1"/>
  <c r="BJ468" i="6" s="1"/>
  <c r="BK468" i="6" s="1"/>
  <c r="BG468" i="6"/>
  <c r="BR468" i="6" s="1"/>
  <c r="BF468" i="6"/>
  <c r="BQ468" i="6" s="1"/>
  <c r="BE468" i="6"/>
  <c r="BP468" i="6" s="1"/>
  <c r="BD468" i="6"/>
  <c r="BO468" i="6" s="1"/>
  <c r="BC468" i="6"/>
  <c r="BN468" i="6" s="1"/>
  <c r="BB468" i="6"/>
  <c r="BM468" i="6" s="1"/>
  <c r="BA468" i="6"/>
  <c r="BL468" i="6" s="1"/>
  <c r="AZ468" i="6"/>
  <c r="BZ468" i="6" l="1"/>
  <c r="BY468" i="6"/>
  <c r="BX468" i="6"/>
  <c r="BW468" i="6"/>
  <c r="BV468" i="6"/>
  <c r="BU468" i="6"/>
  <c r="BT468" i="6"/>
  <c r="BS468" i="6"/>
  <c r="CA468" i="6" l="1"/>
  <c r="CI468" i="6" l="1"/>
  <c r="CB468" i="6" s="1"/>
  <c r="AG469" i="6"/>
  <c r="AH469" i="6" l="1"/>
  <c r="CJ468" i="6"/>
  <c r="CC468" i="6" s="1"/>
  <c r="AO469" i="6"/>
  <c r="Q469" i="6"/>
  <c r="R469" i="6" s="1"/>
  <c r="S469" i="6" s="1"/>
  <c r="AP469" i="6" l="1"/>
  <c r="CK468" i="6"/>
  <c r="CD468" i="6" s="1"/>
  <c r="AI469" i="6"/>
  <c r="AJ469" i="6" l="1"/>
  <c r="CL468" i="6"/>
  <c r="CE468" i="6" s="1"/>
  <c r="W469" i="6"/>
  <c r="Z469" i="6" s="1"/>
  <c r="AQ469" i="6"/>
  <c r="AC469" i="6" l="1"/>
  <c r="AR469" i="6"/>
  <c r="CM468" i="6"/>
  <c r="CF468" i="6" s="1"/>
  <c r="AK469" i="6"/>
  <c r="CN468" i="6" l="1"/>
  <c r="CG468" i="6" s="1"/>
  <c r="AL469" i="6"/>
  <c r="AS469" i="6"/>
  <c r="AM469" i="6" l="1"/>
  <c r="CO468" i="6"/>
  <c r="CH468" i="6" s="1"/>
  <c r="AT469" i="6"/>
  <c r="AU469" i="6" l="1"/>
  <c r="AN469" i="6"/>
  <c r="X469" i="6" s="1"/>
  <c r="CP468" i="6"/>
  <c r="T468" i="6" s="1"/>
  <c r="AA469" i="6" l="1"/>
  <c r="Y469" i="6"/>
  <c r="AB469" i="6" s="1"/>
  <c r="AV469" i="6"/>
  <c r="AW469" i="6" s="1"/>
  <c r="AX469" i="6" l="1"/>
  <c r="AY469" i="6" l="1"/>
  <c r="BH469" i="6"/>
  <c r="BF469" i="6" l="1"/>
  <c r="BQ469" i="6" s="1"/>
  <c r="BD469" i="6"/>
  <c r="BO469" i="6" s="1"/>
  <c r="BB469" i="6"/>
  <c r="BM469" i="6" s="1"/>
  <c r="AZ469" i="6"/>
  <c r="BC469" i="6"/>
  <c r="BN469" i="6" s="1"/>
  <c r="BG469" i="6"/>
  <c r="BR469" i="6" s="1"/>
  <c r="BE469" i="6"/>
  <c r="BP469" i="6" s="1"/>
  <c r="BA469" i="6"/>
  <c r="BL469" i="6" s="1"/>
  <c r="BI469" i="6"/>
  <c r="BJ469" i="6" s="1"/>
  <c r="BK469" i="6" s="1"/>
  <c r="BY469" i="6" l="1"/>
  <c r="BW469" i="6"/>
  <c r="BU469" i="6"/>
  <c r="BS469" i="6"/>
  <c r="BV469" i="6"/>
  <c r="BZ469" i="6"/>
  <c r="BX469" i="6"/>
  <c r="BT469" i="6"/>
  <c r="CA469" i="6" l="1"/>
  <c r="CI469" i="6" l="1"/>
  <c r="CB469" i="6" s="1"/>
  <c r="AG470" i="6"/>
  <c r="CJ469" i="6"/>
  <c r="CC469" i="6" s="1"/>
  <c r="AH470" i="6"/>
  <c r="AO470" i="6" l="1"/>
  <c r="Q470" i="6"/>
  <c r="R470" i="6" s="1"/>
  <c r="S470" i="6" s="1"/>
  <c r="CK469" i="6"/>
  <c r="CD469" i="6" s="1"/>
  <c r="AI470" i="6"/>
  <c r="AP470" i="6"/>
  <c r="CL469" i="6" l="1"/>
  <c r="CE469" i="6" s="1"/>
  <c r="AJ470" i="6"/>
  <c r="AQ470" i="6"/>
  <c r="AK470" i="6" l="1"/>
  <c r="CM469" i="6"/>
  <c r="CF469" i="6" s="1"/>
  <c r="W470" i="6"/>
  <c r="Z470" i="6" s="1"/>
  <c r="AC470" i="6"/>
  <c r="AR470" i="6"/>
  <c r="AS470" i="6" l="1"/>
  <c r="AL470" i="6"/>
  <c r="CN469" i="6"/>
  <c r="CG469" i="6" s="1"/>
  <c r="AT470" i="6" l="1"/>
  <c r="CO469" i="6"/>
  <c r="CH469" i="6" s="1"/>
  <c r="AM470" i="6"/>
  <c r="CP469" i="6" l="1"/>
  <c r="T469" i="6" s="1"/>
  <c r="AN470" i="6"/>
  <c r="X470" i="6"/>
  <c r="AU470" i="6"/>
  <c r="AV470" i="6" l="1"/>
  <c r="AW470" i="6" s="1"/>
  <c r="AA470" i="6"/>
  <c r="Y470" i="6"/>
  <c r="AB470" i="6" s="1"/>
  <c r="AX470" i="6" l="1"/>
  <c r="BH470" i="6" l="1"/>
  <c r="AY470" i="6"/>
  <c r="BI470" i="6" l="1"/>
  <c r="BJ470" i="6" s="1"/>
  <c r="BK470" i="6" s="1"/>
  <c r="AZ470" i="6"/>
  <c r="BG470" i="6"/>
  <c r="BR470" i="6" s="1"/>
  <c r="BF470" i="6"/>
  <c r="BQ470" i="6" s="1"/>
  <c r="BE470" i="6"/>
  <c r="BP470" i="6" s="1"/>
  <c r="BD470" i="6"/>
  <c r="BO470" i="6" s="1"/>
  <c r="BC470" i="6"/>
  <c r="BN470" i="6" s="1"/>
  <c r="BB470" i="6"/>
  <c r="BM470" i="6" s="1"/>
  <c r="BA470" i="6"/>
  <c r="BL470" i="6" s="1"/>
  <c r="BS470" i="6" l="1"/>
  <c r="CA470" i="6" s="1"/>
  <c r="BZ470" i="6"/>
  <c r="BY470" i="6"/>
  <c r="BX470" i="6"/>
  <c r="BW470" i="6"/>
  <c r="BV470" i="6"/>
  <c r="BU470" i="6"/>
  <c r="BT470" i="6"/>
  <c r="AG471" i="6" l="1"/>
  <c r="CI470" i="6"/>
  <c r="CB470" i="6" s="1"/>
  <c r="AO471" i="6" l="1"/>
  <c r="Q471" i="6"/>
  <c r="R471" i="6" s="1"/>
  <c r="S471" i="6" s="1"/>
  <c r="AH471" i="6"/>
  <c r="CJ470" i="6"/>
  <c r="CC470" i="6" s="1"/>
  <c r="AP471" i="6" l="1"/>
  <c r="AI471" i="6"/>
  <c r="CK470" i="6"/>
  <c r="CD470" i="6" s="1"/>
  <c r="W471" i="6" l="1"/>
  <c r="Z471" i="6" s="1"/>
  <c r="AQ471" i="6"/>
  <c r="AJ471" i="6"/>
  <c r="CL470" i="6"/>
  <c r="CE470" i="6" s="1"/>
  <c r="AC471" i="6" l="1"/>
  <c r="AR471" i="6"/>
  <c r="AK471" i="6"/>
  <c r="CM470" i="6"/>
  <c r="CF470" i="6" s="1"/>
  <c r="AS471" i="6" l="1"/>
  <c r="CN470" i="6"/>
  <c r="CG470" i="6" s="1"/>
  <c r="AL471" i="6"/>
  <c r="CO470" i="6" l="1"/>
  <c r="CH470" i="6" s="1"/>
  <c r="AM471" i="6"/>
  <c r="AT471" i="6"/>
  <c r="CP470" i="6" l="1"/>
  <c r="T470" i="6" s="1"/>
  <c r="AN471" i="6"/>
  <c r="X471" i="6"/>
  <c r="AU471" i="6"/>
  <c r="AV471" i="6" l="1"/>
  <c r="AW471" i="6" s="1"/>
  <c r="AA471" i="6"/>
  <c r="Y471" i="6"/>
  <c r="AB471" i="6" s="1"/>
  <c r="AX471" i="6" l="1"/>
  <c r="AY471" i="6" l="1"/>
  <c r="BH471" i="6"/>
  <c r="AZ471" i="6" l="1"/>
  <c r="BA471" i="6"/>
  <c r="BL471" i="6" s="1"/>
  <c r="BF471" i="6"/>
  <c r="BQ471" i="6" s="1"/>
  <c r="BE471" i="6"/>
  <c r="BP471" i="6" s="1"/>
  <c r="BG471" i="6"/>
  <c r="BR471" i="6" s="1"/>
  <c r="BD471" i="6"/>
  <c r="BO471" i="6" s="1"/>
  <c r="BC471" i="6"/>
  <c r="BN471" i="6" s="1"/>
  <c r="BB471" i="6"/>
  <c r="BM471" i="6" s="1"/>
  <c r="BI471" i="6"/>
  <c r="BJ471" i="6" s="1"/>
  <c r="BK471" i="6" s="1"/>
  <c r="BS471" i="6" l="1"/>
  <c r="CA471" i="6" s="1"/>
  <c r="BT471" i="6"/>
  <c r="BY471" i="6"/>
  <c r="BX471" i="6"/>
  <c r="BZ471" i="6"/>
  <c r="BW471" i="6"/>
  <c r="BV471" i="6"/>
  <c r="BU471" i="6"/>
  <c r="AG472" i="6" l="1"/>
  <c r="CI471" i="6"/>
  <c r="CB471" i="6" s="1"/>
  <c r="AH472" i="6"/>
  <c r="CJ471" i="6"/>
  <c r="CC471" i="6" s="1"/>
  <c r="AI472" i="6"/>
  <c r="CK471" i="6"/>
  <c r="CD471" i="6" s="1"/>
  <c r="W472" i="6" l="1"/>
  <c r="Z472" i="6" s="1"/>
  <c r="AO472" i="6"/>
  <c r="Q472" i="6"/>
  <c r="R472" i="6" s="1"/>
  <c r="S472" i="6" s="1"/>
  <c r="AP472" i="6"/>
  <c r="AQ472" i="6"/>
  <c r="CL471" i="6"/>
  <c r="CE471" i="6" s="1"/>
  <c r="AJ472" i="6"/>
  <c r="CM471" i="6" l="1"/>
  <c r="CF471" i="6" s="1"/>
  <c r="AK472" i="6"/>
  <c r="AC472" i="6"/>
  <c r="AR472" i="6"/>
  <c r="CN471" i="6" l="1"/>
  <c r="CG471" i="6" s="1"/>
  <c r="AL472" i="6"/>
  <c r="AS472" i="6"/>
  <c r="CO471" i="6" l="1"/>
  <c r="CH471" i="6" s="1"/>
  <c r="AM472" i="6"/>
  <c r="AT472" i="6"/>
  <c r="CP471" i="6" l="1"/>
  <c r="T471" i="6" s="1"/>
  <c r="AN472" i="6"/>
  <c r="X472" i="6"/>
  <c r="AU472" i="6"/>
  <c r="AV472" i="6" l="1"/>
  <c r="AW472" i="6" s="1"/>
  <c r="AA472" i="6"/>
  <c r="Y472" i="6"/>
  <c r="AB472" i="6" s="1"/>
  <c r="AX472" i="6" l="1"/>
  <c r="BH472" i="6" l="1"/>
  <c r="AY472" i="6"/>
  <c r="BI472" i="6" l="1"/>
  <c r="BJ472" i="6" s="1"/>
  <c r="BE472" i="6"/>
  <c r="BP472" i="6" s="1"/>
  <c r="BF472" i="6"/>
  <c r="BQ472" i="6" s="1"/>
  <c r="BG472" i="6"/>
  <c r="BR472" i="6" s="1"/>
  <c r="AZ472" i="6"/>
  <c r="BD472" i="6"/>
  <c r="BO472" i="6" s="1"/>
  <c r="BA472" i="6"/>
  <c r="BL472" i="6" s="1"/>
  <c r="BB472" i="6"/>
  <c r="BM472" i="6" s="1"/>
  <c r="BC472" i="6"/>
  <c r="BN472" i="6" s="1"/>
  <c r="BX472" i="6" l="1"/>
  <c r="BY472" i="6"/>
  <c r="BZ472" i="6"/>
  <c r="BW472" i="6"/>
  <c r="BT472" i="6"/>
  <c r="BU472" i="6"/>
  <c r="BV472" i="6"/>
  <c r="BK472" i="6"/>
  <c r="BS472" i="6" l="1"/>
  <c r="CA472" i="6" s="1"/>
  <c r="AG473" i="6" l="1"/>
  <c r="CI472" i="6"/>
  <c r="CB472" i="6" s="1"/>
  <c r="CJ472" i="6"/>
  <c r="CC472" i="6" s="1"/>
  <c r="AH473" i="6"/>
  <c r="CK472" i="6"/>
  <c r="CD472" i="6" s="1"/>
  <c r="AJ473" i="6" s="1"/>
  <c r="AI473" i="6"/>
  <c r="CL472" i="6"/>
  <c r="CE472" i="6" s="1"/>
  <c r="W473" i="6" l="1"/>
  <c r="Z473" i="6" s="1"/>
  <c r="AO473" i="6"/>
  <c r="Q473" i="6"/>
  <c r="R473" i="6" s="1"/>
  <c r="S473" i="6" s="1"/>
  <c r="AP473" i="6"/>
  <c r="AQ473" i="6"/>
  <c r="CM472" i="6"/>
  <c r="CF472" i="6" s="1"/>
  <c r="AK473" i="6"/>
  <c r="AC473" i="6"/>
  <c r="AR473" i="6"/>
  <c r="CN472" i="6" l="1"/>
  <c r="CG472" i="6" s="1"/>
  <c r="AL473" i="6"/>
  <c r="AS473" i="6"/>
  <c r="CO472" i="6" l="1"/>
  <c r="CH472" i="6" s="1"/>
  <c r="AM473" i="6"/>
  <c r="AT473" i="6"/>
  <c r="CP472" i="6" l="1"/>
  <c r="T472" i="6" s="1"/>
  <c r="AN473" i="6"/>
  <c r="X473" i="6"/>
  <c r="AU473" i="6"/>
  <c r="AV473" i="6" l="1"/>
  <c r="AW473" i="6" s="1"/>
  <c r="AA473" i="6"/>
  <c r="Y473" i="6"/>
  <c r="AB473" i="6" s="1"/>
  <c r="AX473" i="6" l="1"/>
  <c r="BH473" i="6" l="1"/>
  <c r="AY473" i="6"/>
  <c r="BI473" i="6" l="1"/>
  <c r="BJ473" i="6" s="1"/>
  <c r="BK473" i="6" s="1"/>
  <c r="AZ473" i="6"/>
  <c r="BE473" i="6"/>
  <c r="BP473" i="6" s="1"/>
  <c r="BG473" i="6"/>
  <c r="BR473" i="6" s="1"/>
  <c r="BF473" i="6"/>
  <c r="BQ473" i="6" s="1"/>
  <c r="BD473" i="6"/>
  <c r="BO473" i="6" s="1"/>
  <c r="BC473" i="6"/>
  <c r="BN473" i="6" s="1"/>
  <c r="BB473" i="6"/>
  <c r="BM473" i="6" s="1"/>
  <c r="BA473" i="6"/>
  <c r="BL473" i="6" s="1"/>
  <c r="BS473" i="6" l="1"/>
  <c r="BX473" i="6"/>
  <c r="BZ473" i="6"/>
  <c r="BY473" i="6"/>
  <c r="BW473" i="6"/>
  <c r="BV473" i="6"/>
  <c r="BU473" i="6"/>
  <c r="BT473" i="6"/>
  <c r="CA473" i="6" l="1"/>
  <c r="AG474" i="6" l="1"/>
  <c r="CI473" i="6"/>
  <c r="CB473" i="6" s="1"/>
  <c r="AO474" i="6" l="1"/>
  <c r="Q474" i="6"/>
  <c r="R474" i="6" s="1"/>
  <c r="S474" i="6" s="1"/>
  <c r="AH474" i="6"/>
  <c r="CJ473" i="6"/>
  <c r="CC473" i="6" s="1"/>
  <c r="AP474" i="6" l="1"/>
  <c r="CK473" i="6"/>
  <c r="CD473" i="6" s="1"/>
  <c r="AI474" i="6"/>
  <c r="AJ474" i="6" l="1"/>
  <c r="CL473" i="6"/>
  <c r="CE473" i="6" s="1"/>
  <c r="W474" i="6"/>
  <c r="Z474" i="6" s="1"/>
  <c r="AQ474" i="6"/>
  <c r="AR474" i="6" l="1"/>
  <c r="AC474" i="6"/>
  <c r="AK474" i="6"/>
  <c r="CM473" i="6"/>
  <c r="CF473" i="6" s="1"/>
  <c r="AS474" i="6" l="1"/>
  <c r="AL474" i="6"/>
  <c r="CN473" i="6"/>
  <c r="CG473" i="6" s="1"/>
  <c r="AT474" i="6" l="1"/>
  <c r="AM474" i="6"/>
  <c r="CO473" i="6"/>
  <c r="CH473" i="6" s="1"/>
  <c r="X474" i="6" l="1"/>
  <c r="AU474" i="6"/>
  <c r="AN474" i="6"/>
  <c r="CP473" i="6"/>
  <c r="T473" i="6" s="1"/>
  <c r="AA474" i="6" l="1"/>
  <c r="Y474" i="6"/>
  <c r="AB474" i="6" s="1"/>
  <c r="AV474" i="6"/>
  <c r="AW474" i="6" s="1"/>
  <c r="AX474" i="6" l="1"/>
  <c r="AY474" i="6" l="1"/>
  <c r="BH474" i="6"/>
  <c r="BA474" i="6" l="1"/>
  <c r="BL474" i="6" s="1"/>
  <c r="AZ474" i="6"/>
  <c r="BG474" i="6"/>
  <c r="BR474" i="6" s="1"/>
  <c r="BF474" i="6"/>
  <c r="BQ474" i="6" s="1"/>
  <c r="BE474" i="6"/>
  <c r="BP474" i="6" s="1"/>
  <c r="BD474" i="6"/>
  <c r="BO474" i="6" s="1"/>
  <c r="BC474" i="6"/>
  <c r="BN474" i="6" s="1"/>
  <c r="BB474" i="6"/>
  <c r="BM474" i="6" s="1"/>
  <c r="BI474" i="6"/>
  <c r="BJ474" i="6" s="1"/>
  <c r="BK474" i="6" s="1"/>
  <c r="BT474" i="6" l="1"/>
  <c r="BS474" i="6"/>
  <c r="CA474" i="6" s="1"/>
  <c r="BZ474" i="6"/>
  <c r="BY474" i="6"/>
  <c r="BX474" i="6"/>
  <c r="BW474" i="6"/>
  <c r="BV474" i="6"/>
  <c r="BU474" i="6"/>
  <c r="CI474" i="6" l="1"/>
  <c r="AG475" i="6"/>
  <c r="CB474" i="6"/>
  <c r="AO475" i="6" l="1"/>
  <c r="Q475" i="6"/>
  <c r="R475" i="6" s="1"/>
  <c r="S475" i="6" s="1"/>
  <c r="AH475" i="6"/>
  <c r="CJ474" i="6"/>
  <c r="CC474" i="6" s="1"/>
  <c r="AP475" i="6" l="1"/>
  <c r="AI475" i="6"/>
  <c r="CK474" i="6"/>
  <c r="CD474" i="6" s="1"/>
  <c r="AQ475" i="6" l="1"/>
  <c r="AJ475" i="6"/>
  <c r="W475" i="6" s="1"/>
  <c r="Z475" i="6" s="1"/>
  <c r="CL474" i="6"/>
  <c r="CE474" i="6" s="1"/>
  <c r="AR475" i="6" l="1"/>
  <c r="AC475" i="6"/>
  <c r="AK475" i="6"/>
  <c r="CM474" i="6"/>
  <c r="CF474" i="6" s="1"/>
  <c r="AS475" i="6" l="1"/>
  <c r="CN474" i="6"/>
  <c r="CG474" i="6" s="1"/>
  <c r="AL475" i="6"/>
  <c r="CO474" i="6" l="1"/>
  <c r="CH474" i="6" s="1"/>
  <c r="AM475" i="6"/>
  <c r="AT475" i="6"/>
  <c r="CP474" i="6" l="1"/>
  <c r="T474" i="6" s="1"/>
  <c r="AN475" i="6"/>
  <c r="X475" i="6" s="1"/>
  <c r="AU475" i="6"/>
  <c r="AV475" i="6" l="1"/>
  <c r="AW475" i="6" s="1"/>
  <c r="AA475" i="6"/>
  <c r="Y475" i="6"/>
  <c r="AB475" i="6" s="1"/>
  <c r="AX475" i="6" l="1"/>
  <c r="AY475" i="6" l="1"/>
  <c r="BH475" i="6"/>
  <c r="AZ475" i="6" l="1"/>
  <c r="BF475" i="6"/>
  <c r="BQ475" i="6" s="1"/>
  <c r="BG475" i="6"/>
  <c r="BR475" i="6" s="1"/>
  <c r="BE475" i="6"/>
  <c r="BP475" i="6" s="1"/>
  <c r="BD475" i="6"/>
  <c r="BO475" i="6" s="1"/>
  <c r="BC475" i="6"/>
  <c r="BN475" i="6" s="1"/>
  <c r="BB475" i="6"/>
  <c r="BM475" i="6" s="1"/>
  <c r="BA475" i="6"/>
  <c r="BL475" i="6" s="1"/>
  <c r="BI475" i="6"/>
  <c r="BJ475" i="6" s="1"/>
  <c r="BY475" i="6" l="1"/>
  <c r="BZ475" i="6"/>
  <c r="BX475" i="6"/>
  <c r="BW475" i="6"/>
  <c r="BV475" i="6"/>
  <c r="BU475" i="6"/>
  <c r="BT475" i="6"/>
  <c r="BK475" i="6"/>
  <c r="BS475" i="6" l="1"/>
  <c r="CA475" i="6" s="1"/>
  <c r="CI475" i="6" l="1"/>
  <c r="CB475" i="6" s="1"/>
  <c r="AG476" i="6"/>
  <c r="CJ475" i="6" l="1"/>
  <c r="CC475" i="6" s="1"/>
  <c r="AH476" i="6"/>
  <c r="AO476" i="6"/>
  <c r="Q476" i="6"/>
  <c r="R476" i="6" s="1"/>
  <c r="S476" i="6" s="1"/>
  <c r="AI476" i="6" l="1"/>
  <c r="CK475" i="6"/>
  <c r="CD475" i="6" s="1"/>
  <c r="AP476" i="6"/>
  <c r="AQ476" i="6" l="1"/>
  <c r="AJ476" i="6"/>
  <c r="W476" i="6" s="1"/>
  <c r="Z476" i="6" s="1"/>
  <c r="CL475" i="6"/>
  <c r="CE475" i="6" s="1"/>
  <c r="AR476" i="6" l="1"/>
  <c r="AC476" i="6"/>
  <c r="CM475" i="6"/>
  <c r="CF475" i="6" s="1"/>
  <c r="AK476" i="6"/>
  <c r="AL476" i="6" l="1"/>
  <c r="CN475" i="6"/>
  <c r="CG475" i="6" s="1"/>
  <c r="AS476" i="6"/>
  <c r="AT476" i="6" l="1"/>
  <c r="AM476" i="6"/>
  <c r="CO475" i="6"/>
  <c r="CH475" i="6" s="1"/>
  <c r="AU476" i="6" l="1"/>
  <c r="CP475" i="6"/>
  <c r="T475" i="6" s="1"/>
  <c r="AN476" i="6"/>
  <c r="X476" i="6" s="1"/>
  <c r="AA476" i="6" l="1"/>
  <c r="Y476" i="6"/>
  <c r="AB476" i="6" s="1"/>
  <c r="AV476" i="6"/>
  <c r="AW476" i="6" s="1"/>
  <c r="AX476" i="6" l="1"/>
  <c r="BH476" i="6" l="1"/>
  <c r="AY476" i="6"/>
  <c r="BI476" i="6" l="1"/>
  <c r="BJ476" i="6" s="1"/>
  <c r="BK476" i="6" s="1"/>
  <c r="BG476" i="6"/>
  <c r="BR476" i="6" s="1"/>
  <c r="AZ476" i="6"/>
  <c r="BA476" i="6"/>
  <c r="BL476" i="6" s="1"/>
  <c r="BB476" i="6"/>
  <c r="BM476" i="6" s="1"/>
  <c r="BC476" i="6"/>
  <c r="BN476" i="6" s="1"/>
  <c r="BD476" i="6"/>
  <c r="BO476" i="6" s="1"/>
  <c r="BE476" i="6"/>
  <c r="BP476" i="6" s="1"/>
  <c r="BF476" i="6"/>
  <c r="BQ476" i="6" s="1"/>
  <c r="BZ476" i="6" l="1"/>
  <c r="BS476" i="6"/>
  <c r="CA476" i="6" s="1"/>
  <c r="BT476" i="6"/>
  <c r="BU476" i="6"/>
  <c r="BV476" i="6"/>
  <c r="BW476" i="6"/>
  <c r="BX476" i="6"/>
  <c r="BY476" i="6"/>
  <c r="AG477" i="6" l="1"/>
  <c r="CI476" i="6"/>
  <c r="CB476" i="6" s="1"/>
  <c r="AH477" i="6" s="1"/>
  <c r="CJ476" i="6"/>
  <c r="CC476" i="6" s="1"/>
  <c r="AO477" i="6" l="1"/>
  <c r="Q477" i="6"/>
  <c r="R477" i="6" s="1"/>
  <c r="S477" i="6" s="1"/>
  <c r="AP477" i="6"/>
  <c r="AI477" i="6"/>
  <c r="CK476" i="6"/>
  <c r="CD476" i="6" s="1"/>
  <c r="AQ477" i="6" l="1"/>
  <c r="AJ477" i="6"/>
  <c r="CL476" i="6"/>
  <c r="CE476" i="6" s="1"/>
  <c r="W477" i="6" l="1"/>
  <c r="Z477" i="6" s="1"/>
  <c r="AC477" i="6"/>
  <c r="AR477" i="6"/>
  <c r="CM476" i="6"/>
  <c r="CF476" i="6" s="1"/>
  <c r="AK477" i="6"/>
  <c r="CN476" i="6" l="1"/>
  <c r="CG476" i="6" s="1"/>
  <c r="AL477" i="6"/>
  <c r="AS477" i="6"/>
  <c r="CO476" i="6" l="1"/>
  <c r="CH476" i="6" s="1"/>
  <c r="AM477" i="6"/>
  <c r="AT477" i="6"/>
  <c r="CP476" i="6" l="1"/>
  <c r="T476" i="6" s="1"/>
  <c r="AN477" i="6"/>
  <c r="X477" i="6"/>
  <c r="AU477" i="6"/>
  <c r="AV477" i="6" l="1"/>
  <c r="AW477" i="6" s="1"/>
  <c r="AA477" i="6"/>
  <c r="Y477" i="6"/>
  <c r="AB477" i="6" s="1"/>
  <c r="AX477" i="6"/>
  <c r="BH477" i="6" l="1"/>
  <c r="AY477" i="6"/>
  <c r="BI477" i="6" l="1"/>
  <c r="BJ477" i="6" s="1"/>
  <c r="BB477" i="6"/>
  <c r="BM477" i="6" s="1"/>
  <c r="BD477" i="6"/>
  <c r="BO477" i="6" s="1"/>
  <c r="AZ477" i="6"/>
  <c r="BA477" i="6"/>
  <c r="BL477" i="6" s="1"/>
  <c r="BC477" i="6"/>
  <c r="BN477" i="6" s="1"/>
  <c r="BE477" i="6"/>
  <c r="BP477" i="6" s="1"/>
  <c r="BF477" i="6"/>
  <c r="BQ477" i="6" s="1"/>
  <c r="BG477" i="6"/>
  <c r="BR477" i="6" s="1"/>
  <c r="BU477" i="6" l="1"/>
  <c r="BW477" i="6"/>
  <c r="BT477" i="6"/>
  <c r="BV477" i="6"/>
  <c r="BX477" i="6"/>
  <c r="BY477" i="6"/>
  <c r="BZ477" i="6"/>
  <c r="BK477" i="6"/>
  <c r="CA477" i="6" l="1"/>
  <c r="BS477" i="6"/>
  <c r="CI477" i="6" l="1"/>
  <c r="CB477" i="6" s="1"/>
  <c r="AG478" i="6"/>
  <c r="AO478" i="6" l="1"/>
  <c r="Q478" i="6"/>
  <c r="R478" i="6" s="1"/>
  <c r="S478" i="6" s="1"/>
  <c r="AH478" i="6"/>
  <c r="CJ477" i="6"/>
  <c r="CC477" i="6" s="1"/>
  <c r="AP478" i="6" l="1"/>
  <c r="CK477" i="6"/>
  <c r="CD477" i="6" s="1"/>
  <c r="AI478" i="6"/>
  <c r="AJ478" i="6" l="1"/>
  <c r="W478" i="6" s="1"/>
  <c r="Z478" i="6" s="1"/>
  <c r="CL477" i="6"/>
  <c r="CE477" i="6" s="1"/>
  <c r="AQ478" i="6"/>
  <c r="AR478" i="6" l="1"/>
  <c r="AC478" i="6"/>
  <c r="AK478" i="6"/>
  <c r="CM477" i="6"/>
  <c r="CF477" i="6" s="1"/>
  <c r="AS478" i="6" l="1"/>
  <c r="AL478" i="6"/>
  <c r="CN477" i="6"/>
  <c r="CG477" i="6" s="1"/>
  <c r="AT478" i="6" l="1"/>
  <c r="CO477" i="6"/>
  <c r="CH477" i="6" s="1"/>
  <c r="AM478" i="6"/>
  <c r="AN478" i="6" l="1"/>
  <c r="CP477" i="6"/>
  <c r="T477" i="6" s="1"/>
  <c r="X478" i="6"/>
  <c r="AU478" i="6"/>
  <c r="AV478" i="6" l="1"/>
  <c r="AW478" i="6" s="1"/>
  <c r="AA478" i="6"/>
  <c r="Y478" i="6"/>
  <c r="AB478" i="6" s="1"/>
  <c r="AX478" i="6" l="1"/>
  <c r="BH478" i="6" l="1"/>
  <c r="AY478" i="6"/>
  <c r="BI478" i="6" l="1"/>
  <c r="BJ478" i="6" s="1"/>
  <c r="BK478" i="6" s="1"/>
  <c r="AZ478" i="6"/>
  <c r="BA478" i="6"/>
  <c r="BL478" i="6" s="1"/>
  <c r="BB478" i="6"/>
  <c r="BM478" i="6" s="1"/>
  <c r="BC478" i="6"/>
  <c r="BN478" i="6" s="1"/>
  <c r="BD478" i="6"/>
  <c r="BO478" i="6" s="1"/>
  <c r="BE478" i="6"/>
  <c r="BP478" i="6" s="1"/>
  <c r="BG478" i="6"/>
  <c r="BR478" i="6" s="1"/>
  <c r="BF478" i="6"/>
  <c r="BQ478" i="6" s="1"/>
  <c r="BS478" i="6" l="1"/>
  <c r="CA478" i="6"/>
  <c r="BT478" i="6"/>
  <c r="BU478" i="6"/>
  <c r="BV478" i="6"/>
  <c r="BW478" i="6"/>
  <c r="BX478" i="6"/>
  <c r="BZ478" i="6"/>
  <c r="BY478" i="6"/>
  <c r="CI478" i="6" l="1"/>
  <c r="CB478" i="6" s="1"/>
  <c r="AG479" i="6"/>
  <c r="CJ478" i="6"/>
  <c r="CC478" i="6" s="1"/>
  <c r="AH479" i="6"/>
  <c r="AI479" i="6"/>
  <c r="CK478" i="6"/>
  <c r="CD478" i="6" s="1"/>
  <c r="CL478" i="6"/>
  <c r="CE478" i="6" s="1"/>
  <c r="AJ479" i="6"/>
  <c r="CM478" i="6"/>
  <c r="CF478" i="6" s="1"/>
  <c r="AK479" i="6"/>
  <c r="AO479" i="6" l="1"/>
  <c r="Q479" i="6"/>
  <c r="R479" i="6" s="1"/>
  <c r="S479" i="6" s="1"/>
  <c r="W479" i="6"/>
  <c r="Z479" i="6" s="1"/>
  <c r="AP479" i="6"/>
  <c r="AQ479" i="6"/>
  <c r="AR479" i="6"/>
  <c r="AC479" i="6"/>
  <c r="AS479" i="6"/>
  <c r="AL479" i="6"/>
  <c r="CN478" i="6"/>
  <c r="CG478" i="6" s="1"/>
  <c r="AT479" i="6" l="1"/>
  <c r="AM479" i="6"/>
  <c r="CO478" i="6"/>
  <c r="CH478" i="6" s="1"/>
  <c r="AU479" i="6" l="1"/>
  <c r="AN479" i="6"/>
  <c r="X479" i="6" s="1"/>
  <c r="CP478" i="6"/>
  <c r="T478" i="6" s="1"/>
  <c r="AA479" i="6" l="1"/>
  <c r="Y479" i="6"/>
  <c r="AB479" i="6" s="1"/>
  <c r="AV479" i="6"/>
  <c r="AW479" i="6" s="1"/>
  <c r="AX479" i="6" l="1"/>
  <c r="AY479" i="6" l="1"/>
  <c r="BH479" i="6"/>
  <c r="BA479" i="6" l="1"/>
  <c r="BL479" i="6" s="1"/>
  <c r="BG479" i="6"/>
  <c r="BR479" i="6" s="1"/>
  <c r="BF479" i="6"/>
  <c r="BQ479" i="6" s="1"/>
  <c r="BE479" i="6"/>
  <c r="BP479" i="6" s="1"/>
  <c r="BD479" i="6"/>
  <c r="BO479" i="6" s="1"/>
  <c r="AZ479" i="6"/>
  <c r="BC479" i="6"/>
  <c r="BN479" i="6" s="1"/>
  <c r="BB479" i="6"/>
  <c r="BM479" i="6" s="1"/>
  <c r="BI479" i="6"/>
  <c r="BJ479" i="6" s="1"/>
  <c r="BT479" i="6" l="1"/>
  <c r="BZ479" i="6"/>
  <c r="BY479" i="6"/>
  <c r="BX479" i="6"/>
  <c r="BW479" i="6"/>
  <c r="BV479" i="6"/>
  <c r="BU479" i="6"/>
  <c r="BK479" i="6"/>
  <c r="BS479" i="6" l="1"/>
  <c r="CA479" i="6" l="1"/>
  <c r="AG480" i="6" l="1"/>
  <c r="CI479" i="6"/>
  <c r="CB479" i="6" s="1"/>
  <c r="AO480" i="6" l="1"/>
  <c r="Q480" i="6"/>
  <c r="R480" i="6" s="1"/>
  <c r="S480" i="6" s="1"/>
  <c r="CJ479" i="6"/>
  <c r="CC479" i="6" s="1"/>
  <c r="AH480" i="6"/>
  <c r="AI480" i="6" l="1"/>
  <c r="CK479" i="6"/>
  <c r="CD479" i="6" s="1"/>
  <c r="AP480" i="6"/>
  <c r="AQ480" i="6" l="1"/>
  <c r="AJ480" i="6"/>
  <c r="W480" i="6" s="1"/>
  <c r="Z480" i="6" s="1"/>
  <c r="CL479" i="6"/>
  <c r="CE479" i="6" s="1"/>
  <c r="AR480" i="6" l="1"/>
  <c r="AC480" i="6"/>
  <c r="AK480" i="6"/>
  <c r="CM479" i="6"/>
  <c r="CF479" i="6" s="1"/>
  <c r="AS480" i="6" l="1"/>
  <c r="AL480" i="6"/>
  <c r="CN479" i="6"/>
  <c r="CG479" i="6" s="1"/>
  <c r="AT480" i="6" l="1"/>
  <c r="AM480" i="6"/>
  <c r="CO479" i="6"/>
  <c r="CH479" i="6" s="1"/>
  <c r="X480" i="6" l="1"/>
  <c r="AU480" i="6"/>
  <c r="CP479" i="6"/>
  <c r="T479" i="6" s="1"/>
  <c r="AN480" i="6"/>
  <c r="AA480" i="6" l="1"/>
  <c r="Y480" i="6"/>
  <c r="AB480" i="6" s="1"/>
  <c r="AV480" i="6"/>
  <c r="AW480" i="6" s="1"/>
  <c r="AX480" i="6" l="1"/>
  <c r="AY480" i="6" l="1"/>
  <c r="BH480" i="6"/>
  <c r="BF480" i="6" l="1"/>
  <c r="BQ480" i="6" s="1"/>
  <c r="BE480" i="6"/>
  <c r="BP480" i="6" s="1"/>
  <c r="BC480" i="6"/>
  <c r="BN480" i="6" s="1"/>
  <c r="BB480" i="6"/>
  <c r="BM480" i="6" s="1"/>
  <c r="BA480" i="6"/>
  <c r="BL480" i="6" s="1"/>
  <c r="AZ480" i="6"/>
  <c r="BG480" i="6"/>
  <c r="BR480" i="6" s="1"/>
  <c r="BD480" i="6"/>
  <c r="BO480" i="6" s="1"/>
  <c r="BI480" i="6"/>
  <c r="BJ480" i="6" s="1"/>
  <c r="BY480" i="6" l="1"/>
  <c r="BX480" i="6"/>
  <c r="BV480" i="6"/>
  <c r="BU480" i="6"/>
  <c r="BT480" i="6"/>
  <c r="BZ480" i="6"/>
  <c r="BW480" i="6"/>
  <c r="BK480" i="6"/>
  <c r="BS480" i="6" l="1"/>
  <c r="CA480" i="6"/>
  <c r="CI480" i="6" l="1"/>
  <c r="CB480" i="6" s="1"/>
  <c r="AG481" i="6"/>
  <c r="CJ480" i="6" l="1"/>
  <c r="CC480" i="6" s="1"/>
  <c r="AH481" i="6"/>
  <c r="AO481" i="6"/>
  <c r="Q481" i="6"/>
  <c r="R481" i="6" s="1"/>
  <c r="S481" i="6" s="1"/>
  <c r="CK480" i="6" l="1"/>
  <c r="CD480" i="6" s="1"/>
  <c r="AI481" i="6"/>
  <c r="AP481" i="6"/>
  <c r="CL480" i="6" l="1"/>
  <c r="CE480" i="6" s="1"/>
  <c r="AJ481" i="6"/>
  <c r="W481" i="6"/>
  <c r="Z481" i="6" s="1"/>
  <c r="AQ481" i="6"/>
  <c r="CM480" i="6" l="1"/>
  <c r="CF480" i="6" s="1"/>
  <c r="AK481" i="6"/>
  <c r="AR481" i="6"/>
  <c r="AC481" i="6"/>
  <c r="CN480" i="6" l="1"/>
  <c r="CG480" i="6" s="1"/>
  <c r="AL481" i="6"/>
  <c r="AS481" i="6"/>
  <c r="AM481" i="6" l="1"/>
  <c r="CO480" i="6"/>
  <c r="CH480" i="6" s="1"/>
  <c r="AT481" i="6"/>
  <c r="X481" i="6" l="1"/>
  <c r="AU481" i="6"/>
  <c r="CP480" i="6"/>
  <c r="T480" i="6" s="1"/>
  <c r="AN481" i="6"/>
  <c r="AA481" i="6" l="1"/>
  <c r="Y481" i="6"/>
  <c r="AB481" i="6" s="1"/>
  <c r="AV481" i="6"/>
  <c r="AW481" i="6" s="1"/>
  <c r="AX481" i="6" l="1"/>
  <c r="AY481" i="6" l="1"/>
  <c r="BH481" i="6"/>
  <c r="BG481" i="6" l="1"/>
  <c r="BR481" i="6" s="1"/>
  <c r="BE481" i="6"/>
  <c r="BP481" i="6" s="1"/>
  <c r="AZ481" i="6"/>
  <c r="BC481" i="6"/>
  <c r="BN481" i="6" s="1"/>
  <c r="BF481" i="6"/>
  <c r="BQ481" i="6" s="1"/>
  <c r="BA481" i="6"/>
  <c r="BL481" i="6" s="1"/>
  <c r="BB481" i="6"/>
  <c r="BM481" i="6" s="1"/>
  <c r="BD481" i="6"/>
  <c r="BO481" i="6" s="1"/>
  <c r="BI481" i="6"/>
  <c r="BJ481" i="6" s="1"/>
  <c r="BZ481" i="6" l="1"/>
  <c r="BX481" i="6"/>
  <c r="BV481" i="6"/>
  <c r="BY481" i="6"/>
  <c r="BT481" i="6"/>
  <c r="BU481" i="6"/>
  <c r="BW481" i="6"/>
  <c r="BK481" i="6"/>
  <c r="BS481" i="6" l="1"/>
  <c r="CA481" i="6" s="1"/>
  <c r="AG482" i="6" l="1"/>
  <c r="CI481" i="6"/>
  <c r="CB481" i="6" s="1"/>
  <c r="AH482" i="6"/>
  <c r="CJ481" i="6"/>
  <c r="CC481" i="6" s="1"/>
  <c r="AI482" i="6" s="1"/>
  <c r="CK481" i="6"/>
  <c r="CD481" i="6" s="1"/>
  <c r="AO482" i="6" l="1"/>
  <c r="Q482" i="6"/>
  <c r="R482" i="6" s="1"/>
  <c r="S482" i="6" s="1"/>
  <c r="AP482" i="6"/>
  <c r="CL481" i="6"/>
  <c r="CE481" i="6" s="1"/>
  <c r="AJ482" i="6"/>
  <c r="W482" i="6" s="1"/>
  <c r="Z482" i="6" s="1"/>
  <c r="AQ482" i="6"/>
  <c r="CM481" i="6" l="1"/>
  <c r="CF481" i="6" s="1"/>
  <c r="AK482" i="6"/>
  <c r="AR482" i="6"/>
  <c r="AC482" i="6"/>
  <c r="AL482" i="6" l="1"/>
  <c r="CN481" i="6"/>
  <c r="CG481" i="6" s="1"/>
  <c r="AS482" i="6"/>
  <c r="AT482" i="6" l="1"/>
  <c r="AM482" i="6"/>
  <c r="CO481" i="6"/>
  <c r="CH481" i="6" s="1"/>
  <c r="X482" i="6" l="1"/>
  <c r="AU482" i="6"/>
  <c r="CP481" i="6"/>
  <c r="T481" i="6" s="1"/>
  <c r="AN482" i="6"/>
  <c r="AA482" i="6" l="1"/>
  <c r="Y482" i="6"/>
  <c r="AB482" i="6" s="1"/>
  <c r="AV482" i="6"/>
  <c r="AW482" i="6" s="1"/>
  <c r="AX482" i="6" l="1"/>
  <c r="AY482" i="6" l="1"/>
  <c r="BH482" i="6"/>
  <c r="AZ482" i="6" l="1"/>
  <c r="BA482" i="6"/>
  <c r="BL482" i="6" s="1"/>
  <c r="BB482" i="6"/>
  <c r="BM482" i="6" s="1"/>
  <c r="BG482" i="6"/>
  <c r="BR482" i="6" s="1"/>
  <c r="BF482" i="6"/>
  <c r="BQ482" i="6" s="1"/>
  <c r="BE482" i="6"/>
  <c r="BP482" i="6" s="1"/>
  <c r="BD482" i="6"/>
  <c r="BO482" i="6" s="1"/>
  <c r="BC482" i="6"/>
  <c r="BN482" i="6" s="1"/>
  <c r="BI482" i="6"/>
  <c r="BJ482" i="6" s="1"/>
  <c r="BK482" i="6" s="1"/>
  <c r="BS482" i="6" l="1"/>
  <c r="CA482" i="6" s="1"/>
  <c r="BT482" i="6"/>
  <c r="BU482" i="6"/>
  <c r="BZ482" i="6"/>
  <c r="BY482" i="6"/>
  <c r="BX482" i="6"/>
  <c r="BW482" i="6"/>
  <c r="BV482" i="6"/>
  <c r="CI482" i="6" l="1"/>
  <c r="CB482" i="6" s="1"/>
  <c r="AG483" i="6"/>
  <c r="AO483" i="6" l="1"/>
  <c r="Q483" i="6"/>
  <c r="R483" i="6" s="1"/>
  <c r="S483" i="6" s="1"/>
  <c r="CJ482" i="6"/>
  <c r="CC482" i="6" s="1"/>
  <c r="AH483" i="6"/>
  <c r="CK482" i="6" l="1"/>
  <c r="CD482" i="6" s="1"/>
  <c r="AI483" i="6"/>
  <c r="AP483" i="6"/>
  <c r="AJ483" i="6" l="1"/>
  <c r="CL482" i="6"/>
  <c r="CE482" i="6" s="1"/>
  <c r="W483" i="6"/>
  <c r="Z483" i="6" s="1"/>
  <c r="AQ483" i="6"/>
  <c r="AR483" i="6" l="1"/>
  <c r="AC483" i="6"/>
  <c r="AK483" i="6"/>
  <c r="CM482" i="6"/>
  <c r="CF482" i="6" s="1"/>
  <c r="AS483" i="6" l="1"/>
  <c r="CN482" i="6"/>
  <c r="CG482" i="6" s="1"/>
  <c r="AL483" i="6"/>
  <c r="CO482" i="6" l="1"/>
  <c r="CH482" i="6" s="1"/>
  <c r="AM483" i="6"/>
  <c r="AT483" i="6"/>
  <c r="CP482" i="6" l="1"/>
  <c r="T482" i="6" s="1"/>
  <c r="AN483" i="6"/>
  <c r="X483" i="6" s="1"/>
  <c r="AU483" i="6"/>
  <c r="AV483" i="6" l="1"/>
  <c r="AW483" i="6" s="1"/>
  <c r="AA483" i="6"/>
  <c r="Y483" i="6"/>
  <c r="AB483" i="6" s="1"/>
  <c r="AX483" i="6" l="1"/>
  <c r="BH483" i="6" l="1"/>
  <c r="AY483" i="6"/>
  <c r="BI483" i="6" l="1"/>
  <c r="BJ483" i="6" s="1"/>
  <c r="BK483" i="6" s="1"/>
  <c r="BF483" i="6"/>
  <c r="BQ483" i="6" s="1"/>
  <c r="AZ483" i="6"/>
  <c r="BA483" i="6"/>
  <c r="BL483" i="6" s="1"/>
  <c r="BB483" i="6"/>
  <c r="BM483" i="6" s="1"/>
  <c r="BC483" i="6"/>
  <c r="BN483" i="6" s="1"/>
  <c r="BD483" i="6"/>
  <c r="BO483" i="6" s="1"/>
  <c r="BE483" i="6"/>
  <c r="BP483" i="6" s="1"/>
  <c r="BG483" i="6"/>
  <c r="BR483" i="6" s="1"/>
  <c r="BY483" i="6" l="1"/>
  <c r="BS483" i="6"/>
  <c r="BT483" i="6"/>
  <c r="BU483" i="6"/>
  <c r="BV483" i="6"/>
  <c r="BW483" i="6"/>
  <c r="BX483" i="6"/>
  <c r="BZ483" i="6"/>
  <c r="CA483" i="6" l="1"/>
  <c r="AG484" i="6" l="1"/>
  <c r="CI483" i="6"/>
  <c r="CB483" i="6" s="1"/>
  <c r="AO484" i="6" l="1"/>
  <c r="Q484" i="6"/>
  <c r="R484" i="6" s="1"/>
  <c r="S484" i="6" s="1"/>
  <c r="CJ483" i="6"/>
  <c r="CC483" i="6" s="1"/>
  <c r="AH484" i="6"/>
  <c r="AI484" i="6" l="1"/>
  <c r="CK483" i="6"/>
  <c r="CD483" i="6" s="1"/>
  <c r="AP484" i="6"/>
  <c r="W484" i="6" l="1"/>
  <c r="Z484" i="6" s="1"/>
  <c r="AQ484" i="6"/>
  <c r="AJ484" i="6"/>
  <c r="CL483" i="6"/>
  <c r="CE483" i="6" s="1"/>
  <c r="AR484" i="6" l="1"/>
  <c r="AC484" i="6"/>
  <c r="AK484" i="6"/>
  <c r="CM483" i="6"/>
  <c r="CF483" i="6" s="1"/>
  <c r="AS484" i="6" l="1"/>
  <c r="CN483" i="6"/>
  <c r="CG483" i="6" s="1"/>
  <c r="AL484" i="6"/>
  <c r="AM484" i="6" l="1"/>
  <c r="CO483" i="6"/>
  <c r="CH483" i="6" s="1"/>
  <c r="AT484" i="6"/>
  <c r="X484" i="6" l="1"/>
  <c r="AU484" i="6"/>
  <c r="CP483" i="6"/>
  <c r="T483" i="6" s="1"/>
  <c r="AN484" i="6"/>
  <c r="AA484" i="6" l="1"/>
  <c r="Y484" i="6"/>
  <c r="AB484" i="6" s="1"/>
  <c r="AV484" i="6"/>
  <c r="AW484" i="6" s="1"/>
  <c r="AX484" i="6" l="1"/>
  <c r="BH484" i="6" l="1"/>
  <c r="AY484" i="6"/>
  <c r="BI484" i="6" l="1"/>
  <c r="BJ484" i="6" s="1"/>
  <c r="BK484" i="6" s="1"/>
  <c r="AZ484" i="6"/>
  <c r="BA484" i="6"/>
  <c r="BL484" i="6" s="1"/>
  <c r="BB484" i="6"/>
  <c r="BM484" i="6" s="1"/>
  <c r="BG484" i="6"/>
  <c r="BR484" i="6" s="1"/>
  <c r="BC484" i="6"/>
  <c r="BN484" i="6" s="1"/>
  <c r="BD484" i="6"/>
  <c r="BO484" i="6" s="1"/>
  <c r="BE484" i="6"/>
  <c r="BP484" i="6" s="1"/>
  <c r="BF484" i="6"/>
  <c r="BQ484" i="6" s="1"/>
  <c r="BS484" i="6" l="1"/>
  <c r="CA484" i="6"/>
  <c r="BT484" i="6"/>
  <c r="BU484" i="6"/>
  <c r="BZ484" i="6"/>
  <c r="BV484" i="6"/>
  <c r="BW484" i="6"/>
  <c r="BX484" i="6"/>
  <c r="BY484" i="6"/>
  <c r="CI484" i="6" l="1"/>
  <c r="CB484" i="6" s="1"/>
  <c r="AG485" i="6"/>
  <c r="AH485" i="6"/>
  <c r="CJ484" i="6"/>
  <c r="CC484" i="6" s="1"/>
  <c r="CK484" i="6" s="1"/>
  <c r="CD484" i="6" s="1"/>
  <c r="AI485" i="6"/>
  <c r="AO485" i="6" l="1"/>
  <c r="Q485" i="6"/>
  <c r="R485" i="6" s="1"/>
  <c r="S485" i="6" s="1"/>
  <c r="AP485" i="6"/>
  <c r="AQ485" i="6"/>
  <c r="AJ485" i="6"/>
  <c r="W485" i="6" s="1"/>
  <c r="Z485" i="6" s="1"/>
  <c r="CL484" i="6"/>
  <c r="CE484" i="6" s="1"/>
  <c r="AC485" i="6" l="1"/>
  <c r="AR485" i="6"/>
  <c r="AK485" i="6"/>
  <c r="CM484" i="6"/>
  <c r="CF484" i="6" s="1"/>
  <c r="AS485" i="6" l="1"/>
  <c r="CN484" i="6"/>
  <c r="CG484" i="6" s="1"/>
  <c r="AL485" i="6"/>
  <c r="AM485" i="6" l="1"/>
  <c r="CO484" i="6"/>
  <c r="CH484" i="6" s="1"/>
  <c r="AT485" i="6"/>
  <c r="AU485" i="6" l="1"/>
  <c r="AN485" i="6"/>
  <c r="X485" i="6" s="1"/>
  <c r="CP484" i="6"/>
  <c r="T484" i="6" s="1"/>
  <c r="AA485" i="6" l="1"/>
  <c r="Y485" i="6"/>
  <c r="AB485" i="6" s="1"/>
  <c r="AV485" i="6"/>
  <c r="AW485" i="6" s="1"/>
  <c r="AX485" i="6" l="1"/>
  <c r="BH485" i="6" l="1"/>
  <c r="AY485" i="6"/>
  <c r="BI485" i="6" l="1"/>
  <c r="BJ485" i="6" s="1"/>
  <c r="BE485" i="6"/>
  <c r="BP485" i="6" s="1"/>
  <c r="BF485" i="6"/>
  <c r="BQ485" i="6" s="1"/>
  <c r="BG485" i="6"/>
  <c r="BR485" i="6" s="1"/>
  <c r="AZ485" i="6"/>
  <c r="BA485" i="6"/>
  <c r="BL485" i="6" s="1"/>
  <c r="BB485" i="6"/>
  <c r="BM485" i="6" s="1"/>
  <c r="BC485" i="6"/>
  <c r="BN485" i="6" s="1"/>
  <c r="BD485" i="6"/>
  <c r="BO485" i="6" s="1"/>
  <c r="BX485" i="6" l="1"/>
  <c r="BY485" i="6"/>
  <c r="BZ485" i="6"/>
  <c r="BT485" i="6"/>
  <c r="BU485" i="6"/>
  <c r="BV485" i="6"/>
  <c r="BW485" i="6"/>
  <c r="BK485" i="6"/>
  <c r="BS485" i="6" l="1"/>
  <c r="CA485" i="6" s="1"/>
  <c r="CI485" i="6" l="1"/>
  <c r="CB485" i="6" s="1"/>
  <c r="AG486" i="6"/>
  <c r="AH486" i="6"/>
  <c r="CJ485" i="6"/>
  <c r="CC485" i="6" s="1"/>
  <c r="AI486" i="6"/>
  <c r="CK485" i="6"/>
  <c r="CD485" i="6" s="1"/>
  <c r="CL485" i="6" s="1"/>
  <c r="CE485" i="6" s="1"/>
  <c r="AJ486" i="6"/>
  <c r="AO486" i="6" l="1"/>
  <c r="Q486" i="6"/>
  <c r="R486" i="6" s="1"/>
  <c r="S486" i="6" s="1"/>
  <c r="W486" i="6"/>
  <c r="Z486" i="6" s="1"/>
  <c r="AP486" i="6"/>
  <c r="AQ486" i="6"/>
  <c r="AR486" i="6"/>
  <c r="AC486" i="6"/>
  <c r="AK486" i="6"/>
  <c r="CM485" i="6"/>
  <c r="CF485" i="6" s="1"/>
  <c r="AS486" i="6" l="1"/>
  <c r="AL486" i="6"/>
  <c r="CN485" i="6"/>
  <c r="CG485" i="6" s="1"/>
  <c r="AT486" i="6" l="1"/>
  <c r="AM486" i="6"/>
  <c r="CO485" i="6"/>
  <c r="CH485" i="6" s="1"/>
  <c r="AU486" i="6" l="1"/>
  <c r="CP485" i="6"/>
  <c r="T485" i="6" s="1"/>
  <c r="AN486" i="6"/>
  <c r="X486" i="6" s="1"/>
  <c r="AA486" i="6" l="1"/>
  <c r="Y486" i="6"/>
  <c r="AB486" i="6" s="1"/>
  <c r="AV486" i="6"/>
  <c r="AW486" i="6" s="1"/>
  <c r="AX486" i="6" l="1"/>
  <c r="AY486" i="6" l="1"/>
  <c r="BH486" i="6"/>
  <c r="BB486" i="6" l="1"/>
  <c r="BM486" i="6" s="1"/>
  <c r="AZ486" i="6"/>
  <c r="BC486" i="6"/>
  <c r="BN486" i="6" s="1"/>
  <c r="BD486" i="6"/>
  <c r="BO486" i="6" s="1"/>
  <c r="BE486" i="6"/>
  <c r="BP486" i="6" s="1"/>
  <c r="BF486" i="6"/>
  <c r="BQ486" i="6" s="1"/>
  <c r="BG486" i="6"/>
  <c r="BR486" i="6" s="1"/>
  <c r="BA486" i="6"/>
  <c r="BL486" i="6" s="1"/>
  <c r="BI486" i="6"/>
  <c r="BJ486" i="6" s="1"/>
  <c r="BK486" i="6" s="1"/>
  <c r="BU486" i="6" l="1"/>
  <c r="BS486" i="6"/>
  <c r="CA486" i="6" s="1"/>
  <c r="BV486" i="6"/>
  <c r="BW486" i="6"/>
  <c r="BX486" i="6"/>
  <c r="BY486" i="6"/>
  <c r="BZ486" i="6"/>
  <c r="BT486" i="6"/>
  <c r="CI486" i="6" l="1"/>
  <c r="CB486" i="6" s="1"/>
  <c r="AG487" i="6"/>
  <c r="CJ486" i="6"/>
  <c r="CC486" i="6" s="1"/>
  <c r="AH487" i="6"/>
  <c r="AO487" i="6" l="1"/>
  <c r="Q487" i="6"/>
  <c r="R487" i="6" s="1"/>
  <c r="S487" i="6" s="1"/>
  <c r="AI487" i="6"/>
  <c r="CK486" i="6"/>
  <c r="CD486" i="6" s="1"/>
  <c r="AP487" i="6"/>
  <c r="AQ487" i="6" l="1"/>
  <c r="AJ487" i="6"/>
  <c r="CL486" i="6"/>
  <c r="CE486" i="6" s="1"/>
  <c r="W487" i="6" l="1"/>
  <c r="Z487" i="6" s="1"/>
  <c r="AR487" i="6"/>
  <c r="AC487" i="6"/>
  <c r="AK487" i="6"/>
  <c r="CM486" i="6"/>
  <c r="CF486" i="6" s="1"/>
  <c r="AS487" i="6" l="1"/>
  <c r="AL487" i="6"/>
  <c r="CN486" i="6"/>
  <c r="CG486" i="6" s="1"/>
  <c r="AT487" i="6" l="1"/>
  <c r="AM487" i="6"/>
  <c r="CO486" i="6"/>
  <c r="CH486" i="6" s="1"/>
  <c r="X487" i="6" l="1"/>
  <c r="AU487" i="6"/>
  <c r="CP486" i="6"/>
  <c r="T486" i="6" s="1"/>
  <c r="AN487" i="6"/>
  <c r="AA487" i="6" l="1"/>
  <c r="Y487" i="6"/>
  <c r="AB487" i="6" s="1"/>
  <c r="AV487" i="6"/>
  <c r="AW487" i="6" s="1"/>
  <c r="AX487" i="6" l="1"/>
  <c r="BH487" i="6" l="1"/>
  <c r="AY487" i="6"/>
  <c r="BI487" i="6" l="1"/>
  <c r="BJ487" i="6" s="1"/>
  <c r="BA487" i="6"/>
  <c r="BL487" i="6" s="1"/>
  <c r="AZ487" i="6"/>
  <c r="BG487" i="6"/>
  <c r="BR487" i="6" s="1"/>
  <c r="BF487" i="6"/>
  <c r="BQ487" i="6" s="1"/>
  <c r="BE487" i="6"/>
  <c r="BP487" i="6" s="1"/>
  <c r="BD487" i="6"/>
  <c r="BO487" i="6" s="1"/>
  <c r="BC487" i="6"/>
  <c r="BN487" i="6" s="1"/>
  <c r="BB487" i="6"/>
  <c r="BM487" i="6" s="1"/>
  <c r="BT487" i="6" l="1"/>
  <c r="BZ487" i="6"/>
  <c r="BY487" i="6"/>
  <c r="BX487" i="6"/>
  <c r="BW487" i="6"/>
  <c r="BV487" i="6"/>
  <c r="BU487" i="6"/>
  <c r="BK487" i="6"/>
  <c r="BS487" i="6" l="1"/>
  <c r="CA487" i="6" s="1"/>
  <c r="CI487" i="6" l="1"/>
  <c r="CB487" i="6" s="1"/>
  <c r="AG488" i="6"/>
  <c r="AH488" i="6"/>
  <c r="CJ487" i="6"/>
  <c r="CC487" i="6" s="1"/>
  <c r="AO488" i="6" l="1"/>
  <c r="Q488" i="6"/>
  <c r="R488" i="6" s="1"/>
  <c r="S488" i="6" s="1"/>
  <c r="AP488" i="6"/>
  <c r="AI488" i="6"/>
  <c r="CK487" i="6"/>
  <c r="CD487" i="6" s="1"/>
  <c r="AQ488" i="6" l="1"/>
  <c r="CL487" i="6"/>
  <c r="CE487" i="6" s="1"/>
  <c r="AJ488" i="6"/>
  <c r="CM487" i="6" l="1"/>
  <c r="CF487" i="6" s="1"/>
  <c r="AK488" i="6"/>
  <c r="W488" i="6"/>
  <c r="Z488" i="6" s="1"/>
  <c r="AR488" i="6"/>
  <c r="AC488" i="6"/>
  <c r="AL488" i="6" l="1"/>
  <c r="CN487" i="6"/>
  <c r="CG487" i="6" s="1"/>
  <c r="AS488" i="6"/>
  <c r="AT488" i="6" l="1"/>
  <c r="AM488" i="6"/>
  <c r="CO487" i="6"/>
  <c r="CH487" i="6" s="1"/>
  <c r="AU488" i="6" l="1"/>
  <c r="CP487" i="6"/>
  <c r="T487" i="6" s="1"/>
  <c r="AN488" i="6"/>
  <c r="X488" i="6" s="1"/>
  <c r="AA488" i="6" l="1"/>
  <c r="Y488" i="6"/>
  <c r="AB488" i="6" s="1"/>
  <c r="AV488" i="6"/>
  <c r="AW488" i="6" s="1"/>
  <c r="AX488" i="6" l="1"/>
  <c r="BH488" i="6" l="1"/>
  <c r="AY488" i="6"/>
  <c r="BI488" i="6" l="1"/>
  <c r="BJ488" i="6" s="1"/>
  <c r="BK488" i="6" s="1"/>
  <c r="BG488" i="6"/>
  <c r="BR488" i="6" s="1"/>
  <c r="BF488" i="6"/>
  <c r="BQ488" i="6" s="1"/>
  <c r="BE488" i="6"/>
  <c r="BP488" i="6" s="1"/>
  <c r="BA488" i="6"/>
  <c r="BL488" i="6" s="1"/>
  <c r="BC488" i="6"/>
  <c r="BN488" i="6" s="1"/>
  <c r="BD488" i="6"/>
  <c r="BO488" i="6" s="1"/>
  <c r="BB488" i="6"/>
  <c r="BM488" i="6" s="1"/>
  <c r="AZ488" i="6"/>
  <c r="BZ488" i="6" l="1"/>
  <c r="BY488" i="6"/>
  <c r="BX488" i="6"/>
  <c r="BT488" i="6"/>
  <c r="BV488" i="6"/>
  <c r="BW488" i="6"/>
  <c r="BU488" i="6"/>
  <c r="BS488" i="6"/>
  <c r="CA488" i="6" l="1"/>
  <c r="AG489" i="6" l="1"/>
  <c r="CI488" i="6"/>
  <c r="CB488" i="6" s="1"/>
  <c r="AO489" i="6" l="1"/>
  <c r="Q489" i="6"/>
  <c r="R489" i="6" s="1"/>
  <c r="S489" i="6" s="1"/>
  <c r="CJ488" i="6"/>
  <c r="CC488" i="6" s="1"/>
  <c r="AH489" i="6"/>
  <c r="AI489" i="6" l="1"/>
  <c r="CK488" i="6"/>
  <c r="CD488" i="6" s="1"/>
  <c r="AP489" i="6"/>
  <c r="AQ489" i="6" l="1"/>
  <c r="AJ489" i="6"/>
  <c r="W489" i="6" s="1"/>
  <c r="Z489" i="6" s="1"/>
  <c r="CL488" i="6"/>
  <c r="CE488" i="6" s="1"/>
  <c r="AR489" i="6" l="1"/>
  <c r="AC489" i="6"/>
  <c r="CM488" i="6"/>
  <c r="CF488" i="6" s="1"/>
  <c r="AK489" i="6"/>
  <c r="AL489" i="6" l="1"/>
  <c r="CN488" i="6"/>
  <c r="CG488" i="6" s="1"/>
  <c r="AS489" i="6"/>
  <c r="AT489" i="6" l="1"/>
  <c r="AM489" i="6"/>
  <c r="CO488" i="6"/>
  <c r="CH488" i="6" s="1"/>
  <c r="X489" i="6" l="1"/>
  <c r="AU489" i="6"/>
  <c r="CP488" i="6"/>
  <c r="T488" i="6" s="1"/>
  <c r="AN489" i="6"/>
  <c r="AA489" i="6" l="1"/>
  <c r="Y489" i="6"/>
  <c r="AB489" i="6" s="1"/>
  <c r="AV489" i="6"/>
  <c r="AW489" i="6" s="1"/>
  <c r="AX489" i="6" l="1"/>
  <c r="BH489" i="6" l="1"/>
  <c r="AY489" i="6"/>
  <c r="BI489" i="6" l="1"/>
  <c r="BJ489" i="6" s="1"/>
  <c r="BE489" i="6"/>
  <c r="BP489" i="6" s="1"/>
  <c r="BA489" i="6"/>
  <c r="BL489" i="6" s="1"/>
  <c r="BB489" i="6"/>
  <c r="BM489" i="6" s="1"/>
  <c r="BC489" i="6"/>
  <c r="BN489" i="6" s="1"/>
  <c r="AZ489" i="6"/>
  <c r="BD489" i="6"/>
  <c r="BO489" i="6" s="1"/>
  <c r="BF489" i="6"/>
  <c r="BQ489" i="6" s="1"/>
  <c r="BG489" i="6"/>
  <c r="BR489" i="6" s="1"/>
  <c r="BX489" i="6" l="1"/>
  <c r="BT489" i="6"/>
  <c r="BU489" i="6"/>
  <c r="BV489" i="6"/>
  <c r="BW489" i="6"/>
  <c r="BY489" i="6"/>
  <c r="BZ489" i="6"/>
  <c r="BK489" i="6"/>
  <c r="CA489" i="6" l="1"/>
  <c r="BS489" i="6"/>
  <c r="CI489" i="6" l="1"/>
  <c r="CB489" i="6" s="1"/>
  <c r="AG490" i="6"/>
  <c r="AO490" i="6" l="1"/>
  <c r="Q490" i="6"/>
  <c r="R490" i="6" s="1"/>
  <c r="S490" i="6" s="1"/>
  <c r="CJ489" i="6"/>
  <c r="CC489" i="6" s="1"/>
  <c r="AH490" i="6"/>
  <c r="CK489" i="6" l="1"/>
  <c r="CD489" i="6" s="1"/>
  <c r="AI490" i="6"/>
  <c r="AP490" i="6"/>
  <c r="AJ490" i="6" l="1"/>
  <c r="CL489" i="6"/>
  <c r="CE489" i="6" s="1"/>
  <c r="W490" i="6"/>
  <c r="Z490" i="6" s="1"/>
  <c r="AQ490" i="6"/>
  <c r="AR490" i="6" l="1"/>
  <c r="AC490" i="6"/>
  <c r="CM489" i="6"/>
  <c r="CF489" i="6" s="1"/>
  <c r="AK490" i="6"/>
  <c r="AL490" i="6" l="1"/>
  <c r="CN489" i="6"/>
  <c r="CG489" i="6" s="1"/>
  <c r="AS490" i="6"/>
  <c r="AT490" i="6" l="1"/>
  <c r="AM490" i="6"/>
  <c r="CO489" i="6"/>
  <c r="CH489" i="6" s="1"/>
  <c r="X490" i="6" l="1"/>
  <c r="AU490" i="6"/>
  <c r="CP489" i="6"/>
  <c r="T489" i="6" s="1"/>
  <c r="AN490" i="6"/>
  <c r="AA490" i="6" l="1"/>
  <c r="Y490" i="6"/>
  <c r="AB490" i="6" s="1"/>
  <c r="AV490" i="6"/>
  <c r="AW490" i="6" s="1"/>
  <c r="AX490" i="6" l="1"/>
  <c r="BH490" i="6" l="1"/>
  <c r="AY490" i="6"/>
  <c r="BI490" i="6" l="1"/>
  <c r="BJ490" i="6" s="1"/>
  <c r="BC490" i="6"/>
  <c r="BN490" i="6" s="1"/>
  <c r="BD490" i="6"/>
  <c r="BO490" i="6" s="1"/>
  <c r="BF490" i="6"/>
  <c r="BQ490" i="6" s="1"/>
  <c r="BG490" i="6"/>
  <c r="BR490" i="6" s="1"/>
  <c r="AZ490" i="6"/>
  <c r="BB490" i="6"/>
  <c r="BM490" i="6" s="1"/>
  <c r="BE490" i="6"/>
  <c r="BP490" i="6" s="1"/>
  <c r="BA490" i="6"/>
  <c r="BL490" i="6" s="1"/>
  <c r="BV490" i="6" l="1"/>
  <c r="BW490" i="6"/>
  <c r="BY490" i="6"/>
  <c r="BZ490" i="6"/>
  <c r="BU490" i="6"/>
  <c r="BX490" i="6"/>
  <c r="BT490" i="6"/>
  <c r="BK490" i="6"/>
  <c r="BS490" i="6" l="1"/>
  <c r="CA490" i="6" s="1"/>
  <c r="CI490" i="6" l="1"/>
  <c r="CB490" i="6" s="1"/>
  <c r="AG491" i="6"/>
  <c r="AO491" i="6" l="1"/>
  <c r="AG2" i="6"/>
  <c r="Q491" i="6"/>
  <c r="R491" i="6" s="1"/>
  <c r="AH491" i="6"/>
  <c r="CJ490" i="6"/>
  <c r="CC490" i="6" s="1"/>
  <c r="AO2" i="6" l="1"/>
  <c r="R2" i="6"/>
  <c r="S491" i="6"/>
  <c r="AH2" i="6"/>
  <c r="AP491" i="6"/>
  <c r="AP2" i="6" s="1"/>
  <c r="CK490" i="6"/>
  <c r="CD490" i="6" s="1"/>
  <c r="AI491" i="6"/>
  <c r="S2" i="6" l="1"/>
  <c r="AJ491" i="6"/>
  <c r="W491" i="6" s="1"/>
  <c r="CL490" i="6"/>
  <c r="CE490" i="6" s="1"/>
  <c r="AQ491" i="6"/>
  <c r="AI2" i="6"/>
  <c r="AR491" i="6" l="1"/>
  <c r="AJ2" i="6"/>
  <c r="AC491" i="6"/>
  <c r="AC2" i="6" s="1"/>
  <c r="CM490" i="6"/>
  <c r="CF490" i="6" s="1"/>
  <c r="AK491" i="6"/>
  <c r="W2" i="6"/>
  <c r="Z491" i="6"/>
  <c r="Z2" i="6" s="1"/>
  <c r="AQ2" i="6"/>
  <c r="AL491" i="6" l="1"/>
  <c r="CN490" i="6"/>
  <c r="CG490" i="6" s="1"/>
  <c r="AS491" i="6"/>
  <c r="AS2" i="6" s="1"/>
  <c r="AK2" i="6"/>
  <c r="AR2" i="6"/>
  <c r="AT491" i="6" l="1"/>
  <c r="AL2" i="6"/>
  <c r="AM491" i="6"/>
  <c r="CO490" i="6"/>
  <c r="CH490" i="6" s="1"/>
  <c r="AT2" i="6" l="1"/>
  <c r="X491" i="6"/>
  <c r="AU491" i="6"/>
  <c r="AM2" i="6"/>
  <c r="CP490" i="6"/>
  <c r="T490" i="6" s="1"/>
  <c r="AN491" i="6"/>
  <c r="X2" i="6" l="1"/>
  <c r="AA491" i="6"/>
  <c r="AA2" i="6" s="1"/>
  <c r="Y491" i="6"/>
  <c r="AV491" i="6"/>
  <c r="AN2" i="6"/>
  <c r="AU2" i="6"/>
  <c r="AB491" i="6" l="1"/>
  <c r="AB2" i="6" s="1"/>
  <c r="Y2" i="6"/>
  <c r="AV2" i="6"/>
  <c r="AW491" i="6"/>
  <c r="AX491" i="6" l="1"/>
  <c r="AW2" i="6"/>
  <c r="BH491" i="6" l="1"/>
  <c r="AX2" i="6"/>
  <c r="AY491" i="6"/>
  <c r="BH2" i="6" l="1"/>
  <c r="BI491" i="6"/>
  <c r="AZ491" i="6"/>
  <c r="BA491" i="6"/>
  <c r="BB491" i="6"/>
  <c r="BC491" i="6"/>
  <c r="BD491" i="6"/>
  <c r="BE491" i="6"/>
  <c r="BF491" i="6"/>
  <c r="BG491" i="6"/>
  <c r="AY2" i="6"/>
  <c r="AZ2" i="6" l="1"/>
  <c r="BK491" i="6"/>
  <c r="BA2" i="6"/>
  <c r="BL491" i="6"/>
  <c r="BB2" i="6"/>
  <c r="BM491" i="6"/>
  <c r="BC2" i="6"/>
  <c r="BN491" i="6"/>
  <c r="BD2" i="6"/>
  <c r="BO491" i="6"/>
  <c r="BE2" i="6"/>
  <c r="BP491" i="6"/>
  <c r="BF2" i="6"/>
  <c r="BQ491" i="6"/>
  <c r="BG2" i="6"/>
  <c r="BR491" i="6"/>
  <c r="BI2" i="6"/>
  <c r="BJ491" i="6"/>
  <c r="BJ2" i="6" s="1"/>
  <c r="BK2" i="6" l="1"/>
  <c r="BS491" i="6"/>
  <c r="BL2" i="6"/>
  <c r="BT491" i="6"/>
  <c r="BM2" i="6"/>
  <c r="BU491" i="6"/>
  <c r="BN2" i="6"/>
  <c r="BV491" i="6"/>
  <c r="BO2" i="6"/>
  <c r="BW491" i="6"/>
  <c r="BP2" i="6"/>
  <c r="BX491" i="6"/>
  <c r="BQ2" i="6"/>
  <c r="BY491" i="6"/>
  <c r="BR2" i="6"/>
  <c r="BZ491" i="6"/>
  <c r="BZ2" i="6" l="1"/>
  <c r="BS2" i="6"/>
  <c r="CA491" i="6"/>
  <c r="BT2" i="6"/>
  <c r="BU2" i="6"/>
  <c r="BV2" i="6"/>
  <c r="BW2" i="6"/>
  <c r="BX2" i="6"/>
  <c r="BY2" i="6"/>
  <c r="CA2" i="6" l="1"/>
  <c r="AG492" i="6"/>
  <c r="CI491" i="6"/>
  <c r="AO492" i="6" l="1"/>
  <c r="Q492" i="6"/>
  <c r="R492" i="6" s="1"/>
  <c r="S492" i="6" s="1"/>
  <c r="CB491" i="6"/>
  <c r="CI2" i="6"/>
  <c r="CJ491" i="6" l="1"/>
  <c r="AH492" i="6"/>
  <c r="CB2" i="6"/>
  <c r="CC491" i="6" l="1"/>
  <c r="CJ2" i="6"/>
  <c r="AP492" i="6"/>
  <c r="CK491" i="6" l="1"/>
  <c r="AI492" i="6"/>
  <c r="CC2" i="6"/>
  <c r="CD491" i="6" l="1"/>
  <c r="CK2" i="6"/>
  <c r="AQ492" i="6"/>
  <c r="CL491" i="6" l="1"/>
  <c r="AJ492" i="6"/>
  <c r="CD2" i="6"/>
  <c r="CE491" i="6" l="1"/>
  <c r="CL2" i="6"/>
  <c r="W492" i="6"/>
  <c r="Z492" i="6" s="1"/>
  <c r="AR492" i="6"/>
  <c r="AC492" i="6"/>
  <c r="CM491" i="6" l="1"/>
  <c r="AK492" i="6"/>
  <c r="CE2" i="6"/>
  <c r="CF491" i="6" l="1"/>
  <c r="CM2" i="6"/>
  <c r="AS492" i="6"/>
  <c r="CN491" i="6" l="1"/>
  <c r="AL492" i="6"/>
  <c r="CF2" i="6"/>
  <c r="CG491" i="6" l="1"/>
  <c r="CN2" i="6"/>
  <c r="AT492" i="6"/>
  <c r="CO491" i="6" l="1"/>
  <c r="AM492" i="6"/>
  <c r="CG2" i="6"/>
  <c r="CH491" i="6" l="1"/>
  <c r="CO2" i="6"/>
  <c r="AU492" i="6"/>
  <c r="CH2" i="6" l="1"/>
  <c r="AN492" i="6"/>
  <c r="CP491" i="6"/>
  <c r="X492" i="6" l="1"/>
  <c r="AV492" i="6"/>
  <c r="AW492" i="6" s="1"/>
  <c r="T491" i="6"/>
  <c r="T2" i="6" s="1"/>
  <c r="CP2" i="6"/>
  <c r="AA492" i="6" l="1"/>
  <c r="Y492" i="6"/>
  <c r="AB492" i="6" s="1"/>
  <c r="AX492" i="6"/>
  <c r="BH492" i="6" l="1"/>
  <c r="AY492" i="6"/>
  <c r="BI492" i="6" l="1"/>
  <c r="BJ492" i="6" s="1"/>
  <c r="BK492" i="6" s="1"/>
  <c r="AZ492" i="6"/>
  <c r="BA492" i="6"/>
  <c r="BL492" i="6" s="1"/>
  <c r="BC492" i="6"/>
  <c r="BN492" i="6" s="1"/>
  <c r="BF492" i="6"/>
  <c r="BQ492" i="6" s="1"/>
  <c r="BB492" i="6"/>
  <c r="BM492" i="6" s="1"/>
  <c r="BD492" i="6"/>
  <c r="BO492" i="6" s="1"/>
  <c r="BE492" i="6"/>
  <c r="BP492" i="6" s="1"/>
  <c r="BG492" i="6"/>
  <c r="BR492" i="6" s="1"/>
  <c r="BS492" i="6" l="1"/>
  <c r="CA492" i="6"/>
  <c r="BT492" i="6"/>
  <c r="BV492" i="6"/>
  <c r="BY492" i="6"/>
  <c r="BU492" i="6"/>
  <c r="BW492" i="6"/>
  <c r="BX492" i="6"/>
  <c r="BZ492" i="6"/>
  <c r="CI492" i="6" l="1"/>
  <c r="CB492" i="6" s="1"/>
  <c r="AG493" i="6"/>
  <c r="AO493" i="6" l="1"/>
  <c r="Q493" i="6"/>
  <c r="R493" i="6" s="1"/>
  <c r="S493" i="6" s="1"/>
  <c r="CJ492" i="6"/>
  <c r="CC492" i="6" s="1"/>
  <c r="AH493" i="6"/>
  <c r="CK492" i="6" l="1"/>
  <c r="CD492" i="6" s="1"/>
  <c r="AI493" i="6"/>
  <c r="AP493" i="6"/>
  <c r="CL492" i="6" l="1"/>
  <c r="CE492" i="6" s="1"/>
  <c r="AJ493" i="6"/>
  <c r="W493" i="6"/>
  <c r="Z493" i="6" s="1"/>
  <c r="AQ493" i="6"/>
  <c r="AK493" i="6" l="1"/>
  <c r="CM492" i="6"/>
  <c r="CF492" i="6" s="1"/>
  <c r="AR493" i="6"/>
  <c r="AC493" i="6"/>
  <c r="AS493" i="6" l="1"/>
  <c r="AL493" i="6"/>
  <c r="CN492" i="6"/>
  <c r="CG492" i="6" s="1"/>
  <c r="AT493" i="6" l="1"/>
  <c r="AM493" i="6"/>
  <c r="CO492" i="6"/>
  <c r="CH492" i="6" s="1"/>
  <c r="AU493" i="6" l="1"/>
  <c r="CP492" i="6"/>
  <c r="T492" i="6" s="1"/>
  <c r="AN493" i="6"/>
  <c r="X493" i="6" s="1"/>
  <c r="AA493" i="6" l="1"/>
  <c r="Y493" i="6"/>
  <c r="AB493" i="6" s="1"/>
  <c r="AV493" i="6"/>
  <c r="AW493" i="6" s="1"/>
  <c r="AX493" i="6" l="1"/>
  <c r="BH493" i="6" l="1"/>
  <c r="AY493" i="6"/>
  <c r="BI493" i="6" l="1"/>
  <c r="BJ493" i="6" s="1"/>
  <c r="BD493" i="6"/>
  <c r="BO493" i="6" s="1"/>
  <c r="BE493" i="6"/>
  <c r="BP493" i="6" s="1"/>
  <c r="AZ493" i="6"/>
  <c r="BC493" i="6"/>
  <c r="BN493" i="6" s="1"/>
  <c r="BF493" i="6"/>
  <c r="BQ493" i="6" s="1"/>
  <c r="BG493" i="6"/>
  <c r="BR493" i="6" s="1"/>
  <c r="BA493" i="6"/>
  <c r="BL493" i="6" s="1"/>
  <c r="BB493" i="6"/>
  <c r="BM493" i="6" s="1"/>
  <c r="BW493" i="6" l="1"/>
  <c r="BX493" i="6"/>
  <c r="BV493" i="6"/>
  <c r="BY493" i="6"/>
  <c r="BZ493" i="6"/>
  <c r="BT493" i="6"/>
  <c r="BU493" i="6"/>
  <c r="BK493" i="6"/>
  <c r="BS493" i="6" l="1"/>
  <c r="CA493" i="6" s="1"/>
  <c r="CI493" i="6" l="1"/>
  <c r="CB493" i="6" s="1"/>
  <c r="AG494" i="6"/>
  <c r="AO494" i="6" l="1"/>
  <c r="Q494" i="6"/>
  <c r="R494" i="6" s="1"/>
  <c r="S494" i="6" s="1"/>
  <c r="AH494" i="6"/>
  <c r="CJ493" i="6"/>
  <c r="CC493" i="6" s="1"/>
  <c r="AP494" i="6" l="1"/>
  <c r="CK493" i="6"/>
  <c r="CD493" i="6" s="1"/>
  <c r="AI494" i="6"/>
  <c r="AJ494" i="6" l="1"/>
  <c r="CL493" i="6"/>
  <c r="CE493" i="6" s="1"/>
  <c r="W494" i="6"/>
  <c r="Z494" i="6" s="1"/>
  <c r="AQ494" i="6"/>
  <c r="AR494" i="6" l="1"/>
  <c r="AC494" i="6"/>
  <c r="CM493" i="6"/>
  <c r="CF493" i="6" s="1"/>
  <c r="AK494" i="6"/>
  <c r="CN493" i="6" l="1"/>
  <c r="CG493" i="6" s="1"/>
  <c r="AL494" i="6"/>
  <c r="AS494" i="6"/>
  <c r="CO493" i="6" l="1"/>
  <c r="CH493" i="6" s="1"/>
  <c r="AM494" i="6"/>
  <c r="AT494" i="6"/>
  <c r="CP493" i="6" l="1"/>
  <c r="T493" i="6" s="1"/>
  <c r="AN494" i="6"/>
  <c r="X494" i="6" s="1"/>
  <c r="AU494" i="6"/>
  <c r="AV494" i="6" l="1"/>
  <c r="AW494" i="6" s="1"/>
  <c r="AA494" i="6"/>
  <c r="Y494" i="6"/>
  <c r="AB494" i="6" s="1"/>
  <c r="AX494" i="6"/>
  <c r="BH494" i="6" l="1"/>
  <c r="AY494" i="6"/>
  <c r="BI494" i="6" l="1"/>
  <c r="BJ494" i="6" s="1"/>
  <c r="BK494" i="6" s="1"/>
  <c r="AZ494" i="6"/>
  <c r="BG494" i="6"/>
  <c r="BR494" i="6" s="1"/>
  <c r="BF494" i="6"/>
  <c r="BQ494" i="6" s="1"/>
  <c r="BE494" i="6"/>
  <c r="BP494" i="6" s="1"/>
  <c r="BD494" i="6"/>
  <c r="BO494" i="6" s="1"/>
  <c r="BC494" i="6"/>
  <c r="BN494" i="6" s="1"/>
  <c r="BB494" i="6"/>
  <c r="BM494" i="6" s="1"/>
  <c r="BA494" i="6"/>
  <c r="BL494" i="6" s="1"/>
  <c r="BS494" i="6" l="1"/>
  <c r="CA494" i="6"/>
  <c r="BZ494" i="6"/>
  <c r="BY494" i="6"/>
  <c r="BX494" i="6"/>
  <c r="BW494" i="6"/>
  <c r="BV494" i="6"/>
  <c r="BU494" i="6"/>
  <c r="BT494" i="6"/>
  <c r="CI494" i="6" l="1"/>
  <c r="CB494" i="6" s="1"/>
  <c r="AG495" i="6"/>
  <c r="AO495" i="6" l="1"/>
  <c r="Q495" i="6"/>
  <c r="R495" i="6" s="1"/>
  <c r="S495" i="6" s="1"/>
  <c r="CJ494" i="6"/>
  <c r="CC494" i="6" s="1"/>
  <c r="AH495" i="6"/>
  <c r="AI495" i="6" l="1"/>
  <c r="CK494" i="6"/>
  <c r="CD494" i="6" s="1"/>
  <c r="AP495" i="6"/>
  <c r="AQ495" i="6" l="1"/>
  <c r="AJ495" i="6"/>
  <c r="W495" i="6" s="1"/>
  <c r="Z495" i="6" s="1"/>
  <c r="CL494" i="6"/>
  <c r="CE494" i="6" s="1"/>
  <c r="AR495" i="6" l="1"/>
  <c r="AC495" i="6"/>
  <c r="CM494" i="6"/>
  <c r="CF494" i="6" s="1"/>
  <c r="AK495" i="6"/>
  <c r="AL495" i="6" l="1"/>
  <c r="CN494" i="6"/>
  <c r="CG494" i="6" s="1"/>
  <c r="AS495" i="6"/>
  <c r="AT495" i="6" l="1"/>
  <c r="CO494" i="6"/>
  <c r="CH494" i="6" s="1"/>
  <c r="AM495" i="6"/>
  <c r="AN495" i="6" l="1"/>
  <c r="X495" i="6" s="1"/>
  <c r="CP494" i="6"/>
  <c r="T494" i="6" s="1"/>
  <c r="AU495" i="6"/>
  <c r="AV495" i="6" l="1"/>
  <c r="AW495" i="6" s="1"/>
  <c r="AA495" i="6"/>
  <c r="Y495" i="6"/>
  <c r="AB495" i="6" s="1"/>
  <c r="AX495" i="6"/>
  <c r="BH495" i="6" l="1"/>
  <c r="AY495" i="6"/>
  <c r="BI495" i="6" l="1"/>
  <c r="BJ495" i="6" s="1"/>
  <c r="BB495" i="6"/>
  <c r="BM495" i="6" s="1"/>
  <c r="BF495" i="6"/>
  <c r="BQ495" i="6" s="1"/>
  <c r="BE495" i="6"/>
  <c r="BP495" i="6" s="1"/>
  <c r="AZ495" i="6"/>
  <c r="BG495" i="6"/>
  <c r="BR495" i="6" s="1"/>
  <c r="BA495" i="6"/>
  <c r="BL495" i="6" s="1"/>
  <c r="BD495" i="6"/>
  <c r="BO495" i="6" s="1"/>
  <c r="BC495" i="6"/>
  <c r="BN495" i="6" s="1"/>
  <c r="BU495" i="6" l="1"/>
  <c r="BY495" i="6"/>
  <c r="BX495" i="6"/>
  <c r="BZ495" i="6"/>
  <c r="BT495" i="6"/>
  <c r="BW495" i="6"/>
  <c r="BV495" i="6"/>
  <c r="BK495" i="6"/>
  <c r="CA495" i="6" l="1"/>
  <c r="BS495" i="6"/>
  <c r="CI495" i="6" l="1"/>
  <c r="CB495" i="6" s="1"/>
  <c r="AG496" i="6"/>
  <c r="AO496" i="6" l="1"/>
  <c r="Q496" i="6"/>
  <c r="R496" i="6" s="1"/>
  <c r="S496" i="6" s="1"/>
  <c r="AH496" i="6"/>
  <c r="CJ495" i="6"/>
  <c r="CC495" i="6" s="1"/>
  <c r="AP496" i="6" l="1"/>
  <c r="CK495" i="6"/>
  <c r="CD495" i="6" s="1"/>
  <c r="AI496" i="6"/>
  <c r="AJ496" i="6" l="1"/>
  <c r="CL495" i="6"/>
  <c r="CE495" i="6" s="1"/>
  <c r="W496" i="6"/>
  <c r="Z496" i="6" s="1"/>
  <c r="AQ496" i="6"/>
  <c r="AR496" i="6" l="1"/>
  <c r="AC496" i="6"/>
  <c r="CM495" i="6"/>
  <c r="CF495" i="6" s="1"/>
  <c r="AK496" i="6"/>
  <c r="AL496" i="6" l="1"/>
  <c r="CN495" i="6"/>
  <c r="CG495" i="6" s="1"/>
  <c r="AS496" i="6"/>
  <c r="AT496" i="6" l="1"/>
  <c r="CO495" i="6"/>
  <c r="CH495" i="6" s="1"/>
  <c r="AM496" i="6"/>
  <c r="AN496" i="6" l="1"/>
  <c r="X496" i="6" s="1"/>
  <c r="CP495" i="6"/>
  <c r="T495" i="6" s="1"/>
  <c r="AU496" i="6"/>
  <c r="AV496" i="6" l="1"/>
  <c r="AW496" i="6" s="1"/>
  <c r="AA496" i="6"/>
  <c r="Y496" i="6"/>
  <c r="AB496" i="6" s="1"/>
  <c r="AX496" i="6"/>
  <c r="BH496" i="6" l="1"/>
  <c r="AY496" i="6"/>
  <c r="BI496" i="6" l="1"/>
  <c r="BJ496" i="6" s="1"/>
  <c r="BK496" i="6" s="1"/>
  <c r="BC496" i="6"/>
  <c r="BN496" i="6" s="1"/>
  <c r="BA496" i="6"/>
  <c r="BL496" i="6" s="1"/>
  <c r="AZ496" i="6"/>
  <c r="BB496" i="6"/>
  <c r="BM496" i="6" s="1"/>
  <c r="BE496" i="6"/>
  <c r="BP496" i="6" s="1"/>
  <c r="BF496" i="6"/>
  <c r="BQ496" i="6" s="1"/>
  <c r="BG496" i="6"/>
  <c r="BR496" i="6" s="1"/>
  <c r="BD496" i="6"/>
  <c r="BO496" i="6" s="1"/>
  <c r="BV496" i="6" l="1"/>
  <c r="BT496" i="6"/>
  <c r="BS496" i="6"/>
  <c r="CA496" i="6" s="1"/>
  <c r="BU496" i="6"/>
  <c r="BX496" i="6"/>
  <c r="BY496" i="6"/>
  <c r="BZ496" i="6"/>
  <c r="BW496" i="6"/>
  <c r="CI496" i="6" l="1"/>
  <c r="CB496" i="6" s="1"/>
  <c r="AG497" i="6"/>
  <c r="AH497" i="6" l="1"/>
  <c r="CJ496" i="6"/>
  <c r="CC496" i="6" s="1"/>
  <c r="AO497" i="6"/>
  <c r="Q497" i="6"/>
  <c r="R497" i="6" s="1"/>
  <c r="S497" i="6" s="1"/>
  <c r="AP497" i="6" l="1"/>
  <c r="CK496" i="6"/>
  <c r="CD496" i="6" s="1"/>
  <c r="AI497" i="6"/>
  <c r="AJ497" i="6" l="1"/>
  <c r="CL496" i="6"/>
  <c r="CE496" i="6" s="1"/>
  <c r="W497" i="6"/>
  <c r="Z497" i="6" s="1"/>
  <c r="AQ497" i="6"/>
  <c r="AR497" i="6" l="1"/>
  <c r="AC497" i="6"/>
  <c r="CM496" i="6"/>
  <c r="CF496" i="6" s="1"/>
  <c r="AK497" i="6"/>
  <c r="AL497" i="6" l="1"/>
  <c r="CN496" i="6"/>
  <c r="CG496" i="6" s="1"/>
  <c r="AS497" i="6"/>
  <c r="AT497" i="6" l="1"/>
  <c r="CO496" i="6"/>
  <c r="CH496" i="6" s="1"/>
  <c r="AM497" i="6"/>
  <c r="AN497" i="6" l="1"/>
  <c r="CP496" i="6"/>
  <c r="T496" i="6" s="1"/>
  <c r="X497" i="6"/>
  <c r="AU497" i="6"/>
  <c r="AV497" i="6" l="1"/>
  <c r="AW497" i="6" s="1"/>
  <c r="AA497" i="6"/>
  <c r="Y497" i="6"/>
  <c r="AB497" i="6" s="1"/>
  <c r="AX497" i="6" l="1"/>
  <c r="BH497" i="6" l="1"/>
  <c r="AY497" i="6"/>
  <c r="BI497" i="6" l="1"/>
  <c r="BJ497" i="6" s="1"/>
  <c r="BA497" i="6"/>
  <c r="BL497" i="6" s="1"/>
  <c r="BB497" i="6"/>
  <c r="BM497" i="6" s="1"/>
  <c r="BC497" i="6"/>
  <c r="BN497" i="6" s="1"/>
  <c r="AZ497" i="6"/>
  <c r="BE497" i="6"/>
  <c r="BP497" i="6" s="1"/>
  <c r="BD497" i="6"/>
  <c r="BO497" i="6" s="1"/>
  <c r="BG497" i="6"/>
  <c r="BR497" i="6" s="1"/>
  <c r="BF497" i="6"/>
  <c r="BQ497" i="6" s="1"/>
  <c r="BT497" i="6" l="1"/>
  <c r="BU497" i="6"/>
  <c r="BV497" i="6"/>
  <c r="BX497" i="6"/>
  <c r="BW497" i="6"/>
  <c r="BZ497" i="6"/>
  <c r="BY497" i="6"/>
  <c r="BK497" i="6"/>
  <c r="BS497" i="6" l="1"/>
  <c r="CA497" i="6" s="1"/>
  <c r="AG498" i="6" l="1"/>
  <c r="CI497" i="6"/>
  <c r="CB497" i="6" s="1"/>
  <c r="AO498" i="6" l="1"/>
  <c r="Q498" i="6"/>
  <c r="R498" i="6" s="1"/>
  <c r="S498" i="6" s="1"/>
  <c r="CJ497" i="6"/>
  <c r="CC497" i="6" s="1"/>
  <c r="AH498" i="6"/>
  <c r="CK497" i="6" l="1"/>
  <c r="CD497" i="6" s="1"/>
  <c r="AI498" i="6"/>
  <c r="AP498" i="6"/>
  <c r="AJ498" i="6" l="1"/>
  <c r="W498" i="6" s="1"/>
  <c r="Z498" i="6" s="1"/>
  <c r="CL497" i="6"/>
  <c r="CE497" i="6" s="1"/>
  <c r="AQ498" i="6"/>
  <c r="AR498" i="6" l="1"/>
  <c r="AC498" i="6"/>
  <c r="CM497" i="6"/>
  <c r="CF497" i="6" s="1"/>
  <c r="AK498" i="6"/>
  <c r="AL498" i="6" l="1"/>
  <c r="CN497" i="6"/>
  <c r="CG497" i="6" s="1"/>
  <c r="AS498" i="6"/>
  <c r="AT498" i="6" l="1"/>
  <c r="CO497" i="6"/>
  <c r="CH497" i="6" s="1"/>
  <c r="AM498" i="6"/>
  <c r="AN498" i="6" l="1"/>
  <c r="CP497" i="6"/>
  <c r="T497" i="6" s="1"/>
  <c r="X498" i="6"/>
  <c r="AU498" i="6"/>
  <c r="AV498" i="6" l="1"/>
  <c r="AW498" i="6" s="1"/>
  <c r="AA498" i="6"/>
  <c r="Y498" i="6"/>
  <c r="AB498" i="6" s="1"/>
  <c r="AX498" i="6" l="1"/>
  <c r="AY498" i="6" l="1"/>
  <c r="BH498" i="6"/>
  <c r="AZ498" i="6" l="1"/>
  <c r="BF498" i="6"/>
  <c r="BQ498" i="6" s="1"/>
  <c r="BA498" i="6"/>
  <c r="BL498" i="6" s="1"/>
  <c r="BB498" i="6"/>
  <c r="BM498" i="6" s="1"/>
  <c r="BC498" i="6"/>
  <c r="BN498" i="6" s="1"/>
  <c r="BG498" i="6"/>
  <c r="BR498" i="6" s="1"/>
  <c r="BE498" i="6"/>
  <c r="BP498" i="6" s="1"/>
  <c r="BD498" i="6"/>
  <c r="BO498" i="6" s="1"/>
  <c r="BI498" i="6"/>
  <c r="BJ498" i="6" s="1"/>
  <c r="BK498" i="6" s="1"/>
  <c r="BS498" i="6" l="1"/>
  <c r="BY498" i="6"/>
  <c r="BT498" i="6"/>
  <c r="BU498" i="6"/>
  <c r="BV498" i="6"/>
  <c r="BZ498" i="6"/>
  <c r="BX498" i="6"/>
  <c r="BW498" i="6"/>
  <c r="CA498" i="6" l="1"/>
  <c r="AG499" i="6" l="1"/>
  <c r="CI498" i="6"/>
  <c r="CB498" i="6" s="1"/>
  <c r="AO499" i="6" l="1"/>
  <c r="Q499" i="6"/>
  <c r="R499" i="6" s="1"/>
  <c r="S499" i="6" s="1"/>
  <c r="AH499" i="6"/>
  <c r="CJ498" i="6"/>
  <c r="CC498" i="6" s="1"/>
  <c r="AP499" i="6" l="1"/>
  <c r="AI499" i="6"/>
  <c r="CK498" i="6"/>
  <c r="CD498" i="6" s="1"/>
  <c r="W499" i="6" l="1"/>
  <c r="Z499" i="6" s="1"/>
  <c r="AQ499" i="6"/>
  <c r="AJ499" i="6"/>
  <c r="CL498" i="6"/>
  <c r="CE498" i="6" s="1"/>
  <c r="AR499" i="6" l="1"/>
  <c r="AC499" i="6"/>
  <c r="CM498" i="6"/>
  <c r="CF498" i="6" s="1"/>
  <c r="AK499" i="6"/>
  <c r="AL499" i="6" l="1"/>
  <c r="CN498" i="6"/>
  <c r="CG498" i="6" s="1"/>
  <c r="AS499" i="6"/>
  <c r="AT499" i="6" l="1"/>
  <c r="CO498" i="6"/>
  <c r="CH498" i="6" s="1"/>
  <c r="AM499" i="6"/>
  <c r="AN499" i="6" l="1"/>
  <c r="CP498" i="6"/>
  <c r="T498" i="6" s="1"/>
  <c r="X499" i="6"/>
  <c r="AU499" i="6"/>
  <c r="AV499" i="6" l="1"/>
  <c r="AW499" i="6" s="1"/>
  <c r="AA499" i="6"/>
  <c r="Y499" i="6"/>
  <c r="AB499" i="6" s="1"/>
  <c r="AX499" i="6" l="1"/>
  <c r="BH499" i="6" l="1"/>
  <c r="AY499" i="6"/>
  <c r="BI499" i="6" l="1"/>
  <c r="BJ499" i="6" s="1"/>
  <c r="BK499" i="6" s="1"/>
  <c r="AZ499" i="6"/>
  <c r="BC499" i="6"/>
  <c r="BN499" i="6" s="1"/>
  <c r="BG499" i="6"/>
  <c r="BR499" i="6" s="1"/>
  <c r="BA499" i="6"/>
  <c r="BL499" i="6" s="1"/>
  <c r="BB499" i="6"/>
  <c r="BM499" i="6" s="1"/>
  <c r="BD499" i="6"/>
  <c r="BO499" i="6" s="1"/>
  <c r="BE499" i="6"/>
  <c r="BP499" i="6" s="1"/>
  <c r="BF499" i="6"/>
  <c r="BQ499" i="6" s="1"/>
  <c r="BS499" i="6" l="1"/>
  <c r="BV499" i="6"/>
  <c r="BZ499" i="6"/>
  <c r="BT499" i="6"/>
  <c r="BU499" i="6"/>
  <c r="BW499" i="6"/>
  <c r="BX499" i="6"/>
  <c r="BY499" i="6"/>
  <c r="CA499" i="6" l="1"/>
  <c r="AG500" i="6" l="1"/>
  <c r="CI499" i="6"/>
  <c r="CB499" i="6" s="1"/>
  <c r="AO500" i="6" l="1"/>
  <c r="Q500" i="6"/>
  <c r="R500" i="6" s="1"/>
  <c r="S500" i="6" s="1"/>
  <c r="CJ499" i="6"/>
  <c r="CC499" i="6" s="1"/>
  <c r="AH500" i="6"/>
  <c r="AI500" i="6" l="1"/>
  <c r="CK499" i="6"/>
  <c r="CD499" i="6" s="1"/>
  <c r="AP500" i="6"/>
  <c r="W500" i="6" l="1"/>
  <c r="Z500" i="6" s="1"/>
  <c r="AQ500" i="6"/>
  <c r="AJ500" i="6"/>
  <c r="CL499" i="6"/>
  <c r="CE499" i="6" s="1"/>
  <c r="AR500" i="6" l="1"/>
  <c r="AC500" i="6"/>
  <c r="AK500" i="6"/>
  <c r="CM499" i="6"/>
  <c r="CF499" i="6" s="1"/>
  <c r="AS500" i="6" l="1"/>
  <c r="CN499" i="6"/>
  <c r="CG499" i="6" s="1"/>
  <c r="AL500" i="6"/>
  <c r="CO499" i="6" l="1"/>
  <c r="CH499" i="6" s="1"/>
  <c r="AM500" i="6"/>
  <c r="AT500" i="6"/>
  <c r="AN500" i="6" l="1"/>
  <c r="X500" i="6" s="1"/>
  <c r="CP499" i="6"/>
  <c r="T499" i="6" s="1"/>
  <c r="AU500" i="6"/>
  <c r="AV500" i="6" l="1"/>
  <c r="AW500" i="6" s="1"/>
  <c r="AA500" i="6"/>
  <c r="Y500" i="6"/>
  <c r="AB500" i="6" s="1"/>
  <c r="AX500" i="6" l="1"/>
  <c r="BH500" i="6" l="1"/>
  <c r="AY500" i="6"/>
  <c r="BI500" i="6" l="1"/>
  <c r="BJ500" i="6" s="1"/>
  <c r="BK500" i="6" s="1"/>
  <c r="BG500" i="6"/>
  <c r="BR500" i="6" s="1"/>
  <c r="AZ500" i="6"/>
  <c r="BA500" i="6"/>
  <c r="BL500" i="6" s="1"/>
  <c r="BB500" i="6"/>
  <c r="BM500" i="6" s="1"/>
  <c r="BC500" i="6"/>
  <c r="BN500" i="6" s="1"/>
  <c r="BD500" i="6"/>
  <c r="BO500" i="6" s="1"/>
  <c r="BE500" i="6"/>
  <c r="BP500" i="6" s="1"/>
  <c r="BF500" i="6"/>
  <c r="BQ500" i="6" s="1"/>
  <c r="BZ500" i="6" l="1"/>
  <c r="BS500" i="6"/>
  <c r="CA500" i="6" s="1"/>
  <c r="BT500" i="6"/>
  <c r="BU500" i="6"/>
  <c r="BV500" i="6"/>
  <c r="BW500" i="6"/>
  <c r="BX500" i="6"/>
  <c r="BY500" i="6"/>
  <c r="CI500" i="6" l="1"/>
  <c r="CB500" i="6" s="1"/>
  <c r="AG501" i="6"/>
  <c r="AH501" i="6"/>
  <c r="CJ500" i="6"/>
  <c r="CC500" i="6" s="1"/>
  <c r="CK500" i="6" s="1"/>
  <c r="CD500" i="6" s="1"/>
  <c r="AI501" i="6"/>
  <c r="AO501" i="6" l="1"/>
  <c r="Q501" i="6"/>
  <c r="R501" i="6" s="1"/>
  <c r="S501" i="6" s="1"/>
  <c r="W501" i="6"/>
  <c r="Z501" i="6" s="1"/>
  <c r="AP501" i="6"/>
  <c r="AQ501" i="6"/>
  <c r="AJ501" i="6"/>
  <c r="CL500" i="6"/>
  <c r="CE500" i="6" s="1"/>
  <c r="AC501" i="6" l="1"/>
  <c r="AR501" i="6"/>
  <c r="AK501" i="6"/>
  <c r="CM500" i="6"/>
  <c r="CF500" i="6" s="1"/>
  <c r="AS501" i="6" l="1"/>
  <c r="CN500" i="6"/>
  <c r="CG500" i="6" s="1"/>
  <c r="AL501" i="6"/>
  <c r="AM501" i="6" l="1"/>
  <c r="CO500" i="6"/>
  <c r="CH500" i="6" s="1"/>
  <c r="AT501" i="6"/>
  <c r="AU501" i="6" l="1"/>
  <c r="AN501" i="6"/>
  <c r="X501" i="6" s="1"/>
  <c r="CP500" i="6"/>
  <c r="T500" i="6" s="1"/>
  <c r="AA501" i="6" l="1"/>
  <c r="Y501" i="6"/>
  <c r="AB501" i="6" s="1"/>
  <c r="AV501" i="6"/>
  <c r="AW501" i="6" s="1"/>
  <c r="AX501" i="6" l="1"/>
  <c r="AY501" i="6" l="1"/>
  <c r="BH501" i="6"/>
  <c r="BB501" i="6" l="1"/>
  <c r="BM501" i="6" s="1"/>
  <c r="BA501" i="6"/>
  <c r="BL501" i="6" s="1"/>
  <c r="AZ501" i="6"/>
  <c r="BF501" i="6"/>
  <c r="BQ501" i="6" s="1"/>
  <c r="BD501" i="6"/>
  <c r="BO501" i="6" s="1"/>
  <c r="BG501" i="6"/>
  <c r="BR501" i="6" s="1"/>
  <c r="BE501" i="6"/>
  <c r="BP501" i="6" s="1"/>
  <c r="BC501" i="6"/>
  <c r="BN501" i="6" s="1"/>
  <c r="BI501" i="6"/>
  <c r="BJ501" i="6" s="1"/>
  <c r="BK501" i="6" s="1"/>
  <c r="BU501" i="6" l="1"/>
  <c r="BT501" i="6"/>
  <c r="BS501" i="6"/>
  <c r="CA501" i="6" s="1"/>
  <c r="BY501" i="6"/>
  <c r="BW501" i="6"/>
  <c r="BZ501" i="6"/>
  <c r="BX501" i="6"/>
  <c r="BV501" i="6"/>
  <c r="CI501" i="6" l="1"/>
  <c r="CB501" i="6" s="1"/>
  <c r="AG502" i="6"/>
  <c r="AH502" i="6" l="1"/>
  <c r="CJ501" i="6"/>
  <c r="CC501" i="6" s="1"/>
  <c r="AO502" i="6"/>
  <c r="Q502" i="6"/>
  <c r="R502" i="6" s="1"/>
  <c r="S502" i="6" s="1"/>
  <c r="AP502" i="6" l="1"/>
  <c r="AI502" i="6"/>
  <c r="CK501" i="6"/>
  <c r="CD501" i="6" s="1"/>
  <c r="W502" i="6" l="1"/>
  <c r="Z502" i="6" s="1"/>
  <c r="AQ502" i="6"/>
  <c r="AJ502" i="6"/>
  <c r="CL501" i="6"/>
  <c r="CE501" i="6" s="1"/>
  <c r="AR502" i="6" l="1"/>
  <c r="AC502" i="6"/>
  <c r="AK502" i="6"/>
  <c r="CM501" i="6"/>
  <c r="CF501" i="6" s="1"/>
  <c r="AS502" i="6" l="1"/>
  <c r="AL502" i="6"/>
  <c r="CN501" i="6"/>
  <c r="CG501" i="6" s="1"/>
  <c r="AT502" i="6" l="1"/>
  <c r="AM502" i="6"/>
  <c r="CO501" i="6"/>
  <c r="CH501" i="6" s="1"/>
  <c r="X502" i="6" l="1"/>
  <c r="AU502" i="6"/>
  <c r="CP501" i="6"/>
  <c r="T501" i="6" s="1"/>
  <c r="AN502" i="6"/>
  <c r="AA502" i="6" l="1"/>
  <c r="Y502" i="6"/>
  <c r="AB502" i="6" s="1"/>
  <c r="AV502" i="6"/>
  <c r="AW502" i="6" s="1"/>
  <c r="AX502" i="6" l="1"/>
  <c r="AY502" i="6" l="1"/>
  <c r="BH502" i="6"/>
  <c r="BG502" i="6" l="1"/>
  <c r="BR502" i="6" s="1"/>
  <c r="BE502" i="6"/>
  <c r="BP502" i="6" s="1"/>
  <c r="BF502" i="6"/>
  <c r="BQ502" i="6" s="1"/>
  <c r="BD502" i="6"/>
  <c r="BO502" i="6" s="1"/>
  <c r="BC502" i="6"/>
  <c r="BN502" i="6" s="1"/>
  <c r="BB502" i="6"/>
  <c r="BM502" i="6" s="1"/>
  <c r="BA502" i="6"/>
  <c r="BL502" i="6" s="1"/>
  <c r="AZ502" i="6"/>
  <c r="BI502" i="6"/>
  <c r="BJ502" i="6" s="1"/>
  <c r="BZ502" i="6" l="1"/>
  <c r="BX502" i="6"/>
  <c r="BY502" i="6"/>
  <c r="BW502" i="6"/>
  <c r="BV502" i="6"/>
  <c r="BU502" i="6"/>
  <c r="BT502" i="6"/>
  <c r="BK502" i="6"/>
  <c r="BS502" i="6" l="1"/>
  <c r="CA502" i="6"/>
  <c r="AG503" i="6" l="1"/>
  <c r="CI502" i="6"/>
  <c r="CB502" i="6" s="1"/>
  <c r="AO503" i="6" l="1"/>
  <c r="Q503" i="6"/>
  <c r="R503" i="6" s="1"/>
  <c r="S503" i="6" s="1"/>
  <c r="CJ502" i="6"/>
  <c r="CC502" i="6" s="1"/>
  <c r="AH503" i="6"/>
  <c r="AI503" i="6" l="1"/>
  <c r="CK502" i="6"/>
  <c r="CD502" i="6" s="1"/>
  <c r="AP503" i="6"/>
  <c r="AQ503" i="6" l="1"/>
  <c r="CL502" i="6"/>
  <c r="CE502" i="6" s="1"/>
  <c r="AJ503" i="6"/>
  <c r="W503" i="6" s="1"/>
  <c r="Z503" i="6" s="1"/>
  <c r="CM502" i="6" l="1"/>
  <c r="CF502" i="6" s="1"/>
  <c r="AK503" i="6"/>
  <c r="AR503" i="6"/>
  <c r="AC503" i="6"/>
  <c r="CN502" i="6" l="1"/>
  <c r="CG502" i="6" s="1"/>
  <c r="AL503" i="6"/>
  <c r="AS503" i="6"/>
  <c r="CO502" i="6" l="1"/>
  <c r="CH502" i="6" s="1"/>
  <c r="AM503" i="6"/>
  <c r="AT503" i="6"/>
  <c r="CP502" i="6" l="1"/>
  <c r="T502" i="6" s="1"/>
  <c r="AN503" i="6"/>
  <c r="X503" i="6" s="1"/>
  <c r="AU503" i="6"/>
  <c r="AV503" i="6" l="1"/>
  <c r="AW503" i="6" s="1"/>
  <c r="AA503" i="6"/>
  <c r="Y503" i="6"/>
  <c r="AB503" i="6" s="1"/>
  <c r="AX503" i="6" l="1"/>
  <c r="AY503" i="6" l="1"/>
  <c r="BH503" i="6"/>
  <c r="BA503" i="6" l="1"/>
  <c r="BL503" i="6" s="1"/>
  <c r="BC503" i="6"/>
  <c r="BN503" i="6" s="1"/>
  <c r="BB503" i="6"/>
  <c r="BM503" i="6" s="1"/>
  <c r="AZ503" i="6"/>
  <c r="BG503" i="6"/>
  <c r="BR503" i="6" s="1"/>
  <c r="BF503" i="6"/>
  <c r="BQ503" i="6" s="1"/>
  <c r="BE503" i="6"/>
  <c r="BP503" i="6" s="1"/>
  <c r="BD503" i="6"/>
  <c r="BO503" i="6" s="1"/>
  <c r="BI503" i="6"/>
  <c r="BJ503" i="6" s="1"/>
  <c r="BT503" i="6" l="1"/>
  <c r="BV503" i="6"/>
  <c r="BU503" i="6"/>
  <c r="BZ503" i="6"/>
  <c r="BY503" i="6"/>
  <c r="BX503" i="6"/>
  <c r="BW503" i="6"/>
  <c r="BK503" i="6"/>
  <c r="BS503" i="6" l="1"/>
  <c r="CA503" i="6"/>
  <c r="CI503" i="6" l="1"/>
  <c r="CB503" i="6" s="1"/>
  <c r="AG504" i="6"/>
  <c r="AH504" i="6" l="1"/>
  <c r="CJ503" i="6"/>
  <c r="CC503" i="6" s="1"/>
  <c r="AO504" i="6"/>
  <c r="Q504" i="6"/>
  <c r="R504" i="6" s="1"/>
  <c r="S504" i="6" s="1"/>
  <c r="AP504" i="6" l="1"/>
  <c r="AI504" i="6"/>
  <c r="CK503" i="6"/>
  <c r="CD503" i="6" s="1"/>
  <c r="W504" i="6" l="1"/>
  <c r="Z504" i="6" s="1"/>
  <c r="AQ504" i="6"/>
  <c r="CL503" i="6"/>
  <c r="CE503" i="6" s="1"/>
  <c r="AJ504" i="6"/>
  <c r="CM503" i="6" l="1"/>
  <c r="CF503" i="6" s="1"/>
  <c r="AK504" i="6"/>
  <c r="AR504" i="6"/>
  <c r="AC504" i="6"/>
  <c r="AL504" i="6" l="1"/>
  <c r="CN503" i="6"/>
  <c r="CG503" i="6" s="1"/>
  <c r="AS504" i="6"/>
  <c r="AT504" i="6" l="1"/>
  <c r="AM504" i="6"/>
  <c r="CO503" i="6"/>
  <c r="CH503" i="6" s="1"/>
  <c r="X504" i="6" l="1"/>
  <c r="AU504" i="6"/>
  <c r="CP503" i="6"/>
  <c r="T503" i="6" s="1"/>
  <c r="AN504" i="6"/>
  <c r="AA504" i="6" l="1"/>
  <c r="Y504" i="6"/>
  <c r="AB504" i="6" s="1"/>
  <c r="AV504" i="6"/>
  <c r="AW504" i="6" s="1"/>
  <c r="AX504" i="6" l="1"/>
  <c r="BH504" i="6" l="1"/>
  <c r="AY504" i="6"/>
  <c r="BI504" i="6" l="1"/>
  <c r="BJ504" i="6" s="1"/>
  <c r="BK504" i="6" s="1"/>
  <c r="BA504" i="6"/>
  <c r="BL504" i="6" s="1"/>
  <c r="AZ504" i="6"/>
  <c r="BB504" i="6"/>
  <c r="BM504" i="6" s="1"/>
  <c r="BC504" i="6"/>
  <c r="BN504" i="6" s="1"/>
  <c r="BD504" i="6"/>
  <c r="BO504" i="6" s="1"/>
  <c r="BE504" i="6"/>
  <c r="BP504" i="6" s="1"/>
  <c r="BF504" i="6"/>
  <c r="BQ504" i="6" s="1"/>
  <c r="BG504" i="6"/>
  <c r="BR504" i="6" s="1"/>
  <c r="BT504" i="6" l="1"/>
  <c r="BS504" i="6"/>
  <c r="CA504" i="6" s="1"/>
  <c r="BU504" i="6"/>
  <c r="BV504" i="6"/>
  <c r="BW504" i="6"/>
  <c r="BX504" i="6"/>
  <c r="BY504" i="6"/>
  <c r="BZ504" i="6"/>
  <c r="AG505" i="6" l="1"/>
  <c r="CI504" i="6"/>
  <c r="CB504" i="6" s="1"/>
  <c r="AO505" i="6" l="1"/>
  <c r="Q505" i="6"/>
  <c r="R505" i="6" s="1"/>
  <c r="S505" i="6" s="1"/>
  <c r="AH505" i="6"/>
  <c r="CJ504" i="6"/>
  <c r="CC504" i="6" s="1"/>
  <c r="AP505" i="6" l="1"/>
  <c r="AI505" i="6"/>
  <c r="CK504" i="6"/>
  <c r="CD504" i="6" s="1"/>
  <c r="AQ505" i="6" l="1"/>
  <c r="AJ505" i="6"/>
  <c r="W505" i="6" s="1"/>
  <c r="Z505" i="6" s="1"/>
  <c r="CL504" i="6"/>
  <c r="CE504" i="6" s="1"/>
  <c r="AR505" i="6" l="1"/>
  <c r="AC505" i="6"/>
  <c r="CM504" i="6"/>
  <c r="CF504" i="6" s="1"/>
  <c r="AK505" i="6"/>
  <c r="AL505" i="6" l="1"/>
  <c r="CN504" i="6"/>
  <c r="CG504" i="6" s="1"/>
  <c r="AS505" i="6"/>
  <c r="AT505" i="6" l="1"/>
  <c r="AM505" i="6"/>
  <c r="CO504" i="6"/>
  <c r="CH504" i="6" s="1"/>
  <c r="X505" i="6" l="1"/>
  <c r="AU505" i="6"/>
  <c r="CP504" i="6"/>
  <c r="T504" i="6" s="1"/>
  <c r="AN505" i="6"/>
  <c r="AA505" i="6" l="1"/>
  <c r="Y505" i="6"/>
  <c r="AB505" i="6" s="1"/>
  <c r="AV505" i="6"/>
  <c r="AW505" i="6" s="1"/>
  <c r="AX505" i="6" l="1"/>
  <c r="AY505" i="6" l="1"/>
  <c r="BH505" i="6"/>
  <c r="BA505" i="6" l="1"/>
  <c r="BL505" i="6" s="1"/>
  <c r="AZ505" i="6"/>
  <c r="BG505" i="6"/>
  <c r="BR505" i="6" s="1"/>
  <c r="BF505" i="6"/>
  <c r="BQ505" i="6" s="1"/>
  <c r="BE505" i="6"/>
  <c r="BP505" i="6" s="1"/>
  <c r="BD505" i="6"/>
  <c r="BO505" i="6" s="1"/>
  <c r="BC505" i="6"/>
  <c r="BN505" i="6" s="1"/>
  <c r="BB505" i="6"/>
  <c r="BM505" i="6" s="1"/>
  <c r="BI505" i="6"/>
  <c r="BJ505" i="6" s="1"/>
  <c r="BK505" i="6" s="1"/>
  <c r="BT505" i="6" l="1"/>
  <c r="BS505" i="6"/>
  <c r="CA505" i="6" s="1"/>
  <c r="BZ505" i="6"/>
  <c r="BY505" i="6"/>
  <c r="BX505" i="6"/>
  <c r="BW505" i="6"/>
  <c r="BV505" i="6"/>
  <c r="BU505" i="6"/>
  <c r="CI505" i="6" l="1"/>
  <c r="CB505" i="6" s="1"/>
  <c r="AG506" i="6"/>
  <c r="AH506" i="6" l="1"/>
  <c r="CJ505" i="6"/>
  <c r="CC505" i="6" s="1"/>
  <c r="AO506" i="6"/>
  <c r="Q506" i="6"/>
  <c r="R506" i="6" s="1"/>
  <c r="S506" i="6" s="1"/>
  <c r="AP506" i="6" l="1"/>
  <c r="AI506" i="6"/>
  <c r="CK505" i="6"/>
  <c r="CD505" i="6" s="1"/>
  <c r="AQ506" i="6" l="1"/>
  <c r="AJ506" i="6"/>
  <c r="W506" i="6" s="1"/>
  <c r="Z506" i="6" s="1"/>
  <c r="CL505" i="6"/>
  <c r="CE505" i="6" s="1"/>
  <c r="AR506" i="6" l="1"/>
  <c r="AC506" i="6"/>
  <c r="CM505" i="6"/>
  <c r="CF505" i="6" s="1"/>
  <c r="AK506" i="6"/>
  <c r="CN505" i="6" l="1"/>
  <c r="CG505" i="6" s="1"/>
  <c r="AL506" i="6"/>
  <c r="AS506" i="6"/>
  <c r="CO505" i="6" l="1"/>
  <c r="CH505" i="6" s="1"/>
  <c r="AM506" i="6"/>
  <c r="AT506" i="6"/>
  <c r="CP505" i="6" l="1"/>
  <c r="T505" i="6" s="1"/>
  <c r="AN506" i="6"/>
  <c r="X506" i="6"/>
  <c r="AU506" i="6"/>
  <c r="AV506" i="6" l="1"/>
  <c r="AW506" i="6" s="1"/>
  <c r="AA506" i="6"/>
  <c r="Y506" i="6"/>
  <c r="AB506" i="6" s="1"/>
  <c r="AX506" i="6"/>
  <c r="BH506" i="6" l="1"/>
  <c r="AY506" i="6"/>
  <c r="BI506" i="6" l="1"/>
  <c r="BJ506" i="6" s="1"/>
  <c r="BK506" i="6" s="1"/>
  <c r="BA506" i="6"/>
  <c r="BL506" i="6" s="1"/>
  <c r="BG506" i="6"/>
  <c r="BR506" i="6" s="1"/>
  <c r="BC506" i="6"/>
  <c r="BN506" i="6" s="1"/>
  <c r="AZ506" i="6"/>
  <c r="BD506" i="6"/>
  <c r="BO506" i="6" s="1"/>
  <c r="BE506" i="6"/>
  <c r="BP506" i="6" s="1"/>
  <c r="BF506" i="6"/>
  <c r="BQ506" i="6" s="1"/>
  <c r="BB506" i="6"/>
  <c r="BM506" i="6" s="1"/>
  <c r="BT506" i="6" l="1"/>
  <c r="BZ506" i="6"/>
  <c r="BV506" i="6"/>
  <c r="BS506" i="6"/>
  <c r="CA506" i="6" s="1"/>
  <c r="BW506" i="6"/>
  <c r="BX506" i="6"/>
  <c r="BY506" i="6"/>
  <c r="BU506" i="6"/>
  <c r="AG507" i="6" l="1"/>
  <c r="CI506" i="6"/>
  <c r="CB506" i="6" s="1"/>
  <c r="AO507" i="6" l="1"/>
  <c r="Q507" i="6"/>
  <c r="R507" i="6" s="1"/>
  <c r="S507" i="6" s="1"/>
  <c r="AH507" i="6"/>
  <c r="CJ506" i="6"/>
  <c r="CC506" i="6" s="1"/>
  <c r="AP507" i="6" l="1"/>
  <c r="AI507" i="6"/>
  <c r="CK506" i="6"/>
  <c r="CD506" i="6" s="1"/>
  <c r="AQ507" i="6" l="1"/>
  <c r="AJ507" i="6"/>
  <c r="W507" i="6" s="1"/>
  <c r="Z507" i="6" s="1"/>
  <c r="CL506" i="6"/>
  <c r="CE506" i="6" s="1"/>
  <c r="AR507" i="6" l="1"/>
  <c r="AC507" i="6"/>
  <c r="CM506" i="6"/>
  <c r="CF506" i="6" s="1"/>
  <c r="AK507" i="6"/>
  <c r="AL507" i="6" l="1"/>
  <c r="CN506" i="6"/>
  <c r="CG506" i="6" s="1"/>
  <c r="AS507" i="6"/>
  <c r="AT507" i="6" l="1"/>
  <c r="CO506" i="6"/>
  <c r="CH506" i="6" s="1"/>
  <c r="AM507" i="6"/>
  <c r="AN507" i="6" l="1"/>
  <c r="X507" i="6" s="1"/>
  <c r="CP506" i="6"/>
  <c r="T506" i="6" s="1"/>
  <c r="AU507" i="6"/>
  <c r="AV507" i="6" l="1"/>
  <c r="AW507" i="6" s="1"/>
  <c r="AA507" i="6"/>
  <c r="Y507" i="6"/>
  <c r="AB507" i="6" s="1"/>
  <c r="AX507" i="6" l="1"/>
  <c r="BH507" i="6" l="1"/>
  <c r="AY507" i="6"/>
  <c r="BI507" i="6" l="1"/>
  <c r="BJ507" i="6" s="1"/>
  <c r="BA507" i="6"/>
  <c r="BL507" i="6" s="1"/>
  <c r="BD507" i="6"/>
  <c r="BO507" i="6" s="1"/>
  <c r="BE507" i="6"/>
  <c r="BP507" i="6" s="1"/>
  <c r="BF507" i="6"/>
  <c r="BQ507" i="6" s="1"/>
  <c r="BG507" i="6"/>
  <c r="BR507" i="6" s="1"/>
  <c r="AZ507" i="6"/>
  <c r="BB507" i="6"/>
  <c r="BM507" i="6" s="1"/>
  <c r="BC507" i="6"/>
  <c r="BN507" i="6" s="1"/>
  <c r="BT507" i="6" l="1"/>
  <c r="BW507" i="6"/>
  <c r="BX507" i="6"/>
  <c r="BY507" i="6"/>
  <c r="BZ507" i="6"/>
  <c r="BU507" i="6"/>
  <c r="BV507" i="6"/>
  <c r="BK507" i="6"/>
  <c r="BS507" i="6" l="1"/>
  <c r="CA507" i="6" s="1"/>
  <c r="CI507" i="6" l="1"/>
  <c r="CB507" i="6" s="1"/>
  <c r="AG508" i="6"/>
  <c r="AO508" i="6" l="1"/>
  <c r="Q508" i="6"/>
  <c r="R508" i="6" s="1"/>
  <c r="S508" i="6" s="1"/>
  <c r="AH508" i="6"/>
  <c r="CJ507" i="6"/>
  <c r="CC507" i="6" s="1"/>
  <c r="AP508" i="6" l="1"/>
  <c r="AI508" i="6"/>
  <c r="CK507" i="6"/>
  <c r="CD507" i="6" s="1"/>
  <c r="W508" i="6" l="1"/>
  <c r="Z508" i="6" s="1"/>
  <c r="AQ508" i="6"/>
  <c r="AJ508" i="6"/>
  <c r="CL507" i="6"/>
  <c r="CE507" i="6" s="1"/>
  <c r="AR508" i="6" l="1"/>
  <c r="AC508" i="6"/>
  <c r="CM507" i="6"/>
  <c r="CF507" i="6" s="1"/>
  <c r="AK508" i="6"/>
  <c r="AL508" i="6" l="1"/>
  <c r="CN507" i="6"/>
  <c r="CG507" i="6" s="1"/>
  <c r="AS508" i="6"/>
  <c r="AT508" i="6" l="1"/>
  <c r="CO507" i="6"/>
  <c r="CH507" i="6" s="1"/>
  <c r="AM508" i="6"/>
  <c r="AN508" i="6" l="1"/>
  <c r="X508" i="6" s="1"/>
  <c r="CP507" i="6"/>
  <c r="T507" i="6" s="1"/>
  <c r="AU508" i="6"/>
  <c r="AV508" i="6" l="1"/>
  <c r="AW508" i="6" s="1"/>
  <c r="AA508" i="6"/>
  <c r="Y508" i="6"/>
  <c r="AB508" i="6" s="1"/>
  <c r="AX508" i="6" l="1"/>
  <c r="BH508" i="6" l="1"/>
  <c r="AY508" i="6"/>
  <c r="BI508" i="6" l="1"/>
  <c r="BJ508" i="6" s="1"/>
  <c r="AZ508" i="6"/>
  <c r="BA508" i="6"/>
  <c r="BL508" i="6" s="1"/>
  <c r="BC508" i="6"/>
  <c r="BN508" i="6" s="1"/>
  <c r="BE508" i="6"/>
  <c r="BP508" i="6" s="1"/>
  <c r="BG508" i="6"/>
  <c r="BR508" i="6" s="1"/>
  <c r="BB508" i="6"/>
  <c r="BM508" i="6" s="1"/>
  <c r="BD508" i="6"/>
  <c r="BO508" i="6" s="1"/>
  <c r="BF508" i="6"/>
  <c r="BQ508" i="6" s="1"/>
  <c r="BT508" i="6" l="1"/>
  <c r="BV508" i="6"/>
  <c r="BX508" i="6"/>
  <c r="BZ508" i="6"/>
  <c r="BU508" i="6"/>
  <c r="BW508" i="6"/>
  <c r="BY508" i="6"/>
  <c r="BK508" i="6"/>
  <c r="BS508" i="6" l="1"/>
  <c r="CA508" i="6" s="1"/>
  <c r="CI508" i="6" l="1"/>
  <c r="CB508" i="6" s="1"/>
  <c r="AG509" i="6"/>
  <c r="AO509" i="6" l="1"/>
  <c r="Q509" i="6"/>
  <c r="R509" i="6" s="1"/>
  <c r="S509" i="6" s="1"/>
  <c r="AH509" i="6"/>
  <c r="CJ508" i="6"/>
  <c r="CC508" i="6" s="1"/>
  <c r="AP509" i="6" l="1"/>
  <c r="CK508" i="6"/>
  <c r="CD508" i="6" s="1"/>
  <c r="AI509" i="6"/>
  <c r="AJ509" i="6" l="1"/>
  <c r="CL508" i="6"/>
  <c r="CE508" i="6" s="1"/>
  <c r="W509" i="6"/>
  <c r="Z509" i="6" s="1"/>
  <c r="AQ509" i="6"/>
  <c r="AR509" i="6" l="1"/>
  <c r="AC509" i="6"/>
  <c r="CM508" i="6"/>
  <c r="CF508" i="6" s="1"/>
  <c r="AK509" i="6"/>
  <c r="AL509" i="6" l="1"/>
  <c r="CN508" i="6"/>
  <c r="CG508" i="6" s="1"/>
  <c r="AS509" i="6"/>
  <c r="AT509" i="6" l="1"/>
  <c r="AM509" i="6"/>
  <c r="CO508" i="6"/>
  <c r="CH508" i="6" s="1"/>
  <c r="X509" i="6" l="1"/>
  <c r="AU509" i="6"/>
  <c r="CP508" i="6"/>
  <c r="T508" i="6" s="1"/>
  <c r="AN509" i="6"/>
  <c r="AA509" i="6" l="1"/>
  <c r="Y509" i="6"/>
  <c r="AB509" i="6" s="1"/>
  <c r="AV509" i="6"/>
  <c r="AW509" i="6" s="1"/>
  <c r="AX509" i="6" l="1"/>
  <c r="BH509" i="6" l="1"/>
  <c r="AY509" i="6"/>
  <c r="BI509" i="6" l="1"/>
  <c r="BJ509" i="6" s="1"/>
  <c r="BK509" i="6" s="1"/>
  <c r="AZ509" i="6"/>
  <c r="BA509" i="6"/>
  <c r="BL509" i="6" s="1"/>
  <c r="BB509" i="6"/>
  <c r="BM509" i="6" s="1"/>
  <c r="BC509" i="6"/>
  <c r="BN509" i="6" s="1"/>
  <c r="BD509" i="6"/>
  <c r="BO509" i="6" s="1"/>
  <c r="BE509" i="6"/>
  <c r="BP509" i="6" s="1"/>
  <c r="BF509" i="6"/>
  <c r="BQ509" i="6" s="1"/>
  <c r="BG509" i="6"/>
  <c r="BR509" i="6" s="1"/>
  <c r="BS509" i="6" l="1"/>
  <c r="CA509" i="6"/>
  <c r="BT509" i="6"/>
  <c r="BU509" i="6"/>
  <c r="BV509" i="6"/>
  <c r="BW509" i="6"/>
  <c r="BX509" i="6"/>
  <c r="BY509" i="6"/>
  <c r="BZ509" i="6"/>
  <c r="CI509" i="6" l="1"/>
  <c r="CB509" i="6" s="1"/>
  <c r="AG510" i="6"/>
  <c r="CJ509" i="6"/>
  <c r="CC509" i="6" s="1"/>
  <c r="AH510" i="6"/>
  <c r="AI510" i="6"/>
  <c r="CK509" i="6"/>
  <c r="CD509" i="6" s="1"/>
  <c r="CL509" i="6" s="1"/>
  <c r="CE509" i="6" s="1"/>
  <c r="AJ510" i="6"/>
  <c r="AO510" i="6" l="1"/>
  <c r="Q510" i="6"/>
  <c r="R510" i="6" s="1"/>
  <c r="S510" i="6" s="1"/>
  <c r="W510" i="6"/>
  <c r="Z510" i="6" s="1"/>
  <c r="AP510" i="6"/>
  <c r="AQ510" i="6"/>
  <c r="AR510" i="6"/>
  <c r="AC510" i="6"/>
  <c r="CM509" i="6"/>
  <c r="CF509" i="6" s="1"/>
  <c r="AK510" i="6"/>
  <c r="AL510" i="6" l="1"/>
  <c r="CN509" i="6"/>
  <c r="CG509" i="6" s="1"/>
  <c r="AS510" i="6"/>
  <c r="AT510" i="6" l="1"/>
  <c r="AM510" i="6"/>
  <c r="CO509" i="6"/>
  <c r="CH509" i="6" s="1"/>
  <c r="X510" i="6" l="1"/>
  <c r="AU510" i="6"/>
  <c r="CP509" i="6"/>
  <c r="T509" i="6" s="1"/>
  <c r="AN510" i="6"/>
  <c r="AA510" i="6" l="1"/>
  <c r="Y510" i="6"/>
  <c r="AB510" i="6" s="1"/>
  <c r="AV510" i="6"/>
  <c r="AW510" i="6" s="1"/>
  <c r="AX510" i="6" l="1"/>
  <c r="AY510" i="6" l="1"/>
  <c r="BH510" i="6"/>
  <c r="AZ510" i="6" l="1"/>
  <c r="BC510" i="6"/>
  <c r="BN510" i="6" s="1"/>
  <c r="BE510" i="6"/>
  <c r="BP510" i="6" s="1"/>
  <c r="BG510" i="6"/>
  <c r="BR510" i="6" s="1"/>
  <c r="BA510" i="6"/>
  <c r="BL510" i="6" s="1"/>
  <c r="BB510" i="6"/>
  <c r="BM510" i="6" s="1"/>
  <c r="BD510" i="6"/>
  <c r="BO510" i="6" s="1"/>
  <c r="BF510" i="6"/>
  <c r="BQ510" i="6" s="1"/>
  <c r="BI510" i="6"/>
  <c r="BJ510" i="6" s="1"/>
  <c r="BV510" i="6" l="1"/>
  <c r="BX510" i="6"/>
  <c r="BZ510" i="6"/>
  <c r="BT510" i="6"/>
  <c r="BU510" i="6"/>
  <c r="BW510" i="6"/>
  <c r="BY510" i="6"/>
  <c r="BK510" i="6"/>
  <c r="BS510" i="6" l="1"/>
  <c r="CA510" i="6" s="1"/>
  <c r="CI510" i="6" l="1"/>
  <c r="CB510" i="6" s="1"/>
  <c r="AG511" i="6"/>
  <c r="CJ510" i="6" l="1"/>
  <c r="CC510" i="6" s="1"/>
  <c r="AH511" i="6"/>
  <c r="AO511" i="6"/>
  <c r="Q511" i="6"/>
  <c r="R511" i="6" s="1"/>
  <c r="S511" i="6" s="1"/>
  <c r="AI511" i="6" l="1"/>
  <c r="CK510" i="6"/>
  <c r="CD510" i="6" s="1"/>
  <c r="AP511" i="6"/>
  <c r="W511" i="6" l="1"/>
  <c r="Z511" i="6" s="1"/>
  <c r="AQ511" i="6"/>
  <c r="AJ511" i="6"/>
  <c r="CL510" i="6"/>
  <c r="CE510" i="6" s="1"/>
  <c r="AR511" i="6" l="1"/>
  <c r="AC511" i="6"/>
  <c r="CM510" i="6"/>
  <c r="CF510" i="6" s="1"/>
  <c r="AK511" i="6"/>
  <c r="CN510" i="6" l="1"/>
  <c r="CG510" i="6" s="1"/>
  <c r="AL511" i="6"/>
  <c r="AS511" i="6"/>
  <c r="AM511" i="6" l="1"/>
  <c r="CO510" i="6"/>
  <c r="CH510" i="6" s="1"/>
  <c r="AT511" i="6"/>
  <c r="X511" i="6" l="1"/>
  <c r="AU511" i="6"/>
  <c r="AN511" i="6"/>
  <c r="CP510" i="6"/>
  <c r="T510" i="6" s="1"/>
  <c r="AA511" i="6" l="1"/>
  <c r="Y511" i="6"/>
  <c r="AB511" i="6" s="1"/>
  <c r="AV511" i="6"/>
  <c r="AW511" i="6" s="1"/>
  <c r="AX511" i="6" l="1"/>
  <c r="BH511" i="6" l="1"/>
  <c r="AY511" i="6"/>
  <c r="BI511" i="6" l="1"/>
  <c r="BJ511" i="6" s="1"/>
  <c r="BK511" i="6" s="1"/>
  <c r="BB511" i="6"/>
  <c r="BM511" i="6" s="1"/>
  <c r="BD511" i="6"/>
  <c r="BO511" i="6" s="1"/>
  <c r="BE511" i="6"/>
  <c r="BP511" i="6" s="1"/>
  <c r="BF511" i="6"/>
  <c r="BQ511" i="6" s="1"/>
  <c r="BG511" i="6"/>
  <c r="BR511" i="6" s="1"/>
  <c r="AZ511" i="6"/>
  <c r="BA511" i="6"/>
  <c r="BL511" i="6" s="1"/>
  <c r="BC511" i="6"/>
  <c r="BN511" i="6" s="1"/>
  <c r="BU511" i="6" l="1"/>
  <c r="BW511" i="6"/>
  <c r="BX511" i="6"/>
  <c r="BY511" i="6"/>
  <c r="BZ511" i="6"/>
  <c r="CA511" i="6"/>
  <c r="BS511" i="6"/>
  <c r="BT511" i="6"/>
  <c r="BV511" i="6"/>
  <c r="AG512" i="6" l="1"/>
  <c r="CI511" i="6"/>
  <c r="CB511" i="6" s="1"/>
  <c r="AO512" i="6" l="1"/>
  <c r="Q512" i="6"/>
  <c r="R512" i="6" s="1"/>
  <c r="S512" i="6" s="1"/>
  <c r="CJ511" i="6"/>
  <c r="CC511" i="6" s="1"/>
  <c r="AH512" i="6"/>
  <c r="CK511" i="6" l="1"/>
  <c r="CD511" i="6" s="1"/>
  <c r="AI512" i="6"/>
  <c r="AP512" i="6"/>
  <c r="AJ512" i="6" l="1"/>
  <c r="CL511" i="6"/>
  <c r="CE511" i="6" s="1"/>
  <c r="W512" i="6"/>
  <c r="Z512" i="6" s="1"/>
  <c r="AQ512" i="6"/>
  <c r="AR512" i="6" l="1"/>
  <c r="AC512" i="6"/>
  <c r="CM511" i="6"/>
  <c r="CF511" i="6" s="1"/>
  <c r="AK512" i="6"/>
  <c r="AL512" i="6" l="1"/>
  <c r="CN511" i="6"/>
  <c r="CG511" i="6" s="1"/>
  <c r="AS512" i="6"/>
  <c r="AT512" i="6" l="1"/>
  <c r="AM512" i="6"/>
  <c r="CO511" i="6"/>
  <c r="CH511" i="6" s="1"/>
  <c r="X512" i="6" l="1"/>
  <c r="AU512" i="6"/>
  <c r="CP511" i="6"/>
  <c r="T511" i="6" s="1"/>
  <c r="AN512" i="6"/>
  <c r="AA512" i="6" l="1"/>
  <c r="Y512" i="6"/>
  <c r="AB512" i="6" s="1"/>
  <c r="AV512" i="6"/>
  <c r="AW512" i="6" s="1"/>
  <c r="AX512" i="6" l="1"/>
  <c r="BH512" i="6" l="1"/>
  <c r="AY512" i="6"/>
  <c r="BI512" i="6" l="1"/>
  <c r="BJ512" i="6" s="1"/>
  <c r="BE512" i="6"/>
  <c r="BP512" i="6" s="1"/>
  <c r="AZ512" i="6"/>
  <c r="BA512" i="6"/>
  <c r="BL512" i="6" s="1"/>
  <c r="BB512" i="6"/>
  <c r="BM512" i="6" s="1"/>
  <c r="BC512" i="6"/>
  <c r="BN512" i="6" s="1"/>
  <c r="BF512" i="6"/>
  <c r="BQ512" i="6" s="1"/>
  <c r="BG512" i="6"/>
  <c r="BR512" i="6" s="1"/>
  <c r="BD512" i="6"/>
  <c r="BO512" i="6" s="1"/>
  <c r="BX512" i="6" l="1"/>
  <c r="BT512" i="6"/>
  <c r="BU512" i="6"/>
  <c r="BV512" i="6"/>
  <c r="BY512" i="6"/>
  <c r="BZ512" i="6"/>
  <c r="BW512" i="6"/>
  <c r="BK512" i="6"/>
  <c r="BS512" i="6" l="1"/>
  <c r="CA512" i="6" s="1"/>
  <c r="CI512" i="6" l="1"/>
  <c r="CB512" i="6" s="1"/>
  <c r="AG513" i="6"/>
  <c r="AH513" i="6"/>
  <c r="CJ512" i="6"/>
  <c r="CC512" i="6" s="1"/>
  <c r="AO513" i="6" l="1"/>
  <c r="Q513" i="6"/>
  <c r="R513" i="6" s="1"/>
  <c r="S513" i="6" s="1"/>
  <c r="AP513" i="6"/>
  <c r="AI513" i="6"/>
  <c r="CK512" i="6"/>
  <c r="CD512" i="6" s="1"/>
  <c r="AQ513" i="6" l="1"/>
  <c r="CL512" i="6"/>
  <c r="CE512" i="6" s="1"/>
  <c r="AJ513" i="6"/>
  <c r="AK513" i="6" l="1"/>
  <c r="CM512" i="6"/>
  <c r="CF512" i="6" s="1"/>
  <c r="W513" i="6"/>
  <c r="Z513" i="6" s="1"/>
  <c r="AR513" i="6"/>
  <c r="AC513" i="6"/>
  <c r="AS513" i="6" l="1"/>
  <c r="AL513" i="6"/>
  <c r="CN512" i="6"/>
  <c r="CG512" i="6" s="1"/>
  <c r="AT513" i="6" l="1"/>
  <c r="AM513" i="6"/>
  <c r="CO512" i="6"/>
  <c r="CH512" i="6" s="1"/>
  <c r="X513" i="6" l="1"/>
  <c r="AU513" i="6"/>
  <c r="CP512" i="6"/>
  <c r="T512" i="6" s="1"/>
  <c r="AN513" i="6"/>
  <c r="AA513" i="6" l="1"/>
  <c r="Y513" i="6"/>
  <c r="AB513" i="6" s="1"/>
  <c r="AV513" i="6"/>
  <c r="AW513" i="6" s="1"/>
  <c r="AX513" i="6" l="1"/>
  <c r="AY513" i="6" l="1"/>
  <c r="BH513" i="6"/>
  <c r="AZ513" i="6" l="1"/>
  <c r="BA513" i="6"/>
  <c r="BL513" i="6" s="1"/>
  <c r="BC513" i="6"/>
  <c r="BN513" i="6" s="1"/>
  <c r="BD513" i="6"/>
  <c r="BO513" i="6" s="1"/>
  <c r="BE513" i="6"/>
  <c r="BP513" i="6" s="1"/>
  <c r="BG513" i="6"/>
  <c r="BR513" i="6" s="1"/>
  <c r="BB513" i="6"/>
  <c r="BM513" i="6" s="1"/>
  <c r="BF513" i="6"/>
  <c r="BQ513" i="6" s="1"/>
  <c r="BI513" i="6"/>
  <c r="BJ513" i="6" s="1"/>
  <c r="BK513" i="6" s="1"/>
  <c r="BS513" i="6" l="1"/>
  <c r="CA513" i="6" s="1"/>
  <c r="BT513" i="6"/>
  <c r="BV513" i="6"/>
  <c r="BW513" i="6"/>
  <c r="BX513" i="6"/>
  <c r="BZ513" i="6"/>
  <c r="BU513" i="6"/>
  <c r="BY513" i="6"/>
  <c r="CI513" i="6" l="1"/>
  <c r="CB513" i="6" s="1"/>
  <c r="AH514" i="6" s="1"/>
  <c r="AG514" i="6"/>
  <c r="CJ513" i="6"/>
  <c r="CC513" i="6" s="1"/>
  <c r="AO514" i="6" l="1"/>
  <c r="Q514" i="6"/>
  <c r="R514" i="6" s="1"/>
  <c r="S514" i="6" s="1"/>
  <c r="AP514" i="6"/>
  <c r="AI514" i="6"/>
  <c r="CK513" i="6"/>
  <c r="CD513" i="6" s="1"/>
  <c r="AQ514" i="6" l="1"/>
  <c r="CL513" i="6"/>
  <c r="CE513" i="6" s="1"/>
  <c r="AJ514" i="6"/>
  <c r="AK514" i="6" l="1"/>
  <c r="CM513" i="6"/>
  <c r="CF513" i="6" s="1"/>
  <c r="W514" i="6"/>
  <c r="Z514" i="6" s="1"/>
  <c r="AR514" i="6"/>
  <c r="AC514" i="6"/>
  <c r="AS514" i="6" l="1"/>
  <c r="AL514" i="6"/>
  <c r="CN513" i="6"/>
  <c r="CG513" i="6" s="1"/>
  <c r="AT514" i="6" l="1"/>
  <c r="AM514" i="6"/>
  <c r="CO513" i="6"/>
  <c r="CH513" i="6" s="1"/>
  <c r="AU514" i="6" l="1"/>
  <c r="CP513" i="6"/>
  <c r="T513" i="6" s="1"/>
  <c r="AN514" i="6"/>
  <c r="X514" i="6" s="1"/>
  <c r="AA514" i="6" l="1"/>
  <c r="Y514" i="6"/>
  <c r="AB514" i="6" s="1"/>
  <c r="AV514" i="6"/>
  <c r="AW514" i="6" s="1"/>
  <c r="AX514" i="6" l="1"/>
  <c r="AY514" i="6" l="1"/>
  <c r="BH514" i="6"/>
  <c r="BC514" i="6" l="1"/>
  <c r="BN514" i="6" s="1"/>
  <c r="BE514" i="6"/>
  <c r="BP514" i="6" s="1"/>
  <c r="BG514" i="6"/>
  <c r="BR514" i="6" s="1"/>
  <c r="BF514" i="6"/>
  <c r="BQ514" i="6" s="1"/>
  <c r="BD514" i="6"/>
  <c r="BO514" i="6" s="1"/>
  <c r="AZ514" i="6"/>
  <c r="BA514" i="6"/>
  <c r="BL514" i="6" s="1"/>
  <c r="BB514" i="6"/>
  <c r="BM514" i="6" s="1"/>
  <c r="BI514" i="6"/>
  <c r="BJ514" i="6" s="1"/>
  <c r="BK514" i="6" s="1"/>
  <c r="BV514" i="6" l="1"/>
  <c r="BX514" i="6"/>
  <c r="BZ514" i="6"/>
  <c r="BY514" i="6"/>
  <c r="BW514" i="6"/>
  <c r="BS514" i="6"/>
  <c r="BT514" i="6"/>
  <c r="BU514" i="6"/>
  <c r="CA514" i="6" l="1"/>
  <c r="AG515" i="6" l="1"/>
  <c r="CI514" i="6"/>
  <c r="CB514" i="6" s="1"/>
  <c r="AH515" i="6"/>
  <c r="CJ514" i="6"/>
  <c r="CC514" i="6" s="1"/>
  <c r="AO515" i="6" l="1"/>
  <c r="Q515" i="6"/>
  <c r="R515" i="6" s="1"/>
  <c r="S515" i="6" s="1"/>
  <c r="AP515" i="6"/>
  <c r="AI515" i="6"/>
  <c r="CK514" i="6"/>
  <c r="CD514" i="6" s="1"/>
  <c r="AQ515" i="6" l="1"/>
  <c r="AJ515" i="6"/>
  <c r="CL514" i="6"/>
  <c r="CE514" i="6" s="1"/>
  <c r="W515" i="6" l="1"/>
  <c r="Z515" i="6" s="1"/>
  <c r="AR515" i="6"/>
  <c r="AC515" i="6"/>
  <c r="AK515" i="6"/>
  <c r="CM514" i="6"/>
  <c r="CF514" i="6" s="1"/>
  <c r="AS515" i="6" l="1"/>
  <c r="AL515" i="6"/>
  <c r="CN514" i="6"/>
  <c r="CG514" i="6" s="1"/>
  <c r="AT515" i="6" l="1"/>
  <c r="AM515" i="6"/>
  <c r="CO514" i="6"/>
  <c r="CH514" i="6" s="1"/>
  <c r="AU515" i="6" l="1"/>
  <c r="CP514" i="6"/>
  <c r="T514" i="6" s="1"/>
  <c r="AN515" i="6"/>
  <c r="X515" i="6" s="1"/>
  <c r="AA515" i="6" l="1"/>
  <c r="Y515" i="6"/>
  <c r="AB515" i="6" s="1"/>
  <c r="AV515" i="6"/>
  <c r="AW515" i="6" s="1"/>
  <c r="AX515" i="6" l="1"/>
  <c r="BH515" i="6" l="1"/>
  <c r="AY515" i="6"/>
  <c r="BI515" i="6" l="1"/>
  <c r="BJ515" i="6" s="1"/>
  <c r="AZ515" i="6"/>
  <c r="BG515" i="6"/>
  <c r="BR515" i="6" s="1"/>
  <c r="BF515" i="6"/>
  <c r="BQ515" i="6" s="1"/>
  <c r="BE515" i="6"/>
  <c r="BP515" i="6" s="1"/>
  <c r="BD515" i="6"/>
  <c r="BO515" i="6" s="1"/>
  <c r="BC515" i="6"/>
  <c r="BN515" i="6" s="1"/>
  <c r="BB515" i="6"/>
  <c r="BM515" i="6" s="1"/>
  <c r="BA515" i="6"/>
  <c r="BL515" i="6" s="1"/>
  <c r="BZ515" i="6" l="1"/>
  <c r="BY515" i="6"/>
  <c r="BX515" i="6"/>
  <c r="BW515" i="6"/>
  <c r="BV515" i="6"/>
  <c r="BU515" i="6"/>
  <c r="BT515" i="6"/>
  <c r="BK515" i="6"/>
  <c r="BS515" i="6" l="1"/>
  <c r="CA515" i="6" s="1"/>
  <c r="CI515" i="6" l="1"/>
  <c r="CB515" i="6" s="1"/>
  <c r="AG516" i="6"/>
  <c r="AH516" i="6"/>
  <c r="CJ515" i="6"/>
  <c r="CC515" i="6" s="1"/>
  <c r="AO516" i="6" l="1"/>
  <c r="Q516" i="6"/>
  <c r="R516" i="6" s="1"/>
  <c r="S516" i="6" s="1"/>
  <c r="AP516" i="6"/>
  <c r="AI516" i="6"/>
  <c r="CK515" i="6"/>
  <c r="CD515" i="6" s="1"/>
  <c r="AQ516" i="6" l="1"/>
  <c r="AJ516" i="6"/>
  <c r="CL515" i="6"/>
  <c r="CE515" i="6" s="1"/>
  <c r="W516" i="6" l="1"/>
  <c r="Z516" i="6" s="1"/>
  <c r="AR516" i="6"/>
  <c r="AC516" i="6"/>
  <c r="AK516" i="6"/>
  <c r="CM515" i="6"/>
  <c r="CF515" i="6" s="1"/>
  <c r="AS516" i="6" l="1"/>
  <c r="AL516" i="6"/>
  <c r="CN515" i="6"/>
  <c r="CG515" i="6" s="1"/>
  <c r="AT516" i="6" l="1"/>
  <c r="AM516" i="6"/>
  <c r="CO515" i="6"/>
  <c r="CH515" i="6" s="1"/>
  <c r="AU516" i="6" l="1"/>
  <c r="CP515" i="6"/>
  <c r="T515" i="6" s="1"/>
  <c r="AN516" i="6"/>
  <c r="X516" i="6" s="1"/>
  <c r="AA516" i="6" l="1"/>
  <c r="Y516" i="6"/>
  <c r="AB516" i="6" s="1"/>
  <c r="AV516" i="6"/>
  <c r="AW516" i="6" s="1"/>
  <c r="AX516" i="6" l="1"/>
  <c r="BH516" i="6" l="1"/>
  <c r="AY516" i="6"/>
  <c r="BI516" i="6" l="1"/>
  <c r="BJ516" i="6" s="1"/>
  <c r="BK516" i="6" s="1"/>
  <c r="AZ516" i="6"/>
  <c r="BG516" i="6"/>
  <c r="BR516" i="6" s="1"/>
  <c r="BF516" i="6"/>
  <c r="BQ516" i="6" s="1"/>
  <c r="BE516" i="6"/>
  <c r="BP516" i="6" s="1"/>
  <c r="BD516" i="6"/>
  <c r="BO516" i="6" s="1"/>
  <c r="BC516" i="6"/>
  <c r="BN516" i="6" s="1"/>
  <c r="BB516" i="6"/>
  <c r="BM516" i="6" s="1"/>
  <c r="BA516" i="6"/>
  <c r="BL516" i="6" s="1"/>
  <c r="BS516" i="6" l="1"/>
  <c r="CA516" i="6"/>
  <c r="BZ516" i="6"/>
  <c r="BY516" i="6"/>
  <c r="BX516" i="6"/>
  <c r="BW516" i="6"/>
  <c r="BV516" i="6"/>
  <c r="BU516" i="6"/>
  <c r="BT516" i="6"/>
  <c r="CI516" i="6" l="1"/>
  <c r="CB516" i="6" s="1"/>
  <c r="AG517" i="6"/>
  <c r="AO517" i="6" l="1"/>
  <c r="Q517" i="6"/>
  <c r="R517" i="6" s="1"/>
  <c r="S517" i="6" s="1"/>
  <c r="CJ516" i="6"/>
  <c r="CC516" i="6" s="1"/>
  <c r="AH517" i="6"/>
  <c r="CK516" i="6" l="1"/>
  <c r="CD516" i="6" s="1"/>
  <c r="AI517" i="6"/>
  <c r="AP517" i="6"/>
  <c r="AJ517" i="6" l="1"/>
  <c r="CL516" i="6"/>
  <c r="CE516" i="6" s="1"/>
  <c r="W517" i="6"/>
  <c r="Z517" i="6" s="1"/>
  <c r="AQ517" i="6"/>
  <c r="AR517" i="6" l="1"/>
  <c r="AC517" i="6"/>
  <c r="AK517" i="6"/>
  <c r="CM516" i="6"/>
  <c r="CF516" i="6" s="1"/>
  <c r="AS517" i="6" l="1"/>
  <c r="AL517" i="6"/>
  <c r="CN516" i="6"/>
  <c r="CG516" i="6" s="1"/>
  <c r="AT517" i="6" l="1"/>
  <c r="AM517" i="6"/>
  <c r="CO516" i="6"/>
  <c r="CH516" i="6" s="1"/>
  <c r="X517" i="6" l="1"/>
  <c r="AU517" i="6"/>
  <c r="CP516" i="6"/>
  <c r="T516" i="6" s="1"/>
  <c r="AN517" i="6"/>
  <c r="AA517" i="6" l="1"/>
  <c r="Y517" i="6"/>
  <c r="AB517" i="6" s="1"/>
  <c r="AV517" i="6"/>
  <c r="AW517" i="6" s="1"/>
  <c r="AX517" i="6" l="1"/>
  <c r="AY517" i="6" l="1"/>
  <c r="BH517" i="6"/>
  <c r="BF517" i="6" l="1"/>
  <c r="BQ517" i="6" s="1"/>
  <c r="BD517" i="6"/>
  <c r="BO517" i="6" s="1"/>
  <c r="BC517" i="6"/>
  <c r="BN517" i="6" s="1"/>
  <c r="BB517" i="6"/>
  <c r="BM517" i="6" s="1"/>
  <c r="BA517" i="6"/>
  <c r="BL517" i="6" s="1"/>
  <c r="AZ517" i="6"/>
  <c r="BG517" i="6"/>
  <c r="BR517" i="6" s="1"/>
  <c r="BE517" i="6"/>
  <c r="BP517" i="6" s="1"/>
  <c r="BI517" i="6"/>
  <c r="BJ517" i="6" s="1"/>
  <c r="BY517" i="6" l="1"/>
  <c r="BW517" i="6"/>
  <c r="BV517" i="6"/>
  <c r="BU517" i="6"/>
  <c r="BT517" i="6"/>
  <c r="BZ517" i="6"/>
  <c r="BX517" i="6"/>
  <c r="BK517" i="6"/>
  <c r="BS517" i="6" l="1"/>
  <c r="CA517" i="6" s="1"/>
  <c r="CI517" i="6" l="1"/>
  <c r="CB517" i="6" s="1"/>
  <c r="AG518" i="6"/>
  <c r="CJ517" i="6" l="1"/>
  <c r="CC517" i="6" s="1"/>
  <c r="AH518" i="6"/>
  <c r="AO518" i="6"/>
  <c r="Q518" i="6"/>
  <c r="R518" i="6" s="1"/>
  <c r="S518" i="6" s="1"/>
  <c r="AI518" i="6" l="1"/>
  <c r="CK517" i="6"/>
  <c r="CD517" i="6" s="1"/>
  <c r="AP518" i="6"/>
  <c r="AQ518" i="6" l="1"/>
  <c r="AJ518" i="6"/>
  <c r="W518" i="6" s="1"/>
  <c r="Z518" i="6" s="1"/>
  <c r="CL517" i="6"/>
  <c r="CE517" i="6" s="1"/>
  <c r="AR518" i="6" l="1"/>
  <c r="AC518" i="6"/>
  <c r="AK518" i="6"/>
  <c r="CM517" i="6"/>
  <c r="CF517" i="6" s="1"/>
  <c r="AS518" i="6" l="1"/>
  <c r="AL518" i="6"/>
  <c r="CN517" i="6"/>
  <c r="CG517" i="6" s="1"/>
  <c r="AT518" i="6" l="1"/>
  <c r="AM518" i="6"/>
  <c r="CO517" i="6"/>
  <c r="CH517" i="6" s="1"/>
  <c r="X518" i="6" l="1"/>
  <c r="AU518" i="6"/>
  <c r="CP517" i="6"/>
  <c r="T517" i="6" s="1"/>
  <c r="AN518" i="6"/>
  <c r="AA518" i="6" l="1"/>
  <c r="Y518" i="6"/>
  <c r="AB518" i="6" s="1"/>
  <c r="AV518" i="6"/>
  <c r="AW518" i="6" s="1"/>
  <c r="AX518" i="6" l="1"/>
  <c r="AY518" i="6" l="1"/>
  <c r="BH518" i="6"/>
  <c r="AZ518" i="6" l="1"/>
  <c r="BG518" i="6"/>
  <c r="BR518" i="6" s="1"/>
  <c r="BF518" i="6"/>
  <c r="BQ518" i="6" s="1"/>
  <c r="BE518" i="6"/>
  <c r="BP518" i="6" s="1"/>
  <c r="BD518" i="6"/>
  <c r="BO518" i="6" s="1"/>
  <c r="BC518" i="6"/>
  <c r="BN518" i="6" s="1"/>
  <c r="BB518" i="6"/>
  <c r="BM518" i="6" s="1"/>
  <c r="BA518" i="6"/>
  <c r="BL518" i="6" s="1"/>
  <c r="BI518" i="6"/>
  <c r="BJ518" i="6" s="1"/>
  <c r="BK518" i="6" s="1"/>
  <c r="BS518" i="6" l="1"/>
  <c r="CA518" i="6"/>
  <c r="BZ518" i="6"/>
  <c r="BY518" i="6"/>
  <c r="BX518" i="6"/>
  <c r="BW518" i="6"/>
  <c r="BV518" i="6"/>
  <c r="BU518" i="6"/>
  <c r="BT518" i="6"/>
  <c r="AG519" i="6" l="1"/>
  <c r="CI518" i="6"/>
  <c r="CB518" i="6" s="1"/>
  <c r="AH519" i="6" s="1"/>
  <c r="CJ518" i="6"/>
  <c r="CC518" i="6" s="1"/>
  <c r="AO519" i="6" l="1"/>
  <c r="Q519" i="6"/>
  <c r="R519" i="6" s="1"/>
  <c r="S519" i="6" s="1"/>
  <c r="AI519" i="6"/>
  <c r="CK518" i="6"/>
  <c r="CD518" i="6" s="1"/>
  <c r="AP519" i="6"/>
  <c r="AQ519" i="6" l="1"/>
  <c r="AJ519" i="6"/>
  <c r="CL518" i="6"/>
  <c r="CE518" i="6" s="1"/>
  <c r="W519" i="6" l="1"/>
  <c r="Z519" i="6" s="1"/>
  <c r="AR519" i="6"/>
  <c r="AC519" i="6"/>
  <c r="AK519" i="6"/>
  <c r="CM518" i="6"/>
  <c r="CF518" i="6" s="1"/>
  <c r="AS519" i="6" l="1"/>
  <c r="AL519" i="6"/>
  <c r="CN518" i="6"/>
  <c r="CG518" i="6" s="1"/>
  <c r="AT519" i="6" l="1"/>
  <c r="AM519" i="6"/>
  <c r="CO518" i="6"/>
  <c r="CH518" i="6" s="1"/>
  <c r="AU519" i="6" l="1"/>
  <c r="CP518" i="6"/>
  <c r="T518" i="6" s="1"/>
  <c r="AN519" i="6"/>
  <c r="X519" i="6" s="1"/>
  <c r="AA519" i="6" l="1"/>
  <c r="Y519" i="6"/>
  <c r="AB519" i="6" s="1"/>
  <c r="AV519" i="6"/>
  <c r="AW519" i="6" s="1"/>
  <c r="AX519" i="6" l="1"/>
  <c r="BH519" i="6" l="1"/>
  <c r="AY519" i="6"/>
  <c r="BI519" i="6" l="1"/>
  <c r="BJ519" i="6" s="1"/>
  <c r="BK519" i="6" s="1"/>
  <c r="BD519" i="6"/>
  <c r="BO519" i="6" s="1"/>
  <c r="BC519" i="6"/>
  <c r="BN519" i="6" s="1"/>
  <c r="BB519" i="6"/>
  <c r="BM519" i="6" s="1"/>
  <c r="BA519" i="6"/>
  <c r="BL519" i="6" s="1"/>
  <c r="AZ519" i="6"/>
  <c r="BG519" i="6"/>
  <c r="BR519" i="6" s="1"/>
  <c r="BF519" i="6"/>
  <c r="BQ519" i="6" s="1"/>
  <c r="BE519" i="6"/>
  <c r="BP519" i="6" s="1"/>
  <c r="BW519" i="6" l="1"/>
  <c r="BV519" i="6"/>
  <c r="BU519" i="6"/>
  <c r="BT519" i="6"/>
  <c r="BS519" i="6"/>
  <c r="CA519" i="6"/>
  <c r="BZ519" i="6"/>
  <c r="BY519" i="6"/>
  <c r="BX519" i="6"/>
  <c r="CI519" i="6" l="1"/>
  <c r="CB519" i="6" s="1"/>
  <c r="AG520" i="6"/>
  <c r="AH520" i="6" l="1"/>
  <c r="CJ519" i="6"/>
  <c r="CC519" i="6" s="1"/>
  <c r="AO520" i="6"/>
  <c r="Q520" i="6"/>
  <c r="R520" i="6" s="1"/>
  <c r="S520" i="6" s="1"/>
  <c r="AP520" i="6" l="1"/>
  <c r="AI520" i="6"/>
  <c r="CK519" i="6"/>
  <c r="CD519" i="6" s="1"/>
  <c r="AQ520" i="6" l="1"/>
  <c r="AJ520" i="6"/>
  <c r="W520" i="6" s="1"/>
  <c r="Z520" i="6" s="1"/>
  <c r="CL519" i="6"/>
  <c r="CE519" i="6" s="1"/>
  <c r="AR520" i="6" l="1"/>
  <c r="AC520" i="6"/>
  <c r="AK520" i="6"/>
  <c r="CM519" i="6"/>
  <c r="CF519" i="6" s="1"/>
  <c r="AS520" i="6" l="1"/>
  <c r="AL520" i="6"/>
  <c r="CN519" i="6"/>
  <c r="CG519" i="6" s="1"/>
  <c r="AT520" i="6" l="1"/>
  <c r="AM520" i="6"/>
  <c r="CO519" i="6"/>
  <c r="CH519" i="6" s="1"/>
  <c r="X520" i="6" l="1"/>
  <c r="AU520" i="6"/>
  <c r="CP519" i="6"/>
  <c r="T519" i="6" s="1"/>
  <c r="AN520" i="6"/>
  <c r="AA520" i="6" l="1"/>
  <c r="Y520" i="6"/>
  <c r="AB520" i="6" s="1"/>
  <c r="AV520" i="6"/>
  <c r="AW520" i="6" s="1"/>
  <c r="AX520" i="6" l="1"/>
  <c r="AY520" i="6" l="1"/>
  <c r="BH520" i="6"/>
  <c r="AZ520" i="6" l="1"/>
  <c r="BG520" i="6"/>
  <c r="BR520" i="6" s="1"/>
  <c r="BA520" i="6"/>
  <c r="BL520" i="6" s="1"/>
  <c r="BF520" i="6"/>
  <c r="BQ520" i="6" s="1"/>
  <c r="BE520" i="6"/>
  <c r="BP520" i="6" s="1"/>
  <c r="BD520" i="6"/>
  <c r="BO520" i="6" s="1"/>
  <c r="BC520" i="6"/>
  <c r="BN520" i="6" s="1"/>
  <c r="BB520" i="6"/>
  <c r="BM520" i="6" s="1"/>
  <c r="BI520" i="6"/>
  <c r="BJ520" i="6" s="1"/>
  <c r="BZ520" i="6" l="1"/>
  <c r="BT520" i="6"/>
  <c r="BY520" i="6"/>
  <c r="BX520" i="6"/>
  <c r="BW520" i="6"/>
  <c r="BV520" i="6"/>
  <c r="BU520" i="6"/>
  <c r="BK520" i="6"/>
  <c r="BS520" i="6" l="1"/>
  <c r="CA520" i="6" s="1"/>
  <c r="AG521" i="6" l="1"/>
  <c r="CI520" i="6"/>
  <c r="CB520" i="6" s="1"/>
  <c r="AH521" i="6"/>
  <c r="CJ520" i="6"/>
  <c r="CC520" i="6" s="1"/>
  <c r="AO521" i="6" l="1"/>
  <c r="Q521" i="6"/>
  <c r="R521" i="6" s="1"/>
  <c r="S521" i="6" s="1"/>
  <c r="AP521" i="6"/>
  <c r="AI521" i="6"/>
  <c r="CK520" i="6"/>
  <c r="CD520" i="6" s="1"/>
  <c r="AQ521" i="6" l="1"/>
  <c r="AJ521" i="6"/>
  <c r="CL520" i="6"/>
  <c r="CE520" i="6" s="1"/>
  <c r="W521" i="6" l="1"/>
  <c r="Z521" i="6" s="1"/>
  <c r="AR521" i="6"/>
  <c r="AC521" i="6"/>
  <c r="AK521" i="6"/>
  <c r="CM520" i="6"/>
  <c r="CF520" i="6" s="1"/>
  <c r="AS521" i="6" l="1"/>
  <c r="AL521" i="6"/>
  <c r="CN520" i="6"/>
  <c r="CG520" i="6" s="1"/>
  <c r="AT521" i="6" l="1"/>
  <c r="AM521" i="6"/>
  <c r="CO520" i="6"/>
  <c r="CH520" i="6" s="1"/>
  <c r="AU521" i="6" l="1"/>
  <c r="CP520" i="6"/>
  <c r="T520" i="6" s="1"/>
  <c r="AN521" i="6"/>
  <c r="X521" i="6" s="1"/>
  <c r="AA521" i="6" l="1"/>
  <c r="Y521" i="6"/>
  <c r="AB521" i="6" s="1"/>
  <c r="AV521" i="6"/>
  <c r="AW521" i="6" s="1"/>
  <c r="AX521" i="6" l="1"/>
  <c r="BH521" i="6" l="1"/>
  <c r="AY521" i="6"/>
  <c r="BI521" i="6" l="1"/>
  <c r="BJ521" i="6" s="1"/>
  <c r="BA521" i="6"/>
  <c r="BL521" i="6" s="1"/>
  <c r="AZ521" i="6"/>
  <c r="BG521" i="6"/>
  <c r="BR521" i="6" s="1"/>
  <c r="BF521" i="6"/>
  <c r="BQ521" i="6" s="1"/>
  <c r="BE521" i="6"/>
  <c r="BP521" i="6" s="1"/>
  <c r="BD521" i="6"/>
  <c r="BO521" i="6" s="1"/>
  <c r="BC521" i="6"/>
  <c r="BN521" i="6" s="1"/>
  <c r="BB521" i="6"/>
  <c r="BM521" i="6" s="1"/>
  <c r="BT521" i="6" l="1"/>
  <c r="BZ521" i="6"/>
  <c r="BY521" i="6"/>
  <c r="BX521" i="6"/>
  <c r="BW521" i="6"/>
  <c r="BV521" i="6"/>
  <c r="BU521" i="6"/>
  <c r="BK521" i="6"/>
  <c r="BS521" i="6" l="1"/>
  <c r="CA521" i="6" s="1"/>
  <c r="CI521" i="6" l="1"/>
  <c r="CB521" i="6" s="1"/>
  <c r="AG522" i="6"/>
  <c r="AH522" i="6"/>
  <c r="CJ521" i="6"/>
  <c r="CC521" i="6" s="1"/>
  <c r="AO522" i="6" l="1"/>
  <c r="Q522" i="6"/>
  <c r="R522" i="6" s="1"/>
  <c r="S522" i="6" s="1"/>
  <c r="AP522" i="6"/>
  <c r="AI522" i="6"/>
  <c r="CK521" i="6"/>
  <c r="CD521" i="6" s="1"/>
  <c r="AQ522" i="6" l="1"/>
  <c r="AJ522" i="6"/>
  <c r="CL521" i="6"/>
  <c r="CE521" i="6" s="1"/>
  <c r="W522" i="6" l="1"/>
  <c r="Z522" i="6" s="1"/>
  <c r="AR522" i="6"/>
  <c r="AC522" i="6"/>
  <c r="AK522" i="6"/>
  <c r="CM521" i="6"/>
  <c r="CF521" i="6" s="1"/>
  <c r="AS522" i="6" l="1"/>
  <c r="CN521" i="6"/>
  <c r="CG521" i="6" s="1"/>
  <c r="AL522" i="6"/>
  <c r="CO521" i="6" l="1"/>
  <c r="CH521" i="6" s="1"/>
  <c r="AM522" i="6"/>
  <c r="AT522" i="6"/>
  <c r="CP521" i="6" l="1"/>
  <c r="T521" i="6" s="1"/>
  <c r="AN522" i="6"/>
  <c r="X522" i="6"/>
  <c r="AU522" i="6"/>
  <c r="AV522" i="6" l="1"/>
  <c r="AW522" i="6" s="1"/>
  <c r="AA522" i="6"/>
  <c r="Y522" i="6"/>
  <c r="AB522" i="6" s="1"/>
  <c r="AX522" i="6" l="1"/>
  <c r="BH522" i="6" l="1"/>
  <c r="AY522" i="6"/>
  <c r="BI522" i="6" l="1"/>
  <c r="BJ522" i="6" s="1"/>
  <c r="AZ522" i="6"/>
  <c r="BG522" i="6"/>
  <c r="BR522" i="6" s="1"/>
  <c r="BF522" i="6"/>
  <c r="BQ522" i="6" s="1"/>
  <c r="BE522" i="6"/>
  <c r="BP522" i="6" s="1"/>
  <c r="BD522" i="6"/>
  <c r="BO522" i="6" s="1"/>
  <c r="BC522" i="6"/>
  <c r="BN522" i="6" s="1"/>
  <c r="BB522" i="6"/>
  <c r="BM522" i="6" s="1"/>
  <c r="BA522" i="6"/>
  <c r="BL522" i="6" s="1"/>
  <c r="BZ522" i="6" l="1"/>
  <c r="BY522" i="6"/>
  <c r="BX522" i="6"/>
  <c r="BW522" i="6"/>
  <c r="BV522" i="6"/>
  <c r="BU522" i="6"/>
  <c r="BT522" i="6"/>
  <c r="BK522" i="6"/>
  <c r="BS522" i="6" l="1"/>
  <c r="CA522" i="6" s="1"/>
  <c r="CI522" i="6" l="1"/>
  <c r="CB522" i="6" s="1"/>
  <c r="AG523" i="6"/>
  <c r="AH523" i="6"/>
  <c r="CJ522" i="6"/>
  <c r="CC522" i="6" s="1"/>
  <c r="AO523" i="6" l="1"/>
  <c r="Q523" i="6"/>
  <c r="R523" i="6" s="1"/>
  <c r="S523" i="6" s="1"/>
  <c r="AP523" i="6"/>
  <c r="AI523" i="6"/>
  <c r="CK522" i="6"/>
  <c r="CD522" i="6" s="1"/>
  <c r="AQ523" i="6" l="1"/>
  <c r="AJ523" i="6"/>
  <c r="CL522" i="6"/>
  <c r="CE522" i="6" s="1"/>
  <c r="W523" i="6" l="1"/>
  <c r="Z523" i="6" s="1"/>
  <c r="AR523" i="6"/>
  <c r="AC523" i="6"/>
  <c r="AK523" i="6"/>
  <c r="CM522" i="6"/>
  <c r="CF522" i="6" s="1"/>
  <c r="AS523" i="6" l="1"/>
  <c r="AL523" i="6"/>
  <c r="CN522" i="6"/>
  <c r="CG522" i="6" s="1"/>
  <c r="AT523" i="6" l="1"/>
  <c r="CO522" i="6"/>
  <c r="CH522" i="6" s="1"/>
  <c r="AM523" i="6"/>
  <c r="CP522" i="6" l="1"/>
  <c r="T522" i="6" s="1"/>
  <c r="AN523" i="6"/>
  <c r="X523" i="6" s="1"/>
  <c r="AU523" i="6"/>
  <c r="AV523" i="6" l="1"/>
  <c r="AW523" i="6" s="1"/>
  <c r="AA523" i="6"/>
  <c r="Y523" i="6"/>
  <c r="AB523" i="6" s="1"/>
  <c r="AX523" i="6" l="1"/>
  <c r="AY523" i="6" l="1"/>
  <c r="BH523" i="6"/>
  <c r="BC523" i="6" l="1"/>
  <c r="BN523" i="6" s="1"/>
  <c r="AZ523" i="6"/>
  <c r="BA523" i="6"/>
  <c r="BL523" i="6" s="1"/>
  <c r="BB523" i="6"/>
  <c r="BM523" i="6" s="1"/>
  <c r="BD523" i="6"/>
  <c r="BO523" i="6" s="1"/>
  <c r="BE523" i="6"/>
  <c r="BP523" i="6" s="1"/>
  <c r="BF523" i="6"/>
  <c r="BQ523" i="6" s="1"/>
  <c r="BG523" i="6"/>
  <c r="BR523" i="6" s="1"/>
  <c r="BI523" i="6"/>
  <c r="BJ523" i="6" s="1"/>
  <c r="BK523" i="6" s="1"/>
  <c r="BV523" i="6" l="1"/>
  <c r="BS523" i="6"/>
  <c r="CA523" i="6" s="1"/>
  <c r="BT523" i="6"/>
  <c r="BU523" i="6"/>
  <c r="BW523" i="6"/>
  <c r="BX523" i="6"/>
  <c r="BY523" i="6"/>
  <c r="BZ523" i="6"/>
  <c r="CI523" i="6" l="1"/>
  <c r="CB523" i="6" s="1"/>
  <c r="AG524" i="6"/>
  <c r="AO524" i="6" l="1"/>
  <c r="Q524" i="6"/>
  <c r="R524" i="6" s="1"/>
  <c r="S524" i="6" s="1"/>
  <c r="CJ523" i="6"/>
  <c r="CC523" i="6" s="1"/>
  <c r="AH524" i="6"/>
  <c r="AI524" i="6" l="1"/>
  <c r="CK523" i="6"/>
  <c r="CD523" i="6" s="1"/>
  <c r="AP524" i="6"/>
  <c r="W524" i="6" l="1"/>
  <c r="Z524" i="6" s="1"/>
  <c r="AQ524" i="6"/>
  <c r="CL523" i="6"/>
  <c r="CE523" i="6" s="1"/>
  <c r="AJ524" i="6"/>
  <c r="CM523" i="6" l="1"/>
  <c r="CF523" i="6" s="1"/>
  <c r="AK524" i="6"/>
  <c r="AR524" i="6"/>
  <c r="AC524" i="6"/>
  <c r="AL524" i="6" l="1"/>
  <c r="CN523" i="6"/>
  <c r="CG523" i="6" s="1"/>
  <c r="AS524" i="6"/>
  <c r="AT524" i="6" l="1"/>
  <c r="CO523" i="6"/>
  <c r="CH523" i="6" s="1"/>
  <c r="AM524" i="6"/>
  <c r="AN524" i="6" l="1"/>
  <c r="X524" i="6" s="1"/>
  <c r="CP523" i="6"/>
  <c r="T523" i="6" s="1"/>
  <c r="AU524" i="6"/>
  <c r="AV524" i="6" l="1"/>
  <c r="AW524" i="6" s="1"/>
  <c r="AA524" i="6"/>
  <c r="Y524" i="6"/>
  <c r="AB524" i="6" s="1"/>
  <c r="AX524" i="6" l="1"/>
  <c r="AY524" i="6" l="1"/>
  <c r="BH524" i="6"/>
  <c r="BB524" i="6" l="1"/>
  <c r="BM524" i="6" s="1"/>
  <c r="BD524" i="6"/>
  <c r="BO524" i="6" s="1"/>
  <c r="BC524" i="6"/>
  <c r="BN524" i="6" s="1"/>
  <c r="BA524" i="6"/>
  <c r="BL524" i="6" s="1"/>
  <c r="AZ524" i="6"/>
  <c r="BG524" i="6"/>
  <c r="BR524" i="6" s="1"/>
  <c r="BF524" i="6"/>
  <c r="BQ524" i="6" s="1"/>
  <c r="BE524" i="6"/>
  <c r="BP524" i="6" s="1"/>
  <c r="BI524" i="6"/>
  <c r="BJ524" i="6" s="1"/>
  <c r="BU524" i="6" l="1"/>
  <c r="BW524" i="6"/>
  <c r="BV524" i="6"/>
  <c r="BT524" i="6"/>
  <c r="BZ524" i="6"/>
  <c r="BY524" i="6"/>
  <c r="BX524" i="6"/>
  <c r="BK524" i="6"/>
  <c r="BS524" i="6" l="1"/>
  <c r="CA524" i="6" s="1"/>
  <c r="CI524" i="6" l="1"/>
  <c r="CB524" i="6" s="1"/>
  <c r="AG525" i="6"/>
  <c r="AO525" i="6" l="1"/>
  <c r="Q525" i="6"/>
  <c r="R525" i="6" s="1"/>
  <c r="S525" i="6" s="1"/>
  <c r="AH525" i="6"/>
  <c r="CJ524" i="6"/>
  <c r="CC524" i="6" s="1"/>
  <c r="AP525" i="6" l="1"/>
  <c r="AI525" i="6"/>
  <c r="CK524" i="6"/>
  <c r="CD524" i="6" s="1"/>
  <c r="W525" i="6" l="1"/>
  <c r="Z525" i="6" s="1"/>
  <c r="AQ525" i="6"/>
  <c r="CL524" i="6"/>
  <c r="CE524" i="6" s="1"/>
  <c r="AJ525" i="6"/>
  <c r="AK525" i="6" l="1"/>
  <c r="CM524" i="6"/>
  <c r="CF524" i="6" s="1"/>
  <c r="AR525" i="6"/>
  <c r="AC525" i="6"/>
  <c r="AS525" i="6" l="1"/>
  <c r="AL525" i="6"/>
  <c r="CN524" i="6"/>
  <c r="CG524" i="6" s="1"/>
  <c r="AT525" i="6" l="1"/>
  <c r="AM525" i="6"/>
  <c r="CO524" i="6"/>
  <c r="CH524" i="6" s="1"/>
  <c r="AU525" i="6" l="1"/>
  <c r="CP524" i="6"/>
  <c r="T524" i="6" s="1"/>
  <c r="AN525" i="6"/>
  <c r="X525" i="6" s="1"/>
  <c r="AA525" i="6" l="1"/>
  <c r="Y525" i="6"/>
  <c r="AB525" i="6" s="1"/>
  <c r="AV525" i="6"/>
  <c r="AW525" i="6" s="1"/>
  <c r="AX525" i="6" l="1"/>
  <c r="AY525" i="6" l="1"/>
  <c r="BH525" i="6"/>
  <c r="BA525" i="6" l="1"/>
  <c r="BL525" i="6" s="1"/>
  <c r="BG525" i="6"/>
  <c r="BR525" i="6" s="1"/>
  <c r="AZ525" i="6"/>
  <c r="BF525" i="6"/>
  <c r="BQ525" i="6" s="1"/>
  <c r="BE525" i="6"/>
  <c r="BP525" i="6" s="1"/>
  <c r="BD525" i="6"/>
  <c r="BO525" i="6" s="1"/>
  <c r="BC525" i="6"/>
  <c r="BN525" i="6" s="1"/>
  <c r="BB525" i="6"/>
  <c r="BM525" i="6" s="1"/>
  <c r="BI525" i="6"/>
  <c r="BJ525" i="6" s="1"/>
  <c r="BT525" i="6" l="1"/>
  <c r="BZ525" i="6"/>
  <c r="BY525" i="6"/>
  <c r="BX525" i="6"/>
  <c r="BW525" i="6"/>
  <c r="BV525" i="6"/>
  <c r="BU525" i="6"/>
  <c r="BK525" i="6"/>
  <c r="BS525" i="6" l="1"/>
  <c r="CA525" i="6"/>
  <c r="CI525" i="6" l="1"/>
  <c r="CB525" i="6" s="1"/>
  <c r="AG526" i="6"/>
  <c r="CJ525" i="6" l="1"/>
  <c r="CC525" i="6" s="1"/>
  <c r="AH526" i="6"/>
  <c r="AO526" i="6"/>
  <c r="Q526" i="6"/>
  <c r="R526" i="6" s="1"/>
  <c r="S526" i="6" s="1"/>
  <c r="AI526" i="6" l="1"/>
  <c r="CK525" i="6"/>
  <c r="CD525" i="6" s="1"/>
  <c r="AP526" i="6"/>
  <c r="W526" i="6" l="1"/>
  <c r="Z526" i="6" s="1"/>
  <c r="AQ526" i="6"/>
  <c r="CL525" i="6"/>
  <c r="CE525" i="6" s="1"/>
  <c r="AJ526" i="6"/>
  <c r="AK526" i="6" l="1"/>
  <c r="CM525" i="6"/>
  <c r="CF525" i="6" s="1"/>
  <c r="AR526" i="6"/>
  <c r="AC526" i="6"/>
  <c r="AS526" i="6" l="1"/>
  <c r="AL526" i="6"/>
  <c r="CN525" i="6"/>
  <c r="CG525" i="6" s="1"/>
  <c r="AT526" i="6" l="1"/>
  <c r="AM526" i="6"/>
  <c r="CO525" i="6"/>
  <c r="CH525" i="6" s="1"/>
  <c r="AU526" i="6" l="1"/>
  <c r="CP525" i="6"/>
  <c r="T525" i="6" s="1"/>
  <c r="AN526" i="6"/>
  <c r="X526" i="6" s="1"/>
  <c r="AA526" i="6" l="1"/>
  <c r="Y526" i="6"/>
  <c r="AB526" i="6" s="1"/>
  <c r="AV526" i="6"/>
  <c r="AW526" i="6" s="1"/>
  <c r="AX526" i="6" l="1"/>
  <c r="BH526" i="6" l="1"/>
  <c r="AY526" i="6"/>
  <c r="BI526" i="6" l="1"/>
  <c r="BJ526" i="6" s="1"/>
  <c r="BE526" i="6"/>
  <c r="BP526" i="6" s="1"/>
  <c r="BG526" i="6"/>
  <c r="BR526" i="6" s="1"/>
  <c r="BF526" i="6"/>
  <c r="BQ526" i="6" s="1"/>
  <c r="AZ526" i="6"/>
  <c r="BA526" i="6"/>
  <c r="BL526" i="6" s="1"/>
  <c r="BB526" i="6"/>
  <c r="BM526" i="6" s="1"/>
  <c r="BC526" i="6"/>
  <c r="BN526" i="6" s="1"/>
  <c r="BD526" i="6"/>
  <c r="BO526" i="6" s="1"/>
  <c r="BX526" i="6" l="1"/>
  <c r="BZ526" i="6"/>
  <c r="BY526" i="6"/>
  <c r="BT526" i="6"/>
  <c r="BU526" i="6"/>
  <c r="BV526" i="6"/>
  <c r="BW526" i="6"/>
  <c r="BK526" i="6"/>
  <c r="BS526" i="6" l="1"/>
  <c r="CA526" i="6" s="1"/>
  <c r="AG527" i="6" l="1"/>
  <c r="CI526" i="6"/>
  <c r="CB526" i="6" s="1"/>
  <c r="AO527" i="6" l="1"/>
  <c r="Q527" i="6"/>
  <c r="R527" i="6" s="1"/>
  <c r="S527" i="6" s="1"/>
  <c r="CJ526" i="6"/>
  <c r="CC526" i="6" s="1"/>
  <c r="AH527" i="6"/>
  <c r="AI527" i="6" l="1"/>
  <c r="CK526" i="6"/>
  <c r="CD526" i="6" s="1"/>
  <c r="AP527" i="6"/>
  <c r="W527" i="6" l="1"/>
  <c r="Z527" i="6" s="1"/>
  <c r="AQ527" i="6"/>
  <c r="CL526" i="6"/>
  <c r="CE526" i="6" s="1"/>
  <c r="AJ527" i="6"/>
  <c r="AK527" i="6" l="1"/>
  <c r="CM526" i="6"/>
  <c r="CF526" i="6" s="1"/>
  <c r="AR527" i="6"/>
  <c r="AC527" i="6"/>
  <c r="AS527" i="6" l="1"/>
  <c r="AL527" i="6"/>
  <c r="CN526" i="6"/>
  <c r="CG526" i="6" s="1"/>
  <c r="AT527" i="6" l="1"/>
  <c r="AM527" i="6"/>
  <c r="CO526" i="6"/>
  <c r="CH526" i="6" s="1"/>
  <c r="X527" i="6" l="1"/>
  <c r="AU527" i="6"/>
  <c r="CP526" i="6"/>
  <c r="T526" i="6" s="1"/>
  <c r="AN527" i="6"/>
  <c r="AA527" i="6" l="1"/>
  <c r="Y527" i="6"/>
  <c r="AB527" i="6" s="1"/>
  <c r="AV527" i="6"/>
  <c r="AW527" i="6" s="1"/>
  <c r="AX527" i="6" l="1"/>
  <c r="BH527" i="6" l="1"/>
  <c r="AY527" i="6"/>
  <c r="BI527" i="6" l="1"/>
  <c r="BJ527" i="6" s="1"/>
  <c r="BK527" i="6" s="1"/>
  <c r="BG527" i="6"/>
  <c r="BR527" i="6" s="1"/>
  <c r="AZ527" i="6"/>
  <c r="BA527" i="6"/>
  <c r="BL527" i="6" s="1"/>
  <c r="BB527" i="6"/>
  <c r="BM527" i="6" s="1"/>
  <c r="BC527" i="6"/>
  <c r="BN527" i="6" s="1"/>
  <c r="BD527" i="6"/>
  <c r="BO527" i="6" s="1"/>
  <c r="BE527" i="6"/>
  <c r="BP527" i="6" s="1"/>
  <c r="BF527" i="6"/>
  <c r="BQ527" i="6" s="1"/>
  <c r="BZ527" i="6" l="1"/>
  <c r="BS527" i="6"/>
  <c r="CA527" i="6"/>
  <c r="BT527" i="6"/>
  <c r="BU527" i="6"/>
  <c r="BV527" i="6"/>
  <c r="BW527" i="6"/>
  <c r="BX527" i="6"/>
  <c r="BY527" i="6"/>
  <c r="CI527" i="6" l="1"/>
  <c r="CB527" i="6" s="1"/>
  <c r="AG528" i="6"/>
  <c r="AH528" i="6"/>
  <c r="CJ527" i="6"/>
  <c r="CC527" i="6" s="1"/>
  <c r="AO528" i="6" l="1"/>
  <c r="Q528" i="6"/>
  <c r="R528" i="6" s="1"/>
  <c r="S528" i="6" s="1"/>
  <c r="AP528" i="6"/>
  <c r="CK527" i="6"/>
  <c r="CD527" i="6" s="1"/>
  <c r="AI528" i="6"/>
  <c r="CL527" i="6" l="1"/>
  <c r="CE527" i="6" s="1"/>
  <c r="AJ528" i="6"/>
  <c r="AQ528" i="6"/>
  <c r="AK528" i="6" l="1"/>
  <c r="CM527" i="6"/>
  <c r="CF527" i="6" s="1"/>
  <c r="W528" i="6"/>
  <c r="Z528" i="6" s="1"/>
  <c r="AC528" i="6"/>
  <c r="AR528" i="6"/>
  <c r="AS528" i="6" l="1"/>
  <c r="CN527" i="6"/>
  <c r="CG527" i="6" s="1"/>
  <c r="AL528" i="6"/>
  <c r="CO527" i="6" l="1"/>
  <c r="CH527" i="6" s="1"/>
  <c r="AM528" i="6"/>
  <c r="AT528" i="6"/>
  <c r="CP527" i="6" l="1"/>
  <c r="T527" i="6" s="1"/>
  <c r="AN528" i="6"/>
  <c r="X528" i="6"/>
  <c r="AU528" i="6"/>
  <c r="AV528" i="6" l="1"/>
  <c r="AW528" i="6" s="1"/>
  <c r="AA528" i="6"/>
  <c r="Y528" i="6"/>
  <c r="AB528" i="6" s="1"/>
  <c r="AX528" i="6" l="1"/>
  <c r="BH528" i="6" l="1"/>
  <c r="AY528" i="6"/>
  <c r="BI528" i="6" l="1"/>
  <c r="BJ528" i="6" s="1"/>
  <c r="BF528" i="6"/>
  <c r="BQ528" i="6" s="1"/>
  <c r="BE528" i="6"/>
  <c r="BP528" i="6" s="1"/>
  <c r="BC528" i="6"/>
  <c r="BN528" i="6" s="1"/>
  <c r="BB528" i="6"/>
  <c r="BM528" i="6" s="1"/>
  <c r="BA528" i="6"/>
  <c r="BL528" i="6" s="1"/>
  <c r="AZ528" i="6"/>
  <c r="BG528" i="6"/>
  <c r="BR528" i="6" s="1"/>
  <c r="BD528" i="6"/>
  <c r="BO528" i="6" s="1"/>
  <c r="BY528" i="6" l="1"/>
  <c r="BX528" i="6"/>
  <c r="BV528" i="6"/>
  <c r="BU528" i="6"/>
  <c r="BT528" i="6"/>
  <c r="BZ528" i="6"/>
  <c r="BW528" i="6"/>
  <c r="BK528" i="6"/>
  <c r="BS528" i="6" l="1"/>
  <c r="CA528" i="6" s="1"/>
  <c r="CI528" i="6" l="1"/>
  <c r="CB528" i="6" s="1"/>
  <c r="AG529" i="6"/>
  <c r="AO529" i="6" l="1"/>
  <c r="Q529" i="6"/>
  <c r="R529" i="6" s="1"/>
  <c r="S529" i="6" s="1"/>
  <c r="AH529" i="6"/>
  <c r="CJ528" i="6"/>
  <c r="CC528" i="6" s="1"/>
  <c r="AP529" i="6" l="1"/>
  <c r="CK528" i="6"/>
  <c r="CD528" i="6" s="1"/>
  <c r="AI529" i="6"/>
  <c r="AJ529" i="6" l="1"/>
  <c r="W529" i="6" s="1"/>
  <c r="Z529" i="6" s="1"/>
  <c r="CL528" i="6"/>
  <c r="CE528" i="6" s="1"/>
  <c r="AQ529" i="6"/>
  <c r="AR529" i="6" l="1"/>
  <c r="AC529" i="6"/>
  <c r="AK529" i="6"/>
  <c r="CM528" i="6"/>
  <c r="CF528" i="6" s="1"/>
  <c r="AS529" i="6" l="1"/>
  <c r="AL529" i="6"/>
  <c r="CN528" i="6"/>
  <c r="CG528" i="6" s="1"/>
  <c r="AT529" i="6" l="1"/>
  <c r="CO528" i="6"/>
  <c r="CH528" i="6" s="1"/>
  <c r="AM529" i="6"/>
  <c r="CP528" i="6" l="1"/>
  <c r="T528" i="6" s="1"/>
  <c r="AN529" i="6"/>
  <c r="X529" i="6" s="1"/>
  <c r="AU529" i="6"/>
  <c r="AV529" i="6" l="1"/>
  <c r="AW529" i="6" s="1"/>
  <c r="AA529" i="6"/>
  <c r="Y529" i="6"/>
  <c r="AB529" i="6" s="1"/>
  <c r="AX529" i="6" l="1"/>
  <c r="BH529" i="6" l="1"/>
  <c r="AY529" i="6"/>
  <c r="BI529" i="6" l="1"/>
  <c r="BJ529" i="6" s="1"/>
  <c r="BF529" i="6"/>
  <c r="BQ529" i="6" s="1"/>
  <c r="BG529" i="6"/>
  <c r="BR529" i="6" s="1"/>
  <c r="AZ529" i="6"/>
  <c r="BB529" i="6"/>
  <c r="BM529" i="6" s="1"/>
  <c r="BC529" i="6"/>
  <c r="BN529" i="6" s="1"/>
  <c r="BA529" i="6"/>
  <c r="BL529" i="6" s="1"/>
  <c r="BD529" i="6"/>
  <c r="BO529" i="6" s="1"/>
  <c r="BE529" i="6"/>
  <c r="BP529" i="6" s="1"/>
  <c r="BY529" i="6" l="1"/>
  <c r="BZ529" i="6"/>
  <c r="BU529" i="6"/>
  <c r="BV529" i="6"/>
  <c r="BT529" i="6"/>
  <c r="BW529" i="6"/>
  <c r="BX529" i="6"/>
  <c r="BK529" i="6"/>
  <c r="BS529" i="6" l="1"/>
  <c r="CA529" i="6" s="1"/>
  <c r="AG530" i="6" l="1"/>
  <c r="CI529" i="6"/>
  <c r="CB529" i="6" s="1"/>
  <c r="AH530" i="6" s="1"/>
  <c r="CJ529" i="6"/>
  <c r="CC529" i="6" s="1"/>
  <c r="AO530" i="6" l="1"/>
  <c r="Q530" i="6"/>
  <c r="R530" i="6" s="1"/>
  <c r="S530" i="6" s="1"/>
  <c r="AI530" i="6"/>
  <c r="CK529" i="6"/>
  <c r="CD529" i="6" s="1"/>
  <c r="AP530" i="6"/>
  <c r="AQ530" i="6" l="1"/>
  <c r="CL529" i="6"/>
  <c r="CE529" i="6" s="1"/>
  <c r="AJ530" i="6"/>
  <c r="CM529" i="6" l="1"/>
  <c r="CF529" i="6" s="1"/>
  <c r="AK530" i="6"/>
  <c r="W530" i="6"/>
  <c r="Z530" i="6" s="1"/>
  <c r="AC530" i="6"/>
  <c r="AR530" i="6"/>
  <c r="CN529" i="6" l="1"/>
  <c r="CG529" i="6" s="1"/>
  <c r="AL530" i="6"/>
  <c r="AS530" i="6"/>
  <c r="AM530" i="6" l="1"/>
  <c r="CO529" i="6"/>
  <c r="CH529" i="6" s="1"/>
  <c r="AT530" i="6"/>
  <c r="AU530" i="6" l="1"/>
  <c r="CP529" i="6"/>
  <c r="T529" i="6" s="1"/>
  <c r="AN530" i="6"/>
  <c r="X530" i="6" s="1"/>
  <c r="AA530" i="6" l="1"/>
  <c r="Y530" i="6"/>
  <c r="AB530" i="6" s="1"/>
  <c r="AV530" i="6"/>
  <c r="AW530" i="6" s="1"/>
  <c r="AX530" i="6" l="1"/>
  <c r="BH530" i="6" l="1"/>
  <c r="AY530" i="6"/>
  <c r="BI530" i="6" l="1"/>
  <c r="BJ530" i="6" s="1"/>
  <c r="BB530" i="6"/>
  <c r="BM530" i="6" s="1"/>
  <c r="BA530" i="6"/>
  <c r="BL530" i="6" s="1"/>
  <c r="AZ530" i="6"/>
  <c r="BG530" i="6"/>
  <c r="BR530" i="6" s="1"/>
  <c r="BF530" i="6"/>
  <c r="BQ530" i="6" s="1"/>
  <c r="BE530" i="6"/>
  <c r="BP530" i="6" s="1"/>
  <c r="BD530" i="6"/>
  <c r="BO530" i="6" s="1"/>
  <c r="BC530" i="6"/>
  <c r="BN530" i="6" s="1"/>
  <c r="BU530" i="6" l="1"/>
  <c r="BT530" i="6"/>
  <c r="BZ530" i="6"/>
  <c r="BY530" i="6"/>
  <c r="BX530" i="6"/>
  <c r="BW530" i="6"/>
  <c r="BV530" i="6"/>
  <c r="BK530" i="6"/>
  <c r="CA530" i="6" l="1"/>
  <c r="BS530" i="6"/>
  <c r="AG531" i="6" l="1"/>
  <c r="CI530" i="6"/>
  <c r="CB530" i="6" s="1"/>
  <c r="AO531" i="6" l="1"/>
  <c r="Q531" i="6"/>
  <c r="R531" i="6" s="1"/>
  <c r="S531" i="6" s="1"/>
  <c r="CJ530" i="6"/>
  <c r="CC530" i="6" s="1"/>
  <c r="AH531" i="6"/>
  <c r="AI531" i="6" l="1"/>
  <c r="CK530" i="6"/>
  <c r="CD530" i="6" s="1"/>
  <c r="AP531" i="6"/>
  <c r="W531" i="6" l="1"/>
  <c r="Z531" i="6" s="1"/>
  <c r="AQ531" i="6"/>
  <c r="CL530" i="6"/>
  <c r="CE530" i="6" s="1"/>
  <c r="AJ531" i="6"/>
  <c r="CM530" i="6" l="1"/>
  <c r="CF530" i="6" s="1"/>
  <c r="AK531" i="6"/>
  <c r="AC531" i="6"/>
  <c r="AR531" i="6"/>
  <c r="AL531" i="6" l="1"/>
  <c r="CN530" i="6"/>
  <c r="CG530" i="6" s="1"/>
  <c r="AS531" i="6"/>
  <c r="AT531" i="6" l="1"/>
  <c r="AM531" i="6"/>
  <c r="CO530" i="6"/>
  <c r="CH530" i="6" s="1"/>
  <c r="AU531" i="6" l="1"/>
  <c r="CP530" i="6"/>
  <c r="T530" i="6" s="1"/>
  <c r="AN531" i="6"/>
  <c r="X531" i="6" s="1"/>
  <c r="AA531" i="6" l="1"/>
  <c r="Y531" i="6"/>
  <c r="AB531" i="6" s="1"/>
  <c r="AV531" i="6"/>
  <c r="AW531" i="6" s="1"/>
  <c r="AX531" i="6" l="1"/>
  <c r="BH531" i="6" l="1"/>
  <c r="AY531" i="6"/>
  <c r="BI531" i="6" l="1"/>
  <c r="BJ531" i="6" s="1"/>
  <c r="BA531" i="6"/>
  <c r="BL531" i="6" s="1"/>
  <c r="BB531" i="6"/>
  <c r="BM531" i="6" s="1"/>
  <c r="BD531" i="6"/>
  <c r="BO531" i="6" s="1"/>
  <c r="BF531" i="6"/>
  <c r="BQ531" i="6" s="1"/>
  <c r="BG531" i="6"/>
  <c r="BR531" i="6" s="1"/>
  <c r="BC531" i="6"/>
  <c r="BN531" i="6" s="1"/>
  <c r="BE531" i="6"/>
  <c r="BP531" i="6" s="1"/>
  <c r="AZ531" i="6"/>
  <c r="BT531" i="6" l="1"/>
  <c r="BU531" i="6"/>
  <c r="BW531" i="6"/>
  <c r="BY531" i="6"/>
  <c r="BZ531" i="6"/>
  <c r="BV531" i="6"/>
  <c r="BX531" i="6"/>
  <c r="BK531" i="6"/>
  <c r="CA531" i="6" l="1"/>
  <c r="BS531" i="6"/>
  <c r="AG532" i="6" l="1"/>
  <c r="CI531" i="6"/>
  <c r="CB531" i="6" s="1"/>
  <c r="AO532" i="6" l="1"/>
  <c r="Q532" i="6"/>
  <c r="R532" i="6" s="1"/>
  <c r="S532" i="6" s="1"/>
  <c r="AH532" i="6"/>
  <c r="CJ531" i="6"/>
  <c r="CC531" i="6" s="1"/>
  <c r="AP532" i="6" l="1"/>
  <c r="AI532" i="6"/>
  <c r="CK531" i="6"/>
  <c r="CD531" i="6" s="1"/>
  <c r="W532" i="6" l="1"/>
  <c r="Z532" i="6" s="1"/>
  <c r="AQ532" i="6"/>
  <c r="CL531" i="6"/>
  <c r="CE531" i="6" s="1"/>
  <c r="AJ532" i="6"/>
  <c r="CM531" i="6" l="1"/>
  <c r="CF531" i="6" s="1"/>
  <c r="AK532" i="6"/>
  <c r="AC532" i="6"/>
  <c r="AR532" i="6"/>
  <c r="CN531" i="6" l="1"/>
  <c r="CG531" i="6" s="1"/>
  <c r="AL532" i="6"/>
  <c r="AS532" i="6"/>
  <c r="CO531" i="6" l="1"/>
  <c r="CH531" i="6" s="1"/>
  <c r="AM532" i="6"/>
  <c r="AT532" i="6"/>
  <c r="CP531" i="6" l="1"/>
  <c r="T531" i="6" s="1"/>
  <c r="AN532" i="6"/>
  <c r="X532" i="6"/>
  <c r="AU532" i="6"/>
  <c r="AV532" i="6" l="1"/>
  <c r="AW532" i="6" s="1"/>
  <c r="AA532" i="6"/>
  <c r="Y532" i="6"/>
  <c r="AB532" i="6" s="1"/>
  <c r="AX532" i="6" l="1"/>
  <c r="BH532" i="6" l="1"/>
  <c r="AY532" i="6"/>
  <c r="BI532" i="6" l="1"/>
  <c r="BJ532" i="6" s="1"/>
  <c r="BK532" i="6" s="1"/>
  <c r="BD532" i="6"/>
  <c r="BO532" i="6" s="1"/>
  <c r="BE532" i="6"/>
  <c r="BP532" i="6" s="1"/>
  <c r="BF532" i="6"/>
  <c r="BQ532" i="6" s="1"/>
  <c r="BG532" i="6"/>
  <c r="BR532" i="6" s="1"/>
  <c r="AZ532" i="6"/>
  <c r="BA532" i="6"/>
  <c r="BL532" i="6" s="1"/>
  <c r="BB532" i="6"/>
  <c r="BM532" i="6" s="1"/>
  <c r="BC532" i="6"/>
  <c r="BN532" i="6" s="1"/>
  <c r="BW532" i="6" l="1"/>
  <c r="BX532" i="6"/>
  <c r="BY532" i="6"/>
  <c r="BZ532" i="6"/>
  <c r="BS532" i="6"/>
  <c r="BT532" i="6"/>
  <c r="BU532" i="6"/>
  <c r="BV532" i="6"/>
  <c r="CA532" i="6" l="1"/>
  <c r="CI532" i="6" l="1"/>
  <c r="CB532" i="6" s="1"/>
  <c r="AH533" i="6" s="1"/>
  <c r="AG533" i="6"/>
  <c r="CJ532" i="6"/>
  <c r="CC532" i="6" s="1"/>
  <c r="AO533" i="6" l="1"/>
  <c r="Q533" i="6"/>
  <c r="R533" i="6" s="1"/>
  <c r="S533" i="6" s="1"/>
  <c r="CK532" i="6"/>
  <c r="CD532" i="6" s="1"/>
  <c r="AI533" i="6"/>
  <c r="AP533" i="6"/>
  <c r="CL532" i="6" l="1"/>
  <c r="CE532" i="6" s="1"/>
  <c r="AJ533" i="6"/>
  <c r="AQ533" i="6"/>
  <c r="CM532" i="6" l="1"/>
  <c r="CF532" i="6" s="1"/>
  <c r="AK533" i="6"/>
  <c r="W533" i="6"/>
  <c r="Z533" i="6" s="1"/>
  <c r="AC533" i="6"/>
  <c r="AR533" i="6"/>
  <c r="CN532" i="6" l="1"/>
  <c r="CG532" i="6" s="1"/>
  <c r="AL533" i="6"/>
  <c r="AS533" i="6"/>
  <c r="CO532" i="6" l="1"/>
  <c r="CH532" i="6" s="1"/>
  <c r="AM533" i="6"/>
  <c r="AT533" i="6"/>
  <c r="CP532" i="6" l="1"/>
  <c r="T532" i="6" s="1"/>
  <c r="AN533" i="6"/>
  <c r="X533" i="6" s="1"/>
  <c r="AU533" i="6"/>
  <c r="AV533" i="6" l="1"/>
  <c r="AW533" i="6" s="1"/>
  <c r="AA533" i="6"/>
  <c r="Y533" i="6"/>
  <c r="AB533" i="6" s="1"/>
  <c r="AX533" i="6" l="1"/>
  <c r="AY533" i="6" l="1"/>
  <c r="BH533" i="6"/>
  <c r="BA533" i="6" l="1"/>
  <c r="BL533" i="6" s="1"/>
  <c r="BD533" i="6"/>
  <c r="BO533" i="6" s="1"/>
  <c r="BE533" i="6"/>
  <c r="BP533" i="6" s="1"/>
  <c r="AZ533" i="6"/>
  <c r="BB533" i="6"/>
  <c r="BM533" i="6" s="1"/>
  <c r="BC533" i="6"/>
  <c r="BN533" i="6" s="1"/>
  <c r="BF533" i="6"/>
  <c r="BQ533" i="6" s="1"/>
  <c r="BG533" i="6"/>
  <c r="BR533" i="6" s="1"/>
  <c r="BI533" i="6"/>
  <c r="BJ533" i="6" s="1"/>
  <c r="BK533" i="6" s="1"/>
  <c r="BT533" i="6" l="1"/>
  <c r="BW533" i="6"/>
  <c r="BX533" i="6"/>
  <c r="BS533" i="6"/>
  <c r="CA533" i="6" s="1"/>
  <c r="BU533" i="6"/>
  <c r="BV533" i="6"/>
  <c r="BY533" i="6"/>
  <c r="BZ533" i="6"/>
  <c r="AG534" i="6" l="1"/>
  <c r="CI533" i="6"/>
  <c r="CB533" i="6" s="1"/>
  <c r="AO534" i="6" l="1"/>
  <c r="Q534" i="6"/>
  <c r="R534" i="6" s="1"/>
  <c r="S534" i="6" s="1"/>
  <c r="CJ533" i="6"/>
  <c r="CC533" i="6" s="1"/>
  <c r="AH534" i="6"/>
  <c r="CK533" i="6" l="1"/>
  <c r="CD533" i="6" s="1"/>
  <c r="AI534" i="6"/>
  <c r="AP534" i="6"/>
  <c r="AJ534" i="6" l="1"/>
  <c r="CL533" i="6"/>
  <c r="CE533" i="6" s="1"/>
  <c r="W534" i="6"/>
  <c r="Z534" i="6" s="1"/>
  <c r="AQ534" i="6"/>
  <c r="AC534" i="6" l="1"/>
  <c r="AR534" i="6"/>
  <c r="AK534" i="6"/>
  <c r="CM533" i="6"/>
  <c r="CF533" i="6" s="1"/>
  <c r="AS534" i="6" l="1"/>
  <c r="CN533" i="6"/>
  <c r="CG533" i="6" s="1"/>
  <c r="AL534" i="6"/>
  <c r="CO533" i="6" l="1"/>
  <c r="CH533" i="6" s="1"/>
  <c r="AM534" i="6"/>
  <c r="AT534" i="6"/>
  <c r="CP533" i="6" l="1"/>
  <c r="T533" i="6" s="1"/>
  <c r="AN534" i="6"/>
  <c r="X534" i="6"/>
  <c r="AU534" i="6"/>
  <c r="AV534" i="6" l="1"/>
  <c r="AW534" i="6" s="1"/>
  <c r="AA534" i="6"/>
  <c r="Y534" i="6"/>
  <c r="AB534" i="6" s="1"/>
  <c r="AX534" i="6" l="1"/>
  <c r="BH534" i="6" l="1"/>
  <c r="AY534" i="6"/>
  <c r="BI534" i="6" l="1"/>
  <c r="BJ534" i="6" s="1"/>
  <c r="BK534" i="6" s="1"/>
  <c r="AZ534" i="6"/>
  <c r="BE534" i="6"/>
  <c r="BP534" i="6" s="1"/>
  <c r="BF534" i="6"/>
  <c r="BQ534" i="6" s="1"/>
  <c r="BG534" i="6"/>
  <c r="BR534" i="6" s="1"/>
  <c r="BA534" i="6"/>
  <c r="BL534" i="6" s="1"/>
  <c r="BB534" i="6"/>
  <c r="BM534" i="6" s="1"/>
  <c r="BC534" i="6"/>
  <c r="BN534" i="6" s="1"/>
  <c r="BD534" i="6"/>
  <c r="BO534" i="6" s="1"/>
  <c r="BS534" i="6" l="1"/>
  <c r="CA534" i="6"/>
  <c r="BX534" i="6"/>
  <c r="BY534" i="6"/>
  <c r="BZ534" i="6"/>
  <c r="BT534" i="6"/>
  <c r="BU534" i="6"/>
  <c r="BV534" i="6"/>
  <c r="BW534" i="6"/>
  <c r="AG535" i="6" l="1"/>
  <c r="CI534" i="6"/>
  <c r="CB534" i="6" s="1"/>
  <c r="AH535" i="6" s="1"/>
  <c r="CJ534" i="6"/>
  <c r="CC534" i="6" s="1"/>
  <c r="AO535" i="6" l="1"/>
  <c r="Q535" i="6"/>
  <c r="R535" i="6" s="1"/>
  <c r="S535" i="6" s="1"/>
  <c r="AP535" i="6"/>
  <c r="AI535" i="6"/>
  <c r="CK534" i="6"/>
  <c r="CD534" i="6" s="1"/>
  <c r="AQ535" i="6" l="1"/>
  <c r="CL534" i="6"/>
  <c r="CE534" i="6" s="1"/>
  <c r="AJ535" i="6"/>
  <c r="CM534" i="6" l="1"/>
  <c r="CF534" i="6" s="1"/>
  <c r="AK535" i="6"/>
  <c r="W535" i="6"/>
  <c r="Z535" i="6" s="1"/>
  <c r="AR535" i="6"/>
  <c r="AC535" i="6"/>
  <c r="AL535" i="6" l="1"/>
  <c r="CN534" i="6"/>
  <c r="CG534" i="6" s="1"/>
  <c r="AS535" i="6"/>
  <c r="AT535" i="6" l="1"/>
  <c r="AM535" i="6"/>
  <c r="CO534" i="6"/>
  <c r="CH534" i="6" s="1"/>
  <c r="X535" i="6" l="1"/>
  <c r="AU535" i="6"/>
  <c r="CP534" i="6"/>
  <c r="T534" i="6" s="1"/>
  <c r="AN535" i="6"/>
  <c r="AA535" i="6" l="1"/>
  <c r="Y535" i="6"/>
  <c r="AB535" i="6" s="1"/>
  <c r="AV535" i="6"/>
  <c r="AW535" i="6" s="1"/>
  <c r="AX535" i="6" l="1"/>
  <c r="BH535" i="6" l="1"/>
  <c r="AY535" i="6"/>
  <c r="BI535" i="6" l="1"/>
  <c r="BJ535" i="6" s="1"/>
  <c r="BK535" i="6" s="1"/>
  <c r="AZ535" i="6"/>
  <c r="BG535" i="6"/>
  <c r="BR535" i="6" s="1"/>
  <c r="BF535" i="6"/>
  <c r="BQ535" i="6" s="1"/>
  <c r="BE535" i="6"/>
  <c r="BP535" i="6" s="1"/>
  <c r="BD535" i="6"/>
  <c r="BO535" i="6" s="1"/>
  <c r="BC535" i="6"/>
  <c r="BN535" i="6" s="1"/>
  <c r="BB535" i="6"/>
  <c r="BM535" i="6" s="1"/>
  <c r="BA535" i="6"/>
  <c r="BL535" i="6" s="1"/>
  <c r="BS535" i="6" l="1"/>
  <c r="CA535" i="6"/>
  <c r="BZ535" i="6"/>
  <c r="BY535" i="6"/>
  <c r="BX535" i="6"/>
  <c r="BW535" i="6"/>
  <c r="BV535" i="6"/>
  <c r="BU535" i="6"/>
  <c r="BT535" i="6"/>
  <c r="AG536" i="6" l="1"/>
  <c r="CI535" i="6"/>
  <c r="CB535" i="6" s="1"/>
  <c r="AO536" i="6" l="1"/>
  <c r="Q536" i="6"/>
  <c r="R536" i="6" s="1"/>
  <c r="S536" i="6" s="1"/>
  <c r="AH536" i="6"/>
  <c r="CJ535" i="6"/>
  <c r="CC535" i="6" s="1"/>
  <c r="AP536" i="6" l="1"/>
  <c r="AI536" i="6"/>
  <c r="CK535" i="6"/>
  <c r="CD535" i="6" s="1"/>
  <c r="AQ536" i="6" l="1"/>
  <c r="AJ536" i="6"/>
  <c r="W536" i="6" s="1"/>
  <c r="Z536" i="6" s="1"/>
  <c r="CL535" i="6"/>
  <c r="CE535" i="6" s="1"/>
  <c r="AC536" i="6" l="1"/>
  <c r="AR536" i="6"/>
  <c r="CM535" i="6"/>
  <c r="CF535" i="6" s="1"/>
  <c r="AK536" i="6"/>
  <c r="AL536" i="6" l="1"/>
  <c r="CN535" i="6"/>
  <c r="CG535" i="6" s="1"/>
  <c r="AS536" i="6"/>
  <c r="AT536" i="6" l="1"/>
  <c r="AM536" i="6"/>
  <c r="CO535" i="6"/>
  <c r="CH535" i="6" s="1"/>
  <c r="X536" i="6" l="1"/>
  <c r="AU536" i="6"/>
  <c r="CP535" i="6"/>
  <c r="T535" i="6" s="1"/>
  <c r="AN536" i="6"/>
  <c r="AA536" i="6" l="1"/>
  <c r="Y536" i="6"/>
  <c r="AB536" i="6" s="1"/>
  <c r="AV536" i="6"/>
  <c r="AW536" i="6" s="1"/>
  <c r="AX536" i="6" l="1"/>
  <c r="AY536" i="6" l="1"/>
  <c r="BH536" i="6"/>
  <c r="BD536" i="6" l="1"/>
  <c r="BO536" i="6" s="1"/>
  <c r="BC536" i="6"/>
  <c r="BN536" i="6" s="1"/>
  <c r="AZ536" i="6"/>
  <c r="BB536" i="6"/>
  <c r="BM536" i="6" s="1"/>
  <c r="BG536" i="6"/>
  <c r="BR536" i="6" s="1"/>
  <c r="BE536" i="6"/>
  <c r="BP536" i="6" s="1"/>
  <c r="BA536" i="6"/>
  <c r="BL536" i="6" s="1"/>
  <c r="BF536" i="6"/>
  <c r="BQ536" i="6" s="1"/>
  <c r="BI536" i="6"/>
  <c r="BJ536" i="6" s="1"/>
  <c r="BK536" i="6" s="1"/>
  <c r="BW536" i="6" l="1"/>
  <c r="BV536" i="6"/>
  <c r="BS536" i="6"/>
  <c r="CA536" i="6" s="1"/>
  <c r="BU536" i="6"/>
  <c r="BZ536" i="6"/>
  <c r="BX536" i="6"/>
  <c r="BT536" i="6"/>
  <c r="BY536" i="6"/>
  <c r="AG537" i="6" l="1"/>
  <c r="CI536" i="6"/>
  <c r="CB536" i="6" s="1"/>
  <c r="AO537" i="6" l="1"/>
  <c r="Q537" i="6"/>
  <c r="R537" i="6" s="1"/>
  <c r="S537" i="6" s="1"/>
  <c r="AH537" i="6"/>
  <c r="CJ536" i="6"/>
  <c r="CC536" i="6" s="1"/>
  <c r="AP537" i="6" l="1"/>
  <c r="AI537" i="6"/>
  <c r="CK536" i="6"/>
  <c r="CD536" i="6" s="1"/>
  <c r="W537" i="6" l="1"/>
  <c r="Z537" i="6" s="1"/>
  <c r="AQ537" i="6"/>
  <c r="CL536" i="6"/>
  <c r="CE536" i="6" s="1"/>
  <c r="AJ537" i="6"/>
  <c r="CM536" i="6" l="1"/>
  <c r="CF536" i="6" s="1"/>
  <c r="AK537" i="6"/>
  <c r="AC537" i="6"/>
  <c r="AR537" i="6"/>
  <c r="CN536" i="6" l="1"/>
  <c r="CG536" i="6" s="1"/>
  <c r="AL537" i="6"/>
  <c r="AS537" i="6"/>
  <c r="CO536" i="6" l="1"/>
  <c r="CH536" i="6" s="1"/>
  <c r="AM537" i="6"/>
  <c r="AT537" i="6"/>
  <c r="CP536" i="6" l="1"/>
  <c r="T536" i="6" s="1"/>
  <c r="AN537" i="6"/>
  <c r="X537" i="6"/>
  <c r="AU537" i="6"/>
  <c r="AV537" i="6" l="1"/>
  <c r="AW537" i="6" s="1"/>
  <c r="AA537" i="6"/>
  <c r="Y537" i="6"/>
  <c r="AB537" i="6" s="1"/>
  <c r="AX537" i="6" l="1"/>
  <c r="BH537" i="6" l="1"/>
  <c r="AY537" i="6"/>
  <c r="BI537" i="6" l="1"/>
  <c r="BJ537" i="6" s="1"/>
  <c r="BK537" i="6" s="1"/>
  <c r="AZ537" i="6"/>
  <c r="BE537" i="6"/>
  <c r="BP537" i="6" s="1"/>
  <c r="BG537" i="6"/>
  <c r="BR537" i="6" s="1"/>
  <c r="BF537" i="6"/>
  <c r="BQ537" i="6" s="1"/>
  <c r="BA537" i="6"/>
  <c r="BL537" i="6" s="1"/>
  <c r="BB537" i="6"/>
  <c r="BM537" i="6" s="1"/>
  <c r="BC537" i="6"/>
  <c r="BN537" i="6" s="1"/>
  <c r="BD537" i="6"/>
  <c r="BO537" i="6" s="1"/>
  <c r="BS537" i="6" l="1"/>
  <c r="CA537" i="6" s="1"/>
  <c r="BX537" i="6"/>
  <c r="BZ537" i="6"/>
  <c r="BY537" i="6"/>
  <c r="BT537" i="6"/>
  <c r="BU537" i="6"/>
  <c r="BV537" i="6"/>
  <c r="BW537" i="6"/>
  <c r="AG538" i="6" l="1"/>
  <c r="CI537" i="6"/>
  <c r="CB537" i="6" s="1"/>
  <c r="AO538" i="6" l="1"/>
  <c r="Q538" i="6"/>
  <c r="R538" i="6" s="1"/>
  <c r="S538" i="6" s="1"/>
  <c r="AH538" i="6"/>
  <c r="CJ537" i="6"/>
  <c r="CC537" i="6" s="1"/>
  <c r="AP538" i="6" l="1"/>
  <c r="CK537" i="6"/>
  <c r="CD537" i="6" s="1"/>
  <c r="AI538" i="6"/>
  <c r="CL537" i="6" l="1"/>
  <c r="CE537" i="6" s="1"/>
  <c r="AJ538" i="6"/>
  <c r="W538" i="6"/>
  <c r="Z538" i="6" s="1"/>
  <c r="AQ538" i="6"/>
  <c r="AK538" i="6" l="1"/>
  <c r="CM537" i="6"/>
  <c r="CF537" i="6" s="1"/>
  <c r="AR538" i="6"/>
  <c r="AC538" i="6"/>
  <c r="AS538" i="6" l="1"/>
  <c r="AL538" i="6"/>
  <c r="CN537" i="6"/>
  <c r="CG537" i="6" s="1"/>
  <c r="AT538" i="6" l="1"/>
  <c r="AM538" i="6"/>
  <c r="CO537" i="6"/>
  <c r="CH537" i="6" s="1"/>
  <c r="X538" i="6" l="1"/>
  <c r="AU538" i="6"/>
  <c r="AN538" i="6"/>
  <c r="CP537" i="6"/>
  <c r="T537" i="6" s="1"/>
  <c r="AA538" i="6" l="1"/>
  <c r="Y538" i="6"/>
  <c r="AB538" i="6" s="1"/>
  <c r="AV538" i="6"/>
  <c r="AW538" i="6" s="1"/>
  <c r="AX538" i="6" l="1"/>
  <c r="AY538" i="6" l="1"/>
  <c r="BH538" i="6"/>
  <c r="BF538" i="6" l="1"/>
  <c r="BQ538" i="6" s="1"/>
  <c r="BD538" i="6"/>
  <c r="BO538" i="6" s="1"/>
  <c r="BB538" i="6"/>
  <c r="BM538" i="6" s="1"/>
  <c r="AZ538" i="6"/>
  <c r="BE538" i="6"/>
  <c r="BP538" i="6" s="1"/>
  <c r="BA538" i="6"/>
  <c r="BL538" i="6" s="1"/>
  <c r="BG538" i="6"/>
  <c r="BR538" i="6" s="1"/>
  <c r="BC538" i="6"/>
  <c r="BN538" i="6" s="1"/>
  <c r="BI538" i="6"/>
  <c r="BJ538" i="6" s="1"/>
  <c r="BK538" i="6" s="1"/>
  <c r="BY538" i="6" l="1"/>
  <c r="BW538" i="6"/>
  <c r="BU538" i="6"/>
  <c r="BS538" i="6"/>
  <c r="CA538" i="6" s="1"/>
  <c r="BX538" i="6"/>
  <c r="BT538" i="6"/>
  <c r="BZ538" i="6"/>
  <c r="BV538" i="6"/>
  <c r="AG539" i="6" l="1"/>
  <c r="CI538" i="6"/>
  <c r="CB538" i="6" s="1"/>
  <c r="AH539" i="6"/>
  <c r="CJ538" i="6"/>
  <c r="CC538" i="6" s="1"/>
  <c r="AO539" i="6" l="1"/>
  <c r="Q539" i="6"/>
  <c r="R539" i="6" s="1"/>
  <c r="S539" i="6" s="1"/>
  <c r="AP539" i="6"/>
  <c r="AI539" i="6"/>
  <c r="CK538" i="6"/>
  <c r="CD538" i="6" s="1"/>
  <c r="AQ539" i="6" l="1"/>
  <c r="CL538" i="6"/>
  <c r="CE538" i="6" s="1"/>
  <c r="AJ539" i="6"/>
  <c r="AK539" i="6" l="1"/>
  <c r="CM538" i="6"/>
  <c r="CF538" i="6" s="1"/>
  <c r="W539" i="6"/>
  <c r="Z539" i="6" s="1"/>
  <c r="AC539" i="6"/>
  <c r="AR539" i="6"/>
  <c r="AS539" i="6" l="1"/>
  <c r="AL539" i="6"/>
  <c r="CN538" i="6"/>
  <c r="CG538" i="6" s="1"/>
  <c r="AT539" i="6" l="1"/>
  <c r="CO538" i="6"/>
  <c r="CH538" i="6" s="1"/>
  <c r="AM539" i="6"/>
  <c r="CP538" i="6" l="1"/>
  <c r="T538" i="6" s="1"/>
  <c r="AN539" i="6"/>
  <c r="X539" i="6"/>
  <c r="AU539" i="6"/>
  <c r="AV539" i="6" l="1"/>
  <c r="AW539" i="6" s="1"/>
  <c r="AA539" i="6"/>
  <c r="Y539" i="6"/>
  <c r="AB539" i="6" s="1"/>
  <c r="AX539" i="6" l="1"/>
  <c r="BH539" i="6" l="1"/>
  <c r="AY539" i="6"/>
  <c r="BI539" i="6" l="1"/>
  <c r="BJ539" i="6" s="1"/>
  <c r="BF539" i="6"/>
  <c r="BQ539" i="6" s="1"/>
  <c r="BE539" i="6"/>
  <c r="BP539" i="6" s="1"/>
  <c r="BD539" i="6"/>
  <c r="BO539" i="6" s="1"/>
  <c r="BC539" i="6"/>
  <c r="BN539" i="6" s="1"/>
  <c r="BG539" i="6"/>
  <c r="BR539" i="6" s="1"/>
  <c r="BB539" i="6"/>
  <c r="BM539" i="6" s="1"/>
  <c r="BA539" i="6"/>
  <c r="BL539" i="6" s="1"/>
  <c r="AZ539" i="6"/>
  <c r="BY539" i="6" l="1"/>
  <c r="BX539" i="6"/>
  <c r="BW539" i="6"/>
  <c r="BV539" i="6"/>
  <c r="BZ539" i="6"/>
  <c r="BU539" i="6"/>
  <c r="BT539" i="6"/>
  <c r="BK539" i="6"/>
  <c r="BS539" i="6" l="1"/>
  <c r="CA539" i="6" s="1"/>
  <c r="AG540" i="6" l="1"/>
  <c r="CI539" i="6"/>
  <c r="CB539" i="6" s="1"/>
  <c r="AO540" i="6" l="1"/>
  <c r="Q540" i="6"/>
  <c r="R540" i="6" s="1"/>
  <c r="S540" i="6" s="1"/>
  <c r="AH540" i="6"/>
  <c r="CJ539" i="6"/>
  <c r="CC539" i="6" s="1"/>
  <c r="AP540" i="6" l="1"/>
  <c r="CK539" i="6"/>
  <c r="CD539" i="6" s="1"/>
  <c r="AI540" i="6"/>
  <c r="CL539" i="6" l="1"/>
  <c r="CE539" i="6" s="1"/>
  <c r="AJ540" i="6"/>
  <c r="W540" i="6"/>
  <c r="Z540" i="6" s="1"/>
  <c r="AQ540" i="6"/>
  <c r="CM539" i="6" l="1"/>
  <c r="CF539" i="6" s="1"/>
  <c r="AK540" i="6"/>
  <c r="AC540" i="6"/>
  <c r="AR540" i="6"/>
  <c r="CN539" i="6" l="1"/>
  <c r="CG539" i="6" s="1"/>
  <c r="AL540" i="6"/>
  <c r="AS540" i="6"/>
  <c r="AM540" i="6" l="1"/>
  <c r="CO539" i="6"/>
  <c r="CH539" i="6" s="1"/>
  <c r="AT540" i="6"/>
  <c r="AU540" i="6" l="1"/>
  <c r="AN540" i="6"/>
  <c r="X540" i="6" s="1"/>
  <c r="CP539" i="6"/>
  <c r="T539" i="6" s="1"/>
  <c r="AA540" i="6" l="1"/>
  <c r="Y540" i="6"/>
  <c r="AB540" i="6" s="1"/>
  <c r="AV540" i="6"/>
  <c r="AW540" i="6" s="1"/>
  <c r="AX540" i="6" l="1"/>
  <c r="BH540" i="6" l="1"/>
  <c r="AY540" i="6"/>
  <c r="BI540" i="6" l="1"/>
  <c r="BJ540" i="6" s="1"/>
  <c r="BK540" i="6" s="1"/>
  <c r="BC540" i="6"/>
  <c r="BN540" i="6" s="1"/>
  <c r="BE540" i="6"/>
  <c r="BP540" i="6" s="1"/>
  <c r="BD540" i="6"/>
  <c r="BO540" i="6" s="1"/>
  <c r="BF540" i="6"/>
  <c r="BQ540" i="6" s="1"/>
  <c r="AZ540" i="6"/>
  <c r="BG540" i="6"/>
  <c r="BR540" i="6" s="1"/>
  <c r="BA540" i="6"/>
  <c r="BL540" i="6" s="1"/>
  <c r="BB540" i="6"/>
  <c r="BM540" i="6" s="1"/>
  <c r="BV540" i="6" l="1"/>
  <c r="BX540" i="6"/>
  <c r="BW540" i="6"/>
  <c r="BY540" i="6"/>
  <c r="BS540" i="6"/>
  <c r="CA540" i="6"/>
  <c r="BZ540" i="6"/>
  <c r="BT540" i="6"/>
  <c r="BU540" i="6"/>
  <c r="AG541" i="6" l="1"/>
  <c r="CI540" i="6"/>
  <c r="CB540" i="6" s="1"/>
  <c r="AO541" i="6" l="1"/>
  <c r="Q541" i="6"/>
  <c r="R541" i="6" s="1"/>
  <c r="S541" i="6" s="1"/>
  <c r="AH541" i="6"/>
  <c r="CJ540" i="6"/>
  <c r="CC540" i="6" s="1"/>
  <c r="AP541" i="6" l="1"/>
  <c r="CK540" i="6"/>
  <c r="CD540" i="6" s="1"/>
  <c r="AI541" i="6"/>
  <c r="AJ541" i="6" l="1"/>
  <c r="CL540" i="6"/>
  <c r="CE540" i="6" s="1"/>
  <c r="W541" i="6"/>
  <c r="Z541" i="6" s="1"/>
  <c r="AQ541" i="6"/>
  <c r="AC541" i="6" l="1"/>
  <c r="AR541" i="6"/>
  <c r="AK541" i="6"/>
  <c r="CM540" i="6"/>
  <c r="CF540" i="6" s="1"/>
  <c r="AS541" i="6" l="1"/>
  <c r="AL541" i="6"/>
  <c r="CN540" i="6"/>
  <c r="CG540" i="6" s="1"/>
  <c r="AT541" i="6" l="1"/>
  <c r="CO540" i="6"/>
  <c r="CH540" i="6" s="1"/>
  <c r="AM541" i="6"/>
  <c r="CP540" i="6" l="1"/>
  <c r="T540" i="6" s="1"/>
  <c r="AN541" i="6"/>
  <c r="X541" i="6"/>
  <c r="AU541" i="6"/>
  <c r="AV541" i="6" l="1"/>
  <c r="AW541" i="6" s="1"/>
  <c r="AA541" i="6"/>
  <c r="Y541" i="6"/>
  <c r="AB541" i="6" s="1"/>
  <c r="AX541" i="6" l="1"/>
  <c r="BH541" i="6" l="1"/>
  <c r="AY541" i="6"/>
  <c r="BI541" i="6" l="1"/>
  <c r="BJ541" i="6" s="1"/>
  <c r="BK541" i="6" s="1"/>
  <c r="AZ541" i="6"/>
  <c r="BA541" i="6"/>
  <c r="BL541" i="6" s="1"/>
  <c r="BB541" i="6"/>
  <c r="BM541" i="6" s="1"/>
  <c r="BD541" i="6"/>
  <c r="BO541" i="6" s="1"/>
  <c r="BE541" i="6"/>
  <c r="BP541" i="6" s="1"/>
  <c r="BF541" i="6"/>
  <c r="BQ541" i="6" s="1"/>
  <c r="BG541" i="6"/>
  <c r="BR541" i="6" s="1"/>
  <c r="BC541" i="6"/>
  <c r="BN541" i="6" s="1"/>
  <c r="BS541" i="6" l="1"/>
  <c r="CA541" i="6"/>
  <c r="BT541" i="6"/>
  <c r="BU541" i="6"/>
  <c r="BW541" i="6"/>
  <c r="BX541" i="6"/>
  <c r="BY541" i="6"/>
  <c r="BZ541" i="6"/>
  <c r="BV541" i="6"/>
  <c r="AG542" i="6" l="1"/>
  <c r="CI541" i="6"/>
  <c r="CB541" i="6" s="1"/>
  <c r="AH542" i="6"/>
  <c r="CJ541" i="6"/>
  <c r="CC541" i="6" s="1"/>
  <c r="CK541" i="6"/>
  <c r="CD541" i="6" s="1"/>
  <c r="AI542" i="6"/>
  <c r="AJ542" i="6"/>
  <c r="CL541" i="6"/>
  <c r="CE541" i="6" s="1"/>
  <c r="W542" i="6" l="1"/>
  <c r="Z542" i="6" s="1"/>
  <c r="AO542" i="6"/>
  <c r="Q542" i="6"/>
  <c r="R542" i="6" s="1"/>
  <c r="S542" i="6" s="1"/>
  <c r="AP542" i="6"/>
  <c r="AQ542" i="6"/>
  <c r="AC542" i="6"/>
  <c r="AR542" i="6"/>
  <c r="CM541" i="6"/>
  <c r="CF541" i="6" s="1"/>
  <c r="AK542" i="6"/>
  <c r="CN541" i="6" l="1"/>
  <c r="CG541" i="6" s="1"/>
  <c r="AL542" i="6"/>
  <c r="AS542" i="6"/>
  <c r="CO541" i="6" l="1"/>
  <c r="CH541" i="6" s="1"/>
  <c r="AM542" i="6"/>
  <c r="AT542" i="6"/>
  <c r="CP541" i="6" l="1"/>
  <c r="T541" i="6" s="1"/>
  <c r="AN542" i="6"/>
  <c r="X542" i="6"/>
  <c r="AU542" i="6"/>
  <c r="AV542" i="6" l="1"/>
  <c r="AW542" i="6" s="1"/>
  <c r="AA542" i="6"/>
  <c r="Y542" i="6"/>
  <c r="AB542" i="6" s="1"/>
  <c r="AX542" i="6" l="1"/>
  <c r="BH542" i="6" l="1"/>
  <c r="AY542" i="6"/>
  <c r="BI542" i="6" l="1"/>
  <c r="BJ542" i="6" s="1"/>
  <c r="AZ542" i="6"/>
  <c r="BF542" i="6"/>
  <c r="BQ542" i="6" s="1"/>
  <c r="BG542" i="6"/>
  <c r="BR542" i="6" s="1"/>
  <c r="BE542" i="6"/>
  <c r="BP542" i="6" s="1"/>
  <c r="BD542" i="6"/>
  <c r="BO542" i="6" s="1"/>
  <c r="BC542" i="6"/>
  <c r="BN542" i="6" s="1"/>
  <c r="BB542" i="6"/>
  <c r="BM542" i="6" s="1"/>
  <c r="BA542" i="6"/>
  <c r="BL542" i="6" s="1"/>
  <c r="BY542" i="6" l="1"/>
  <c r="BZ542" i="6"/>
  <c r="BX542" i="6"/>
  <c r="BW542" i="6"/>
  <c r="BV542" i="6"/>
  <c r="BU542" i="6"/>
  <c r="BT542" i="6"/>
  <c r="BK542" i="6"/>
  <c r="BS542" i="6" l="1"/>
  <c r="CA542" i="6" s="1"/>
  <c r="AG543" i="6" l="1"/>
  <c r="CI542" i="6"/>
  <c r="CB542" i="6" s="1"/>
  <c r="CJ542" i="6"/>
  <c r="CC542" i="6" s="1"/>
  <c r="AH543" i="6"/>
  <c r="AO543" i="6" l="1"/>
  <c r="Q543" i="6"/>
  <c r="R543" i="6" s="1"/>
  <c r="S543" i="6" s="1"/>
  <c r="AP543" i="6"/>
  <c r="CK542" i="6"/>
  <c r="CD542" i="6" s="1"/>
  <c r="AI543" i="6"/>
  <c r="CL542" i="6" l="1"/>
  <c r="CE542" i="6" s="1"/>
  <c r="AJ543" i="6"/>
  <c r="AQ543" i="6"/>
  <c r="CM542" i="6" l="1"/>
  <c r="CF542" i="6" s="1"/>
  <c r="AK543" i="6"/>
  <c r="W543" i="6"/>
  <c r="Z543" i="6" s="1"/>
  <c r="AC543" i="6"/>
  <c r="AR543" i="6"/>
  <c r="CN542" i="6" l="1"/>
  <c r="CG542" i="6" s="1"/>
  <c r="AL543" i="6"/>
  <c r="AS543" i="6"/>
  <c r="CO542" i="6" l="1"/>
  <c r="CH542" i="6" s="1"/>
  <c r="AM543" i="6"/>
  <c r="AT543" i="6"/>
  <c r="CP542" i="6" l="1"/>
  <c r="T542" i="6" s="1"/>
  <c r="AN543" i="6"/>
  <c r="X543" i="6" s="1"/>
  <c r="AU543" i="6"/>
  <c r="AV543" i="6" l="1"/>
  <c r="AW543" i="6" s="1"/>
  <c r="AA543" i="6"/>
  <c r="Y543" i="6"/>
  <c r="AB543" i="6" s="1"/>
  <c r="AX543" i="6" l="1"/>
  <c r="AY543" i="6" l="1"/>
  <c r="BH543" i="6"/>
  <c r="BG543" i="6" l="1"/>
  <c r="BR543" i="6" s="1"/>
  <c r="AZ543" i="6"/>
  <c r="BA543" i="6"/>
  <c r="BL543" i="6" s="1"/>
  <c r="BF543" i="6"/>
  <c r="BQ543" i="6" s="1"/>
  <c r="BE543" i="6"/>
  <c r="BP543" i="6" s="1"/>
  <c r="BC543" i="6"/>
  <c r="BN543" i="6" s="1"/>
  <c r="BB543" i="6"/>
  <c r="BM543" i="6" s="1"/>
  <c r="BD543" i="6"/>
  <c r="BO543" i="6" s="1"/>
  <c r="BI543" i="6"/>
  <c r="BJ543" i="6" s="1"/>
  <c r="BK543" i="6" s="1"/>
  <c r="BZ543" i="6" l="1"/>
  <c r="BS543" i="6"/>
  <c r="CA543" i="6" s="1"/>
  <c r="BT543" i="6"/>
  <c r="BY543" i="6"/>
  <c r="BX543" i="6"/>
  <c r="BV543" i="6"/>
  <c r="BU543" i="6"/>
  <c r="BW543" i="6"/>
  <c r="AG544" i="6" l="1"/>
  <c r="CI543" i="6"/>
  <c r="CB543" i="6" s="1"/>
  <c r="AH544" i="6"/>
  <c r="CJ543" i="6"/>
  <c r="CC543" i="6" s="1"/>
  <c r="AI544" i="6"/>
  <c r="CK543" i="6"/>
  <c r="CD543" i="6" s="1"/>
  <c r="AO544" i="6" l="1"/>
  <c r="Q544" i="6"/>
  <c r="R544" i="6" s="1"/>
  <c r="S544" i="6" s="1"/>
  <c r="AP544" i="6"/>
  <c r="AQ544" i="6"/>
  <c r="CL543" i="6"/>
  <c r="CE543" i="6" s="1"/>
  <c r="AJ544" i="6"/>
  <c r="W544" i="6" s="1"/>
  <c r="Z544" i="6" s="1"/>
  <c r="AC544" i="6" l="1"/>
  <c r="AR544" i="6"/>
  <c r="CM543" i="6"/>
  <c r="CF543" i="6" s="1"/>
  <c r="AK544" i="6"/>
  <c r="AL544" i="6" l="1"/>
  <c r="CN543" i="6"/>
  <c r="CG543" i="6" s="1"/>
  <c r="AS544" i="6"/>
  <c r="AT544" i="6" l="1"/>
  <c r="AM544" i="6"/>
  <c r="CO543" i="6"/>
  <c r="CH543" i="6" s="1"/>
  <c r="AU544" i="6" l="1"/>
  <c r="AN544" i="6"/>
  <c r="X544" i="6" s="1"/>
  <c r="CP543" i="6"/>
  <c r="T543" i="6" s="1"/>
  <c r="AA544" i="6" l="1"/>
  <c r="Y544" i="6"/>
  <c r="AB544" i="6" s="1"/>
  <c r="AV544" i="6"/>
  <c r="AW544" i="6" s="1"/>
  <c r="AX544" i="6" l="1"/>
  <c r="AY544" i="6" l="1"/>
  <c r="BH544" i="6"/>
  <c r="BC544" i="6" l="1"/>
  <c r="BN544" i="6" s="1"/>
  <c r="BB544" i="6"/>
  <c r="BM544" i="6" s="1"/>
  <c r="BA544" i="6"/>
  <c r="BL544" i="6" s="1"/>
  <c r="AZ544" i="6"/>
  <c r="BG544" i="6"/>
  <c r="BR544" i="6" s="1"/>
  <c r="BF544" i="6"/>
  <c r="BQ544" i="6" s="1"/>
  <c r="BE544" i="6"/>
  <c r="BP544" i="6" s="1"/>
  <c r="BD544" i="6"/>
  <c r="BO544" i="6" s="1"/>
  <c r="BI544" i="6"/>
  <c r="BJ544" i="6" s="1"/>
  <c r="BK544" i="6" s="1"/>
  <c r="BV544" i="6" l="1"/>
  <c r="BU544" i="6"/>
  <c r="BT544" i="6"/>
  <c r="BS544" i="6"/>
  <c r="CA544" i="6" s="1"/>
  <c r="BZ544" i="6"/>
  <c r="BY544" i="6"/>
  <c r="BX544" i="6"/>
  <c r="BW544" i="6"/>
  <c r="AG545" i="6" l="1"/>
  <c r="CI544" i="6"/>
  <c r="CB544" i="6" s="1"/>
  <c r="AO545" i="6" l="1"/>
  <c r="Q545" i="6"/>
  <c r="R545" i="6" s="1"/>
  <c r="S545" i="6" s="1"/>
  <c r="CJ544" i="6"/>
  <c r="CC544" i="6" s="1"/>
  <c r="AH545" i="6"/>
  <c r="CK544" i="6" l="1"/>
  <c r="CD544" i="6" s="1"/>
  <c r="AI545" i="6"/>
  <c r="AP545" i="6"/>
  <c r="AJ545" i="6" l="1"/>
  <c r="CL544" i="6"/>
  <c r="CE544" i="6" s="1"/>
  <c r="W545" i="6"/>
  <c r="Z545" i="6" s="1"/>
  <c r="AQ545" i="6"/>
  <c r="AC545" i="6" l="1"/>
  <c r="AR545" i="6"/>
  <c r="CM544" i="6"/>
  <c r="CF544" i="6" s="1"/>
  <c r="AK545" i="6"/>
  <c r="AL545" i="6" l="1"/>
  <c r="CN544" i="6"/>
  <c r="CG544" i="6" s="1"/>
  <c r="AS545" i="6"/>
  <c r="AT545" i="6" l="1"/>
  <c r="AM545" i="6"/>
  <c r="CO544" i="6"/>
  <c r="CH544" i="6" s="1"/>
  <c r="X545" i="6" l="1"/>
  <c r="AU545" i="6"/>
  <c r="CP544" i="6"/>
  <c r="T544" i="6" s="1"/>
  <c r="AN545" i="6"/>
  <c r="AA545" i="6" l="1"/>
  <c r="Y545" i="6"/>
  <c r="AB545" i="6" s="1"/>
  <c r="AV545" i="6"/>
  <c r="AW545" i="6" s="1"/>
  <c r="AX545" i="6" l="1"/>
  <c r="BH545" i="6" l="1"/>
  <c r="AY545" i="6"/>
  <c r="BI545" i="6" l="1"/>
  <c r="BJ545" i="6" s="1"/>
  <c r="BC545" i="6"/>
  <c r="BN545" i="6" s="1"/>
  <c r="BD545" i="6"/>
  <c r="BO545" i="6" s="1"/>
  <c r="AZ545" i="6"/>
  <c r="BE545" i="6"/>
  <c r="BP545" i="6" s="1"/>
  <c r="BF545" i="6"/>
  <c r="BQ545" i="6" s="1"/>
  <c r="BG545" i="6"/>
  <c r="BR545" i="6" s="1"/>
  <c r="BA545" i="6"/>
  <c r="BL545" i="6" s="1"/>
  <c r="BB545" i="6"/>
  <c r="BM545" i="6" s="1"/>
  <c r="BV545" i="6" l="1"/>
  <c r="BW545" i="6"/>
  <c r="BX545" i="6"/>
  <c r="BY545" i="6"/>
  <c r="BZ545" i="6"/>
  <c r="BT545" i="6"/>
  <c r="BU545" i="6"/>
  <c r="BK545" i="6"/>
  <c r="BS545" i="6" l="1"/>
  <c r="CA545" i="6" s="1"/>
  <c r="AG546" i="6" l="1"/>
  <c r="CI545" i="6"/>
  <c r="CB545" i="6" s="1"/>
  <c r="AH546" i="6" s="1"/>
  <c r="CJ545" i="6"/>
  <c r="CC545" i="6" s="1"/>
  <c r="AO546" i="6" l="1"/>
  <c r="Q546" i="6"/>
  <c r="R546" i="6" s="1"/>
  <c r="S546" i="6" s="1"/>
  <c r="CK545" i="6"/>
  <c r="CD545" i="6" s="1"/>
  <c r="AI546" i="6"/>
  <c r="AP546" i="6"/>
  <c r="CL545" i="6" l="1"/>
  <c r="CE545" i="6" s="1"/>
  <c r="AJ546" i="6"/>
  <c r="AQ546" i="6"/>
  <c r="CM545" i="6" l="1"/>
  <c r="CF545" i="6" s="1"/>
  <c r="AK546" i="6"/>
  <c r="W546" i="6"/>
  <c r="Z546" i="6" s="1"/>
  <c r="AC546" i="6"/>
  <c r="AR546" i="6"/>
  <c r="CN545" i="6" l="1"/>
  <c r="CG545" i="6" s="1"/>
  <c r="AL546" i="6"/>
  <c r="AS546" i="6"/>
  <c r="CO545" i="6" l="1"/>
  <c r="CH545" i="6" s="1"/>
  <c r="AM546" i="6"/>
  <c r="AT546" i="6"/>
  <c r="CP545" i="6" l="1"/>
  <c r="T545" i="6" s="1"/>
  <c r="AN546" i="6"/>
  <c r="X546" i="6"/>
  <c r="AU546" i="6"/>
  <c r="AV546" i="6" l="1"/>
  <c r="AW546" i="6" s="1"/>
  <c r="AA546" i="6"/>
  <c r="Y546" i="6"/>
  <c r="AB546" i="6" s="1"/>
  <c r="AX546" i="6" l="1"/>
  <c r="AY546" i="6" l="1"/>
  <c r="BH546" i="6"/>
  <c r="BB546" i="6" l="1"/>
  <c r="BM546" i="6" s="1"/>
  <c r="BE546" i="6"/>
  <c r="BP546" i="6" s="1"/>
  <c r="BG546" i="6"/>
  <c r="BR546" i="6" s="1"/>
  <c r="BF546" i="6"/>
  <c r="BQ546" i="6" s="1"/>
  <c r="BA546" i="6"/>
  <c r="BL546" i="6" s="1"/>
  <c r="BD546" i="6"/>
  <c r="BO546" i="6" s="1"/>
  <c r="BC546" i="6"/>
  <c r="BN546" i="6" s="1"/>
  <c r="AZ546" i="6"/>
  <c r="BI546" i="6"/>
  <c r="BJ546" i="6" s="1"/>
  <c r="BU546" i="6" l="1"/>
  <c r="BX546" i="6"/>
  <c r="BZ546" i="6"/>
  <c r="BY546" i="6"/>
  <c r="BT546" i="6"/>
  <c r="BW546" i="6"/>
  <c r="BV546" i="6"/>
  <c r="BK546" i="6"/>
  <c r="BS546" i="6" l="1"/>
  <c r="CA546" i="6" s="1"/>
  <c r="AG547" i="6" l="1"/>
  <c r="CI546" i="6"/>
  <c r="CB546" i="6" s="1"/>
  <c r="AO547" i="6" l="1"/>
  <c r="Q547" i="6"/>
  <c r="R547" i="6" s="1"/>
  <c r="S547" i="6" s="1"/>
  <c r="AH547" i="6"/>
  <c r="CJ546" i="6"/>
  <c r="CC546" i="6" s="1"/>
  <c r="AP547" i="6" l="1"/>
  <c r="AI547" i="6"/>
  <c r="CK546" i="6"/>
  <c r="CD546" i="6" s="1"/>
  <c r="AQ547" i="6" l="1"/>
  <c r="AJ547" i="6"/>
  <c r="W547" i="6" s="1"/>
  <c r="Z547" i="6" s="1"/>
  <c r="CL546" i="6"/>
  <c r="CE546" i="6" s="1"/>
  <c r="AC547" i="6" l="1"/>
  <c r="AR547" i="6"/>
  <c r="CM546" i="6"/>
  <c r="CF546" i="6" s="1"/>
  <c r="AK547" i="6"/>
  <c r="CN546" i="6" l="1"/>
  <c r="CG546" i="6" s="1"/>
  <c r="AL547" i="6"/>
  <c r="AS547" i="6"/>
  <c r="CO546" i="6" l="1"/>
  <c r="CH546" i="6" s="1"/>
  <c r="AM547" i="6"/>
  <c r="AT547" i="6"/>
  <c r="CP546" i="6" l="1"/>
  <c r="T546" i="6" s="1"/>
  <c r="AN547" i="6"/>
  <c r="X547" i="6"/>
  <c r="AU547" i="6"/>
  <c r="AV547" i="6" l="1"/>
  <c r="AW547" i="6" s="1"/>
  <c r="AA547" i="6"/>
  <c r="Y547" i="6"/>
  <c r="AB547" i="6" s="1"/>
  <c r="AX547" i="6"/>
  <c r="AY547" i="6" l="1"/>
  <c r="BH547" i="6"/>
  <c r="BE547" i="6"/>
  <c r="BP547" i="6" s="1"/>
  <c r="BD547" i="6"/>
  <c r="BO547" i="6" s="1"/>
  <c r="BG547" i="6" l="1"/>
  <c r="BR547" i="6" s="1"/>
  <c r="BA547" i="6"/>
  <c r="BL547" i="6" s="1"/>
  <c r="BF547" i="6"/>
  <c r="BQ547" i="6" s="1"/>
  <c r="AZ547" i="6"/>
  <c r="BI547" i="6"/>
  <c r="BJ547" i="6" s="1"/>
  <c r="BX547" i="6"/>
  <c r="BW547" i="6"/>
  <c r="BC547" i="6"/>
  <c r="BN547" i="6" s="1"/>
  <c r="BB547" i="6"/>
  <c r="BM547" i="6" s="1"/>
  <c r="BZ547" i="6" l="1"/>
  <c r="BT547" i="6"/>
  <c r="BY547" i="6"/>
  <c r="BV547" i="6"/>
  <c r="BU547" i="6"/>
  <c r="BK547" i="6"/>
  <c r="BS547" i="6" l="1"/>
  <c r="CA547" i="6"/>
  <c r="AG548" i="6" l="1"/>
  <c r="CI547" i="6"/>
  <c r="CB547" i="6" s="1"/>
  <c r="AO548" i="6" l="1"/>
  <c r="Q548" i="6"/>
  <c r="R548" i="6" s="1"/>
  <c r="S548" i="6" s="1"/>
  <c r="AH548" i="6"/>
  <c r="CJ547" i="6"/>
  <c r="CC547" i="6" s="1"/>
  <c r="AP548" i="6" l="1"/>
  <c r="CK547" i="6"/>
  <c r="CD547" i="6" s="1"/>
  <c r="AI548" i="6"/>
  <c r="CL547" i="6" l="1"/>
  <c r="CE547" i="6" s="1"/>
  <c r="AJ548" i="6"/>
  <c r="W548" i="6"/>
  <c r="Z548" i="6" s="1"/>
  <c r="AQ548" i="6"/>
  <c r="AK548" i="6" l="1"/>
  <c r="CM547" i="6"/>
  <c r="CF547" i="6" s="1"/>
  <c r="AC548" i="6"/>
  <c r="AR548" i="6"/>
  <c r="AS548" i="6" l="1"/>
  <c r="CN547" i="6"/>
  <c r="CG547" i="6" s="1"/>
  <c r="AL548" i="6"/>
  <c r="CO547" i="6" l="1"/>
  <c r="CH547" i="6" s="1"/>
  <c r="AM548" i="6"/>
  <c r="AT548" i="6"/>
  <c r="CP547" i="6" l="1"/>
  <c r="T547" i="6" s="1"/>
  <c r="AN548" i="6"/>
  <c r="X548" i="6"/>
  <c r="AU548" i="6"/>
  <c r="AV548" i="6" l="1"/>
  <c r="AW548" i="6" s="1"/>
  <c r="AA548" i="6"/>
  <c r="Y548" i="6"/>
  <c r="AB548" i="6" s="1"/>
  <c r="AX548" i="6" l="1"/>
  <c r="BH548" i="6" l="1"/>
  <c r="AY548" i="6"/>
  <c r="BI548" i="6" l="1"/>
  <c r="BJ548" i="6" s="1"/>
  <c r="BK548" i="6" s="1"/>
  <c r="AZ548" i="6"/>
  <c r="BA548" i="6"/>
  <c r="BL548" i="6" s="1"/>
  <c r="BB548" i="6"/>
  <c r="BM548" i="6" s="1"/>
  <c r="BC548" i="6"/>
  <c r="BN548" i="6" s="1"/>
  <c r="BE548" i="6"/>
  <c r="BP548" i="6" s="1"/>
  <c r="BF548" i="6"/>
  <c r="BQ548" i="6" s="1"/>
  <c r="BG548" i="6"/>
  <c r="BR548" i="6" s="1"/>
  <c r="BD548" i="6"/>
  <c r="BO548" i="6" s="1"/>
  <c r="BS548" i="6" l="1"/>
  <c r="BT548" i="6"/>
  <c r="BU548" i="6"/>
  <c r="BV548" i="6"/>
  <c r="BX548" i="6"/>
  <c r="BY548" i="6"/>
  <c r="BZ548" i="6"/>
  <c r="BW548" i="6"/>
  <c r="CA548" i="6" l="1"/>
  <c r="CI548" i="6" l="1"/>
  <c r="CB548" i="6" s="1"/>
  <c r="AG549" i="6"/>
  <c r="AO549" i="6" l="1"/>
  <c r="Q549" i="6"/>
  <c r="R549" i="6" s="1"/>
  <c r="S549" i="6" s="1"/>
  <c r="CJ548" i="6"/>
  <c r="CC548" i="6" s="1"/>
  <c r="AH549" i="6"/>
  <c r="AI549" i="6" l="1"/>
  <c r="CK548" i="6"/>
  <c r="CD548" i="6" s="1"/>
  <c r="AP549" i="6"/>
  <c r="AQ549" i="6" l="1"/>
  <c r="CL548" i="6"/>
  <c r="CE548" i="6" s="1"/>
  <c r="AJ549" i="6"/>
  <c r="W549" i="6" s="1"/>
  <c r="Z549" i="6" s="1"/>
  <c r="CM548" i="6" l="1"/>
  <c r="CF548" i="6" s="1"/>
  <c r="AK549" i="6"/>
  <c r="AC549" i="6"/>
  <c r="AR549" i="6"/>
  <c r="AL549" i="6" l="1"/>
  <c r="CN548" i="6"/>
  <c r="CG548" i="6" s="1"/>
  <c r="AS549" i="6"/>
  <c r="AT549" i="6" l="1"/>
  <c r="AM549" i="6"/>
  <c r="CO548" i="6"/>
  <c r="CH548" i="6" s="1"/>
  <c r="X549" i="6" l="1"/>
  <c r="AU549" i="6"/>
  <c r="CP548" i="6"/>
  <c r="T548" i="6" s="1"/>
  <c r="AN549" i="6"/>
  <c r="AA549" i="6" l="1"/>
  <c r="Y549" i="6"/>
  <c r="AB549" i="6" s="1"/>
  <c r="AV549" i="6"/>
  <c r="AW549" i="6" s="1"/>
  <c r="AX549" i="6" l="1"/>
  <c r="BH549" i="6" l="1"/>
  <c r="AY549" i="6"/>
  <c r="BI549" i="6" l="1"/>
  <c r="BJ549" i="6" s="1"/>
  <c r="BK549" i="6" s="1"/>
  <c r="BB549" i="6"/>
  <c r="BM549" i="6" s="1"/>
  <c r="AZ549" i="6"/>
  <c r="BD549" i="6"/>
  <c r="BO549" i="6" s="1"/>
  <c r="BA549" i="6"/>
  <c r="BL549" i="6" s="1"/>
  <c r="BC549" i="6"/>
  <c r="BN549" i="6" s="1"/>
  <c r="BE549" i="6"/>
  <c r="BP549" i="6" s="1"/>
  <c r="BF549" i="6"/>
  <c r="BQ549" i="6" s="1"/>
  <c r="BG549" i="6"/>
  <c r="BR549" i="6" s="1"/>
  <c r="BU549" i="6" l="1"/>
  <c r="BS549" i="6"/>
  <c r="CA549" i="6"/>
  <c r="BW549" i="6"/>
  <c r="BT549" i="6"/>
  <c r="BV549" i="6"/>
  <c r="BX549" i="6"/>
  <c r="BY549" i="6"/>
  <c r="BZ549" i="6"/>
  <c r="AG550" i="6" l="1"/>
  <c r="CI549" i="6"/>
  <c r="CB549" i="6" s="1"/>
  <c r="AO550" i="6" l="1"/>
  <c r="Q550" i="6"/>
  <c r="R550" i="6" s="1"/>
  <c r="S550" i="6" s="1"/>
  <c r="CJ549" i="6"/>
  <c r="CC549" i="6" s="1"/>
  <c r="AH550" i="6"/>
  <c r="AI550" i="6" l="1"/>
  <c r="CK549" i="6"/>
  <c r="CD549" i="6" s="1"/>
  <c r="AP550" i="6"/>
  <c r="W550" i="6" l="1"/>
  <c r="Z550" i="6" s="1"/>
  <c r="AQ550" i="6"/>
  <c r="CL549" i="6"/>
  <c r="CE549" i="6" s="1"/>
  <c r="AJ550" i="6"/>
  <c r="CM549" i="6" l="1"/>
  <c r="CF549" i="6" s="1"/>
  <c r="AK550" i="6"/>
  <c r="AC550" i="6"/>
  <c r="AR550" i="6"/>
  <c r="CN549" i="6" l="1"/>
  <c r="CG549" i="6" s="1"/>
  <c r="AL550" i="6"/>
  <c r="AS550" i="6"/>
  <c r="CO549" i="6" l="1"/>
  <c r="CH549" i="6" s="1"/>
  <c r="AM550" i="6"/>
  <c r="AT550" i="6"/>
  <c r="CP549" i="6" l="1"/>
  <c r="T549" i="6" s="1"/>
  <c r="AN550" i="6"/>
  <c r="X550" i="6"/>
  <c r="AU550" i="6"/>
  <c r="AV550" i="6" l="1"/>
  <c r="AW550" i="6" s="1"/>
  <c r="AA550" i="6"/>
  <c r="Y550" i="6"/>
  <c r="AB550" i="6" s="1"/>
  <c r="AX550" i="6" l="1"/>
  <c r="AY550" i="6" l="1"/>
  <c r="BH550" i="6"/>
  <c r="BE550" i="6" l="1"/>
  <c r="BP550" i="6" s="1"/>
  <c r="BC550" i="6"/>
  <c r="BN550" i="6" s="1"/>
  <c r="BB550" i="6"/>
  <c r="BM550" i="6" s="1"/>
  <c r="BA550" i="6"/>
  <c r="BL550" i="6" s="1"/>
  <c r="AZ550" i="6"/>
  <c r="BG550" i="6"/>
  <c r="BR550" i="6" s="1"/>
  <c r="BF550" i="6"/>
  <c r="BQ550" i="6" s="1"/>
  <c r="BD550" i="6"/>
  <c r="BO550" i="6" s="1"/>
  <c r="BI550" i="6"/>
  <c r="BJ550" i="6" s="1"/>
  <c r="BK550" i="6" s="1"/>
  <c r="BX550" i="6" l="1"/>
  <c r="BV550" i="6"/>
  <c r="BU550" i="6"/>
  <c r="BT550" i="6"/>
  <c r="BS550" i="6"/>
  <c r="BZ550" i="6"/>
  <c r="BY550" i="6"/>
  <c r="BW550" i="6"/>
  <c r="CA550" i="6" l="1"/>
  <c r="CI550" i="6" l="1"/>
  <c r="CB550" i="6" s="1"/>
  <c r="AG551" i="6"/>
  <c r="CJ550" i="6" l="1"/>
  <c r="CC550" i="6" s="1"/>
  <c r="AH551" i="6"/>
  <c r="AO551" i="6"/>
  <c r="Q551" i="6"/>
  <c r="R551" i="6" s="1"/>
  <c r="S551" i="6" s="1"/>
  <c r="CK550" i="6" l="1"/>
  <c r="CD550" i="6" s="1"/>
  <c r="AI551" i="6"/>
  <c r="AP551" i="6"/>
  <c r="CL550" i="6" l="1"/>
  <c r="CE550" i="6" s="1"/>
  <c r="AJ551" i="6"/>
  <c r="W551" i="6"/>
  <c r="Z551" i="6" s="1"/>
  <c r="AQ551" i="6"/>
  <c r="CM550" i="6" l="1"/>
  <c r="CF550" i="6" s="1"/>
  <c r="AK551" i="6"/>
  <c r="AC551" i="6"/>
  <c r="AR551" i="6"/>
  <c r="AL551" i="6" l="1"/>
  <c r="CN550" i="6"/>
  <c r="CG550" i="6" s="1"/>
  <c r="AS551" i="6"/>
  <c r="AT551" i="6" l="1"/>
  <c r="AM551" i="6"/>
  <c r="CO550" i="6"/>
  <c r="CH550" i="6" s="1"/>
  <c r="X551" i="6" l="1"/>
  <c r="AU551" i="6"/>
  <c r="CP550" i="6"/>
  <c r="T550" i="6" s="1"/>
  <c r="AN551" i="6"/>
  <c r="AA551" i="6" l="1"/>
  <c r="Y551" i="6"/>
  <c r="AB551" i="6" s="1"/>
  <c r="AV551" i="6"/>
  <c r="AW551" i="6" s="1"/>
  <c r="AX551" i="6" l="1"/>
  <c r="AY551" i="6" l="1"/>
  <c r="BH551" i="6"/>
  <c r="AZ551" i="6" l="1"/>
  <c r="BF551" i="6"/>
  <c r="BQ551" i="6" s="1"/>
  <c r="BE551" i="6"/>
  <c r="BP551" i="6" s="1"/>
  <c r="BD551" i="6"/>
  <c r="BO551" i="6" s="1"/>
  <c r="BC551" i="6"/>
  <c r="BN551" i="6" s="1"/>
  <c r="BB551" i="6"/>
  <c r="BM551" i="6" s="1"/>
  <c r="BG551" i="6"/>
  <c r="BR551" i="6" s="1"/>
  <c r="BA551" i="6"/>
  <c r="BL551" i="6" s="1"/>
  <c r="BI551" i="6"/>
  <c r="BJ551" i="6" s="1"/>
  <c r="BK551" i="6" s="1"/>
  <c r="BS551" i="6" l="1"/>
  <c r="CA551" i="6" s="1"/>
  <c r="CI551" i="6" s="1"/>
  <c r="BY551" i="6"/>
  <c r="BX551" i="6"/>
  <c r="BW551" i="6"/>
  <c r="BV551" i="6"/>
  <c r="BU551" i="6"/>
  <c r="BZ551" i="6"/>
  <c r="BT551" i="6"/>
  <c r="CB551" i="6" l="1"/>
  <c r="CJ551" i="6" s="1"/>
  <c r="CC551" i="6" s="1"/>
  <c r="CK551" i="6" s="1"/>
  <c r="CD551" i="6" s="1"/>
  <c r="CL551" i="6" s="1"/>
  <c r="CE551" i="6" s="1"/>
  <c r="CM551" i="6" s="1"/>
  <c r="CF551" i="6" s="1"/>
  <c r="CN551" i="6" s="1"/>
  <c r="CG551" i="6" s="1"/>
  <c r="CO551" i="6" s="1"/>
  <c r="CH551" i="6" s="1"/>
  <c r="CP551" i="6" s="1"/>
  <c r="T55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Mercau</author>
  </authors>
  <commentList>
    <comment ref="K1" authorId="0" shapeId="0" xr:uid="{00000000-0006-0000-0000-000001000000}">
      <text>
        <r>
          <rPr>
            <sz val="12"/>
            <color theme="1"/>
            <rFont val="Aptos Narrow"/>
            <family val="2"/>
            <scheme val="minor"/>
          </rPr>
          <t>Jorge Mercau:
Puse de Marcos Juarez, como para jugar.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jorgemercau</author>
  </authors>
  <commentList>
    <comment ref="K1" authorId="0" shapeId="0" xr:uid="{00000000-0006-0000-0100-000001000000}">
      <text>
        <r>
          <rPr>
            <sz val="12"/>
            <color theme="1"/>
            <rFont val="Aptos Narrow"/>
            <family val="2"/>
            <scheme val="minor"/>
          </rPr>
          <t>jorgemercau:
Profundidad del fondo del horizonte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jorgemercau</author>
  </authors>
  <commentList>
    <comment ref="T4" authorId="0" shapeId="0" xr:uid="{00000000-0006-0000-0500-000001000000}">
      <text>
        <r>
          <rPr>
            <sz val="12"/>
            <color theme="1"/>
            <rFont val="Aptos Narrow"/>
            <family val="2"/>
            <scheme val="minor"/>
          </rPr>
          <t>jorgemercau:
Debe ser la suma del último horizonte del suelo</t>
        </r>
      </text>
    </comment>
  </commentList>
</comments>
</file>

<file path=xl/sharedStrings.xml><?xml version="1.0" encoding="utf-8"?>
<sst xmlns="http://schemas.openxmlformats.org/spreadsheetml/2006/main" count="1336" uniqueCount="476">
  <si>
    <t>variable</t>
  </si>
  <si>
    <t>dato</t>
  </si>
  <si>
    <t>Parámetro</t>
  </si>
  <si>
    <t>Valor</t>
  </si>
  <si>
    <t>n</t>
  </si>
  <si>
    <t>fila_clima</t>
  </si>
  <si>
    <t>día_año</t>
  </si>
  <si>
    <t>Tm</t>
  </si>
  <si>
    <t>Fp</t>
  </si>
  <si>
    <t>incr S→E</t>
  </si>
  <si>
    <t>acum S→E</t>
  </si>
  <si>
    <t>incr E→simple</t>
  </si>
  <si>
    <t>acum E→simple</t>
  </si>
  <si>
    <t>incr E→hito1</t>
  </si>
  <si>
    <t>acum E→hito1</t>
  </si>
  <si>
    <t>incr hito1→hito2</t>
  </si>
  <si>
    <t>acum hito1→hito2</t>
  </si>
  <si>
    <t>incr raíz (Tbc)</t>
  </si>
  <si>
    <t>acum raíz (Tbc)</t>
  </si>
  <si>
    <t>n (días desde siembra)</t>
  </si>
  <si>
    <t>Profundidad radical (m)</t>
  </si>
  <si>
    <t>Kcb</t>
  </si>
  <si>
    <t>cultivo</t>
  </si>
  <si>
    <t>Tb_a</t>
  </si>
  <si>
    <t>cultivar</t>
  </si>
  <si>
    <t>Tb_b</t>
  </si>
  <si>
    <t>dda_S</t>
  </si>
  <si>
    <t>To_a</t>
  </si>
  <si>
    <t>dda_E</t>
  </si>
  <si>
    <t>fecha emergencia</t>
  </si>
  <si>
    <t>UT_S-E</t>
  </si>
  <si>
    <t>dda_fKcbIni</t>
  </si>
  <si>
    <t>fecha fin kcb inicial</t>
  </si>
  <si>
    <t>UT_E-fKcbIni</t>
  </si>
  <si>
    <t>dda_iKcbMax</t>
  </si>
  <si>
    <t>fecha inicio kcb máximo</t>
  </si>
  <si>
    <t>UT_E-iKcbMax</t>
  </si>
  <si>
    <t>dda_ET</t>
  </si>
  <si>
    <t>fecha espiguilla terminal (trigo)</t>
  </si>
  <si>
    <t>RCF (trigo)</t>
  </si>
  <si>
    <t>dda_R1</t>
  </si>
  <si>
    <t>fecha R1 (soja)</t>
  </si>
  <si>
    <t>UT_E-ET (trigo)</t>
  </si>
  <si>
    <t>dda_R2</t>
  </si>
  <si>
    <t>fecha R2 (maíz)</t>
  </si>
  <si>
    <t>UT_ET-iPC (trigo)</t>
  </si>
  <si>
    <t>dda_R5</t>
  </si>
  <si>
    <t>fecha R5 (soja)</t>
  </si>
  <si>
    <t>UT_ET-fPC (trigo)</t>
  </si>
  <si>
    <t>dda_iPC</t>
  </si>
  <si>
    <t>fecha inicio período crítico</t>
  </si>
  <si>
    <t>UT_fPC-MF (trigo)</t>
  </si>
  <si>
    <t>dda_fPC</t>
  </si>
  <si>
    <t>fecha fin período crítico</t>
  </si>
  <si>
    <t>UT_E-R2 (maiz)</t>
  </si>
  <si>
    <t>dda_MF</t>
  </si>
  <si>
    <t>fecha madurez fisiológica</t>
  </si>
  <si>
    <t>UT_E-iPC (maiz)</t>
  </si>
  <si>
    <t>dda_Z71</t>
  </si>
  <si>
    <t>fecha cuaje de granos Z71 (trigo)</t>
  </si>
  <si>
    <t>UT_E-fPC (maiz)</t>
  </si>
  <si>
    <t>UT_R2-MF (maiz)</t>
  </si>
  <si>
    <t>FpU_E-R1 (soja)</t>
  </si>
  <si>
    <t>UT_E-R1 (soja)</t>
  </si>
  <si>
    <t>FpU_R1-MF (soja)</t>
  </si>
  <si>
    <t>UT-R1-R5 (soja)</t>
  </si>
  <si>
    <t>UT-R5-MF (soja)</t>
  </si>
  <si>
    <t>UT_R1-iPC (soja)</t>
  </si>
  <si>
    <t>UT_R5-fPC (soja)</t>
  </si>
  <si>
    <t>fila_S (clima)</t>
  </si>
  <si>
    <t>fila_E (clima)</t>
  </si>
  <si>
    <t>fila_hito1 (ET trigo / R1 soja / R2 maiz)</t>
  </si>
  <si>
    <t>Notas del motor de cálculo (columnas E:T, auxiliares):</t>
  </si>
  <si>
    <t>- E:F -&gt; parámetros del cultivo/cultivar activo (leídos de la solapa 'cultivo' con SUMIFS). Fila 43: UT_ET-Z71 (trigo), umbral del cuaje de granos, distinto de fPC desde la última actualización del docx.</t>
  </si>
  <si>
    <t>- F26:F28 -&gt; fila en 'clima' de siembra (fila_S), emergencia (fila_E) y del hito1 (ET trigo / R1 soja / R2 maíz).</t>
  </si>
  <si>
    <t>- H:T (filas 2-501) -&gt; tabla auxiliar día a día desde la siembra: día calendario, Tm, Fp y 4 series de unidades térmicas acumuladas (N,P,R,T) con las reglas de temperatura base/fotoperíodo de cada cultivo.</t>
  </si>
  <si>
    <t>- Las fechas en B5:B14 se resuelven ubicando la primera fila donde la serie acumulada supera el umbral correspondiente (función COUNTIFS + INDEX), lo que respeta correctamente el cruce de año calendario.</t>
  </si>
  <si>
    <t>- hito2 = etapa de "cuaje de granos": Z71 en trigo (parámetro propio UT_ET-Z71=700°C, fila 43; ya NO coincide con fPC, que ahora es ET+800°C), R2 en maíz (coincide con hito1, no hay etapa distinta) y R5 en soja. Es la fila F42 y marca el fin del crecimiento potencial de la profundidad radical (columna X); también da nombre a las series "incr/acum hito1→hito2" (columnas S:T).</t>
  </si>
  <si>
    <t>Tb_c</t>
  </si>
  <si>
    <t>PR_S-E (m)</t>
  </si>
  <si>
    <t>PR (cm/°C)</t>
  </si>
  <si>
    <t>KcbIni</t>
  </si>
  <si>
    <t>KcbMax</t>
  </si>
  <si>
    <t>fila_hito2 / fila_granoCuaje (cuaje de granos: Z71 trigo / R2 maiz / R5 soja)</t>
  </si>
  <si>
    <t>UT_ET-Z71 (trigo)</t>
  </si>
  <si>
    <t>omm_id</t>
  </si>
  <si>
    <t>fecha</t>
  </si>
  <si>
    <t>dia_año</t>
  </si>
  <si>
    <t>Tx</t>
  </si>
  <si>
    <t>Tn</t>
  </si>
  <si>
    <t>Pp</t>
  </si>
  <si>
    <t>latitud</t>
  </si>
  <si>
    <t>declinación solar</t>
  </si>
  <si>
    <t>ETO(H-S)</t>
  </si>
  <si>
    <t>Localidad</t>
  </si>
  <si>
    <t>Codigo</t>
  </si>
  <si>
    <t>Serie Suelo</t>
  </si>
  <si>
    <t>Tipo Suelo</t>
  </si>
  <si>
    <t>U</t>
  </si>
  <si>
    <t>DR</t>
  </si>
  <si>
    <t>CN</t>
  </si>
  <si>
    <t>kl</t>
  </si>
  <si>
    <t>Um</t>
  </si>
  <si>
    <t>Horiz</t>
  </si>
  <si>
    <t>PFH</t>
  </si>
  <si>
    <t>PMP</t>
  </si>
  <si>
    <t>CC</t>
  </si>
  <si>
    <t>Sat</t>
  </si>
  <si>
    <t>Benito Juarez</t>
  </si>
  <si>
    <t>IN54BJUA01</t>
  </si>
  <si>
    <t>Azul 80</t>
  </si>
  <si>
    <t>PALEUDOL PETROCÁLCICO</t>
  </si>
  <si>
    <t>Ap</t>
  </si>
  <si>
    <t>BAt</t>
  </si>
  <si>
    <t>Bt</t>
  </si>
  <si>
    <t>BC</t>
  </si>
  <si>
    <t>IN54BJUA03</t>
  </si>
  <si>
    <t>Laprida 140</t>
  </si>
  <si>
    <t>Argiudol tipico</t>
  </si>
  <si>
    <t>AP</t>
  </si>
  <si>
    <t>B1</t>
  </si>
  <si>
    <t>B2T</t>
  </si>
  <si>
    <t>B3</t>
  </si>
  <si>
    <t>C</t>
  </si>
  <si>
    <t>IN54BJUA02</t>
  </si>
  <si>
    <t>Tres Arroyos 100</t>
  </si>
  <si>
    <t>B21T</t>
  </si>
  <si>
    <t>Coronel Suarez</t>
  </si>
  <si>
    <t>IN54SUAR01</t>
  </si>
  <si>
    <t>La Colina 100</t>
  </si>
  <si>
    <t>Hapludol típico</t>
  </si>
  <si>
    <t>A1</t>
  </si>
  <si>
    <t>B2</t>
  </si>
  <si>
    <t>C1</t>
  </si>
  <si>
    <t>IN54SUAR02</t>
  </si>
  <si>
    <t>La Colina 140</t>
  </si>
  <si>
    <t>C2CA</t>
  </si>
  <si>
    <t>Gualeguaychu</t>
  </si>
  <si>
    <t>IN65GUAL01</t>
  </si>
  <si>
    <t xml:space="preserve">LA EMILIANA </t>
  </si>
  <si>
    <t>ARGIUDOL ACUICO</t>
  </si>
  <si>
    <t>IN65GUAL02</t>
  </si>
  <si>
    <t>LA PAULINA</t>
  </si>
  <si>
    <t>PELLUDERT ARGIUDOLICO</t>
  </si>
  <si>
    <t>BT</t>
  </si>
  <si>
    <t>IN65GUAL03</t>
  </si>
  <si>
    <t>EL TRIANGULO</t>
  </si>
  <si>
    <t>PELUDERT ARGICO CROMICO</t>
  </si>
  <si>
    <t>Junin</t>
  </si>
  <si>
    <t>IN65JUNI01</t>
  </si>
  <si>
    <t>ROJAS</t>
  </si>
  <si>
    <t>ARGIUDOL TIPICO</t>
  </si>
  <si>
    <t>IN65JUNI02</t>
  </si>
  <si>
    <t>SAFORCADA</t>
  </si>
  <si>
    <t>HAPLUDOL ENTIC</t>
  </si>
  <si>
    <t>A</t>
  </si>
  <si>
    <t>AC</t>
  </si>
  <si>
    <t>IN65JUNI03</t>
  </si>
  <si>
    <t>SAN GREGORIO 120</t>
  </si>
  <si>
    <t>HAPLUDOL THAPTO ARGICO</t>
  </si>
  <si>
    <t>Laboulaye</t>
  </si>
  <si>
    <t>IN63LABO01</t>
  </si>
  <si>
    <t>Leguizamon</t>
  </si>
  <si>
    <t>Haplustol udico</t>
  </si>
  <si>
    <t>IN63LABO02</t>
  </si>
  <si>
    <t>Haplustol udortentico</t>
  </si>
  <si>
    <t>IN63LABO03</t>
  </si>
  <si>
    <t>Rosales</t>
  </si>
  <si>
    <t>Natralbol tipico</t>
  </si>
  <si>
    <t>B2t</t>
  </si>
  <si>
    <t>Marcos Juarez</t>
  </si>
  <si>
    <t>IN64MARC01</t>
  </si>
  <si>
    <t>Casilda</t>
  </si>
  <si>
    <t>Argiudol Típico</t>
  </si>
  <si>
    <t>B21t</t>
  </si>
  <si>
    <t>B22t</t>
  </si>
  <si>
    <t>B23t</t>
  </si>
  <si>
    <t>IN64MARC03</t>
  </si>
  <si>
    <t>Monte Buey</t>
  </si>
  <si>
    <t>Argiudol acuico</t>
  </si>
  <si>
    <t>B22</t>
  </si>
  <si>
    <t>C2</t>
  </si>
  <si>
    <t>IN64MARC02</t>
  </si>
  <si>
    <t>Marcos Juárez</t>
  </si>
  <si>
    <t>Haplustol údico</t>
  </si>
  <si>
    <t>Nueve de Julio</t>
  </si>
  <si>
    <t>IN559DJU01</t>
  </si>
  <si>
    <t>NUEVE DE JULIO</t>
  </si>
  <si>
    <t>HAPLUDOL THAPTO NATRICO</t>
  </si>
  <si>
    <t>IN559DJU03</t>
  </si>
  <si>
    <t>ORTIZ DE ROSAS</t>
  </si>
  <si>
    <t>IN559DJU02</t>
  </si>
  <si>
    <t>BRAGADO</t>
  </si>
  <si>
    <t>HAPLUDOL TIPICO</t>
  </si>
  <si>
    <t>Parana</t>
  </si>
  <si>
    <t>IN65PARA01</t>
  </si>
  <si>
    <t>TEZANOS PINTO</t>
  </si>
  <si>
    <t>ARGIUDOL ÁCUICO</t>
  </si>
  <si>
    <t>B31</t>
  </si>
  <si>
    <t>B32</t>
  </si>
  <si>
    <t>Cca</t>
  </si>
  <si>
    <t>IN65PARA03</t>
  </si>
  <si>
    <t>TEZANOS PINTO 120</t>
  </si>
  <si>
    <t>IN65PARA02</t>
  </si>
  <si>
    <t>DON ANDRES</t>
  </si>
  <si>
    <t>ARGIUDOL TÍPICO</t>
  </si>
  <si>
    <t>A3</t>
  </si>
  <si>
    <t>C3</t>
  </si>
  <si>
    <t>Pehuajo</t>
  </si>
  <si>
    <t>IN54PEHU01</t>
  </si>
  <si>
    <t>BOLIVAR</t>
  </si>
  <si>
    <t>HAPLUDOL ENTICO</t>
  </si>
  <si>
    <t>IN54PEHU02</t>
  </si>
  <si>
    <t>PIEDRITAS</t>
  </si>
  <si>
    <t>IN54PEHU03</t>
  </si>
  <si>
    <t>Pilar</t>
  </si>
  <si>
    <t>IN63PILA01</t>
  </si>
  <si>
    <t>ONCATIVO</t>
  </si>
  <si>
    <t>HAPLUSTOL ÉNTICO</t>
  </si>
  <si>
    <t>C4</t>
  </si>
  <si>
    <t>IN63PILA02</t>
  </si>
  <si>
    <t>El Cano</t>
  </si>
  <si>
    <t>Haplustol típico</t>
  </si>
  <si>
    <t>Bw</t>
  </si>
  <si>
    <t>Reconquista</t>
  </si>
  <si>
    <t>IN75RECO01</t>
  </si>
  <si>
    <t>Sta Fe U38  6 &gt;LL</t>
  </si>
  <si>
    <t>Argiudol ácuico</t>
  </si>
  <si>
    <t>B21</t>
  </si>
  <si>
    <t>IN75RECO05</t>
  </si>
  <si>
    <t>Argiudol acuértico</t>
  </si>
  <si>
    <t>Bt1</t>
  </si>
  <si>
    <t>Bt2</t>
  </si>
  <si>
    <t>Bt3</t>
  </si>
  <si>
    <t>BC1</t>
  </si>
  <si>
    <t>BC2</t>
  </si>
  <si>
    <t>Rio Cuarto</t>
  </si>
  <si>
    <t>IN63RIOC01</t>
  </si>
  <si>
    <t>Olaeta</t>
  </si>
  <si>
    <t>Haplustol entico</t>
  </si>
  <si>
    <t>IN63RIOC02</t>
  </si>
  <si>
    <t>IN63RIOC03</t>
  </si>
  <si>
    <t>Las Playas</t>
  </si>
  <si>
    <t>Usthortent típico</t>
  </si>
  <si>
    <t>Tandil</t>
  </si>
  <si>
    <t>IN55TAND01</t>
  </si>
  <si>
    <t>AZUL 80</t>
  </si>
  <si>
    <t>IN55TAND03</t>
  </si>
  <si>
    <t>TANDIL 150</t>
  </si>
  <si>
    <t>IN55TAND02</t>
  </si>
  <si>
    <t>TANDIL 120</t>
  </si>
  <si>
    <t>Tres Arroyos</t>
  </si>
  <si>
    <t>IN54BARR01</t>
  </si>
  <si>
    <t>Laprida 120</t>
  </si>
  <si>
    <t>IN54BARR03</t>
  </si>
  <si>
    <t>IN54BARR02</t>
  </si>
  <si>
    <t>Tartagal</t>
  </si>
  <si>
    <t>IN72TART01</t>
  </si>
  <si>
    <t>El Simbolar</t>
  </si>
  <si>
    <t>Haplustalf údico</t>
  </si>
  <si>
    <t>BTk</t>
  </si>
  <si>
    <t>BCt</t>
  </si>
  <si>
    <t>Ck</t>
  </si>
  <si>
    <t>IN72TART02</t>
  </si>
  <si>
    <t>Bañados</t>
  </si>
  <si>
    <t>Haplustert típico</t>
  </si>
  <si>
    <t>Btsk</t>
  </si>
  <si>
    <t>BCtsk</t>
  </si>
  <si>
    <t>Villa Reynolds</t>
  </si>
  <si>
    <t>IN62RAVR01</t>
  </si>
  <si>
    <t>Fraga-Cramer</t>
  </si>
  <si>
    <t>Ustortent tipico</t>
  </si>
  <si>
    <t>IN62RAVR02</t>
  </si>
  <si>
    <t>Buena Esperanza</t>
  </si>
  <si>
    <t>Ustipsament tipico</t>
  </si>
  <si>
    <t>IN62RAVR03</t>
  </si>
  <si>
    <t>Granville</t>
  </si>
  <si>
    <t>parametro</t>
  </si>
  <si>
    <t>valor</t>
  </si>
  <si>
    <t>unidad</t>
  </si>
  <si>
    <t>trigo</t>
  </si>
  <si>
    <t>°C</t>
  </si>
  <si>
    <t>temperatura base a (siembra-emergencia maíz y soja, emergencia-madurez fisiológica trigo)</t>
  </si>
  <si>
    <t>unidades térmicas entre siembra y emergencia</t>
  </si>
  <si>
    <t>unidades térmicas entre emergencia y fin kcb inicial</t>
  </si>
  <si>
    <t>unidades térmicas entre emergencia e inicio kcb máximo</t>
  </si>
  <si>
    <t>UT_E-ET</t>
  </si>
  <si>
    <t>unidades térmicas entre emergencia y espiguilla terminal (trigo)</t>
  </si>
  <si>
    <t>intermedio-corto</t>
  </si>
  <si>
    <t>RCF</t>
  </si>
  <si>
    <t>respuesta del cultivar al fotoperíodo</t>
  </si>
  <si>
    <t>intermedio-largo</t>
  </si>
  <si>
    <t>UT_ET-iPC</t>
  </si>
  <si>
    <t>unidades térmicas entre espiguilla terminal e inicio período crítico (trigo)</t>
  </si>
  <si>
    <t>UT_ET-Z71</t>
  </si>
  <si>
    <t>unidades térmicas entre espiguilla terminal y Z71 (trigo)</t>
  </si>
  <si>
    <t>UT_ET-fPC</t>
  </si>
  <si>
    <t>unidades térmicas entre espiguilla terminal y fin período crítico (trigo)</t>
  </si>
  <si>
    <t>UT_fPC-MF</t>
  </si>
  <si>
    <t>unidades térmicas entre fin período crítico y madurez fisiológica (trigo)</t>
  </si>
  <si>
    <t>maiz</t>
  </si>
  <si>
    <t>temperatura base a (siembra-emergencia maíz y soja, ciclo completo trigo)</t>
  </si>
  <si>
    <t>temperatura base b (emergencia-madurez fisológica maíz y soja)</t>
  </si>
  <si>
    <t>templado-corto</t>
  </si>
  <si>
    <t>UT_E-R2</t>
  </si>
  <si>
    <t>unidades térmicas entre emergencia y R2 (maíz)</t>
  </si>
  <si>
    <t>templado-intermedio</t>
  </si>
  <si>
    <t>tropical-intermedio</t>
  </si>
  <si>
    <t>UT_E-iPC</t>
  </si>
  <si>
    <t>unidades térmicas entre emergencia e inicio período crítico (maíz)</t>
  </si>
  <si>
    <t>UT_E-fPC</t>
  </si>
  <si>
    <t>unidades térmicas entre emergencia y fin período crítico (maíz)</t>
  </si>
  <si>
    <t>UT_R2-MF</t>
  </si>
  <si>
    <t>unidades térmicas entre R2 y madurez fisiológica (maíz)</t>
  </si>
  <si>
    <t>soja</t>
  </si>
  <si>
    <t>temperatura óptima a (soja)</t>
  </si>
  <si>
    <t>GM 3C</t>
  </si>
  <si>
    <t>FpU_E-R1</t>
  </si>
  <si>
    <t>h</t>
  </si>
  <si>
    <t>fotoperíodo umbral entre emergencia y R1 (soja)</t>
  </si>
  <si>
    <t>GM 4L</t>
  </si>
  <si>
    <t>GM 6C</t>
  </si>
  <si>
    <t>UT_E-R1</t>
  </si>
  <si>
    <t>unidades térmicas entre emergencia y R1 (soja)</t>
  </si>
  <si>
    <t>FpU_R1-MF</t>
  </si>
  <si>
    <t>fotoperíodo umbral entre R1 y adurez fisiológica (soja)</t>
  </si>
  <si>
    <t>UT-R1-R5</t>
  </si>
  <si>
    <t>unidades térmicas entre R1 y R5 (soja)</t>
  </si>
  <si>
    <t>UT-R5-MF</t>
  </si>
  <si>
    <t>unidades térmicas entre R5 y madurez fisiológica (soja)</t>
  </si>
  <si>
    <t>UT_R1-iPC</t>
  </si>
  <si>
    <t>unidades térmicas entre R1 e inicio período crítico (soja)</t>
  </si>
  <si>
    <t>UT_R5-fPC</t>
  </si>
  <si>
    <t>unidades térmicas entre R5 y fin período crítico (soja)</t>
  </si>
  <si>
    <t>PR_S-E</t>
  </si>
  <si>
    <t>m</t>
  </si>
  <si>
    <t>profundidad radical constante entre siembra y emergencia</t>
  </si>
  <si>
    <t>PR</t>
  </si>
  <si>
    <t>cm/°C</t>
  </si>
  <si>
    <t>tasa de profundización radical</t>
  </si>
  <si>
    <t>temperatura base c (raices)</t>
  </si>
  <si>
    <t>descripción</t>
  </si>
  <si>
    <t>localidad</t>
  </si>
  <si>
    <t>suelo</t>
  </si>
  <si>
    <t>B</t>
  </si>
  <si>
    <t>Fecha</t>
  </si>
  <si>
    <t>Rastrojo</t>
  </si>
  <si>
    <t>Condicion Inicial</t>
  </si>
  <si>
    <t>Abstracción inicial</t>
  </si>
  <si>
    <t>Escorrentia</t>
  </si>
  <si>
    <t>Infiltración</t>
  </si>
  <si>
    <t>Drenaje final</t>
  </si>
  <si>
    <t>Demanda transpirativa</t>
  </si>
  <si>
    <t>Demanda evaporativa</t>
  </si>
  <si>
    <t>Aguadisponible</t>
  </si>
  <si>
    <t>Sandwich seco</t>
  </si>
  <si>
    <t>Tasa prof radical</t>
  </si>
  <si>
    <t>Limitacion hidrica</t>
  </si>
  <si>
    <t>Profundidad radical corregida</t>
  </si>
  <si>
    <t>Contenido hídrico</t>
  </si>
  <si>
    <t>Agua Transpirable</t>
  </si>
  <si>
    <t>Transpiración Real</t>
  </si>
  <si>
    <t>Transpiración Real remanente</t>
  </si>
  <si>
    <t>Agua evaporable Fácil</t>
  </si>
  <si>
    <t>Agua evaporable Remanente</t>
  </si>
  <si>
    <t>Evaporación Real</t>
  </si>
  <si>
    <t>Contenido hídrico - vapor</t>
  </si>
  <si>
    <t>Drenaje interno</t>
  </si>
  <si>
    <t>Contenido hídrico prefinal</t>
  </si>
  <si>
    <t>Mete (agua sobre saturación)</t>
  </si>
  <si>
    <t>Ini%</t>
  </si>
  <si>
    <t>Clima</t>
  </si>
  <si>
    <t>Fenología</t>
  </si>
  <si>
    <t>mm</t>
  </si>
  <si>
    <t>%</t>
  </si>
  <si>
    <t>m/d</t>
  </si>
  <si>
    <t>Suelo</t>
  </si>
  <si>
    <t>Hz1</t>
  </si>
  <si>
    <t>Hz2</t>
  </si>
  <si>
    <t>Hz3</t>
  </si>
  <si>
    <t>Hz4</t>
  </si>
  <si>
    <t>Hz5</t>
  </si>
  <si>
    <t>Hz6</t>
  </si>
  <si>
    <t>Hz7</t>
  </si>
  <si>
    <t>Hz8</t>
  </si>
  <si>
    <t>PP</t>
  </si>
  <si>
    <t>Eto</t>
  </si>
  <si>
    <t>Prof</t>
  </si>
  <si>
    <t>Absi</t>
  </si>
  <si>
    <t>Inf</t>
  </si>
  <si>
    <t>Dr</t>
  </si>
  <si>
    <t>DemT</t>
  </si>
  <si>
    <t>DemE</t>
  </si>
  <si>
    <t>AUm1</t>
  </si>
  <si>
    <t>AUm2</t>
  </si>
  <si>
    <t>AU</t>
  </si>
  <si>
    <t>AU%m1</t>
  </si>
  <si>
    <t>AU%m2</t>
  </si>
  <si>
    <t>AU%</t>
  </si>
  <si>
    <t>Sandw</t>
  </si>
  <si>
    <t>Tprof</t>
  </si>
  <si>
    <t>ProfLim</t>
  </si>
  <si>
    <t>ProfR</t>
  </si>
  <si>
    <t>CH1</t>
  </si>
  <si>
    <t>CH2</t>
  </si>
  <si>
    <t>CH3</t>
  </si>
  <si>
    <t>CH4</t>
  </si>
  <si>
    <t>CH5</t>
  </si>
  <si>
    <t>CH6</t>
  </si>
  <si>
    <t>CH7</t>
  </si>
  <si>
    <t>CH8</t>
  </si>
  <si>
    <t>AT1</t>
  </si>
  <si>
    <t>AT2</t>
  </si>
  <si>
    <t>AT3</t>
  </si>
  <si>
    <t>AT4</t>
  </si>
  <si>
    <t>AT5</t>
  </si>
  <si>
    <t>AT6</t>
  </si>
  <si>
    <t>AT7</t>
  </si>
  <si>
    <t>AT8</t>
  </si>
  <si>
    <t>AT</t>
  </si>
  <si>
    <t>TrR</t>
  </si>
  <si>
    <t>TrRr</t>
  </si>
  <si>
    <t>Tr1</t>
  </si>
  <si>
    <t>Tr2</t>
  </si>
  <si>
    <t>Tr3</t>
  </si>
  <si>
    <t>Tr4</t>
  </si>
  <si>
    <t>Tr5</t>
  </si>
  <si>
    <t>Tr6</t>
  </si>
  <si>
    <t>Tr7</t>
  </si>
  <si>
    <t>Tr8</t>
  </si>
  <si>
    <t>AEf</t>
  </si>
  <si>
    <t>AEr</t>
  </si>
  <si>
    <t>Er</t>
  </si>
  <si>
    <t>Cv1</t>
  </si>
  <si>
    <t>Cv2</t>
  </si>
  <si>
    <t>Cv3</t>
  </si>
  <si>
    <t>Cv4</t>
  </si>
  <si>
    <t>Cv5</t>
  </si>
  <si>
    <t>Cv6</t>
  </si>
  <si>
    <t>Cv7</t>
  </si>
  <si>
    <t>Cv8</t>
  </si>
  <si>
    <t>Dr1</t>
  </si>
  <si>
    <t>Dr2</t>
  </si>
  <si>
    <t>Dr3</t>
  </si>
  <si>
    <t>Dr4</t>
  </si>
  <si>
    <t>Dr5</t>
  </si>
  <si>
    <t>Dr6</t>
  </si>
  <si>
    <t>Dr7</t>
  </si>
  <si>
    <t>Dr8</t>
  </si>
  <si>
    <t>Cf1</t>
  </si>
  <si>
    <t>Cf2</t>
  </si>
  <si>
    <t>Cf3</t>
  </si>
  <si>
    <t>Cf4</t>
  </si>
  <si>
    <t>Cf5</t>
  </si>
  <si>
    <t>Cf6</t>
  </si>
  <si>
    <t>Cf7</t>
  </si>
  <si>
    <t>Cf8</t>
  </si>
  <si>
    <t>Me1</t>
  </si>
  <si>
    <t>Me2</t>
  </si>
  <si>
    <t>Me3</t>
  </si>
  <si>
    <t>Me4</t>
  </si>
  <si>
    <t>Me5</t>
  </si>
  <si>
    <t>Me6</t>
  </si>
  <si>
    <t>Me7</t>
  </si>
  <si>
    <t>Me8</t>
  </si>
  <si>
    <t>Nombre</t>
  </si>
  <si>
    <t>Atm</t>
  </si>
  <si>
    <t>Ratrojo</t>
  </si>
  <si>
    <t>Humedad</t>
  </si>
  <si>
    <t>Sin</t>
  </si>
  <si>
    <t>Se</t>
  </si>
  <si>
    <t>30-50</t>
  </si>
  <si>
    <t>mS</t>
  </si>
  <si>
    <t>80-100</t>
  </si>
  <si>
    <t>mH</t>
  </si>
  <si>
    <t>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</si>
</sst>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i/>
      <sz val="12"/>
      <color theme="0" tint="-0.34998626667073579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</font>
    <font>
      <b/>
      <i/>
      <sz val="12"/>
      <name val="Aptos Narrow"/>
      <family val="2"/>
    </font>
    <font>
      <i/>
      <sz val="9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theme="6"/>
      <name val="Aptos Narrow"/>
      <family val="2"/>
      <scheme val="minor"/>
    </font>
    <font>
      <i/>
      <sz val="9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9" fontId="8" fillId="0" borderId="0"/>
    <xf numFmtId="0" fontId="8" fillId="0" borderId="0"/>
    <xf numFmtId="9" fontId="8" fillId="0" borderId="0"/>
  </cellStyleXfs>
  <cellXfs count="88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0" borderId="0" xfId="0" applyFont="1"/>
    <xf numFmtId="164" fontId="0" fillId="2" borderId="0" xfId="0" applyNumberFormat="1" applyFill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8" fillId="0" borderId="0" xfId="1"/>
    <xf numFmtId="164" fontId="8" fillId="0" borderId="0" xfId="1" applyNumberFormat="1"/>
    <xf numFmtId="2" fontId="8" fillId="0" borderId="0" xfId="1" applyNumberFormat="1"/>
    <xf numFmtId="165" fontId="8" fillId="0" borderId="0" xfId="1" applyNumberFormat="1"/>
    <xf numFmtId="0" fontId="9" fillId="0" borderId="0" xfId="1" applyFont="1" applyAlignment="1">
      <alignment vertical="top"/>
    </xf>
    <xf numFmtId="0" fontId="5" fillId="0" borderId="0" xfId="0" applyFont="1"/>
    <xf numFmtId="0" fontId="4" fillId="5" borderId="0" xfId="0" applyFont="1" applyFill="1"/>
    <xf numFmtId="0" fontId="10" fillId="0" borderId="0" xfId="0" applyFont="1"/>
    <xf numFmtId="0" fontId="10" fillId="3" borderId="0" xfId="0" applyFont="1" applyFill="1"/>
    <xf numFmtId="0" fontId="0" fillId="5" borderId="0" xfId="0" applyFill="1"/>
    <xf numFmtId="165" fontId="0" fillId="0" borderId="0" xfId="0" applyNumberFormat="1"/>
    <xf numFmtId="0" fontId="5" fillId="4" borderId="0" xfId="0" applyFont="1" applyFill="1"/>
    <xf numFmtId="0" fontId="5" fillId="6" borderId="0" xfId="0" applyFont="1" applyFill="1"/>
    <xf numFmtId="0" fontId="9" fillId="0" borderId="0" xfId="4" applyFont="1"/>
    <xf numFmtId="165" fontId="12" fillId="0" borderId="0" xfId="4" applyNumberFormat="1" applyFont="1"/>
    <xf numFmtId="0" fontId="9" fillId="0" borderId="3" xfId="4" applyFont="1" applyBorder="1" applyAlignment="1">
      <alignment vertical="top"/>
    </xf>
    <xf numFmtId="0" fontId="9" fillId="0" borderId="0" xfId="4" applyFont="1" applyAlignment="1">
      <alignment vertical="top"/>
    </xf>
    <xf numFmtId="0" fontId="1" fillId="0" borderId="0" xfId="4" applyFont="1"/>
    <xf numFmtId="0" fontId="13" fillId="5" borderId="0" xfId="4" applyFont="1" applyFill="1"/>
    <xf numFmtId="0" fontId="14" fillId="0" borderId="0" xfId="4" applyFont="1"/>
    <xf numFmtId="0" fontId="9" fillId="5" borderId="0" xfId="4" applyFont="1" applyFill="1"/>
    <xf numFmtId="0" fontId="15" fillId="5" borderId="0" xfId="4" applyFont="1" applyFill="1"/>
    <xf numFmtId="0" fontId="16" fillId="5" borderId="0" xfId="4" applyFont="1" applyFill="1"/>
    <xf numFmtId="0" fontId="9" fillId="7" borderId="0" xfId="4" applyFont="1" applyFill="1"/>
    <xf numFmtId="0" fontId="15" fillId="0" borderId="0" xfId="4" applyFont="1"/>
    <xf numFmtId="0" fontId="16" fillId="0" borderId="0" xfId="4" applyFont="1"/>
    <xf numFmtId="14" fontId="9" fillId="0" borderId="0" xfId="4" applyNumberFormat="1" applyFont="1"/>
    <xf numFmtId="165" fontId="17" fillId="0" borderId="0" xfId="4" applyNumberFormat="1" applyFont="1"/>
    <xf numFmtId="165" fontId="1" fillId="0" borderId="0" xfId="4" applyNumberFormat="1" applyFont="1"/>
    <xf numFmtId="14" fontId="17" fillId="2" borderId="4" xfId="4" applyNumberFormat="1" applyFont="1" applyFill="1" applyBorder="1"/>
    <xf numFmtId="165" fontId="17" fillId="2" borderId="4" xfId="4" applyNumberFormat="1" applyFont="1" applyFill="1" applyBorder="1"/>
    <xf numFmtId="0" fontId="9" fillId="0" borderId="5" xfId="4" applyFont="1" applyBorder="1" applyAlignment="1">
      <alignment vertical="top"/>
    </xf>
    <xf numFmtId="9" fontId="17" fillId="2" borderId="1" xfId="5" applyFont="1" applyFill="1" applyBorder="1"/>
    <xf numFmtId="9" fontId="17" fillId="2" borderId="6" xfId="5" applyFont="1" applyFill="1" applyBorder="1"/>
    <xf numFmtId="9" fontId="17" fillId="2" borderId="2" xfId="5" applyFont="1" applyFill="1" applyBorder="1"/>
    <xf numFmtId="2" fontId="1" fillId="0" borderId="0" xfId="4" applyNumberFormat="1" applyFont="1"/>
    <xf numFmtId="1" fontId="13" fillId="0" borderId="0" xfId="4" applyNumberFormat="1" applyFont="1"/>
    <xf numFmtId="1" fontId="14" fillId="0" borderId="0" xfId="4" applyNumberFormat="1" applyFont="1"/>
    <xf numFmtId="1" fontId="9" fillId="0" borderId="0" xfId="4" applyNumberFormat="1" applyFont="1"/>
    <xf numFmtId="1" fontId="15" fillId="0" borderId="0" xfId="4" applyNumberFormat="1" applyFont="1"/>
    <xf numFmtId="1" fontId="16" fillId="0" borderId="0" xfId="4" applyNumberFormat="1" applyFont="1"/>
    <xf numFmtId="1" fontId="1" fillId="0" borderId="0" xfId="4" applyNumberFormat="1" applyFont="1"/>
    <xf numFmtId="9" fontId="0" fillId="0" borderId="0" xfId="5" applyFont="1"/>
    <xf numFmtId="0" fontId="18" fillId="0" borderId="0" xfId="4" applyFont="1"/>
    <xf numFmtId="0" fontId="19" fillId="0" borderId="0" xfId="4" applyFont="1"/>
    <xf numFmtId="0" fontId="20" fillId="0" borderId="0" xfId="4" applyFont="1"/>
    <xf numFmtId="0" fontId="11" fillId="0" borderId="0" xfId="4" applyFont="1"/>
    <xf numFmtId="0" fontId="1" fillId="0" borderId="0" xfId="4" applyFont="1" applyAlignment="1">
      <alignment vertical="top"/>
    </xf>
    <xf numFmtId="0" fontId="18" fillId="0" borderId="0" xfId="4" applyFont="1" applyAlignment="1">
      <alignment vertical="top"/>
    </xf>
    <xf numFmtId="0" fontId="19" fillId="0" borderId="0" xfId="4" applyFont="1" applyAlignment="1">
      <alignment vertical="top"/>
    </xf>
    <xf numFmtId="0" fontId="20" fillId="0" borderId="0" xfId="4" applyFont="1" applyAlignment="1">
      <alignment vertical="top"/>
    </xf>
    <xf numFmtId="0" fontId="11" fillId="0" borderId="0" xfId="4" applyFont="1" applyAlignment="1">
      <alignment vertical="top"/>
    </xf>
    <xf numFmtId="14" fontId="1" fillId="0" borderId="0" xfId="4" applyNumberFormat="1" applyFont="1"/>
    <xf numFmtId="0" fontId="17" fillId="0" borderId="0" xfId="4" applyFont="1"/>
    <xf numFmtId="2" fontId="17" fillId="0" borderId="0" xfId="4" applyNumberFormat="1" applyFont="1"/>
    <xf numFmtId="164" fontId="17" fillId="0" borderId="0" xfId="4" applyNumberFormat="1" applyFont="1"/>
    <xf numFmtId="0" fontId="1" fillId="0" borderId="1" xfId="4" applyFont="1" applyBorder="1"/>
    <xf numFmtId="1" fontId="1" fillId="0" borderId="2" xfId="4" applyNumberFormat="1" applyFont="1" applyBorder="1"/>
    <xf numFmtId="0" fontId="9" fillId="0" borderId="7" xfId="4" applyFont="1" applyBorder="1"/>
    <xf numFmtId="0" fontId="1" fillId="0" borderId="8" xfId="4" applyFont="1" applyBorder="1"/>
    <xf numFmtId="0" fontId="9" fillId="0" borderId="7" xfId="4" applyFont="1" applyBorder="1" applyAlignment="1">
      <alignment vertical="top"/>
    </xf>
    <xf numFmtId="0" fontId="1" fillId="0" borderId="9" xfId="4" applyFont="1" applyBorder="1"/>
    <xf numFmtId="0" fontId="9" fillId="0" borderId="10" xfId="4" applyFont="1" applyBorder="1" applyAlignment="1">
      <alignment vertical="top"/>
    </xf>
    <xf numFmtId="165" fontId="1" fillId="2" borderId="0" xfId="4" applyNumberFormat="1" applyFont="1" applyFill="1"/>
    <xf numFmtId="0" fontId="1" fillId="0" borderId="10" xfId="4" applyFont="1" applyBorder="1"/>
    <xf numFmtId="9" fontId="0" fillId="2" borderId="11" xfId="5" applyFont="1" applyFill="1" applyBorder="1"/>
    <xf numFmtId="0" fontId="9" fillId="0" borderId="12" xfId="4" applyFont="1" applyBorder="1" applyAlignment="1">
      <alignment vertical="top"/>
    </xf>
    <xf numFmtId="165" fontId="1" fillId="2" borderId="13" xfId="4" applyNumberFormat="1" applyFont="1" applyFill="1" applyBorder="1"/>
    <xf numFmtId="0" fontId="1" fillId="0" borderId="12" xfId="4" applyFont="1" applyBorder="1"/>
    <xf numFmtId="9" fontId="0" fillId="2" borderId="14" xfId="5" applyFont="1" applyFill="1" applyBorder="1"/>
    <xf numFmtId="165" fontId="18" fillId="0" borderId="0" xfId="4" applyNumberFormat="1" applyFont="1"/>
    <xf numFmtId="165" fontId="19" fillId="0" borderId="0" xfId="4" applyNumberFormat="1" applyFont="1"/>
    <xf numFmtId="165" fontId="20" fillId="0" borderId="0" xfId="4" applyNumberFormat="1" applyFont="1"/>
    <xf numFmtId="165" fontId="11" fillId="0" borderId="0" xfId="4" applyNumberFormat="1" applyFont="1"/>
    <xf numFmtId="164" fontId="1" fillId="0" borderId="0" xfId="4" applyNumberFormat="1" applyFont="1"/>
    <xf numFmtId="165" fontId="1" fillId="8" borderId="0" xfId="4" applyNumberFormat="1" applyFont="1" applyFill="1"/>
    <xf numFmtId="0" fontId="21" fillId="0" borderId="0" xfId="0" applyFont="1"/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4" xfId="4" xr:uid="{00000000-0005-0000-0000-000004000000}"/>
    <cellStyle name="Porcentaje 2" xfId="3" xr:uid="{00000000-0005-0000-0000-000003000000}"/>
    <cellStyle name="Porcentaje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fenologia!$Y$1</c:f>
              <c:strCache>
                <c:ptCount val="1"/>
                <c:pt idx="0">
                  <c:v>Kcb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fenologia!$W$2:$W$514</c:f>
              <c:numCache>
                <c:formatCode>General</c:formatCode>
                <c:ptCount val="5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</c:numCache>
            </c:numRef>
          </c:xVal>
          <c:yVal>
            <c:numRef>
              <c:f>fenologia!$Y$2:$Y$514</c:f>
              <c:numCache>
                <c:formatCode>General</c:formatCode>
                <c:ptCount val="5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0.15949999999999992</c:v>
                </c:pt>
                <c:pt idx="54">
                  <c:v>0.17171428571428562</c:v>
                </c:pt>
                <c:pt idx="55">
                  <c:v>0.18284285714285706</c:v>
                </c:pt>
                <c:pt idx="56">
                  <c:v>0.1920714285714285</c:v>
                </c:pt>
                <c:pt idx="57">
                  <c:v>0.20007857142857133</c:v>
                </c:pt>
                <c:pt idx="58">
                  <c:v>0.21120714285714273</c:v>
                </c:pt>
                <c:pt idx="59">
                  <c:v>0.22789999999999988</c:v>
                </c:pt>
                <c:pt idx="60">
                  <c:v>0.23509285714285705</c:v>
                </c:pt>
                <c:pt idx="61">
                  <c:v>0.23984285714285705</c:v>
                </c:pt>
                <c:pt idx="62">
                  <c:v>0.24472857142857135</c:v>
                </c:pt>
                <c:pt idx="63">
                  <c:v>0.25219285714285711</c:v>
                </c:pt>
                <c:pt idx="64">
                  <c:v>0.25938571428571422</c:v>
                </c:pt>
                <c:pt idx="65">
                  <c:v>0.26983571428571423</c:v>
                </c:pt>
                <c:pt idx="66">
                  <c:v>0.28774999999999995</c:v>
                </c:pt>
                <c:pt idx="67">
                  <c:v>0.30932857142857129</c:v>
                </c:pt>
                <c:pt idx="68">
                  <c:v>0.32873571428571419</c:v>
                </c:pt>
                <c:pt idx="69">
                  <c:v>0.34257857142857129</c:v>
                </c:pt>
                <c:pt idx="70">
                  <c:v>0.35289285714285706</c:v>
                </c:pt>
                <c:pt idx="71">
                  <c:v>0.3640214285714285</c:v>
                </c:pt>
                <c:pt idx="72">
                  <c:v>0.37867857142857136</c:v>
                </c:pt>
                <c:pt idx="73">
                  <c:v>0.38967142857142856</c:v>
                </c:pt>
                <c:pt idx="74">
                  <c:v>0.40568571428571432</c:v>
                </c:pt>
                <c:pt idx="75">
                  <c:v>0.41817142857142853</c:v>
                </c:pt>
                <c:pt idx="76">
                  <c:v>0.43472857142857135</c:v>
                </c:pt>
                <c:pt idx="77">
                  <c:v>0.44504285714285718</c:v>
                </c:pt>
                <c:pt idx="78">
                  <c:v>0.45196428571428571</c:v>
                </c:pt>
                <c:pt idx="79">
                  <c:v>0.45970000000000011</c:v>
                </c:pt>
                <c:pt idx="80">
                  <c:v>0.47327142857142868</c:v>
                </c:pt>
                <c:pt idx="81">
                  <c:v>0.48453571428571429</c:v>
                </c:pt>
                <c:pt idx="82">
                  <c:v>0.49335714285714294</c:v>
                </c:pt>
                <c:pt idx="83">
                  <c:v>0.50950714285714283</c:v>
                </c:pt>
                <c:pt idx="84">
                  <c:v>0.52715000000000001</c:v>
                </c:pt>
                <c:pt idx="85">
                  <c:v>0.54927142857142852</c:v>
                </c:pt>
                <c:pt idx="86">
                  <c:v>0.57532857142857141</c:v>
                </c:pt>
                <c:pt idx="87">
                  <c:v>0.60043571428571429</c:v>
                </c:pt>
                <c:pt idx="88">
                  <c:v>0.61997857142857138</c:v>
                </c:pt>
                <c:pt idx="89">
                  <c:v>0.64155714285714283</c:v>
                </c:pt>
                <c:pt idx="90">
                  <c:v>0.66435714285714276</c:v>
                </c:pt>
                <c:pt idx="91">
                  <c:v>0.68227142857142853</c:v>
                </c:pt>
                <c:pt idx="92">
                  <c:v>0.69543571428571427</c:v>
                </c:pt>
                <c:pt idx="93">
                  <c:v>0.70846428571428577</c:v>
                </c:pt>
                <c:pt idx="94">
                  <c:v>0.72108571428571433</c:v>
                </c:pt>
                <c:pt idx="95">
                  <c:v>0.73723571428571422</c:v>
                </c:pt>
                <c:pt idx="96">
                  <c:v>0.75406428571428574</c:v>
                </c:pt>
                <c:pt idx="97">
                  <c:v>0.77496428571428566</c:v>
                </c:pt>
                <c:pt idx="98">
                  <c:v>0.79491428571428568</c:v>
                </c:pt>
                <c:pt idx="99">
                  <c:v>0.81092857142857133</c:v>
                </c:pt>
                <c:pt idx="100">
                  <c:v>0.82002142857142857</c:v>
                </c:pt>
                <c:pt idx="101">
                  <c:v>0.82830000000000004</c:v>
                </c:pt>
                <c:pt idx="102">
                  <c:v>0.84078571428571436</c:v>
                </c:pt>
                <c:pt idx="103">
                  <c:v>0.85476428571428575</c:v>
                </c:pt>
                <c:pt idx="104">
                  <c:v>0.86806428571428562</c:v>
                </c:pt>
                <c:pt idx="105">
                  <c:v>0.88204285714285713</c:v>
                </c:pt>
                <c:pt idx="106">
                  <c:v>0.89846428571428572</c:v>
                </c:pt>
                <c:pt idx="107">
                  <c:v>0.91868571428571422</c:v>
                </c:pt>
                <c:pt idx="108">
                  <c:v>0.9382285714285713</c:v>
                </c:pt>
                <c:pt idx="109">
                  <c:v>0.95641428571428555</c:v>
                </c:pt>
                <c:pt idx="110">
                  <c:v>0.97378571428571414</c:v>
                </c:pt>
                <c:pt idx="111">
                  <c:v>0.98844285714285685</c:v>
                </c:pt>
                <c:pt idx="112">
                  <c:v>1.0029642857142855</c:v>
                </c:pt>
                <c:pt idx="113">
                  <c:v>1.0200642857142854</c:v>
                </c:pt>
                <c:pt idx="114">
                  <c:v>1.0397428571428569</c:v>
                </c:pt>
                <c:pt idx="115">
                  <c:v>1.0603714285714283</c:v>
                </c:pt>
                <c:pt idx="116">
                  <c:v>1.0804571428571426</c:v>
                </c:pt>
                <c:pt idx="117">
                  <c:v>1.1000000000000001</c:v>
                </c:pt>
                <c:pt idx="118">
                  <c:v>1.1000000000000001</c:v>
                </c:pt>
                <c:pt idx="119">
                  <c:v>1.1000000000000001</c:v>
                </c:pt>
                <c:pt idx="120">
                  <c:v>1.1000000000000001</c:v>
                </c:pt>
                <c:pt idx="121">
                  <c:v>1.1000000000000001</c:v>
                </c:pt>
                <c:pt idx="122">
                  <c:v>1.1000000000000001</c:v>
                </c:pt>
                <c:pt idx="123">
                  <c:v>1.1000000000000001</c:v>
                </c:pt>
                <c:pt idx="124">
                  <c:v>1.1000000000000001</c:v>
                </c:pt>
                <c:pt idx="125">
                  <c:v>1.1000000000000001</c:v>
                </c:pt>
                <c:pt idx="126">
                  <c:v>1.1000000000000001</c:v>
                </c:pt>
                <c:pt idx="127">
                  <c:v>1.1000000000000001</c:v>
                </c:pt>
                <c:pt idx="128">
                  <c:v>1.1000000000000001</c:v>
                </c:pt>
                <c:pt idx="129">
                  <c:v>1.1000000000000001</c:v>
                </c:pt>
                <c:pt idx="130">
                  <c:v>1.1000000000000001</c:v>
                </c:pt>
                <c:pt idx="131">
                  <c:v>1.1000000000000001</c:v>
                </c:pt>
                <c:pt idx="132">
                  <c:v>1.1000000000000001</c:v>
                </c:pt>
                <c:pt idx="133">
                  <c:v>1.1000000000000001</c:v>
                </c:pt>
                <c:pt idx="134">
                  <c:v>1.1000000000000001</c:v>
                </c:pt>
                <c:pt idx="135">
                  <c:v>1.1000000000000001</c:v>
                </c:pt>
                <c:pt idx="136">
                  <c:v>1.1000000000000001</c:v>
                </c:pt>
                <c:pt idx="137">
                  <c:v>1.1000000000000001</c:v>
                </c:pt>
                <c:pt idx="138">
                  <c:v>1.1000000000000001</c:v>
                </c:pt>
                <c:pt idx="139">
                  <c:v>1.1000000000000001</c:v>
                </c:pt>
                <c:pt idx="140">
                  <c:v>1.1000000000000001</c:v>
                </c:pt>
                <c:pt idx="141">
                  <c:v>1.1000000000000001</c:v>
                </c:pt>
                <c:pt idx="142">
                  <c:v>1.1000000000000001</c:v>
                </c:pt>
                <c:pt idx="143">
                  <c:v>1.1000000000000001</c:v>
                </c:pt>
                <c:pt idx="144">
                  <c:v>1.1000000000000001</c:v>
                </c:pt>
                <c:pt idx="145">
                  <c:v>1.1000000000000001</c:v>
                </c:pt>
                <c:pt idx="146">
                  <c:v>1.1000000000000001</c:v>
                </c:pt>
                <c:pt idx="147">
                  <c:v>1.1000000000000001</c:v>
                </c:pt>
                <c:pt idx="148">
                  <c:v>1.1000000000000001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1.1000000000000001</c:v>
                </c:pt>
                <c:pt idx="152">
                  <c:v>1.1000000000000001</c:v>
                </c:pt>
                <c:pt idx="153">
                  <c:v>1.1000000000000001</c:v>
                </c:pt>
                <c:pt idx="154">
                  <c:v>1.1000000000000001</c:v>
                </c:pt>
                <c:pt idx="155">
                  <c:v>1.1000000000000001</c:v>
                </c:pt>
                <c:pt idx="156">
                  <c:v>1.1000000000000001</c:v>
                </c:pt>
                <c:pt idx="157">
                  <c:v>1.1000000000000001</c:v>
                </c:pt>
                <c:pt idx="158">
                  <c:v>1.1000000000000001</c:v>
                </c:pt>
                <c:pt idx="159">
                  <c:v>1.1000000000000001</c:v>
                </c:pt>
                <c:pt idx="160">
                  <c:v>1.1000000000000001</c:v>
                </c:pt>
                <c:pt idx="161">
                  <c:v>1.1000000000000001</c:v>
                </c:pt>
                <c:pt idx="162">
                  <c:v>1.1000000000000001</c:v>
                </c:pt>
                <c:pt idx="163">
                  <c:v>1.1000000000000001</c:v>
                </c:pt>
                <c:pt idx="164">
                  <c:v>1.1000000000000001</c:v>
                </c:pt>
                <c:pt idx="165">
                  <c:v>1.1000000000000001</c:v>
                </c:pt>
                <c:pt idx="166">
                  <c:v>1.1000000000000001</c:v>
                </c:pt>
                <c:pt idx="167">
                  <c:v>1.1000000000000001</c:v>
                </c:pt>
                <c:pt idx="168">
                  <c:v>1.1000000000000001</c:v>
                </c:pt>
                <c:pt idx="169">
                  <c:v>1.1000000000000001</c:v>
                </c:pt>
                <c:pt idx="170">
                  <c:v>1.1000000000000001</c:v>
                </c:pt>
                <c:pt idx="171">
                  <c:v>1.1000000000000001</c:v>
                </c:pt>
                <c:pt idx="172">
                  <c:v>1.1000000000000001</c:v>
                </c:pt>
                <c:pt idx="173">
                  <c:v>1.1000000000000001</c:v>
                </c:pt>
                <c:pt idx="174">
                  <c:v>1.1000000000000001</c:v>
                </c:pt>
                <c:pt idx="175">
                  <c:v>1.1000000000000001</c:v>
                </c:pt>
                <c:pt idx="176">
                  <c:v>1.1000000000000001</c:v>
                </c:pt>
                <c:pt idx="177">
                  <c:v>1.1000000000000001</c:v>
                </c:pt>
                <c:pt idx="178">
                  <c:v>1.1000000000000001</c:v>
                </c:pt>
                <c:pt idx="179">
                  <c:v>1.1000000000000001</c:v>
                </c:pt>
                <c:pt idx="180">
                  <c:v>1.1000000000000001</c:v>
                </c:pt>
                <c:pt idx="181">
                  <c:v>1.1000000000000001</c:v>
                </c:pt>
                <c:pt idx="182">
                  <c:v>1.1000000000000001</c:v>
                </c:pt>
                <c:pt idx="183">
                  <c:v>1.1000000000000001</c:v>
                </c:pt>
                <c:pt idx="184">
                  <c:v>1.1000000000000001</c:v>
                </c:pt>
                <c:pt idx="185">
                  <c:v>1.1000000000000001</c:v>
                </c:pt>
                <c:pt idx="186">
                  <c:v>1.1000000000000001</c:v>
                </c:pt>
                <c:pt idx="187">
                  <c:v>1.1000000000000001</c:v>
                </c:pt>
                <c:pt idx="188">
                  <c:v>1.1000000000000001</c:v>
                </c:pt>
                <c:pt idx="189">
                  <c:v>1.1000000000000001</c:v>
                </c:pt>
                <c:pt idx="190">
                  <c:v>1.1000000000000001</c:v>
                </c:pt>
                <c:pt idx="191">
                  <c:v>1.1000000000000001</c:v>
                </c:pt>
                <c:pt idx="192">
                  <c:v>1.1000000000000001</c:v>
                </c:pt>
                <c:pt idx="193">
                  <c:v>1.1000000000000001</c:v>
                </c:pt>
                <c:pt idx="194">
                  <c:v>1.1000000000000001</c:v>
                </c:pt>
                <c:pt idx="195">
                  <c:v>1.1000000000000001</c:v>
                </c:pt>
                <c:pt idx="196">
                  <c:v>1.1000000000000001</c:v>
                </c:pt>
                <c:pt idx="197">
                  <c:v>1.1000000000000001</c:v>
                </c:pt>
                <c:pt idx="198">
                  <c:v>1.1000000000000001</c:v>
                </c:pt>
                <c:pt idx="199">
                  <c:v>1.1000000000000001</c:v>
                </c:pt>
                <c:pt idx="200">
                  <c:v>1.1000000000000001</c:v>
                </c:pt>
                <c:pt idx="201">
                  <c:v>1.1000000000000001</c:v>
                </c:pt>
                <c:pt idx="202">
                  <c:v>1.1000000000000001</c:v>
                </c:pt>
                <c:pt idx="203">
                  <c:v>1.1000000000000001</c:v>
                </c:pt>
                <c:pt idx="204">
                  <c:v>1.1000000000000001</c:v>
                </c:pt>
                <c:pt idx="205">
                  <c:v>1.1000000000000001</c:v>
                </c:pt>
                <c:pt idx="206">
                  <c:v>1.1000000000000001</c:v>
                </c:pt>
                <c:pt idx="207">
                  <c:v>1.1000000000000001</c:v>
                </c:pt>
                <c:pt idx="208">
                  <c:v>1.1000000000000001</c:v>
                </c:pt>
                <c:pt idx="209">
                  <c:v>1.1000000000000001</c:v>
                </c:pt>
                <c:pt idx="210">
                  <c:v>1.1000000000000001</c:v>
                </c:pt>
                <c:pt idx="211">
                  <c:v>1.1000000000000001</c:v>
                </c:pt>
                <c:pt idx="212">
                  <c:v>1.1000000000000001</c:v>
                </c:pt>
                <c:pt idx="213">
                  <c:v>1.1000000000000001</c:v>
                </c:pt>
                <c:pt idx="214">
                  <c:v>1.1000000000000001</c:v>
                </c:pt>
                <c:pt idx="215">
                  <c:v>1.1000000000000001</c:v>
                </c:pt>
                <c:pt idx="216">
                  <c:v>1.1000000000000001</c:v>
                </c:pt>
                <c:pt idx="217">
                  <c:v>1.1000000000000001</c:v>
                </c:pt>
                <c:pt idx="218">
                  <c:v>1.1000000000000001</c:v>
                </c:pt>
                <c:pt idx="219">
                  <c:v>1.1000000000000001</c:v>
                </c:pt>
                <c:pt idx="220">
                  <c:v>1.1000000000000001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1.1000000000000001</c:v>
                </c:pt>
                <c:pt idx="224">
                  <c:v>1.1000000000000001</c:v>
                </c:pt>
                <c:pt idx="225">
                  <c:v>1.1000000000000001</c:v>
                </c:pt>
                <c:pt idx="226">
                  <c:v>1.1000000000000001</c:v>
                </c:pt>
                <c:pt idx="227">
                  <c:v>1.1000000000000001</c:v>
                </c:pt>
                <c:pt idx="228">
                  <c:v>1.1000000000000001</c:v>
                </c:pt>
                <c:pt idx="229">
                  <c:v>1.1000000000000001</c:v>
                </c:pt>
                <c:pt idx="230">
                  <c:v>1.1000000000000001</c:v>
                </c:pt>
                <c:pt idx="231">
                  <c:v>1.1000000000000001</c:v>
                </c:pt>
                <c:pt idx="232">
                  <c:v>1.1000000000000001</c:v>
                </c:pt>
                <c:pt idx="233">
                  <c:v>1.1000000000000001</c:v>
                </c:pt>
                <c:pt idx="234">
                  <c:v>1.1000000000000001</c:v>
                </c:pt>
                <c:pt idx="235">
                  <c:v>1.1000000000000001</c:v>
                </c:pt>
                <c:pt idx="236">
                  <c:v>1.1000000000000001</c:v>
                </c:pt>
                <c:pt idx="237">
                  <c:v>1.1000000000000001</c:v>
                </c:pt>
                <c:pt idx="238">
                  <c:v>1.1000000000000001</c:v>
                </c:pt>
                <c:pt idx="239">
                  <c:v>1.1000000000000001</c:v>
                </c:pt>
                <c:pt idx="240">
                  <c:v>1.1000000000000001</c:v>
                </c:pt>
                <c:pt idx="241">
                  <c:v>1.1000000000000001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1.1000000000000001</c:v>
                </c:pt>
                <c:pt idx="246">
                  <c:v>1.1000000000000001</c:v>
                </c:pt>
                <c:pt idx="247">
                  <c:v>1.1000000000000001</c:v>
                </c:pt>
                <c:pt idx="248">
                  <c:v>1.1000000000000001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1.1000000000000001</c:v>
                </c:pt>
                <c:pt idx="252">
                  <c:v>1.1000000000000001</c:v>
                </c:pt>
                <c:pt idx="253">
                  <c:v>1.1000000000000001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1.1000000000000001</c:v>
                </c:pt>
                <c:pt idx="257">
                  <c:v>1.1000000000000001</c:v>
                </c:pt>
                <c:pt idx="258">
                  <c:v>1.1000000000000001</c:v>
                </c:pt>
                <c:pt idx="259">
                  <c:v>1.1000000000000001</c:v>
                </c:pt>
                <c:pt idx="260">
                  <c:v>1.1000000000000001</c:v>
                </c:pt>
                <c:pt idx="261">
                  <c:v>1.1000000000000001</c:v>
                </c:pt>
                <c:pt idx="262">
                  <c:v>1.1000000000000001</c:v>
                </c:pt>
                <c:pt idx="263">
                  <c:v>1.1000000000000001</c:v>
                </c:pt>
                <c:pt idx="264">
                  <c:v>1.1000000000000001</c:v>
                </c:pt>
                <c:pt idx="265">
                  <c:v>1.1000000000000001</c:v>
                </c:pt>
                <c:pt idx="266">
                  <c:v>1.1000000000000001</c:v>
                </c:pt>
                <c:pt idx="267">
                  <c:v>1.1000000000000001</c:v>
                </c:pt>
                <c:pt idx="268">
                  <c:v>1.1000000000000001</c:v>
                </c:pt>
                <c:pt idx="269">
                  <c:v>1.1000000000000001</c:v>
                </c:pt>
                <c:pt idx="270">
                  <c:v>1.1000000000000001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1.1000000000000001</c:v>
                </c:pt>
                <c:pt idx="274">
                  <c:v>1.1000000000000001</c:v>
                </c:pt>
                <c:pt idx="275">
                  <c:v>1.1000000000000001</c:v>
                </c:pt>
                <c:pt idx="276">
                  <c:v>1.1000000000000001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1.1000000000000001</c:v>
                </c:pt>
                <c:pt idx="282">
                  <c:v>1.1000000000000001</c:v>
                </c:pt>
                <c:pt idx="283">
                  <c:v>1.1000000000000001</c:v>
                </c:pt>
                <c:pt idx="284">
                  <c:v>1.1000000000000001</c:v>
                </c:pt>
                <c:pt idx="285">
                  <c:v>1.1000000000000001</c:v>
                </c:pt>
                <c:pt idx="286">
                  <c:v>1.1000000000000001</c:v>
                </c:pt>
                <c:pt idx="287">
                  <c:v>1.1000000000000001</c:v>
                </c:pt>
                <c:pt idx="288">
                  <c:v>1.1000000000000001</c:v>
                </c:pt>
                <c:pt idx="289">
                  <c:v>1.1000000000000001</c:v>
                </c:pt>
                <c:pt idx="290">
                  <c:v>1.1000000000000001</c:v>
                </c:pt>
                <c:pt idx="291">
                  <c:v>1.1000000000000001</c:v>
                </c:pt>
                <c:pt idx="292">
                  <c:v>1.1000000000000001</c:v>
                </c:pt>
                <c:pt idx="293">
                  <c:v>1.1000000000000001</c:v>
                </c:pt>
                <c:pt idx="294">
                  <c:v>1.1000000000000001</c:v>
                </c:pt>
                <c:pt idx="295">
                  <c:v>1.1000000000000001</c:v>
                </c:pt>
                <c:pt idx="296">
                  <c:v>1.1000000000000001</c:v>
                </c:pt>
                <c:pt idx="297">
                  <c:v>1.1000000000000001</c:v>
                </c:pt>
                <c:pt idx="298">
                  <c:v>1.1000000000000001</c:v>
                </c:pt>
                <c:pt idx="299">
                  <c:v>1.1000000000000001</c:v>
                </c:pt>
                <c:pt idx="300">
                  <c:v>1.1000000000000001</c:v>
                </c:pt>
                <c:pt idx="301">
                  <c:v>1.1000000000000001</c:v>
                </c:pt>
                <c:pt idx="302">
                  <c:v>1.1000000000000001</c:v>
                </c:pt>
                <c:pt idx="303">
                  <c:v>1.1000000000000001</c:v>
                </c:pt>
                <c:pt idx="304">
                  <c:v>1.1000000000000001</c:v>
                </c:pt>
                <c:pt idx="305">
                  <c:v>1.1000000000000001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1.1000000000000001</c:v>
                </c:pt>
                <c:pt idx="310">
                  <c:v>1.1000000000000001</c:v>
                </c:pt>
                <c:pt idx="311">
                  <c:v>1.1000000000000001</c:v>
                </c:pt>
                <c:pt idx="312">
                  <c:v>1.1000000000000001</c:v>
                </c:pt>
                <c:pt idx="313">
                  <c:v>1.1000000000000001</c:v>
                </c:pt>
                <c:pt idx="314">
                  <c:v>1.1000000000000001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1.1000000000000001</c:v>
                </c:pt>
                <c:pt idx="318">
                  <c:v>1.1000000000000001</c:v>
                </c:pt>
                <c:pt idx="319">
                  <c:v>1.1000000000000001</c:v>
                </c:pt>
                <c:pt idx="320">
                  <c:v>1.1000000000000001</c:v>
                </c:pt>
                <c:pt idx="321">
                  <c:v>1.1000000000000001</c:v>
                </c:pt>
                <c:pt idx="322">
                  <c:v>1.1000000000000001</c:v>
                </c:pt>
                <c:pt idx="323">
                  <c:v>1.1000000000000001</c:v>
                </c:pt>
                <c:pt idx="324">
                  <c:v>1.1000000000000001</c:v>
                </c:pt>
                <c:pt idx="325">
                  <c:v>1.1000000000000001</c:v>
                </c:pt>
                <c:pt idx="326">
                  <c:v>1.1000000000000001</c:v>
                </c:pt>
                <c:pt idx="327">
                  <c:v>1.1000000000000001</c:v>
                </c:pt>
                <c:pt idx="328">
                  <c:v>1.1000000000000001</c:v>
                </c:pt>
                <c:pt idx="329">
                  <c:v>1.1000000000000001</c:v>
                </c:pt>
                <c:pt idx="330">
                  <c:v>1.1000000000000001</c:v>
                </c:pt>
                <c:pt idx="331">
                  <c:v>1.1000000000000001</c:v>
                </c:pt>
                <c:pt idx="332">
                  <c:v>1.1000000000000001</c:v>
                </c:pt>
                <c:pt idx="333">
                  <c:v>1.1000000000000001</c:v>
                </c:pt>
                <c:pt idx="334">
                  <c:v>1.1000000000000001</c:v>
                </c:pt>
                <c:pt idx="335">
                  <c:v>1.1000000000000001</c:v>
                </c:pt>
                <c:pt idx="336">
                  <c:v>1.1000000000000001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1.1000000000000001</c:v>
                </c:pt>
                <c:pt idx="340">
                  <c:v>1.1000000000000001</c:v>
                </c:pt>
                <c:pt idx="341">
                  <c:v>1.1000000000000001</c:v>
                </c:pt>
                <c:pt idx="342">
                  <c:v>1.1000000000000001</c:v>
                </c:pt>
                <c:pt idx="343">
                  <c:v>1.1000000000000001</c:v>
                </c:pt>
                <c:pt idx="344">
                  <c:v>1.1000000000000001</c:v>
                </c:pt>
                <c:pt idx="345">
                  <c:v>1.1000000000000001</c:v>
                </c:pt>
                <c:pt idx="346">
                  <c:v>1.1000000000000001</c:v>
                </c:pt>
                <c:pt idx="347">
                  <c:v>1.1000000000000001</c:v>
                </c:pt>
                <c:pt idx="348">
                  <c:v>1.1000000000000001</c:v>
                </c:pt>
                <c:pt idx="349">
                  <c:v>1.1000000000000001</c:v>
                </c:pt>
                <c:pt idx="350">
                  <c:v>1.1000000000000001</c:v>
                </c:pt>
                <c:pt idx="351">
                  <c:v>1.1000000000000001</c:v>
                </c:pt>
                <c:pt idx="352">
                  <c:v>1.1000000000000001</c:v>
                </c:pt>
                <c:pt idx="353">
                  <c:v>1.1000000000000001</c:v>
                </c:pt>
                <c:pt idx="354">
                  <c:v>1.1000000000000001</c:v>
                </c:pt>
                <c:pt idx="355">
                  <c:v>1.1000000000000001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1.1000000000000001</c:v>
                </c:pt>
                <c:pt idx="359">
                  <c:v>1.1000000000000001</c:v>
                </c:pt>
                <c:pt idx="360">
                  <c:v>1.1000000000000001</c:v>
                </c:pt>
                <c:pt idx="361">
                  <c:v>1.1000000000000001</c:v>
                </c:pt>
                <c:pt idx="362">
                  <c:v>1.1000000000000001</c:v>
                </c:pt>
                <c:pt idx="363">
                  <c:v>1.1000000000000001</c:v>
                </c:pt>
                <c:pt idx="364">
                  <c:v>1.1000000000000001</c:v>
                </c:pt>
                <c:pt idx="365">
                  <c:v>1.1000000000000001</c:v>
                </c:pt>
                <c:pt idx="366">
                  <c:v>1.1000000000000001</c:v>
                </c:pt>
                <c:pt idx="367">
                  <c:v>1.1000000000000001</c:v>
                </c:pt>
                <c:pt idx="368">
                  <c:v>1.1000000000000001</c:v>
                </c:pt>
                <c:pt idx="369">
                  <c:v>1.1000000000000001</c:v>
                </c:pt>
                <c:pt idx="370">
                  <c:v>1.1000000000000001</c:v>
                </c:pt>
                <c:pt idx="371">
                  <c:v>1.1000000000000001</c:v>
                </c:pt>
                <c:pt idx="372">
                  <c:v>1.1000000000000001</c:v>
                </c:pt>
                <c:pt idx="373">
                  <c:v>1.1000000000000001</c:v>
                </c:pt>
                <c:pt idx="374">
                  <c:v>1.1000000000000001</c:v>
                </c:pt>
                <c:pt idx="375">
                  <c:v>1.1000000000000001</c:v>
                </c:pt>
                <c:pt idx="376">
                  <c:v>1.1000000000000001</c:v>
                </c:pt>
                <c:pt idx="377">
                  <c:v>1.1000000000000001</c:v>
                </c:pt>
                <c:pt idx="378">
                  <c:v>1.1000000000000001</c:v>
                </c:pt>
                <c:pt idx="379">
                  <c:v>1.1000000000000001</c:v>
                </c:pt>
                <c:pt idx="380">
                  <c:v>1.1000000000000001</c:v>
                </c:pt>
                <c:pt idx="381">
                  <c:v>1.1000000000000001</c:v>
                </c:pt>
                <c:pt idx="382">
                  <c:v>1.1000000000000001</c:v>
                </c:pt>
                <c:pt idx="383">
                  <c:v>1.1000000000000001</c:v>
                </c:pt>
                <c:pt idx="384">
                  <c:v>1.1000000000000001</c:v>
                </c:pt>
                <c:pt idx="385">
                  <c:v>1.1000000000000001</c:v>
                </c:pt>
                <c:pt idx="386">
                  <c:v>1.1000000000000001</c:v>
                </c:pt>
                <c:pt idx="387">
                  <c:v>1.1000000000000001</c:v>
                </c:pt>
                <c:pt idx="388">
                  <c:v>1.1000000000000001</c:v>
                </c:pt>
                <c:pt idx="389">
                  <c:v>1.1000000000000001</c:v>
                </c:pt>
                <c:pt idx="390">
                  <c:v>1.1000000000000001</c:v>
                </c:pt>
                <c:pt idx="391">
                  <c:v>1.1000000000000001</c:v>
                </c:pt>
                <c:pt idx="392">
                  <c:v>1.1000000000000001</c:v>
                </c:pt>
                <c:pt idx="393">
                  <c:v>1.1000000000000001</c:v>
                </c:pt>
                <c:pt idx="394">
                  <c:v>1.1000000000000001</c:v>
                </c:pt>
                <c:pt idx="395">
                  <c:v>1.1000000000000001</c:v>
                </c:pt>
                <c:pt idx="396">
                  <c:v>1.1000000000000001</c:v>
                </c:pt>
                <c:pt idx="397">
                  <c:v>1.1000000000000001</c:v>
                </c:pt>
                <c:pt idx="398">
                  <c:v>1.1000000000000001</c:v>
                </c:pt>
                <c:pt idx="399">
                  <c:v>1.1000000000000001</c:v>
                </c:pt>
                <c:pt idx="400">
                  <c:v>1.1000000000000001</c:v>
                </c:pt>
                <c:pt idx="401">
                  <c:v>1.1000000000000001</c:v>
                </c:pt>
                <c:pt idx="402">
                  <c:v>1.1000000000000001</c:v>
                </c:pt>
                <c:pt idx="403">
                  <c:v>1.1000000000000001</c:v>
                </c:pt>
                <c:pt idx="404">
                  <c:v>1.1000000000000001</c:v>
                </c:pt>
                <c:pt idx="405">
                  <c:v>1.1000000000000001</c:v>
                </c:pt>
                <c:pt idx="406">
                  <c:v>1.1000000000000001</c:v>
                </c:pt>
                <c:pt idx="407">
                  <c:v>1.1000000000000001</c:v>
                </c:pt>
                <c:pt idx="408">
                  <c:v>1.1000000000000001</c:v>
                </c:pt>
                <c:pt idx="409">
                  <c:v>1.1000000000000001</c:v>
                </c:pt>
                <c:pt idx="410">
                  <c:v>1.1000000000000001</c:v>
                </c:pt>
                <c:pt idx="411">
                  <c:v>1.1000000000000001</c:v>
                </c:pt>
                <c:pt idx="412">
                  <c:v>1.1000000000000001</c:v>
                </c:pt>
                <c:pt idx="413">
                  <c:v>1.1000000000000001</c:v>
                </c:pt>
                <c:pt idx="414">
                  <c:v>1.1000000000000001</c:v>
                </c:pt>
                <c:pt idx="415">
                  <c:v>1.1000000000000001</c:v>
                </c:pt>
                <c:pt idx="416">
                  <c:v>1.1000000000000001</c:v>
                </c:pt>
                <c:pt idx="417">
                  <c:v>1.1000000000000001</c:v>
                </c:pt>
                <c:pt idx="418">
                  <c:v>1.1000000000000001</c:v>
                </c:pt>
                <c:pt idx="419">
                  <c:v>1.1000000000000001</c:v>
                </c:pt>
                <c:pt idx="420">
                  <c:v>1.1000000000000001</c:v>
                </c:pt>
                <c:pt idx="421">
                  <c:v>1.1000000000000001</c:v>
                </c:pt>
                <c:pt idx="422">
                  <c:v>1.1000000000000001</c:v>
                </c:pt>
                <c:pt idx="423">
                  <c:v>1.1000000000000001</c:v>
                </c:pt>
                <c:pt idx="424">
                  <c:v>1.1000000000000001</c:v>
                </c:pt>
                <c:pt idx="425">
                  <c:v>1.1000000000000001</c:v>
                </c:pt>
                <c:pt idx="426">
                  <c:v>1.1000000000000001</c:v>
                </c:pt>
                <c:pt idx="427">
                  <c:v>1.1000000000000001</c:v>
                </c:pt>
                <c:pt idx="428">
                  <c:v>1.1000000000000001</c:v>
                </c:pt>
                <c:pt idx="429">
                  <c:v>1.1000000000000001</c:v>
                </c:pt>
                <c:pt idx="430">
                  <c:v>1.1000000000000001</c:v>
                </c:pt>
                <c:pt idx="431">
                  <c:v>1.1000000000000001</c:v>
                </c:pt>
                <c:pt idx="432">
                  <c:v>1.1000000000000001</c:v>
                </c:pt>
                <c:pt idx="433">
                  <c:v>1.1000000000000001</c:v>
                </c:pt>
                <c:pt idx="434">
                  <c:v>1.1000000000000001</c:v>
                </c:pt>
                <c:pt idx="435">
                  <c:v>1.1000000000000001</c:v>
                </c:pt>
                <c:pt idx="436">
                  <c:v>1.1000000000000001</c:v>
                </c:pt>
                <c:pt idx="437">
                  <c:v>1.1000000000000001</c:v>
                </c:pt>
                <c:pt idx="438">
                  <c:v>1.1000000000000001</c:v>
                </c:pt>
                <c:pt idx="439">
                  <c:v>1.1000000000000001</c:v>
                </c:pt>
                <c:pt idx="440">
                  <c:v>1.1000000000000001</c:v>
                </c:pt>
                <c:pt idx="441">
                  <c:v>1.1000000000000001</c:v>
                </c:pt>
                <c:pt idx="442">
                  <c:v>1.1000000000000001</c:v>
                </c:pt>
                <c:pt idx="443">
                  <c:v>1.1000000000000001</c:v>
                </c:pt>
                <c:pt idx="444">
                  <c:v>1.1000000000000001</c:v>
                </c:pt>
                <c:pt idx="445">
                  <c:v>1.1000000000000001</c:v>
                </c:pt>
                <c:pt idx="446">
                  <c:v>1.1000000000000001</c:v>
                </c:pt>
                <c:pt idx="447">
                  <c:v>1.1000000000000001</c:v>
                </c:pt>
                <c:pt idx="448">
                  <c:v>1.1000000000000001</c:v>
                </c:pt>
                <c:pt idx="449">
                  <c:v>1.1000000000000001</c:v>
                </c:pt>
                <c:pt idx="450">
                  <c:v>1.1000000000000001</c:v>
                </c:pt>
                <c:pt idx="451">
                  <c:v>1.1000000000000001</c:v>
                </c:pt>
                <c:pt idx="452">
                  <c:v>1.1000000000000001</c:v>
                </c:pt>
                <c:pt idx="453">
                  <c:v>1.1000000000000001</c:v>
                </c:pt>
                <c:pt idx="454">
                  <c:v>1.1000000000000001</c:v>
                </c:pt>
                <c:pt idx="455">
                  <c:v>1.1000000000000001</c:v>
                </c:pt>
                <c:pt idx="456">
                  <c:v>1.1000000000000001</c:v>
                </c:pt>
                <c:pt idx="457">
                  <c:v>1.1000000000000001</c:v>
                </c:pt>
                <c:pt idx="458">
                  <c:v>1.1000000000000001</c:v>
                </c:pt>
                <c:pt idx="459">
                  <c:v>1.1000000000000001</c:v>
                </c:pt>
                <c:pt idx="460">
                  <c:v>1.1000000000000001</c:v>
                </c:pt>
                <c:pt idx="461">
                  <c:v>1.1000000000000001</c:v>
                </c:pt>
                <c:pt idx="462">
                  <c:v>1.1000000000000001</c:v>
                </c:pt>
                <c:pt idx="463">
                  <c:v>1.1000000000000001</c:v>
                </c:pt>
                <c:pt idx="464">
                  <c:v>1.1000000000000001</c:v>
                </c:pt>
                <c:pt idx="465">
                  <c:v>1.1000000000000001</c:v>
                </c:pt>
                <c:pt idx="466">
                  <c:v>1.1000000000000001</c:v>
                </c:pt>
                <c:pt idx="467">
                  <c:v>1.1000000000000001</c:v>
                </c:pt>
                <c:pt idx="468">
                  <c:v>1.1000000000000001</c:v>
                </c:pt>
                <c:pt idx="469">
                  <c:v>1.1000000000000001</c:v>
                </c:pt>
                <c:pt idx="470">
                  <c:v>1.1000000000000001</c:v>
                </c:pt>
                <c:pt idx="471">
                  <c:v>1.1000000000000001</c:v>
                </c:pt>
                <c:pt idx="472">
                  <c:v>1.1000000000000001</c:v>
                </c:pt>
                <c:pt idx="473">
                  <c:v>1.1000000000000001</c:v>
                </c:pt>
                <c:pt idx="474">
                  <c:v>1.1000000000000001</c:v>
                </c:pt>
                <c:pt idx="475">
                  <c:v>1.1000000000000001</c:v>
                </c:pt>
                <c:pt idx="476">
                  <c:v>1.1000000000000001</c:v>
                </c:pt>
                <c:pt idx="477">
                  <c:v>1.1000000000000001</c:v>
                </c:pt>
                <c:pt idx="478">
                  <c:v>1.1000000000000001</c:v>
                </c:pt>
                <c:pt idx="479">
                  <c:v>1.1000000000000001</c:v>
                </c:pt>
                <c:pt idx="480">
                  <c:v>1.1000000000000001</c:v>
                </c:pt>
                <c:pt idx="481">
                  <c:v>1.1000000000000001</c:v>
                </c:pt>
                <c:pt idx="482">
                  <c:v>1.1000000000000001</c:v>
                </c:pt>
                <c:pt idx="483">
                  <c:v>1.1000000000000001</c:v>
                </c:pt>
                <c:pt idx="484">
                  <c:v>1.1000000000000001</c:v>
                </c:pt>
                <c:pt idx="485">
                  <c:v>1.1000000000000001</c:v>
                </c:pt>
                <c:pt idx="486">
                  <c:v>1.1000000000000001</c:v>
                </c:pt>
                <c:pt idx="487">
                  <c:v>1.1000000000000001</c:v>
                </c:pt>
                <c:pt idx="488">
                  <c:v>1.1000000000000001</c:v>
                </c:pt>
                <c:pt idx="489">
                  <c:v>1.1000000000000001</c:v>
                </c:pt>
                <c:pt idx="490">
                  <c:v>1.1000000000000001</c:v>
                </c:pt>
                <c:pt idx="491">
                  <c:v>1.1000000000000001</c:v>
                </c:pt>
                <c:pt idx="492">
                  <c:v>1.1000000000000001</c:v>
                </c:pt>
                <c:pt idx="493">
                  <c:v>1.1000000000000001</c:v>
                </c:pt>
                <c:pt idx="494">
                  <c:v>1.1000000000000001</c:v>
                </c:pt>
                <c:pt idx="495">
                  <c:v>1.1000000000000001</c:v>
                </c:pt>
                <c:pt idx="496">
                  <c:v>1.1000000000000001</c:v>
                </c:pt>
                <c:pt idx="497">
                  <c:v>1.1000000000000001</c:v>
                </c:pt>
                <c:pt idx="498">
                  <c:v>1.1000000000000001</c:v>
                </c:pt>
                <c:pt idx="499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0E-9841-B961-9611C1A9F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779440"/>
        <c:axId val="1325310064"/>
      </c:scatterChart>
      <c:valAx>
        <c:axId val="132477944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R"/>
          </a:p>
        </c:txPr>
        <c:crossAx val="1325310064"/>
        <c:crosses val="autoZero"/>
        <c:crossBetween val="midCat"/>
      </c:valAx>
      <c:valAx>
        <c:axId val="132531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R"/>
          </a:p>
        </c:txPr>
        <c:crossAx val="132477944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405422</xdr:colOff>
      <xdr:row>5</xdr:row>
      <xdr:rowOff>118207</xdr:rowOff>
    </xdr:from>
    <xdr:to>
      <xdr:col>33</xdr:col>
      <xdr:colOff>175845</xdr:colOff>
      <xdr:row>27</xdr:row>
      <xdr:rowOff>48845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8"/>
  <sheetViews>
    <sheetView zoomScaleNormal="100" workbookViewId="0">
      <selection activeCell="F1" sqref="F1"/>
    </sheetView>
  </sheetViews>
  <sheetFormatPr baseColWidth="10" defaultColWidth="11" defaultRowHeight="16" x14ac:dyDescent="0.2"/>
  <cols>
    <col min="3" max="3" width="10.83203125" style="2" customWidth="1"/>
    <col min="8" max="8" width="8.83203125" bestFit="1" customWidth="1"/>
    <col min="9" max="9" width="14.83203125" style="2" bestFit="1" customWidth="1"/>
    <col min="10" max="10" width="12.1640625" style="2" bestFit="1" customWidth="1"/>
  </cols>
  <sheetData>
    <row r="1" spans="1:11" x14ac:dyDescent="0.2">
      <c r="A1" s="6" t="s">
        <v>85</v>
      </c>
      <c r="B1" s="6" t="s">
        <v>86</v>
      </c>
      <c r="C1" s="7" t="s">
        <v>87</v>
      </c>
      <c r="D1" s="6" t="s">
        <v>88</v>
      </c>
      <c r="E1" s="6" t="s">
        <v>89</v>
      </c>
      <c r="F1" s="6" t="s">
        <v>7</v>
      </c>
      <c r="G1" s="6" t="s">
        <v>90</v>
      </c>
      <c r="H1" s="6" t="s">
        <v>91</v>
      </c>
      <c r="I1" s="7" t="s">
        <v>92</v>
      </c>
      <c r="J1" s="7" t="s">
        <v>8</v>
      </c>
      <c r="K1" s="17" t="s">
        <v>93</v>
      </c>
    </row>
    <row r="2" spans="1:11" x14ac:dyDescent="0.2">
      <c r="A2">
        <v>87480</v>
      </c>
      <c r="B2" s="1">
        <v>30317</v>
      </c>
      <c r="C2" s="2">
        <f t="shared" ref="C2:C65" si="0">B2-DATE(YEAR(B2),1,1)+1</f>
        <v>1</v>
      </c>
      <c r="D2">
        <v>35.200000000000003</v>
      </c>
      <c r="E2">
        <v>21.1</v>
      </c>
      <c r="F2">
        <v>27.8</v>
      </c>
      <c r="G2">
        <v>1.4</v>
      </c>
      <c r="H2">
        <v>-32.903599999999997</v>
      </c>
      <c r="I2" s="4">
        <f t="shared" ref="I2:I65" si="1">23.45*SIN(RADIANS(360/365*(C2-81)))</f>
        <v>-23.011636727869238</v>
      </c>
      <c r="J2" s="4">
        <f t="shared" ref="J2:J65" si="2">IFERROR(24 / PI() * ACOS(-TAN(RADIANS(H2)) * TAN(RADIANS(I2))), IF(-TAN(RADIANS(H2)) * TAN(RADIANS(I2)) &gt;= 1, 0,24))</f>
        <v>14.12666361055725</v>
      </c>
      <c r="K2" s="21">
        <v>6.5</v>
      </c>
    </row>
    <row r="3" spans="1:11" x14ac:dyDescent="0.2">
      <c r="A3">
        <v>87480</v>
      </c>
      <c r="B3" s="1">
        <v>30318</v>
      </c>
      <c r="C3" s="2">
        <f t="shared" si="0"/>
        <v>2</v>
      </c>
      <c r="D3">
        <v>28.4</v>
      </c>
      <c r="E3">
        <v>24.2</v>
      </c>
      <c r="F3">
        <v>27</v>
      </c>
      <c r="G3">
        <v>0</v>
      </c>
      <c r="H3">
        <v>-32.903599999999997</v>
      </c>
      <c r="I3" s="4">
        <f t="shared" si="1"/>
        <v>-22.930543608307651</v>
      </c>
      <c r="J3" s="4">
        <f t="shared" si="2"/>
        <v>14.118081750157655</v>
      </c>
      <c r="K3" s="21">
        <v>2.2000000000000002</v>
      </c>
    </row>
    <row r="4" spans="1:11" x14ac:dyDescent="0.2">
      <c r="A4">
        <v>87480</v>
      </c>
      <c r="B4" s="1">
        <v>30319</v>
      </c>
      <c r="C4" s="2">
        <f t="shared" si="0"/>
        <v>3</v>
      </c>
      <c r="D4">
        <v>29.8</v>
      </c>
      <c r="E4">
        <v>22.5</v>
      </c>
      <c r="F4">
        <v>25.8</v>
      </c>
      <c r="G4">
        <v>0</v>
      </c>
      <c r="H4">
        <v>-32.903599999999997</v>
      </c>
      <c r="I4" s="4">
        <f t="shared" si="1"/>
        <v>-22.84265567379326</v>
      </c>
      <c r="J4" s="4">
        <f t="shared" si="2"/>
        <v>14.108795500003119</v>
      </c>
      <c r="K4" s="21">
        <v>6.9</v>
      </c>
    </row>
    <row r="5" spans="1:11" x14ac:dyDescent="0.2">
      <c r="A5">
        <v>87480</v>
      </c>
      <c r="B5" s="1">
        <v>30320</v>
      </c>
      <c r="C5" s="2">
        <f t="shared" si="0"/>
        <v>4</v>
      </c>
      <c r="D5">
        <v>31.3</v>
      </c>
      <c r="E5">
        <v>18.8</v>
      </c>
      <c r="F5">
        <v>25.2</v>
      </c>
      <c r="G5">
        <v>0.8</v>
      </c>
      <c r="H5">
        <v>-32.903599999999997</v>
      </c>
      <c r="I5" s="4">
        <f t="shared" si="1"/>
        <v>-22.747998967417839</v>
      </c>
      <c r="J5" s="4">
        <f t="shared" si="2"/>
        <v>14.098811040069268</v>
      </c>
      <c r="K5" s="21">
        <v>5.8</v>
      </c>
    </row>
    <row r="6" spans="1:11" x14ac:dyDescent="0.2">
      <c r="A6">
        <v>87480</v>
      </c>
      <c r="B6" s="1">
        <v>30321</v>
      </c>
      <c r="C6" s="2">
        <f t="shared" si="0"/>
        <v>5</v>
      </c>
      <c r="D6">
        <v>30.4</v>
      </c>
      <c r="E6">
        <v>18.3</v>
      </c>
      <c r="F6">
        <v>25.2</v>
      </c>
      <c r="G6">
        <v>0</v>
      </c>
      <c r="H6">
        <v>-32.903599999999997</v>
      </c>
      <c r="I6" s="4">
        <f t="shared" si="1"/>
        <v>-22.646601538006347</v>
      </c>
      <c r="J6" s="4">
        <f t="shared" si="2"/>
        <v>14.088134965427884</v>
      </c>
      <c r="K6" s="21">
        <v>6.9</v>
      </c>
    </row>
    <row r="7" spans="1:11" x14ac:dyDescent="0.2">
      <c r="A7">
        <v>87480</v>
      </c>
      <c r="B7" s="1">
        <v>30322</v>
      </c>
      <c r="C7" s="2">
        <f t="shared" si="0"/>
        <v>6</v>
      </c>
      <c r="D7">
        <v>29.5</v>
      </c>
      <c r="E7">
        <v>21.5</v>
      </c>
      <c r="F7">
        <v>26.1</v>
      </c>
      <c r="G7">
        <v>0</v>
      </c>
      <c r="H7">
        <v>-32.903599999999997</v>
      </c>
      <c r="I7" s="4">
        <f t="shared" si="1"/>
        <v>-22.538493431805453</v>
      </c>
      <c r="J7" s="4">
        <f t="shared" si="2"/>
        <v>14.07677427155217</v>
      </c>
      <c r="K7" s="21">
        <v>7.7</v>
      </c>
    </row>
    <row r="8" spans="1:11" x14ac:dyDescent="0.2">
      <c r="A8">
        <v>87480</v>
      </c>
      <c r="B8" s="1">
        <v>30323</v>
      </c>
      <c r="C8" s="2">
        <f t="shared" si="0"/>
        <v>7</v>
      </c>
      <c r="D8">
        <v>31.8</v>
      </c>
      <c r="E8">
        <v>20</v>
      </c>
      <c r="F8">
        <v>26.8</v>
      </c>
      <c r="G8">
        <v>0</v>
      </c>
      <c r="H8">
        <v>-32.903599999999997</v>
      </c>
      <c r="I8" s="4">
        <f t="shared" si="1"/>
        <v>-22.423706683580185</v>
      </c>
      <c r="J8" s="4">
        <f t="shared" si="2"/>
        <v>14.064736338919822</v>
      </c>
      <c r="K8" s="21">
        <v>6.2</v>
      </c>
    </row>
    <row r="9" spans="1:11" x14ac:dyDescent="0.2">
      <c r="A9">
        <v>87480</v>
      </c>
      <c r="B9" s="1">
        <v>30324</v>
      </c>
      <c r="C9" s="2">
        <f t="shared" si="0"/>
        <v>8</v>
      </c>
      <c r="D9">
        <v>32.799999999999997</v>
      </c>
      <c r="E9">
        <v>20.9</v>
      </c>
      <c r="F9">
        <v>27.2</v>
      </c>
      <c r="G9">
        <v>0</v>
      </c>
      <c r="H9">
        <v>-32.903599999999997</v>
      </c>
      <c r="I9" s="4">
        <f t="shared" si="1"/>
        <v>-22.302275307121349</v>
      </c>
      <c r="J9" s="4">
        <f t="shared" si="2"/>
        <v>14.052028916981424</v>
      </c>
      <c r="K9" s="21">
        <v>6</v>
      </c>
    </row>
    <row r="10" spans="1:11" x14ac:dyDescent="0.2">
      <c r="A10">
        <v>87480</v>
      </c>
      <c r="B10" s="1">
        <v>30325</v>
      </c>
      <c r="C10" s="2">
        <f t="shared" si="0"/>
        <v>9</v>
      </c>
      <c r="D10">
        <v>33</v>
      </c>
      <c r="E10">
        <v>23.5</v>
      </c>
      <c r="F10">
        <v>27.8</v>
      </c>
      <c r="G10">
        <v>0</v>
      </c>
      <c r="H10">
        <v>-32.903599999999997</v>
      </c>
      <c r="I10" s="4">
        <f t="shared" si="1"/>
        <v>-22.174235285166493</v>
      </c>
      <c r="J10" s="4">
        <f t="shared" si="2"/>
        <v>14.03866010756313</v>
      </c>
      <c r="K10" s="21">
        <v>7.4</v>
      </c>
    </row>
    <row r="11" spans="1:11" x14ac:dyDescent="0.2">
      <c r="A11">
        <v>87480</v>
      </c>
      <c r="B11" s="1">
        <v>30326</v>
      </c>
      <c r="C11" s="2">
        <f t="shared" si="0"/>
        <v>10</v>
      </c>
      <c r="D11">
        <v>32</v>
      </c>
      <c r="E11">
        <v>22.8</v>
      </c>
      <c r="F11">
        <v>27.4</v>
      </c>
      <c r="G11">
        <v>0</v>
      </c>
      <c r="H11">
        <v>-32.903599999999997</v>
      </c>
      <c r="I11" s="4">
        <f t="shared" si="1"/>
        <v>-22.039624558737447</v>
      </c>
      <c r="J11" s="4">
        <f t="shared" si="2"/>
        <v>14.024638347773765</v>
      </c>
      <c r="K11" s="21">
        <v>3.7</v>
      </c>
    </row>
    <row r="12" spans="1:11" x14ac:dyDescent="0.2">
      <c r="A12">
        <v>87480</v>
      </c>
      <c r="B12" s="1">
        <v>30327</v>
      </c>
      <c r="C12" s="2">
        <f t="shared" si="0"/>
        <v>11</v>
      </c>
      <c r="D12">
        <v>33.299999999999997</v>
      </c>
      <c r="E12">
        <v>22</v>
      </c>
      <c r="F12">
        <v>27.9</v>
      </c>
      <c r="G12">
        <v>0</v>
      </c>
      <c r="H12">
        <v>-32.903599999999997</v>
      </c>
      <c r="I12" s="4">
        <f t="shared" si="1"/>
        <v>-21.898483015897597</v>
      </c>
      <c r="J12" s="4">
        <f t="shared" si="2"/>
        <v>14.009972392487164</v>
      </c>
      <c r="K12" s="21">
        <v>4.3</v>
      </c>
    </row>
    <row r="13" spans="1:11" x14ac:dyDescent="0.2">
      <c r="A13">
        <v>87480</v>
      </c>
      <c r="B13" s="1">
        <v>30328</v>
      </c>
      <c r="C13" s="2">
        <f t="shared" si="0"/>
        <v>12</v>
      </c>
      <c r="D13">
        <v>32.799999999999997</v>
      </c>
      <c r="E13">
        <v>24</v>
      </c>
      <c r="F13">
        <v>28</v>
      </c>
      <c r="G13">
        <v>3.8</v>
      </c>
      <c r="H13">
        <v>-32.903599999999997</v>
      </c>
      <c r="I13" s="4">
        <f t="shared" si="1"/>
        <v>-21.75085247993216</v>
      </c>
      <c r="J13" s="4">
        <f t="shared" si="2"/>
        <v>13.994671296470765</v>
      </c>
      <c r="K13" s="21">
        <v>5.7</v>
      </c>
    </row>
    <row r="14" spans="1:11" x14ac:dyDescent="0.2">
      <c r="A14">
        <v>87480</v>
      </c>
      <c r="B14" s="1">
        <v>30329</v>
      </c>
      <c r="C14" s="2">
        <f t="shared" si="0"/>
        <v>13</v>
      </c>
      <c r="D14">
        <v>27.9</v>
      </c>
      <c r="E14">
        <v>20.6</v>
      </c>
      <c r="F14">
        <v>23.9</v>
      </c>
      <c r="G14">
        <v>0.2</v>
      </c>
      <c r="H14">
        <v>-32.903599999999997</v>
      </c>
      <c r="I14" s="4">
        <f t="shared" si="1"/>
        <v>-21.596776696955082</v>
      </c>
      <c r="J14" s="4">
        <f t="shared" si="2"/>
        <v>13.978744396231232</v>
      </c>
      <c r="K14" s="21">
        <v>2.6</v>
      </c>
    </row>
    <row r="15" spans="1:11" x14ac:dyDescent="0.2">
      <c r="A15">
        <v>87480</v>
      </c>
      <c r="B15" s="1">
        <v>30330</v>
      </c>
      <c r="C15" s="2">
        <f t="shared" si="0"/>
        <v>14</v>
      </c>
      <c r="D15">
        <v>32.700000000000003</v>
      </c>
      <c r="E15">
        <v>18.2</v>
      </c>
      <c r="F15">
        <v>25.6</v>
      </c>
      <c r="G15">
        <v>0</v>
      </c>
      <c r="H15">
        <v>-32.903599999999997</v>
      </c>
      <c r="I15" s="4">
        <f t="shared" si="1"/>
        <v>-21.436301322946075</v>
      </c>
      <c r="J15" s="4">
        <f t="shared" si="2"/>
        <v>13.962201291647334</v>
      </c>
      <c r="K15" s="21">
        <v>5.7</v>
      </c>
    </row>
    <row r="16" spans="1:11" x14ac:dyDescent="0.2">
      <c r="A16">
        <v>87480</v>
      </c>
      <c r="B16" s="1">
        <v>30331</v>
      </c>
      <c r="C16" s="2">
        <f t="shared" si="0"/>
        <v>15</v>
      </c>
      <c r="D16">
        <v>31.8</v>
      </c>
      <c r="E16">
        <v>19.2</v>
      </c>
      <c r="F16">
        <v>24.9</v>
      </c>
      <c r="G16">
        <v>0</v>
      </c>
      <c r="H16">
        <v>-32.903599999999997</v>
      </c>
      <c r="I16" s="4">
        <f t="shared" si="1"/>
        <v>-21.269473910221812</v>
      </c>
      <c r="J16" s="4">
        <f t="shared" si="2"/>
        <v>13.945051827459224</v>
      </c>
      <c r="K16" s="21">
        <v>5.2</v>
      </c>
    </row>
    <row r="17" spans="1:11" x14ac:dyDescent="0.2">
      <c r="A17">
        <v>87480</v>
      </c>
      <c r="B17" s="1">
        <v>30332</v>
      </c>
      <c r="C17" s="2">
        <f t="shared" si="0"/>
        <v>16</v>
      </c>
      <c r="D17">
        <v>28.8</v>
      </c>
      <c r="E17">
        <v>18.5</v>
      </c>
      <c r="F17">
        <v>23.3</v>
      </c>
      <c r="G17">
        <v>0</v>
      </c>
      <c r="H17">
        <v>-32.903599999999997</v>
      </c>
      <c r="I17" s="4">
        <f t="shared" si="1"/>
        <v>-21.096343893345107</v>
      </c>
      <c r="J17" s="4">
        <f t="shared" si="2"/>
        <v>13.927306074681896</v>
      </c>
      <c r="K17" s="21">
        <v>4.8</v>
      </c>
    </row>
    <row r="18" spans="1:11" x14ac:dyDescent="0.2">
      <c r="A18">
        <v>87480</v>
      </c>
      <c r="B18" s="1">
        <v>30333</v>
      </c>
      <c r="C18" s="2">
        <f t="shared" si="0"/>
        <v>17</v>
      </c>
      <c r="D18">
        <v>27.1</v>
      </c>
      <c r="E18">
        <v>21.4</v>
      </c>
      <c r="F18">
        <v>23.6</v>
      </c>
      <c r="G18">
        <v>5.2</v>
      </c>
      <c r="H18">
        <v>-32.903599999999997</v>
      </c>
      <c r="I18" s="4">
        <f t="shared" si="1"/>
        <v>-20.916962574476411</v>
      </c>
      <c r="J18" s="4">
        <f t="shared" si="2"/>
        <v>13.908974312008899</v>
      </c>
      <c r="K18" s="21">
        <v>2.1</v>
      </c>
    </row>
    <row r="19" spans="1:11" x14ac:dyDescent="0.2">
      <c r="A19">
        <v>87480</v>
      </c>
      <c r="B19" s="1">
        <v>30334</v>
      </c>
      <c r="C19" s="2">
        <f t="shared" si="0"/>
        <v>18</v>
      </c>
      <c r="D19">
        <v>28</v>
      </c>
      <c r="E19">
        <v>20.2</v>
      </c>
      <c r="F19">
        <v>22.6</v>
      </c>
      <c r="G19">
        <v>1</v>
      </c>
      <c r="H19">
        <v>-32.903599999999997</v>
      </c>
      <c r="I19" s="4">
        <f t="shared" si="1"/>
        <v>-20.731383108171876</v>
      </c>
      <c r="J19" s="4">
        <f t="shared" si="2"/>
        <v>13.890067007270297</v>
      </c>
      <c r="K19" s="21">
        <v>5.5</v>
      </c>
    </row>
    <row r="20" spans="1:11" x14ac:dyDescent="0.2">
      <c r="A20">
        <v>87480</v>
      </c>
      <c r="B20" s="1">
        <v>30335</v>
      </c>
      <c r="C20" s="2">
        <f t="shared" si="0"/>
        <v>19</v>
      </c>
      <c r="D20">
        <v>29.5</v>
      </c>
      <c r="E20">
        <v>17.8</v>
      </c>
      <c r="F20">
        <v>23.9</v>
      </c>
      <c r="G20">
        <v>0</v>
      </c>
      <c r="H20">
        <v>-32.903599999999997</v>
      </c>
      <c r="I20" s="4">
        <f t="shared" si="1"/>
        <v>-20.539660485632496</v>
      </c>
      <c r="J20" s="4">
        <f t="shared" si="2"/>
        <v>13.87059479900654</v>
      </c>
      <c r="K20" s="21">
        <v>5.7</v>
      </c>
    </row>
    <row r="21" spans="1:11" x14ac:dyDescent="0.2">
      <c r="A21">
        <v>87480</v>
      </c>
      <c r="B21" s="1">
        <v>30336</v>
      </c>
      <c r="C21" s="2">
        <f t="shared" si="0"/>
        <v>20</v>
      </c>
      <c r="D21">
        <v>34.299999999999997</v>
      </c>
      <c r="E21">
        <v>17</v>
      </c>
      <c r="F21">
        <v>26</v>
      </c>
      <c r="G21">
        <v>0</v>
      </c>
      <c r="H21">
        <v>-32.903599999999997</v>
      </c>
      <c r="I21" s="4">
        <f t="shared" si="1"/>
        <v>-20.341851518409044</v>
      </c>
      <c r="J21" s="4">
        <f t="shared" si="2"/>
        <v>13.850568478217388</v>
      </c>
      <c r="K21" s="21">
        <v>6.2</v>
      </c>
    </row>
    <row r="22" spans="1:11" x14ac:dyDescent="0.2">
      <c r="A22">
        <v>87480</v>
      </c>
      <c r="B22" s="1">
        <v>30337</v>
      </c>
      <c r="C22" s="2">
        <f t="shared" si="0"/>
        <v>21</v>
      </c>
      <c r="D22">
        <v>37</v>
      </c>
      <c r="E22">
        <v>18.899999999999999</v>
      </c>
      <c r="F22">
        <v>29.1</v>
      </c>
      <c r="G22">
        <v>0</v>
      </c>
      <c r="H22">
        <v>-32.903599999999997</v>
      </c>
      <c r="I22" s="4">
        <f t="shared" si="1"/>
        <v>-20.138014821567577</v>
      </c>
      <c r="J22" s="4">
        <f t="shared" si="2"/>
        <v>13.829998970342087</v>
      </c>
      <c r="K22" s="21">
        <v>7.6</v>
      </c>
    </row>
    <row r="23" spans="1:11" x14ac:dyDescent="0.2">
      <c r="A23">
        <v>87480</v>
      </c>
      <c r="B23" s="1">
        <v>30338</v>
      </c>
      <c r="C23" s="2">
        <f t="shared" si="0"/>
        <v>22</v>
      </c>
      <c r="D23">
        <v>37.6</v>
      </c>
      <c r="E23">
        <v>19</v>
      </c>
      <c r="F23">
        <v>29.8</v>
      </c>
      <c r="G23">
        <v>0</v>
      </c>
      <c r="H23">
        <v>-32.903599999999997</v>
      </c>
      <c r="I23" s="4">
        <f t="shared" si="1"/>
        <v>-19.928210796320528</v>
      </c>
      <c r="J23" s="4">
        <f t="shared" si="2"/>
        <v>13.80889731752413</v>
      </c>
      <c r="K23" s="21">
        <v>8.3000000000000007</v>
      </c>
    </row>
    <row r="24" spans="1:11" x14ac:dyDescent="0.2">
      <c r="A24">
        <v>87480</v>
      </c>
      <c r="B24" s="1">
        <v>30339</v>
      </c>
      <c r="C24" s="2">
        <f t="shared" si="0"/>
        <v>23</v>
      </c>
      <c r="D24">
        <v>36.9</v>
      </c>
      <c r="E24">
        <v>22.4</v>
      </c>
      <c r="F24">
        <v>27.3</v>
      </c>
      <c r="G24">
        <v>1</v>
      </c>
      <c r="H24">
        <v>-32.903599999999997</v>
      </c>
      <c r="I24" s="4">
        <f t="shared" si="1"/>
        <v>-19.712501612128509</v>
      </c>
      <c r="J24" s="4">
        <f t="shared" si="2"/>
        <v>13.787274661210651</v>
      </c>
      <c r="K24" s="21">
        <v>4.2</v>
      </c>
    </row>
    <row r="25" spans="1:11" x14ac:dyDescent="0.2">
      <c r="A25">
        <v>87480</v>
      </c>
      <c r="B25" s="1">
        <v>30340</v>
      </c>
      <c r="C25" s="2">
        <f t="shared" si="0"/>
        <v>24</v>
      </c>
      <c r="D25">
        <v>32.799999999999997</v>
      </c>
      <c r="E25">
        <v>21.6</v>
      </c>
      <c r="F25">
        <v>27.1</v>
      </c>
      <c r="G25">
        <v>0</v>
      </c>
      <c r="H25">
        <v>-32.903599999999997</v>
      </c>
      <c r="I25" s="4">
        <f t="shared" si="1"/>
        <v>-19.490951188278192</v>
      </c>
      <c r="J25" s="4">
        <f t="shared" si="2"/>
        <v>13.765142225133289</v>
      </c>
      <c r="K25" s="21">
        <v>5</v>
      </c>
    </row>
    <row r="26" spans="1:11" x14ac:dyDescent="0.2">
      <c r="A26">
        <v>87480</v>
      </c>
      <c r="B26" s="1">
        <v>30341</v>
      </c>
      <c r="C26" s="2">
        <f t="shared" si="0"/>
        <v>25</v>
      </c>
      <c r="D26">
        <v>34.1</v>
      </c>
      <c r="E26">
        <v>21</v>
      </c>
      <c r="F26">
        <v>25</v>
      </c>
      <c r="G26">
        <v>3</v>
      </c>
      <c r="H26">
        <v>-32.903599999999997</v>
      </c>
      <c r="I26" s="4">
        <f t="shared" si="1"/>
        <v>-19.263625174941613</v>
      </c>
      <c r="J26" s="4">
        <f t="shared" si="2"/>
        <v>13.742511298713865</v>
      </c>
      <c r="K26" s="21">
        <v>3.8</v>
      </c>
    </row>
    <row r="27" spans="1:11" x14ac:dyDescent="0.2">
      <c r="A27">
        <v>87480</v>
      </c>
      <c r="B27" s="1">
        <v>30342</v>
      </c>
      <c r="C27" s="2">
        <f t="shared" si="0"/>
        <v>26</v>
      </c>
      <c r="D27">
        <v>30.7</v>
      </c>
      <c r="E27">
        <v>18.5</v>
      </c>
      <c r="F27">
        <v>24.4</v>
      </c>
      <c r="G27">
        <v>0</v>
      </c>
      <c r="H27">
        <v>-32.903599999999997</v>
      </c>
      <c r="I27" s="4">
        <f t="shared" si="1"/>
        <v>-19.030590933722614</v>
      </c>
      <c r="J27" s="4">
        <f t="shared" si="2"/>
        <v>13.719393220934847</v>
      </c>
      <c r="K27" s="21">
        <v>5.9</v>
      </c>
    </row>
    <row r="28" spans="1:11" x14ac:dyDescent="0.2">
      <c r="A28">
        <v>87480</v>
      </c>
      <c r="B28" s="1">
        <v>30343</v>
      </c>
      <c r="C28" s="2">
        <f t="shared" si="0"/>
        <v>27</v>
      </c>
      <c r="D28">
        <v>32.6</v>
      </c>
      <c r="E28">
        <v>19.8</v>
      </c>
      <c r="F28">
        <v>26.6</v>
      </c>
      <c r="G28">
        <v>0</v>
      </c>
      <c r="H28">
        <v>-32.903599999999997</v>
      </c>
      <c r="I28" s="4">
        <f t="shared" si="1"/>
        <v>-18.791917517696167</v>
      </c>
      <c r="J28" s="4">
        <f t="shared" si="2"/>
        <v>13.695799364710952</v>
      </c>
      <c r="K28" s="21">
        <v>6</v>
      </c>
    </row>
    <row r="29" spans="1:11" x14ac:dyDescent="0.2">
      <c r="A29">
        <v>87480</v>
      </c>
      <c r="B29" s="1">
        <v>30344</v>
      </c>
      <c r="C29" s="2">
        <f t="shared" si="0"/>
        <v>28</v>
      </c>
      <c r="D29">
        <v>32.700000000000003</v>
      </c>
      <c r="E29">
        <v>24.4</v>
      </c>
      <c r="F29">
        <v>28.5</v>
      </c>
      <c r="G29">
        <v>0</v>
      </c>
      <c r="H29">
        <v>-32.903599999999997</v>
      </c>
      <c r="I29" s="4">
        <f t="shared" si="1"/>
        <v>-18.547675650946424</v>
      </c>
      <c r="J29" s="4">
        <f t="shared" si="2"/>
        <v>13.671741121794794</v>
      </c>
      <c r="K29" s="21">
        <v>7</v>
      </c>
    </row>
    <row r="30" spans="1:11" x14ac:dyDescent="0.2">
      <c r="A30">
        <v>87480</v>
      </c>
      <c r="B30" s="1">
        <v>30345</v>
      </c>
      <c r="C30" s="2">
        <f t="shared" si="0"/>
        <v>29</v>
      </c>
      <c r="D30">
        <v>35</v>
      </c>
      <c r="E30">
        <v>21.6</v>
      </c>
      <c r="F30">
        <v>28.4</v>
      </c>
      <c r="G30">
        <v>10.5</v>
      </c>
      <c r="H30">
        <v>-32.903599999999997</v>
      </c>
      <c r="I30" s="4">
        <f t="shared" si="1"/>
        <v>-18.297937707609684</v>
      </c>
      <c r="J30" s="4">
        <f t="shared" si="2"/>
        <v>13.647229888245898</v>
      </c>
      <c r="K30" s="21">
        <v>3.5</v>
      </c>
    </row>
    <row r="31" spans="1:11" x14ac:dyDescent="0.2">
      <c r="A31">
        <v>87480</v>
      </c>
      <c r="B31" s="1">
        <v>30346</v>
      </c>
      <c r="C31" s="2">
        <f t="shared" si="0"/>
        <v>30</v>
      </c>
      <c r="D31">
        <v>29.7</v>
      </c>
      <c r="E31">
        <v>20.5</v>
      </c>
      <c r="F31">
        <v>24.4</v>
      </c>
      <c r="G31">
        <v>1</v>
      </c>
      <c r="H31">
        <v>-32.903599999999997</v>
      </c>
      <c r="I31" s="4">
        <f t="shared" si="1"/>
        <v>-18.042777690428341</v>
      </c>
      <c r="J31" s="4">
        <f t="shared" si="2"/>
        <v>13.622277050488973</v>
      </c>
      <c r="K31" s="21">
        <v>4.5</v>
      </c>
    </row>
    <row r="32" spans="1:11" x14ac:dyDescent="0.2">
      <c r="A32">
        <v>87480</v>
      </c>
      <c r="B32" s="1">
        <v>30347</v>
      </c>
      <c r="C32" s="2">
        <f t="shared" si="0"/>
        <v>31</v>
      </c>
      <c r="D32">
        <v>27</v>
      </c>
      <c r="E32">
        <v>16.600000000000001</v>
      </c>
      <c r="F32">
        <v>21.2</v>
      </c>
      <c r="G32">
        <v>0</v>
      </c>
      <c r="H32">
        <v>-32.903599999999997</v>
      </c>
      <c r="I32" s="4">
        <f t="shared" si="1"/>
        <v>-17.782271208822291</v>
      </c>
      <c r="J32" s="4">
        <f t="shared" si="2"/>
        <v>13.59689397198381</v>
      </c>
      <c r="K32" s="21">
        <v>5.8</v>
      </c>
    </row>
    <row r="33" spans="1:11" x14ac:dyDescent="0.2">
      <c r="A33">
        <v>87480</v>
      </c>
      <c r="B33" s="1">
        <v>30348</v>
      </c>
      <c r="C33" s="2">
        <f t="shared" si="0"/>
        <v>32</v>
      </c>
      <c r="D33">
        <v>24.4</v>
      </c>
      <c r="E33">
        <v>14</v>
      </c>
      <c r="F33">
        <v>19.3</v>
      </c>
      <c r="G33">
        <v>0</v>
      </c>
      <c r="H33">
        <v>-32.903599999999997</v>
      </c>
      <c r="I33" s="4">
        <f t="shared" si="1"/>
        <v>-17.516495456484218</v>
      </c>
      <c r="J33" s="4">
        <f t="shared" si="2"/>
        <v>13.571091980525928</v>
      </c>
      <c r="K33" s="21">
        <v>5.4</v>
      </c>
    </row>
    <row r="34" spans="1:11" x14ac:dyDescent="0.2">
      <c r="A34">
        <v>87480</v>
      </c>
      <c r="B34" s="1">
        <v>30349</v>
      </c>
      <c r="C34" s="2">
        <f t="shared" si="0"/>
        <v>33</v>
      </c>
      <c r="D34">
        <v>28.2</v>
      </c>
      <c r="E34">
        <v>10.9</v>
      </c>
      <c r="F34">
        <v>21.8</v>
      </c>
      <c r="G34">
        <v>0</v>
      </c>
      <c r="H34">
        <v>-32.903599999999997</v>
      </c>
      <c r="I34" s="4">
        <f t="shared" si="1"/>
        <v>-17.245529188505458</v>
      </c>
      <c r="J34" s="4">
        <f t="shared" si="2"/>
        <v>13.544882356193716</v>
      </c>
      <c r="K34" s="21">
        <v>6.4</v>
      </c>
    </row>
    <row r="35" spans="1:11" x14ac:dyDescent="0.2">
      <c r="A35">
        <v>87480</v>
      </c>
      <c r="B35" s="1">
        <v>30350</v>
      </c>
      <c r="C35" s="2">
        <f t="shared" si="0"/>
        <v>34</v>
      </c>
      <c r="D35">
        <v>28.5</v>
      </c>
      <c r="E35">
        <v>14</v>
      </c>
      <c r="F35">
        <v>23.3</v>
      </c>
      <c r="G35">
        <v>0</v>
      </c>
      <c r="H35">
        <v>-32.903599999999997</v>
      </c>
      <c r="I35" s="4">
        <f t="shared" si="1"/>
        <v>-16.969452698039142</v>
      </c>
      <c r="J35" s="4">
        <f t="shared" si="2"/>
        <v>13.518276319954735</v>
      </c>
      <c r="K35" s="21">
        <v>5.3</v>
      </c>
    </row>
    <row r="36" spans="1:11" x14ac:dyDescent="0.2">
      <c r="A36">
        <v>87480</v>
      </c>
      <c r="B36" s="1">
        <v>30351</v>
      </c>
      <c r="C36" s="2">
        <f t="shared" si="0"/>
        <v>35</v>
      </c>
      <c r="D36">
        <v>30.5</v>
      </c>
      <c r="E36">
        <v>14.9</v>
      </c>
      <c r="F36">
        <v>24.3</v>
      </c>
      <c r="G36">
        <v>0</v>
      </c>
      <c r="H36">
        <v>-32.903599999999997</v>
      </c>
      <c r="I36" s="4">
        <f t="shared" si="1"/>
        <v>-16.688347792507614</v>
      </c>
      <c r="J36" s="4">
        <f t="shared" si="2"/>
        <v>13.491285022940758</v>
      </c>
      <c r="K36" s="21">
        <v>4.3</v>
      </c>
    </row>
    <row r="37" spans="1:11" x14ac:dyDescent="0.2">
      <c r="A37">
        <v>87480</v>
      </c>
      <c r="B37" s="1">
        <v>30352</v>
      </c>
      <c r="C37" s="2">
        <f t="shared" si="0"/>
        <v>36</v>
      </c>
      <c r="D37">
        <v>32.200000000000003</v>
      </c>
      <c r="E37">
        <v>19.5</v>
      </c>
      <c r="F37">
        <v>26.6</v>
      </c>
      <c r="G37">
        <v>0</v>
      </c>
      <c r="H37">
        <v>-32.903599999999997</v>
      </c>
      <c r="I37" s="4">
        <f t="shared" si="1"/>
        <v>-16.402297769361123</v>
      </c>
      <c r="J37" s="4">
        <f t="shared" si="2"/>
        <v>13.46391953639824</v>
      </c>
      <c r="K37" s="21">
        <v>3.6</v>
      </c>
    </row>
    <row r="38" spans="1:11" x14ac:dyDescent="0.2">
      <c r="A38">
        <v>87480</v>
      </c>
      <c r="B38" s="1">
        <v>30353</v>
      </c>
      <c r="C38" s="2">
        <f t="shared" si="0"/>
        <v>37</v>
      </c>
      <c r="D38">
        <v>31.7</v>
      </c>
      <c r="E38">
        <v>22</v>
      </c>
      <c r="F38">
        <v>26.6</v>
      </c>
      <c r="G38">
        <v>0</v>
      </c>
      <c r="H38">
        <v>-32.903599999999997</v>
      </c>
      <c r="I38" s="4">
        <f t="shared" si="1"/>
        <v>-16.111387391394992</v>
      </c>
      <c r="J38" s="4">
        <f t="shared" si="2"/>
        <v>13.436190842318164</v>
      </c>
      <c r="K38" s="21">
        <v>3.3</v>
      </c>
    </row>
    <row r="39" spans="1:11" x14ac:dyDescent="0.2">
      <c r="A39">
        <v>87480</v>
      </c>
      <c r="B39" s="1">
        <v>30354</v>
      </c>
      <c r="C39" s="2">
        <f t="shared" si="0"/>
        <v>38</v>
      </c>
      <c r="D39">
        <v>33</v>
      </c>
      <c r="E39">
        <v>20.3</v>
      </c>
      <c r="F39">
        <v>28.1</v>
      </c>
      <c r="G39">
        <v>0</v>
      </c>
      <c r="H39">
        <v>-32.903599999999997</v>
      </c>
      <c r="I39" s="4">
        <f t="shared" si="1"/>
        <v>-15.81570286163257</v>
      </c>
      <c r="J39" s="4">
        <f t="shared" si="2"/>
        <v>13.408109824746559</v>
      </c>
      <c r="K39" s="21">
        <v>5.3</v>
      </c>
    </row>
    <row r="40" spans="1:11" x14ac:dyDescent="0.2">
      <c r="A40">
        <v>87480</v>
      </c>
      <c r="B40" s="1">
        <v>30355</v>
      </c>
      <c r="C40" s="2">
        <f t="shared" si="0"/>
        <v>39</v>
      </c>
      <c r="D40">
        <v>35.5</v>
      </c>
      <c r="E40">
        <v>19.600000000000001</v>
      </c>
      <c r="F40">
        <v>27.3</v>
      </c>
      <c r="G40">
        <v>0</v>
      </c>
      <c r="H40">
        <v>-32.903599999999997</v>
      </c>
      <c r="I40" s="4">
        <f t="shared" si="1"/>
        <v>-15.515331797781426</v>
      </c>
      <c r="J40" s="4">
        <f t="shared" si="2"/>
        <v>13.379687261774583</v>
      </c>
      <c r="K40" s="21">
        <v>6.5</v>
      </c>
    </row>
    <row r="41" spans="1:11" x14ac:dyDescent="0.2">
      <c r="A41">
        <v>87480</v>
      </c>
      <c r="B41" s="1">
        <v>30356</v>
      </c>
      <c r="C41" s="2">
        <f t="shared" si="0"/>
        <v>40</v>
      </c>
      <c r="D41">
        <v>38.200000000000003</v>
      </c>
      <c r="E41">
        <v>21.8</v>
      </c>
      <c r="F41">
        <v>28.5</v>
      </c>
      <c r="G41">
        <v>0</v>
      </c>
      <c r="H41">
        <v>-32.903599999999997</v>
      </c>
      <c r="I41" s="4">
        <f t="shared" si="1"/>
        <v>-15.210363206270312</v>
      </c>
      <c r="J41" s="4">
        <f t="shared" si="2"/>
        <v>13.350933818204727</v>
      </c>
      <c r="K41" s="21">
        <v>8.6999999999999993</v>
      </c>
    </row>
    <row r="42" spans="1:11" x14ac:dyDescent="0.2">
      <c r="A42">
        <v>87480</v>
      </c>
      <c r="B42" s="1">
        <v>30357</v>
      </c>
      <c r="C42" s="2">
        <f t="shared" si="0"/>
        <v>41</v>
      </c>
      <c r="D42">
        <v>26.2</v>
      </c>
      <c r="E42">
        <v>17.3</v>
      </c>
      <c r="F42">
        <v>21.3</v>
      </c>
      <c r="G42">
        <v>6.2</v>
      </c>
      <c r="H42">
        <v>-32.903599999999997</v>
      </c>
      <c r="I42" s="4">
        <f t="shared" si="1"/>
        <v>-14.90088745587466</v>
      </c>
      <c r="J42" s="4">
        <f t="shared" si="2"/>
        <v>13.321860038887591</v>
      </c>
      <c r="K42" s="21">
        <v>2.2000000000000002</v>
      </c>
    </row>
    <row r="43" spans="1:11" x14ac:dyDescent="0.2">
      <c r="A43">
        <v>87480</v>
      </c>
      <c r="B43" s="1">
        <v>30358</v>
      </c>
      <c r="C43" s="2">
        <f t="shared" si="0"/>
        <v>42</v>
      </c>
      <c r="D43">
        <v>31.3</v>
      </c>
      <c r="E43">
        <v>19.5</v>
      </c>
      <c r="F43">
        <v>23.7</v>
      </c>
      <c r="G43">
        <v>0</v>
      </c>
      <c r="H43">
        <v>-32.903599999999997</v>
      </c>
      <c r="I43" s="4">
        <f t="shared" si="1"/>
        <v>-14.586996250938343</v>
      </c>
      <c r="J43" s="4">
        <f t="shared" si="2"/>
        <v>13.29247634272174</v>
      </c>
      <c r="K43" s="21">
        <v>3.6</v>
      </c>
    </row>
    <row r="44" spans="1:11" x14ac:dyDescent="0.2">
      <c r="A44">
        <v>87480</v>
      </c>
      <c r="B44" s="1">
        <v>30359</v>
      </c>
      <c r="C44" s="2">
        <f t="shared" si="0"/>
        <v>43</v>
      </c>
      <c r="D44">
        <v>25.2</v>
      </c>
      <c r="E44">
        <v>10</v>
      </c>
      <c r="F44">
        <v>17.2</v>
      </c>
      <c r="G44">
        <v>0</v>
      </c>
      <c r="H44">
        <v>-32.903599999999997</v>
      </c>
      <c r="I44" s="4">
        <f t="shared" si="1"/>
        <v>-14.268782604199705</v>
      </c>
      <c r="J44" s="4">
        <f t="shared" si="2"/>
        <v>13.262793017307304</v>
      </c>
      <c r="K44" s="21">
        <v>3.1</v>
      </c>
    </row>
    <row r="45" spans="1:11" x14ac:dyDescent="0.2">
      <c r="A45">
        <v>87480</v>
      </c>
      <c r="B45" s="1">
        <v>30360</v>
      </c>
      <c r="C45" s="2">
        <f t="shared" si="0"/>
        <v>44</v>
      </c>
      <c r="D45">
        <v>25</v>
      </c>
      <c r="E45">
        <v>15.9</v>
      </c>
      <c r="F45">
        <v>20.5</v>
      </c>
      <c r="G45">
        <v>0</v>
      </c>
      <c r="H45">
        <v>-32.903599999999997</v>
      </c>
      <c r="I45" s="4">
        <f t="shared" si="1"/>
        <v>-13.9463408092299</v>
      </c>
      <c r="J45" s="4">
        <f t="shared" si="2"/>
        <v>13.232820214242395</v>
      </c>
      <c r="K45" s="21">
        <v>3</v>
      </c>
    </row>
    <row r="46" spans="1:11" x14ac:dyDescent="0.2">
      <c r="A46">
        <v>87480</v>
      </c>
      <c r="B46" s="1">
        <v>30361</v>
      </c>
      <c r="C46" s="2">
        <f t="shared" si="0"/>
        <v>45</v>
      </c>
      <c r="D46">
        <v>23.6</v>
      </c>
      <c r="E46">
        <v>19.399999999999999</v>
      </c>
      <c r="F46">
        <v>21.2</v>
      </c>
      <c r="G46">
        <v>34.6</v>
      </c>
      <c r="H46">
        <v>-32.903599999999997</v>
      </c>
      <c r="I46" s="4">
        <f t="shared" si="1"/>
        <v>-13.61976641249163</v>
      </c>
      <c r="J46" s="4">
        <f t="shared" si="2"/>
        <v>13.202567945049918</v>
      </c>
      <c r="K46" s="21">
        <v>1.5</v>
      </c>
    </row>
    <row r="47" spans="1:11" x14ac:dyDescent="0.2">
      <c r="A47">
        <v>87480</v>
      </c>
      <c r="B47" s="1">
        <v>30362</v>
      </c>
      <c r="C47" s="2">
        <f t="shared" si="0"/>
        <v>46</v>
      </c>
      <c r="D47">
        <v>25.7</v>
      </c>
      <c r="E47">
        <v>17.5</v>
      </c>
      <c r="F47">
        <v>20.100000000000001</v>
      </c>
      <c r="G47">
        <v>0</v>
      </c>
      <c r="H47">
        <v>-32.903599999999997</v>
      </c>
      <c r="I47" s="4">
        <f t="shared" si="1"/>
        <v>-13.289156185026709</v>
      </c>
      <c r="J47" s="4">
        <f t="shared" si="2"/>
        <v>13.172046077721072</v>
      </c>
      <c r="K47" s="21">
        <v>4.2</v>
      </c>
    </row>
    <row r="48" spans="1:11" x14ac:dyDescent="0.2">
      <c r="A48">
        <v>87480</v>
      </c>
      <c r="B48" s="1">
        <v>30363</v>
      </c>
      <c r="C48" s="2">
        <f t="shared" si="0"/>
        <v>47</v>
      </c>
      <c r="D48">
        <v>28</v>
      </c>
      <c r="E48">
        <v>12.8</v>
      </c>
      <c r="F48">
        <v>20.2</v>
      </c>
      <c r="G48">
        <v>0</v>
      </c>
      <c r="H48">
        <v>-32.903599999999997</v>
      </c>
      <c r="I48" s="4">
        <f t="shared" si="1"/>
        <v>-12.95460809378068</v>
      </c>
      <c r="J48" s="4">
        <f t="shared" si="2"/>
        <v>13.141264333860621</v>
      </c>
      <c r="K48" s="21">
        <v>5.6</v>
      </c>
    </row>
    <row r="49" spans="1:11" x14ac:dyDescent="0.2">
      <c r="A49">
        <v>87480</v>
      </c>
      <c r="B49" s="1">
        <v>30364</v>
      </c>
      <c r="C49" s="2">
        <f t="shared" si="0"/>
        <v>48</v>
      </c>
      <c r="D49">
        <v>28.5</v>
      </c>
      <c r="E49">
        <v>13</v>
      </c>
      <c r="F49">
        <v>21.7</v>
      </c>
      <c r="G49">
        <v>0</v>
      </c>
      <c r="H49">
        <v>-32.903599999999997</v>
      </c>
      <c r="I49" s="4">
        <f t="shared" si="1"/>
        <v>-12.616221272573126</v>
      </c>
      <c r="J49" s="4">
        <f t="shared" si="2"/>
        <v>13.110232286418043</v>
      </c>
      <c r="K49" s="21">
        <v>5.6</v>
      </c>
    </row>
    <row r="50" spans="1:11" x14ac:dyDescent="0.2">
      <c r="A50">
        <v>87480</v>
      </c>
      <c r="B50" s="1">
        <v>30365</v>
      </c>
      <c r="C50" s="2">
        <f t="shared" si="0"/>
        <v>49</v>
      </c>
      <c r="D50">
        <v>32.5</v>
      </c>
      <c r="E50">
        <v>18.7</v>
      </c>
      <c r="F50">
        <v>26.4</v>
      </c>
      <c r="G50">
        <v>0</v>
      </c>
      <c r="H50">
        <v>-32.903599999999997</v>
      </c>
      <c r="I50" s="4">
        <f t="shared" si="1"/>
        <v>-12.274095992722152</v>
      </c>
      <c r="J50" s="4">
        <f t="shared" si="2"/>
        <v>13.078959357987793</v>
      </c>
      <c r="K50" s="21">
        <v>6.3</v>
      </c>
    </row>
    <row r="51" spans="1:11" x14ac:dyDescent="0.2">
      <c r="A51">
        <v>87480</v>
      </c>
      <c r="B51" s="1">
        <v>30366</v>
      </c>
      <c r="C51" s="2">
        <f t="shared" si="0"/>
        <v>50</v>
      </c>
      <c r="D51">
        <v>34.700000000000003</v>
      </c>
      <c r="E51">
        <v>21.5</v>
      </c>
      <c r="F51">
        <v>27.9</v>
      </c>
      <c r="G51">
        <v>2.4</v>
      </c>
      <c r="H51">
        <v>-32.903599999999997</v>
      </c>
      <c r="I51" s="4">
        <f t="shared" si="1"/>
        <v>-11.928333633331848</v>
      </c>
      <c r="J51" s="4">
        <f t="shared" si="2"/>
        <v>13.04745481966115</v>
      </c>
      <c r="K51" s="21">
        <v>6.2</v>
      </c>
    </row>
    <row r="52" spans="1:11" x14ac:dyDescent="0.2">
      <c r="A52">
        <v>87480</v>
      </c>
      <c r="B52" s="1">
        <v>30367</v>
      </c>
      <c r="C52" s="2">
        <f t="shared" si="0"/>
        <v>51</v>
      </c>
      <c r="D52">
        <v>28.4</v>
      </c>
      <c r="E52">
        <v>19.8</v>
      </c>
      <c r="F52">
        <v>22.7</v>
      </c>
      <c r="G52">
        <v>31.9</v>
      </c>
      <c r="H52">
        <v>-32.903599999999997</v>
      </c>
      <c r="I52" s="4">
        <f t="shared" si="1"/>
        <v>-11.579036651251466</v>
      </c>
      <c r="J52" s="4">
        <f t="shared" si="2"/>
        <v>13.01572779041153</v>
      </c>
      <c r="K52" s="21">
        <v>2.4</v>
      </c>
    </row>
    <row r="53" spans="1:11" x14ac:dyDescent="0.2">
      <c r="A53">
        <v>87480</v>
      </c>
      <c r="B53" s="1">
        <v>30368</v>
      </c>
      <c r="C53" s="2">
        <f t="shared" si="0"/>
        <v>52</v>
      </c>
      <c r="D53">
        <v>27.7</v>
      </c>
      <c r="E53">
        <v>17.600000000000001</v>
      </c>
      <c r="F53">
        <v>22.6</v>
      </c>
      <c r="G53">
        <v>0</v>
      </c>
      <c r="H53">
        <v>-32.903599999999997</v>
      </c>
      <c r="I53" s="4">
        <f t="shared" si="1"/>
        <v>-11.226308550715238</v>
      </c>
      <c r="J53" s="4">
        <f t="shared" si="2"/>
        <v>12.983787236994655</v>
      </c>
      <c r="K53" s="21">
        <v>4.5999999999999996</v>
      </c>
    </row>
    <row r="54" spans="1:11" x14ac:dyDescent="0.2">
      <c r="A54">
        <v>87480</v>
      </c>
      <c r="B54" s="1">
        <v>30369</v>
      </c>
      <c r="C54" s="2">
        <f t="shared" si="0"/>
        <v>53</v>
      </c>
      <c r="D54">
        <v>28.4</v>
      </c>
      <c r="E54">
        <v>19.5</v>
      </c>
      <c r="F54">
        <v>24.1</v>
      </c>
      <c r="G54">
        <v>0</v>
      </c>
      <c r="H54">
        <v>-32.903599999999997</v>
      </c>
      <c r="I54" s="4">
        <f t="shared" si="1"/>
        <v>-10.870253852671851</v>
      </c>
      <c r="J54" s="4">
        <f t="shared" si="2"/>
        <v>12.951641974344565</v>
      </c>
      <c r="K54" s="21">
        <v>4.7</v>
      </c>
    </row>
    <row r="55" spans="1:11" x14ac:dyDescent="0.2">
      <c r="A55">
        <v>87480</v>
      </c>
      <c r="B55" s="1">
        <v>30370</v>
      </c>
      <c r="C55" s="2">
        <f t="shared" si="0"/>
        <v>54</v>
      </c>
      <c r="D55">
        <v>32.700000000000003</v>
      </c>
      <c r="E55">
        <v>23.2</v>
      </c>
      <c r="F55">
        <v>26.6</v>
      </c>
      <c r="G55">
        <v>5.3</v>
      </c>
      <c r="H55">
        <v>-32.903599999999997</v>
      </c>
      <c r="I55" s="4">
        <f t="shared" si="1"/>
        <v>-10.51097806381263</v>
      </c>
      <c r="J55" s="4">
        <f t="shared" si="2"/>
        <v>12.91930066644626</v>
      </c>
      <c r="K55" s="21">
        <v>4.9000000000000004</v>
      </c>
    </row>
    <row r="56" spans="1:11" x14ac:dyDescent="0.2">
      <c r="A56">
        <v>87480</v>
      </c>
      <c r="B56" s="1">
        <v>30371</v>
      </c>
      <c r="C56" s="2">
        <f t="shared" si="0"/>
        <v>55</v>
      </c>
      <c r="D56">
        <v>27.5</v>
      </c>
      <c r="E56">
        <v>18.8</v>
      </c>
      <c r="F56">
        <v>23.6</v>
      </c>
      <c r="G56">
        <v>52</v>
      </c>
      <c r="H56">
        <v>-32.903599999999997</v>
      </c>
      <c r="I56" s="4">
        <f t="shared" si="1"/>
        <v>-10.148587645307611</v>
      </c>
      <c r="J56" s="4">
        <f t="shared" si="2"/>
        <v>12.886771827665454</v>
      </c>
      <c r="K56" s="21">
        <v>1.9</v>
      </c>
    </row>
    <row r="57" spans="1:11" x14ac:dyDescent="0.2">
      <c r="A57">
        <v>87480</v>
      </c>
      <c r="B57" s="1">
        <v>30372</v>
      </c>
      <c r="C57" s="2">
        <f t="shared" si="0"/>
        <v>56</v>
      </c>
      <c r="D57">
        <v>25.2</v>
      </c>
      <c r="E57">
        <v>20.3</v>
      </c>
      <c r="F57">
        <v>22.4</v>
      </c>
      <c r="G57">
        <v>4</v>
      </c>
      <c r="H57">
        <v>-32.903599999999997</v>
      </c>
      <c r="I57" s="4">
        <f t="shared" si="1"/>
        <v>-9.783189981258829</v>
      </c>
      <c r="J57" s="4">
        <f t="shared" si="2"/>
        <v>12.854063824515988</v>
      </c>
      <c r="K57" s="21">
        <v>3.1</v>
      </c>
    </row>
    <row r="58" spans="1:11" x14ac:dyDescent="0.2">
      <c r="A58">
        <v>87480</v>
      </c>
      <c r="B58" s="1">
        <v>30373</v>
      </c>
      <c r="C58" s="2">
        <f t="shared" si="0"/>
        <v>57</v>
      </c>
      <c r="D58">
        <v>22.6</v>
      </c>
      <c r="E58">
        <v>15</v>
      </c>
      <c r="F58">
        <v>17.899999999999999</v>
      </c>
      <c r="G58">
        <v>3.7</v>
      </c>
      <c r="H58">
        <v>-32.903599999999997</v>
      </c>
      <c r="I58" s="4">
        <f t="shared" si="1"/>
        <v>-9.4148933468800671</v>
      </c>
      <c r="J58" s="4">
        <f t="shared" si="2"/>
        <v>12.821184877845317</v>
      </c>
      <c r="K58" s="21">
        <v>2.6</v>
      </c>
    </row>
    <row r="59" spans="1:11" x14ac:dyDescent="0.2">
      <c r="A59">
        <v>87480</v>
      </c>
      <c r="B59" s="1">
        <v>30374</v>
      </c>
      <c r="C59" s="2">
        <f t="shared" si="0"/>
        <v>58</v>
      </c>
      <c r="D59">
        <v>24.2</v>
      </c>
      <c r="E59">
        <v>13.8</v>
      </c>
      <c r="F59">
        <v>18.899999999999999</v>
      </c>
      <c r="G59">
        <v>0</v>
      </c>
      <c r="H59">
        <v>-32.903599999999997</v>
      </c>
      <c r="I59" s="4">
        <f t="shared" si="1"/>
        <v>-9.0438068764125852</v>
      </c>
      <c r="J59" s="4">
        <f t="shared" si="2"/>
        <v>12.788143065418636</v>
      </c>
      <c r="K59" s="21">
        <v>3</v>
      </c>
    </row>
    <row r="60" spans="1:11" x14ac:dyDescent="0.2">
      <c r="A60">
        <v>87480</v>
      </c>
      <c r="B60" s="1">
        <v>30375</v>
      </c>
      <c r="C60" s="2">
        <f t="shared" si="0"/>
        <v>59</v>
      </c>
      <c r="D60">
        <v>26.2</v>
      </c>
      <c r="E60">
        <v>12.4</v>
      </c>
      <c r="F60">
        <v>19.899999999999999</v>
      </c>
      <c r="G60">
        <v>0</v>
      </c>
      <c r="H60">
        <v>-32.903599999999997</v>
      </c>
      <c r="I60" s="4">
        <f t="shared" si="1"/>
        <v>-8.6700405307862844</v>
      </c>
      <c r="J60" s="4">
        <f t="shared" si="2"/>
        <v>12.754946324882287</v>
      </c>
      <c r="K60" s="21">
        <v>4.3</v>
      </c>
    </row>
    <row r="61" spans="1:11" x14ac:dyDescent="0.2">
      <c r="A61">
        <v>87480</v>
      </c>
      <c r="B61" s="1">
        <v>30376</v>
      </c>
      <c r="C61" s="2">
        <f t="shared" si="0"/>
        <v>60</v>
      </c>
      <c r="D61">
        <v>27.3</v>
      </c>
      <c r="E61">
        <v>18</v>
      </c>
      <c r="F61">
        <v>21.5</v>
      </c>
      <c r="G61">
        <v>2</v>
      </c>
      <c r="H61">
        <v>-32.903599999999997</v>
      </c>
      <c r="I61" s="4">
        <f t="shared" si="1"/>
        <v>-8.2937050650359136</v>
      </c>
      <c r="J61" s="4">
        <f t="shared" si="2"/>
        <v>12.721602457087299</v>
      </c>
      <c r="K61" s="21">
        <v>2.2999999999999998</v>
      </c>
    </row>
    <row r="62" spans="1:11" x14ac:dyDescent="0.2">
      <c r="A62">
        <v>87480</v>
      </c>
      <c r="B62" s="1">
        <v>30377</v>
      </c>
      <c r="C62" s="2">
        <f t="shared" si="0"/>
        <v>61</v>
      </c>
      <c r="D62">
        <v>23.7</v>
      </c>
      <c r="E62">
        <v>11.1</v>
      </c>
      <c r="F62">
        <v>17.399999999999999</v>
      </c>
      <c r="G62">
        <v>0</v>
      </c>
      <c r="H62">
        <v>-32.903599999999997</v>
      </c>
      <c r="I62" s="4">
        <f t="shared" si="1"/>
        <v>-7.9149119954819565</v>
      </c>
      <c r="J62" s="4">
        <f t="shared" si="2"/>
        <v>12.688119129754163</v>
      </c>
      <c r="K62" s="21">
        <v>3.7</v>
      </c>
    </row>
    <row r="63" spans="1:11" x14ac:dyDescent="0.2">
      <c r="A63">
        <v>87480</v>
      </c>
      <c r="B63" s="1">
        <v>30378</v>
      </c>
      <c r="C63" s="2">
        <f t="shared" si="0"/>
        <v>62</v>
      </c>
      <c r="D63">
        <v>27.6</v>
      </c>
      <c r="E63">
        <v>13.2</v>
      </c>
      <c r="F63">
        <v>20.7</v>
      </c>
      <c r="G63">
        <v>0</v>
      </c>
      <c r="H63">
        <v>-32.903599999999997</v>
      </c>
      <c r="I63" s="4">
        <f t="shared" si="1"/>
        <v>-7.5337735666859453</v>
      </c>
      <c r="J63" s="4">
        <f t="shared" si="2"/>
        <v>12.654503881460215</v>
      </c>
      <c r="K63" s="21">
        <v>4.5</v>
      </c>
    </row>
    <row r="64" spans="1:11" x14ac:dyDescent="0.2">
      <c r="A64">
        <v>87480</v>
      </c>
      <c r="B64" s="1">
        <v>30379</v>
      </c>
      <c r="C64" s="2">
        <f t="shared" si="0"/>
        <v>63</v>
      </c>
      <c r="D64">
        <v>29.6</v>
      </c>
      <c r="E64">
        <v>14.8</v>
      </c>
      <c r="F64">
        <v>23.1</v>
      </c>
      <c r="G64">
        <v>0</v>
      </c>
      <c r="H64">
        <v>-32.903599999999997</v>
      </c>
      <c r="I64" s="4">
        <f t="shared" si="1"/>
        <v>-7.1504027181899783</v>
      </c>
      <c r="J64" s="4">
        <f t="shared" si="2"/>
        <v>12.620764125931293</v>
      </c>
      <c r="K64" s="21">
        <v>4.5</v>
      </c>
    </row>
    <row r="65" spans="1:11" x14ac:dyDescent="0.2">
      <c r="A65">
        <v>87480</v>
      </c>
      <c r="B65" s="1">
        <v>30380</v>
      </c>
      <c r="C65" s="2">
        <f t="shared" si="0"/>
        <v>64</v>
      </c>
      <c r="D65">
        <v>30.6</v>
      </c>
      <c r="E65">
        <v>17.7</v>
      </c>
      <c r="F65">
        <v>23.9</v>
      </c>
      <c r="G65">
        <v>0</v>
      </c>
      <c r="H65">
        <v>-32.903599999999997</v>
      </c>
      <c r="I65" s="4">
        <f t="shared" si="1"/>
        <v>-6.7649130510502804</v>
      </c>
      <c r="J65" s="4">
        <f t="shared" si="2"/>
        <v>12.586907156619725</v>
      </c>
      <c r="K65" s="21">
        <v>3.8</v>
      </c>
    </row>
    <row r="66" spans="1:11" x14ac:dyDescent="0.2">
      <c r="A66">
        <v>87480</v>
      </c>
      <c r="B66" s="1">
        <v>30381</v>
      </c>
      <c r="C66" s="2">
        <f t="shared" ref="C66:C129" si="3">B66-DATE(YEAR(B66),1,1)+1</f>
        <v>65</v>
      </c>
      <c r="D66">
        <v>29.4</v>
      </c>
      <c r="E66">
        <v>16.5</v>
      </c>
      <c r="F66">
        <v>23.7</v>
      </c>
      <c r="G66">
        <v>0</v>
      </c>
      <c r="H66">
        <v>-32.903599999999997</v>
      </c>
      <c r="I66" s="4">
        <f t="shared" ref="I66:I129" si="4">23.45*SIN(RADIANS(360/365*(C66-81)))</f>
        <v>-6.3774187941747744</v>
      </c>
      <c r="J66" s="4">
        <f t="shared" ref="J66:J129" si="5">IFERROR(24 / PI() * ACOS(-TAN(RADIANS(H66)) * TAN(RADIANS(I66))), IF(-TAN(RADIANS(H66)) * TAN(RADIANS(I66)) &gt;= 1, 0,24))</f>
        <v>12.552940151551047</v>
      </c>
      <c r="K66" s="21">
        <v>4.9000000000000004</v>
      </c>
    </row>
    <row r="67" spans="1:11" x14ac:dyDescent="0.2">
      <c r="A67">
        <v>87480</v>
      </c>
      <c r="B67" s="1">
        <v>30382</v>
      </c>
      <c r="C67" s="2">
        <f t="shared" si="3"/>
        <v>66</v>
      </c>
      <c r="D67">
        <v>30.8</v>
      </c>
      <c r="E67">
        <v>21.8</v>
      </c>
      <c r="F67">
        <v>25.3</v>
      </c>
      <c r="G67">
        <v>0</v>
      </c>
      <c r="H67">
        <v>-32.903599999999997</v>
      </c>
      <c r="I67" s="4">
        <f t="shared" si="4"/>
        <v>-5.9880347704745844</v>
      </c>
      <c r="J67" s="4">
        <f t="shared" si="5"/>
        <v>12.518870178422228</v>
      </c>
      <c r="K67" s="21">
        <v>5.3</v>
      </c>
    </row>
    <row r="68" spans="1:11" x14ac:dyDescent="0.2">
      <c r="A68">
        <v>87480</v>
      </c>
      <c r="B68" s="1">
        <v>30383</v>
      </c>
      <c r="C68" s="2">
        <f t="shared" si="3"/>
        <v>67</v>
      </c>
      <c r="D68">
        <v>31.2</v>
      </c>
      <c r="E68">
        <v>21.5</v>
      </c>
      <c r="F68">
        <v>26.4</v>
      </c>
      <c r="G68">
        <v>0</v>
      </c>
      <c r="H68">
        <v>-32.903599999999997</v>
      </c>
      <c r="I68" s="4">
        <f t="shared" si="4"/>
        <v>-5.5968763628395291</v>
      </c>
      <c r="J68" s="4">
        <f t="shared" si="5"/>
        <v>12.484704199934622</v>
      </c>
      <c r="K68" s="21">
        <v>5.6</v>
      </c>
    </row>
    <row r="69" spans="1:11" x14ac:dyDescent="0.2">
      <c r="A69">
        <v>87480</v>
      </c>
      <c r="B69" s="1">
        <v>30384</v>
      </c>
      <c r="C69" s="2">
        <f t="shared" si="3"/>
        <v>68</v>
      </c>
      <c r="D69">
        <v>27</v>
      </c>
      <c r="E69">
        <v>19</v>
      </c>
      <c r="F69">
        <v>23.8</v>
      </c>
      <c r="G69">
        <v>3.9</v>
      </c>
      <c r="H69">
        <v>-32.903599999999997</v>
      </c>
      <c r="I69" s="4">
        <f t="shared" si="4"/>
        <v>-5.2040594799476816</v>
      </c>
      <c r="J69" s="4">
        <f t="shared" si="5"/>
        <v>12.450449079345194</v>
      </c>
      <c r="K69" s="21">
        <v>4.2</v>
      </c>
    </row>
    <row r="70" spans="1:11" x14ac:dyDescent="0.2">
      <c r="A70">
        <v>87480</v>
      </c>
      <c r="B70" s="1">
        <v>30385</v>
      </c>
      <c r="C70" s="2">
        <f t="shared" si="3"/>
        <v>69</v>
      </c>
      <c r="D70">
        <v>20.3</v>
      </c>
      <c r="E70">
        <v>16.3</v>
      </c>
      <c r="F70">
        <v>17.399999999999999</v>
      </c>
      <c r="G70">
        <v>4.4000000000000004</v>
      </c>
      <c r="H70">
        <v>-32.903599999999997</v>
      </c>
      <c r="I70" s="4">
        <f t="shared" si="4"/>
        <v>-4.8097005219191198</v>
      </c>
      <c r="J70" s="4">
        <f t="shared" si="5"/>
        <v>12.416111586220064</v>
      </c>
      <c r="K70" s="21">
        <v>1.5</v>
      </c>
    </row>
    <row r="71" spans="1:11" x14ac:dyDescent="0.2">
      <c r="A71">
        <v>87480</v>
      </c>
      <c r="B71" s="1">
        <v>30386</v>
      </c>
      <c r="C71" s="2">
        <f t="shared" si="3"/>
        <v>70</v>
      </c>
      <c r="D71">
        <v>23.7</v>
      </c>
      <c r="E71">
        <v>11.4</v>
      </c>
      <c r="F71">
        <v>17.3</v>
      </c>
      <c r="G71">
        <v>0</v>
      </c>
      <c r="H71">
        <v>-32.903599999999997</v>
      </c>
      <c r="I71" s="4">
        <f t="shared" si="4"/>
        <v>-4.4139163458240764</v>
      </c>
      <c r="J71" s="4">
        <f t="shared" si="5"/>
        <v>12.381698402374724</v>
      </c>
      <c r="K71" s="21">
        <v>3.5</v>
      </c>
    </row>
    <row r="72" spans="1:11" x14ac:dyDescent="0.2">
      <c r="A72">
        <v>87480</v>
      </c>
      <c r="B72" s="1">
        <v>30387</v>
      </c>
      <c r="C72" s="2">
        <f t="shared" si="3"/>
        <v>71</v>
      </c>
      <c r="D72">
        <v>27.3</v>
      </c>
      <c r="E72">
        <v>13</v>
      </c>
      <c r="F72">
        <v>19.5</v>
      </c>
      <c r="G72">
        <v>0</v>
      </c>
      <c r="H72">
        <v>-32.903599999999997</v>
      </c>
      <c r="I72" s="4">
        <f t="shared" si="4"/>
        <v>-4.016824231055649</v>
      </c>
      <c r="J72" s="4">
        <f t="shared" si="5"/>
        <v>12.347216127985764</v>
      </c>
      <c r="K72" s="21">
        <v>2.1</v>
      </c>
    </row>
    <row r="73" spans="1:11" x14ac:dyDescent="0.2">
      <c r="A73">
        <v>87480</v>
      </c>
      <c r="B73" s="1">
        <v>30388</v>
      </c>
      <c r="C73" s="2">
        <f t="shared" si="3"/>
        <v>72</v>
      </c>
      <c r="D73">
        <v>22.8</v>
      </c>
      <c r="E73">
        <v>16.8</v>
      </c>
      <c r="F73">
        <v>19.600000000000001</v>
      </c>
      <c r="G73">
        <v>0</v>
      </c>
      <c r="H73">
        <v>-32.903599999999997</v>
      </c>
      <c r="I73" s="4">
        <f t="shared" si="4"/>
        <v>-3.6185418445773934</v>
      </c>
      <c r="J73" s="4">
        <f t="shared" si="5"/>
        <v>12.312671287859235</v>
      </c>
      <c r="K73" s="21">
        <v>3.3</v>
      </c>
    </row>
    <row r="74" spans="1:11" x14ac:dyDescent="0.2">
      <c r="A74">
        <v>87480</v>
      </c>
      <c r="B74" s="1">
        <v>30389</v>
      </c>
      <c r="C74" s="2">
        <f t="shared" si="3"/>
        <v>73</v>
      </c>
      <c r="D74">
        <v>26.9</v>
      </c>
      <c r="E74">
        <v>15.8</v>
      </c>
      <c r="F74">
        <v>22.1</v>
      </c>
      <c r="G74">
        <v>0</v>
      </c>
      <c r="H74">
        <v>-32.903599999999997</v>
      </c>
      <c r="I74" s="4">
        <f t="shared" si="4"/>
        <v>-3.2191872060560591</v>
      </c>
      <c r="J74" s="4">
        <f t="shared" si="5"/>
        <v>12.278070337841221</v>
      </c>
      <c r="K74" s="21">
        <v>4.3</v>
      </c>
    </row>
    <row r="75" spans="1:11" x14ac:dyDescent="0.2">
      <c r="A75">
        <v>87480</v>
      </c>
      <c r="B75" s="1">
        <v>30390</v>
      </c>
      <c r="C75" s="2">
        <f t="shared" si="3"/>
        <v>74</v>
      </c>
      <c r="D75">
        <v>28.1</v>
      </c>
      <c r="E75">
        <v>19.399999999999999</v>
      </c>
      <c r="F75">
        <v>23.8</v>
      </c>
      <c r="G75">
        <v>21.8</v>
      </c>
      <c r="H75">
        <v>-32.903599999999997</v>
      </c>
      <c r="I75" s="4">
        <f t="shared" si="4"/>
        <v>-2.8188786528898206</v>
      </c>
      <c r="J75" s="4">
        <f t="shared" si="5"/>
        <v>12.243419671356486</v>
      </c>
      <c r="K75" s="21">
        <v>3.6</v>
      </c>
    </row>
    <row r="76" spans="1:11" x14ac:dyDescent="0.2">
      <c r="A76">
        <v>87480</v>
      </c>
      <c r="B76" s="1">
        <v>30391</v>
      </c>
      <c r="C76" s="2">
        <f t="shared" si="3"/>
        <v>75</v>
      </c>
      <c r="D76">
        <v>27.1</v>
      </c>
      <c r="E76">
        <v>16.899999999999999</v>
      </c>
      <c r="F76">
        <v>22.6</v>
      </c>
      <c r="G76">
        <v>0</v>
      </c>
      <c r="H76">
        <v>-32.903599999999997</v>
      </c>
      <c r="I76" s="4">
        <f t="shared" si="4"/>
        <v>-2.4177348051423468</v>
      </c>
      <c r="J76" s="4">
        <f t="shared" si="5"/>
        <v>12.208725626061408</v>
      </c>
      <c r="K76" s="21">
        <v>4.2</v>
      </c>
    </row>
    <row r="77" spans="1:11" x14ac:dyDescent="0.2">
      <c r="A77">
        <v>87480</v>
      </c>
      <c r="B77" s="1">
        <v>30392</v>
      </c>
      <c r="C77" s="2">
        <f t="shared" si="3"/>
        <v>76</v>
      </c>
      <c r="D77">
        <v>24.5</v>
      </c>
      <c r="E77">
        <v>13.2</v>
      </c>
      <c r="F77">
        <v>17.7</v>
      </c>
      <c r="G77">
        <v>0</v>
      </c>
      <c r="H77">
        <v>-32.903599999999997</v>
      </c>
      <c r="I77" s="4">
        <f t="shared" si="4"/>
        <v>-2.0158745303931198</v>
      </c>
      <c r="J77" s="4">
        <f t="shared" si="5"/>
        <v>12.173994490597721</v>
      </c>
      <c r="K77" s="21">
        <v>3.8</v>
      </c>
    </row>
    <row r="78" spans="1:11" x14ac:dyDescent="0.2">
      <c r="A78">
        <v>87480</v>
      </c>
      <c r="B78" s="1">
        <v>30393</v>
      </c>
      <c r="C78" s="2">
        <f t="shared" si="3"/>
        <v>77</v>
      </c>
      <c r="D78">
        <v>22.7</v>
      </c>
      <c r="E78">
        <v>5.4</v>
      </c>
      <c r="F78">
        <v>14.2</v>
      </c>
      <c r="G78">
        <v>0</v>
      </c>
      <c r="H78">
        <v>-32.903599999999997</v>
      </c>
      <c r="I78" s="4">
        <f t="shared" si="4"/>
        <v>-1.6134169085144008</v>
      </c>
      <c r="J78" s="4">
        <f t="shared" si="5"/>
        <v>12.139232511433828</v>
      </c>
      <c r="K78" s="21">
        <v>3.6</v>
      </c>
    </row>
    <row r="79" spans="1:11" x14ac:dyDescent="0.2">
      <c r="A79">
        <v>87480</v>
      </c>
      <c r="B79" s="1">
        <v>30394</v>
      </c>
      <c r="C79" s="2">
        <f t="shared" si="3"/>
        <v>78</v>
      </c>
      <c r="D79">
        <v>22.8</v>
      </c>
      <c r="E79">
        <v>9.1</v>
      </c>
      <c r="F79">
        <v>17.600000000000001</v>
      </c>
      <c r="G79">
        <v>0</v>
      </c>
      <c r="H79">
        <v>-32.903599999999997</v>
      </c>
      <c r="I79" s="4">
        <f t="shared" si="4"/>
        <v>-1.2104811963853008</v>
      </c>
      <c r="J79" s="4">
        <f t="shared" si="5"/>
        <v>12.104445899780719</v>
      </c>
      <c r="K79" s="21">
        <v>3.6</v>
      </c>
    </row>
    <row r="80" spans="1:11" x14ac:dyDescent="0.2">
      <c r="A80">
        <v>87480</v>
      </c>
      <c r="B80" s="1">
        <v>30395</v>
      </c>
      <c r="C80" s="2">
        <f t="shared" si="3"/>
        <v>79</v>
      </c>
      <c r="D80">
        <v>26.7</v>
      </c>
      <c r="E80">
        <v>11.7</v>
      </c>
      <c r="F80">
        <v>19.8</v>
      </c>
      <c r="G80">
        <v>0</v>
      </c>
      <c r="H80">
        <v>-32.903599999999997</v>
      </c>
      <c r="I80" s="4">
        <f t="shared" si="4"/>
        <v>-0.80718679255338766</v>
      </c>
      <c r="J80" s="4">
        <f t="shared" si="5"/>
        <v>12.069640838569725</v>
      </c>
      <c r="K80" s="21">
        <v>4.2</v>
      </c>
    </row>
    <row r="81" spans="1:11" x14ac:dyDescent="0.2">
      <c r="A81">
        <v>87480</v>
      </c>
      <c r="B81" s="1">
        <v>30396</v>
      </c>
      <c r="C81" s="2">
        <f t="shared" si="3"/>
        <v>80</v>
      </c>
      <c r="D81">
        <v>27.2</v>
      </c>
      <c r="E81">
        <v>13.1</v>
      </c>
      <c r="F81">
        <v>20.399999999999999</v>
      </c>
      <c r="G81">
        <v>0</v>
      </c>
      <c r="H81">
        <v>-32.903599999999997</v>
      </c>
      <c r="I81" s="4">
        <f t="shared" si="4"/>
        <v>-0.40365320185432335</v>
      </c>
      <c r="J81" s="4">
        <f t="shared" si="5"/>
        <v>12.03482348947953</v>
      </c>
      <c r="K81" s="21">
        <v>5.5</v>
      </c>
    </row>
    <row r="82" spans="1:11" x14ac:dyDescent="0.2">
      <c r="A82">
        <v>87480</v>
      </c>
      <c r="B82" s="1">
        <v>30397</v>
      </c>
      <c r="C82" s="2">
        <f t="shared" si="3"/>
        <v>81</v>
      </c>
      <c r="D82">
        <v>25.2</v>
      </c>
      <c r="E82">
        <v>14</v>
      </c>
      <c r="F82">
        <v>20.100000000000001</v>
      </c>
      <c r="G82">
        <v>0</v>
      </c>
      <c r="H82">
        <v>-32.903599999999997</v>
      </c>
      <c r="I82" s="4">
        <f t="shared" si="4"/>
        <v>0</v>
      </c>
      <c r="J82" s="4">
        <f t="shared" si="5"/>
        <v>12</v>
      </c>
      <c r="K82" s="21">
        <v>4</v>
      </c>
    </row>
    <row r="83" spans="1:11" x14ac:dyDescent="0.2">
      <c r="A83">
        <v>87480</v>
      </c>
      <c r="B83" s="1">
        <v>30398</v>
      </c>
      <c r="C83" s="2">
        <f t="shared" si="3"/>
        <v>82</v>
      </c>
      <c r="D83">
        <v>26.8</v>
      </c>
      <c r="E83">
        <v>18.100000000000001</v>
      </c>
      <c r="F83">
        <v>22.5</v>
      </c>
      <c r="G83">
        <v>0</v>
      </c>
      <c r="H83">
        <v>-32.903599999999997</v>
      </c>
      <c r="I83" s="4">
        <f t="shared" si="4"/>
        <v>0.40365320185432335</v>
      </c>
      <c r="J83" s="4">
        <f t="shared" si="5"/>
        <v>11.96517651052047</v>
      </c>
      <c r="K83" s="21">
        <v>3.7</v>
      </c>
    </row>
    <row r="84" spans="1:11" x14ac:dyDescent="0.2">
      <c r="A84">
        <v>87480</v>
      </c>
      <c r="B84" s="1">
        <v>30399</v>
      </c>
      <c r="C84" s="2">
        <f t="shared" si="3"/>
        <v>83</v>
      </c>
      <c r="D84">
        <v>28.5</v>
      </c>
      <c r="E84">
        <v>20.2</v>
      </c>
      <c r="F84">
        <v>23.5</v>
      </c>
      <c r="G84">
        <v>0</v>
      </c>
      <c r="H84">
        <v>-32.903599999999997</v>
      </c>
      <c r="I84" s="4">
        <f t="shared" si="4"/>
        <v>0.80718679255338766</v>
      </c>
      <c r="J84" s="4">
        <f t="shared" si="5"/>
        <v>11.930359161430275</v>
      </c>
      <c r="K84" s="21">
        <v>3.6</v>
      </c>
    </row>
    <row r="85" spans="1:11" x14ac:dyDescent="0.2">
      <c r="A85">
        <v>87480</v>
      </c>
      <c r="B85" s="1">
        <v>30400</v>
      </c>
      <c r="C85" s="2">
        <f t="shared" si="3"/>
        <v>84</v>
      </c>
      <c r="D85">
        <v>30</v>
      </c>
      <c r="E85">
        <v>20.6</v>
      </c>
      <c r="F85">
        <v>24.4</v>
      </c>
      <c r="G85">
        <v>0</v>
      </c>
      <c r="H85">
        <v>-32.903599999999997</v>
      </c>
      <c r="I85" s="4">
        <f t="shared" si="4"/>
        <v>1.2104811963853008</v>
      </c>
      <c r="J85" s="4">
        <f t="shared" si="5"/>
        <v>11.895554100219279</v>
      </c>
      <c r="K85" s="21">
        <v>4.4000000000000004</v>
      </c>
    </row>
    <row r="86" spans="1:11" x14ac:dyDescent="0.2">
      <c r="A86">
        <v>87480</v>
      </c>
      <c r="B86" s="1">
        <v>30401</v>
      </c>
      <c r="C86" s="2">
        <f t="shared" si="3"/>
        <v>85</v>
      </c>
      <c r="D86">
        <v>29.6</v>
      </c>
      <c r="E86">
        <v>19.600000000000001</v>
      </c>
      <c r="F86">
        <v>24.1</v>
      </c>
      <c r="G86">
        <v>0</v>
      </c>
      <c r="H86">
        <v>-32.903599999999997</v>
      </c>
      <c r="I86" s="4">
        <f t="shared" si="4"/>
        <v>1.6134169085144008</v>
      </c>
      <c r="J86" s="4">
        <f t="shared" si="5"/>
        <v>11.860767488566172</v>
      </c>
      <c r="K86" s="21">
        <v>4.3</v>
      </c>
    </row>
    <row r="87" spans="1:11" x14ac:dyDescent="0.2">
      <c r="A87">
        <v>87480</v>
      </c>
      <c r="B87" s="1">
        <v>30402</v>
      </c>
      <c r="C87" s="2">
        <f t="shared" si="3"/>
        <v>86</v>
      </c>
      <c r="D87">
        <v>24</v>
      </c>
      <c r="E87">
        <v>16.600000000000001</v>
      </c>
      <c r="F87">
        <v>19.7</v>
      </c>
      <c r="G87">
        <v>1</v>
      </c>
      <c r="H87">
        <v>-32.903599999999997</v>
      </c>
      <c r="I87" s="4">
        <f t="shared" si="4"/>
        <v>2.0158745303931198</v>
      </c>
      <c r="J87" s="4">
        <f t="shared" si="5"/>
        <v>11.826005509402279</v>
      </c>
      <c r="K87" s="21">
        <v>2.5</v>
      </c>
    </row>
    <row r="88" spans="1:11" x14ac:dyDescent="0.2">
      <c r="A88">
        <v>87480</v>
      </c>
      <c r="B88" s="1">
        <v>30403</v>
      </c>
      <c r="C88" s="2">
        <f t="shared" si="3"/>
        <v>87</v>
      </c>
      <c r="D88">
        <v>22.6</v>
      </c>
      <c r="E88">
        <v>10.3</v>
      </c>
      <c r="F88">
        <v>17</v>
      </c>
      <c r="G88">
        <v>0</v>
      </c>
      <c r="H88">
        <v>-32.903599999999997</v>
      </c>
      <c r="I88" s="4">
        <f t="shared" si="4"/>
        <v>2.4177348051423468</v>
      </c>
      <c r="J88" s="4">
        <f t="shared" si="5"/>
        <v>11.791274373938592</v>
      </c>
      <c r="K88" s="21">
        <v>2.2999999999999998</v>
      </c>
    </row>
    <row r="89" spans="1:11" x14ac:dyDescent="0.2">
      <c r="A89">
        <v>87480</v>
      </c>
      <c r="B89" s="1">
        <v>30404</v>
      </c>
      <c r="C89" s="2">
        <f t="shared" si="3"/>
        <v>88</v>
      </c>
      <c r="D89">
        <v>23.2</v>
      </c>
      <c r="E89">
        <v>11.4</v>
      </c>
      <c r="F89">
        <v>18.7</v>
      </c>
      <c r="G89">
        <v>0.1</v>
      </c>
      <c r="H89">
        <v>-32.903599999999997</v>
      </c>
      <c r="I89" s="4">
        <f t="shared" si="4"/>
        <v>2.8188786528898206</v>
      </c>
      <c r="J89" s="4">
        <f t="shared" si="5"/>
        <v>11.756580328643514</v>
      </c>
      <c r="K89" s="21">
        <v>3.4</v>
      </c>
    </row>
    <row r="90" spans="1:11" x14ac:dyDescent="0.2">
      <c r="A90">
        <v>87480</v>
      </c>
      <c r="B90" s="1">
        <v>30405</v>
      </c>
      <c r="C90" s="2">
        <f t="shared" si="3"/>
        <v>89</v>
      </c>
      <c r="D90">
        <v>21.3</v>
      </c>
      <c r="E90">
        <v>18</v>
      </c>
      <c r="F90">
        <v>19.399999999999999</v>
      </c>
      <c r="G90">
        <v>11</v>
      </c>
      <c r="H90">
        <v>-32.903599999999997</v>
      </c>
      <c r="I90" s="4">
        <f t="shared" si="4"/>
        <v>3.2191872060560591</v>
      </c>
      <c r="J90" s="4">
        <f t="shared" si="5"/>
        <v>11.721929662158777</v>
      </c>
      <c r="K90" s="21">
        <v>1.2</v>
      </c>
    </row>
    <row r="91" spans="1:11" x14ac:dyDescent="0.2">
      <c r="A91">
        <v>87480</v>
      </c>
      <c r="B91" s="1">
        <v>30406</v>
      </c>
      <c r="C91" s="2">
        <f t="shared" si="3"/>
        <v>90</v>
      </c>
      <c r="D91">
        <v>25</v>
      </c>
      <c r="E91">
        <v>17</v>
      </c>
      <c r="F91">
        <v>20.9</v>
      </c>
      <c r="G91">
        <v>0</v>
      </c>
      <c r="H91">
        <v>-32.903599999999997</v>
      </c>
      <c r="I91" s="4">
        <f t="shared" si="4"/>
        <v>3.6185418445773934</v>
      </c>
      <c r="J91" s="4">
        <f t="shared" si="5"/>
        <v>11.687328712140763</v>
      </c>
      <c r="K91" s="21">
        <v>1.2</v>
      </c>
    </row>
    <row r="92" spans="1:11" x14ac:dyDescent="0.2">
      <c r="A92">
        <v>87480</v>
      </c>
      <c r="B92" s="1">
        <v>30407</v>
      </c>
      <c r="C92" s="2">
        <f t="shared" si="3"/>
        <v>91</v>
      </c>
      <c r="D92">
        <v>22.7</v>
      </c>
      <c r="E92">
        <v>17.600000000000001</v>
      </c>
      <c r="F92">
        <v>20.100000000000001</v>
      </c>
      <c r="G92">
        <v>2.8</v>
      </c>
      <c r="H92">
        <v>-32.903599999999997</v>
      </c>
      <c r="I92" s="4">
        <f t="shared" si="4"/>
        <v>4.016824231055649</v>
      </c>
      <c r="J92" s="4">
        <f t="shared" si="5"/>
        <v>11.652783872014234</v>
      </c>
      <c r="K92" s="21">
        <v>1.2</v>
      </c>
    </row>
    <row r="93" spans="1:11" x14ac:dyDescent="0.2">
      <c r="A93">
        <v>87480</v>
      </c>
      <c r="B93" s="1">
        <v>30408</v>
      </c>
      <c r="C93" s="2">
        <f t="shared" si="3"/>
        <v>92</v>
      </c>
      <c r="D93">
        <v>27.1</v>
      </c>
      <c r="E93">
        <v>19</v>
      </c>
      <c r="F93">
        <v>22.5</v>
      </c>
      <c r="G93">
        <v>19.7</v>
      </c>
      <c r="H93">
        <v>-32.903599999999997</v>
      </c>
      <c r="I93" s="4">
        <f t="shared" si="4"/>
        <v>4.4139163458240764</v>
      </c>
      <c r="J93" s="4">
        <f t="shared" si="5"/>
        <v>11.618301597625276</v>
      </c>
      <c r="K93" s="21">
        <v>1.4</v>
      </c>
    </row>
    <row r="94" spans="1:11" x14ac:dyDescent="0.2">
      <c r="A94">
        <v>87480</v>
      </c>
      <c r="B94" s="1">
        <v>30409</v>
      </c>
      <c r="C94" s="2">
        <f t="shared" si="3"/>
        <v>93</v>
      </c>
      <c r="D94">
        <v>22.4</v>
      </c>
      <c r="E94">
        <v>12</v>
      </c>
      <c r="F94">
        <v>16.399999999999999</v>
      </c>
      <c r="G94">
        <v>0</v>
      </c>
      <c r="H94">
        <v>-32.903599999999997</v>
      </c>
      <c r="I94" s="4">
        <f t="shared" si="4"/>
        <v>4.8097005219191198</v>
      </c>
      <c r="J94" s="4">
        <f t="shared" si="5"/>
        <v>11.583888413779935</v>
      </c>
      <c r="K94" s="21">
        <v>2.9</v>
      </c>
    </row>
    <row r="95" spans="1:11" x14ac:dyDescent="0.2">
      <c r="A95">
        <v>87480</v>
      </c>
      <c r="B95" s="1">
        <v>30410</v>
      </c>
      <c r="C95" s="2">
        <f t="shared" si="3"/>
        <v>94</v>
      </c>
      <c r="D95">
        <v>21.9</v>
      </c>
      <c r="E95">
        <v>7.3</v>
      </c>
      <c r="F95">
        <v>13.5</v>
      </c>
      <c r="G95">
        <v>0</v>
      </c>
      <c r="H95">
        <v>-32.903599999999997</v>
      </c>
      <c r="I95" s="4">
        <f t="shared" si="4"/>
        <v>5.2040594799476816</v>
      </c>
      <c r="J95" s="4">
        <f t="shared" si="5"/>
        <v>11.549550920654806</v>
      </c>
      <c r="K95" s="21">
        <v>2.2000000000000002</v>
      </c>
    </row>
    <row r="96" spans="1:11" x14ac:dyDescent="0.2">
      <c r="A96">
        <v>87480</v>
      </c>
      <c r="B96" s="1">
        <v>30411</v>
      </c>
      <c r="C96" s="2">
        <f t="shared" si="3"/>
        <v>95</v>
      </c>
      <c r="D96">
        <v>24.5</v>
      </c>
      <c r="E96">
        <v>6.7</v>
      </c>
      <c r="F96">
        <v>15.7</v>
      </c>
      <c r="G96">
        <v>0</v>
      </c>
      <c r="H96">
        <v>-32.903599999999997</v>
      </c>
      <c r="I96" s="4">
        <f t="shared" si="4"/>
        <v>5.5968763628395291</v>
      </c>
      <c r="J96" s="4">
        <f t="shared" si="5"/>
        <v>11.515295800065378</v>
      </c>
      <c r="K96" s="21">
        <v>3</v>
      </c>
    </row>
    <row r="97" spans="1:11" x14ac:dyDescent="0.2">
      <c r="A97">
        <v>87480</v>
      </c>
      <c r="B97" s="1">
        <v>30412</v>
      </c>
      <c r="C97" s="2">
        <f t="shared" si="3"/>
        <v>96</v>
      </c>
      <c r="D97">
        <v>27.5</v>
      </c>
      <c r="E97">
        <v>10</v>
      </c>
      <c r="F97">
        <v>18.3</v>
      </c>
      <c r="G97">
        <v>0</v>
      </c>
      <c r="H97">
        <v>-32.903599999999997</v>
      </c>
      <c r="I97" s="4">
        <f t="shared" si="4"/>
        <v>5.9880347704745844</v>
      </c>
      <c r="J97" s="4">
        <f t="shared" si="5"/>
        <v>11.48112982157777</v>
      </c>
      <c r="K97" s="21">
        <v>4.3</v>
      </c>
    </row>
    <row r="98" spans="1:11" x14ac:dyDescent="0.2">
      <c r="A98">
        <v>87480</v>
      </c>
      <c r="B98" s="1">
        <v>30413</v>
      </c>
      <c r="C98" s="2">
        <f t="shared" si="3"/>
        <v>97</v>
      </c>
      <c r="D98">
        <v>30</v>
      </c>
      <c r="E98">
        <v>11.8</v>
      </c>
      <c r="F98">
        <v>19.600000000000001</v>
      </c>
      <c r="G98">
        <v>0</v>
      </c>
      <c r="H98">
        <v>-32.903599999999997</v>
      </c>
      <c r="I98" s="4">
        <f t="shared" si="4"/>
        <v>6.3774187941747744</v>
      </c>
      <c r="J98" s="4">
        <f t="shared" si="5"/>
        <v>11.447059848448953</v>
      </c>
      <c r="K98" s="21">
        <v>4.4000000000000004</v>
      </c>
    </row>
    <row r="99" spans="1:11" x14ac:dyDescent="0.2">
      <c r="A99">
        <v>87480</v>
      </c>
      <c r="B99" s="1">
        <v>30414</v>
      </c>
      <c r="C99" s="2">
        <f t="shared" si="3"/>
        <v>98</v>
      </c>
      <c r="D99">
        <v>28</v>
      </c>
      <c r="E99">
        <v>11.6</v>
      </c>
      <c r="F99">
        <v>19.3</v>
      </c>
      <c r="G99">
        <v>0</v>
      </c>
      <c r="H99">
        <v>-32.903599999999997</v>
      </c>
      <c r="I99" s="4">
        <f t="shared" si="4"/>
        <v>6.7649130510502804</v>
      </c>
      <c r="J99" s="4">
        <f t="shared" si="5"/>
        <v>11.413092843380273</v>
      </c>
      <c r="K99" s="21">
        <v>3.8</v>
      </c>
    </row>
    <row r="100" spans="1:11" x14ac:dyDescent="0.2">
      <c r="A100">
        <v>87480</v>
      </c>
      <c r="B100" s="1">
        <v>30415</v>
      </c>
      <c r="C100" s="2">
        <f t="shared" si="3"/>
        <v>99</v>
      </c>
      <c r="D100">
        <v>26.9</v>
      </c>
      <c r="E100">
        <v>16.899999999999999</v>
      </c>
      <c r="F100">
        <v>21.1</v>
      </c>
      <c r="G100">
        <v>0</v>
      </c>
      <c r="H100">
        <v>-32.903599999999997</v>
      </c>
      <c r="I100" s="4">
        <f t="shared" si="4"/>
        <v>7.1504027181899783</v>
      </c>
      <c r="J100" s="4">
        <f t="shared" si="5"/>
        <v>11.379235874068705</v>
      </c>
      <c r="K100" s="21">
        <v>3.3</v>
      </c>
    </row>
    <row r="101" spans="1:11" x14ac:dyDescent="0.2">
      <c r="A101">
        <v>87480</v>
      </c>
      <c r="B101" s="1">
        <v>30416</v>
      </c>
      <c r="C101" s="2">
        <f t="shared" si="3"/>
        <v>100</v>
      </c>
      <c r="D101">
        <v>27</v>
      </c>
      <c r="E101">
        <v>12.4</v>
      </c>
      <c r="F101">
        <v>20.399999999999999</v>
      </c>
      <c r="G101">
        <v>0</v>
      </c>
      <c r="H101">
        <v>-32.903599999999997</v>
      </c>
      <c r="I101" s="4">
        <f t="shared" si="4"/>
        <v>7.5337735666859453</v>
      </c>
      <c r="J101" s="4">
        <f t="shared" si="5"/>
        <v>11.345496118539783</v>
      </c>
      <c r="K101" s="21">
        <v>3.4</v>
      </c>
    </row>
    <row r="102" spans="1:11" x14ac:dyDescent="0.2">
      <c r="A102">
        <v>87480</v>
      </c>
      <c r="B102" s="1">
        <v>30417</v>
      </c>
      <c r="C102" s="2">
        <f t="shared" si="3"/>
        <v>101</v>
      </c>
      <c r="D102">
        <v>28.1</v>
      </c>
      <c r="E102">
        <v>13.4</v>
      </c>
      <c r="F102">
        <v>20.8</v>
      </c>
      <c r="G102">
        <v>0</v>
      </c>
      <c r="H102">
        <v>-32.903599999999997</v>
      </c>
      <c r="I102" s="4">
        <f t="shared" si="4"/>
        <v>7.9149119954819565</v>
      </c>
      <c r="J102" s="4">
        <f t="shared" si="5"/>
        <v>11.311880870245837</v>
      </c>
      <c r="K102" s="21">
        <v>3.8</v>
      </c>
    </row>
    <row r="103" spans="1:11" x14ac:dyDescent="0.2">
      <c r="A103">
        <v>87480</v>
      </c>
      <c r="B103" s="1">
        <v>30418</v>
      </c>
      <c r="C103" s="2">
        <f t="shared" si="3"/>
        <v>102</v>
      </c>
      <c r="D103">
        <v>31</v>
      </c>
      <c r="E103">
        <v>19.5</v>
      </c>
      <c r="F103">
        <v>24.4</v>
      </c>
      <c r="G103">
        <v>0</v>
      </c>
      <c r="H103">
        <v>-32.903599999999997</v>
      </c>
      <c r="I103" s="4">
        <f t="shared" si="4"/>
        <v>8.2937050650359136</v>
      </c>
      <c r="J103" s="4">
        <f t="shared" si="5"/>
        <v>11.278397542912701</v>
      </c>
      <c r="K103" s="21">
        <v>4.8</v>
      </c>
    </row>
    <row r="104" spans="1:11" x14ac:dyDescent="0.2">
      <c r="A104">
        <v>87480</v>
      </c>
      <c r="B104" s="1">
        <v>30419</v>
      </c>
      <c r="C104" s="2">
        <f t="shared" si="3"/>
        <v>103</v>
      </c>
      <c r="D104">
        <v>24.6</v>
      </c>
      <c r="E104">
        <v>9.8000000000000007</v>
      </c>
      <c r="F104">
        <v>16.899999999999999</v>
      </c>
      <c r="G104">
        <v>1.6</v>
      </c>
      <c r="H104">
        <v>-32.903599999999997</v>
      </c>
      <c r="I104" s="4">
        <f t="shared" si="4"/>
        <v>8.6700405307862844</v>
      </c>
      <c r="J104" s="4">
        <f t="shared" si="5"/>
        <v>11.245053675117711</v>
      </c>
      <c r="K104" s="21">
        <v>3.3</v>
      </c>
    </row>
    <row r="105" spans="1:11" x14ac:dyDescent="0.2">
      <c r="A105">
        <v>87480</v>
      </c>
      <c r="B105" s="1">
        <v>30420</v>
      </c>
      <c r="C105" s="2">
        <f t="shared" si="3"/>
        <v>104</v>
      </c>
      <c r="D105">
        <v>21.6</v>
      </c>
      <c r="E105">
        <v>13.4</v>
      </c>
      <c r="F105">
        <v>15.7</v>
      </c>
      <c r="G105">
        <v>0</v>
      </c>
      <c r="H105">
        <v>-32.903599999999997</v>
      </c>
      <c r="I105" s="4">
        <f t="shared" si="4"/>
        <v>9.0438068764125852</v>
      </c>
      <c r="J105" s="4">
        <f t="shared" si="5"/>
        <v>11.211856934581361</v>
      </c>
      <c r="K105" s="21">
        <v>2.4</v>
      </c>
    </row>
    <row r="106" spans="1:11" x14ac:dyDescent="0.2">
      <c r="A106">
        <v>87480</v>
      </c>
      <c r="B106" s="1">
        <v>30421</v>
      </c>
      <c r="C106" s="2">
        <f t="shared" si="3"/>
        <v>105</v>
      </c>
      <c r="D106">
        <v>22.7</v>
      </c>
      <c r="E106">
        <v>10.199999999999999</v>
      </c>
      <c r="F106">
        <v>17.600000000000001</v>
      </c>
      <c r="G106">
        <v>1.7</v>
      </c>
      <c r="H106">
        <v>-32.903599999999997</v>
      </c>
      <c r="I106" s="4">
        <f t="shared" si="4"/>
        <v>9.4148933468800671</v>
      </c>
      <c r="J106" s="4">
        <f t="shared" si="5"/>
        <v>11.178815122154683</v>
      </c>
      <c r="K106" s="21">
        <v>2.7</v>
      </c>
    </row>
    <row r="107" spans="1:11" x14ac:dyDescent="0.2">
      <c r="A107">
        <v>87480</v>
      </c>
      <c r="B107" s="1">
        <v>30422</v>
      </c>
      <c r="C107" s="2">
        <f t="shared" si="3"/>
        <v>106</v>
      </c>
      <c r="D107">
        <v>21.5</v>
      </c>
      <c r="E107">
        <v>15.6</v>
      </c>
      <c r="F107">
        <v>18.2</v>
      </c>
      <c r="G107">
        <v>0.5</v>
      </c>
      <c r="H107">
        <v>-32.903599999999997</v>
      </c>
      <c r="I107" s="4">
        <f t="shared" si="4"/>
        <v>9.783189981258829</v>
      </c>
      <c r="J107" s="4">
        <f t="shared" si="5"/>
        <v>11.145936175484012</v>
      </c>
      <c r="K107" s="21">
        <v>1.5</v>
      </c>
    </row>
    <row r="108" spans="1:11" x14ac:dyDescent="0.2">
      <c r="A108">
        <v>87480</v>
      </c>
      <c r="B108" s="1">
        <v>30423</v>
      </c>
      <c r="C108" s="2">
        <f t="shared" si="3"/>
        <v>107</v>
      </c>
      <c r="D108">
        <v>20.2</v>
      </c>
      <c r="E108">
        <v>16</v>
      </c>
      <c r="F108">
        <v>18</v>
      </c>
      <c r="G108">
        <v>0.3</v>
      </c>
      <c r="H108">
        <v>-32.903599999999997</v>
      </c>
      <c r="I108" s="4">
        <f t="shared" si="4"/>
        <v>10.148587645307611</v>
      </c>
      <c r="J108" s="4">
        <f t="shared" si="5"/>
        <v>11.113228172334544</v>
      </c>
      <c r="K108" s="21">
        <v>1.6</v>
      </c>
    </row>
    <row r="109" spans="1:11" x14ac:dyDescent="0.2">
      <c r="A109">
        <v>87480</v>
      </c>
      <c r="B109" s="1">
        <v>30424</v>
      </c>
      <c r="C109" s="2">
        <f t="shared" si="3"/>
        <v>108</v>
      </c>
      <c r="D109">
        <v>22.9</v>
      </c>
      <c r="E109">
        <v>14.4</v>
      </c>
      <c r="F109">
        <v>16.600000000000001</v>
      </c>
      <c r="G109">
        <v>0</v>
      </c>
      <c r="H109">
        <v>-32.903599999999997</v>
      </c>
      <c r="I109" s="4">
        <f t="shared" si="4"/>
        <v>10.51097806381263</v>
      </c>
      <c r="J109" s="4">
        <f t="shared" si="5"/>
        <v>11.080699333553738</v>
      </c>
      <c r="K109" s="21">
        <v>3.2</v>
      </c>
    </row>
    <row r="110" spans="1:11" x14ac:dyDescent="0.2">
      <c r="A110">
        <v>87480</v>
      </c>
      <c r="B110" s="1">
        <v>30425</v>
      </c>
      <c r="C110" s="2">
        <f t="shared" si="3"/>
        <v>109</v>
      </c>
      <c r="D110">
        <v>21</v>
      </c>
      <c r="E110">
        <v>7.8</v>
      </c>
      <c r="F110">
        <v>13.6</v>
      </c>
      <c r="G110">
        <v>0</v>
      </c>
      <c r="H110">
        <v>-32.903599999999997</v>
      </c>
      <c r="I110" s="4">
        <f t="shared" si="4"/>
        <v>10.870253852671851</v>
      </c>
      <c r="J110" s="4">
        <f t="shared" si="5"/>
        <v>11.048358025655435</v>
      </c>
      <c r="K110" s="21">
        <v>1.6</v>
      </c>
    </row>
    <row r="111" spans="1:11" x14ac:dyDescent="0.2">
      <c r="A111">
        <v>87480</v>
      </c>
      <c r="B111" s="1">
        <v>30426</v>
      </c>
      <c r="C111" s="2">
        <f t="shared" si="3"/>
        <v>110</v>
      </c>
      <c r="D111">
        <v>18.899999999999999</v>
      </c>
      <c r="E111">
        <v>8.6</v>
      </c>
      <c r="F111">
        <v>13.9</v>
      </c>
      <c r="G111">
        <v>0</v>
      </c>
      <c r="H111">
        <v>-32.903599999999997</v>
      </c>
      <c r="I111" s="4">
        <f t="shared" si="4"/>
        <v>11.226308550715238</v>
      </c>
      <c r="J111" s="4">
        <f t="shared" si="5"/>
        <v>11.016212763005345</v>
      </c>
      <c r="K111" s="21">
        <v>1</v>
      </c>
    </row>
    <row r="112" spans="1:11" x14ac:dyDescent="0.2">
      <c r="A112">
        <v>87480</v>
      </c>
      <c r="B112" s="1">
        <v>30427</v>
      </c>
      <c r="C112" s="2">
        <f t="shared" si="3"/>
        <v>111</v>
      </c>
      <c r="D112">
        <v>18.5</v>
      </c>
      <c r="E112">
        <v>5.9</v>
      </c>
      <c r="F112">
        <v>11.3</v>
      </c>
      <c r="G112">
        <v>0</v>
      </c>
      <c r="H112">
        <v>-32.903599999999997</v>
      </c>
      <c r="I112" s="4">
        <f t="shared" si="4"/>
        <v>11.579036651251466</v>
      </c>
      <c r="J112" s="4">
        <f t="shared" si="5"/>
        <v>10.98427220958847</v>
      </c>
      <c r="K112" s="21">
        <v>1.9</v>
      </c>
    </row>
    <row r="113" spans="1:11" x14ac:dyDescent="0.2">
      <c r="A113">
        <v>87480</v>
      </c>
      <c r="B113" s="1">
        <v>30428</v>
      </c>
      <c r="C113" s="2">
        <f t="shared" si="3"/>
        <v>112</v>
      </c>
      <c r="D113">
        <v>19.7</v>
      </c>
      <c r="E113">
        <v>5.2</v>
      </c>
      <c r="F113">
        <v>12.7</v>
      </c>
      <c r="G113">
        <v>0</v>
      </c>
      <c r="H113">
        <v>-32.903599999999997</v>
      </c>
      <c r="I113" s="4">
        <f t="shared" si="4"/>
        <v>11.928333633331848</v>
      </c>
      <c r="J113" s="4">
        <f t="shared" si="5"/>
        <v>10.952545180338848</v>
      </c>
      <c r="K113" s="21">
        <v>2.8</v>
      </c>
    </row>
    <row r="114" spans="1:11" x14ac:dyDescent="0.2">
      <c r="A114">
        <v>87480</v>
      </c>
      <c r="B114" s="1">
        <v>30429</v>
      </c>
      <c r="C114" s="2">
        <f t="shared" si="3"/>
        <v>113</v>
      </c>
      <c r="D114">
        <v>19.2</v>
      </c>
      <c r="E114">
        <v>6.7</v>
      </c>
      <c r="F114">
        <v>13.7</v>
      </c>
      <c r="G114">
        <v>0</v>
      </c>
      <c r="H114">
        <v>-32.903599999999997</v>
      </c>
      <c r="I114" s="4">
        <f t="shared" si="4"/>
        <v>12.274095992722152</v>
      </c>
      <c r="J114" s="4">
        <f t="shared" si="5"/>
        <v>10.921040642012207</v>
      </c>
      <c r="K114" s="21">
        <v>1.2</v>
      </c>
    </row>
    <row r="115" spans="1:11" x14ac:dyDescent="0.2">
      <c r="A115">
        <v>87480</v>
      </c>
      <c r="B115" s="1">
        <v>30430</v>
      </c>
      <c r="C115" s="2">
        <f t="shared" si="3"/>
        <v>114</v>
      </c>
      <c r="D115">
        <v>21</v>
      </c>
      <c r="E115">
        <v>5.4</v>
      </c>
      <c r="F115">
        <v>13.7</v>
      </c>
      <c r="G115">
        <v>0</v>
      </c>
      <c r="H115">
        <v>-32.903599999999997</v>
      </c>
      <c r="I115" s="4">
        <f t="shared" si="4"/>
        <v>12.616221272573126</v>
      </c>
      <c r="J115" s="4">
        <f t="shared" si="5"/>
        <v>10.889767713581957</v>
      </c>
      <c r="K115" s="21">
        <v>1.4</v>
      </c>
    </row>
    <row r="116" spans="1:11" x14ac:dyDescent="0.2">
      <c r="A116">
        <v>87480</v>
      </c>
      <c r="B116" s="1">
        <v>30431</v>
      </c>
      <c r="C116" s="2">
        <f t="shared" si="3"/>
        <v>115</v>
      </c>
      <c r="D116">
        <v>24.2</v>
      </c>
      <c r="E116">
        <v>5.8</v>
      </c>
      <c r="F116">
        <v>14.3</v>
      </c>
      <c r="G116">
        <v>0</v>
      </c>
      <c r="H116">
        <v>-32.903599999999997</v>
      </c>
      <c r="I116" s="4">
        <f t="shared" si="4"/>
        <v>12.95460809378068</v>
      </c>
      <c r="J116" s="4">
        <f t="shared" si="5"/>
        <v>10.858735666139379</v>
      </c>
      <c r="K116" s="21">
        <v>2.1</v>
      </c>
    </row>
    <row r="117" spans="1:11" x14ac:dyDescent="0.2">
      <c r="A117">
        <v>87480</v>
      </c>
      <c r="B117" s="1">
        <v>30432</v>
      </c>
      <c r="C117" s="2">
        <f t="shared" si="3"/>
        <v>116</v>
      </c>
      <c r="D117">
        <v>24.6</v>
      </c>
      <c r="E117">
        <v>7.8</v>
      </c>
      <c r="F117">
        <v>16.399999999999999</v>
      </c>
      <c r="G117">
        <v>0</v>
      </c>
      <c r="H117">
        <v>-32.903599999999997</v>
      </c>
      <c r="I117" s="4">
        <f t="shared" si="4"/>
        <v>13.289156185026709</v>
      </c>
      <c r="J117" s="4">
        <f t="shared" si="5"/>
        <v>10.827953922278926</v>
      </c>
      <c r="K117" s="21">
        <v>3.6</v>
      </c>
    </row>
    <row r="118" spans="1:11" x14ac:dyDescent="0.2">
      <c r="A118">
        <v>87480</v>
      </c>
      <c r="B118" s="1">
        <v>30433</v>
      </c>
      <c r="C118" s="2">
        <f t="shared" si="3"/>
        <v>117</v>
      </c>
      <c r="D118">
        <v>25.5</v>
      </c>
      <c r="E118">
        <v>11.5</v>
      </c>
      <c r="F118">
        <v>18</v>
      </c>
      <c r="G118">
        <v>0</v>
      </c>
      <c r="H118">
        <v>-32.903599999999997</v>
      </c>
      <c r="I118" s="4">
        <f t="shared" si="4"/>
        <v>13.61976641249163</v>
      </c>
      <c r="J118" s="4">
        <f t="shared" si="5"/>
        <v>10.797432054950082</v>
      </c>
      <c r="K118" s="21">
        <v>2.1</v>
      </c>
    </row>
    <row r="119" spans="1:11" x14ac:dyDescent="0.2">
      <c r="A119">
        <v>87480</v>
      </c>
      <c r="B119" s="1">
        <v>30434</v>
      </c>
      <c r="C119" s="2">
        <f t="shared" si="3"/>
        <v>118</v>
      </c>
      <c r="D119">
        <v>25.8</v>
      </c>
      <c r="E119">
        <v>14.2</v>
      </c>
      <c r="F119">
        <v>18.7</v>
      </c>
      <c r="G119">
        <v>1.1000000000000001</v>
      </c>
      <c r="H119">
        <v>-32.903599999999997</v>
      </c>
      <c r="I119" s="4">
        <f t="shared" si="4"/>
        <v>13.9463408092299</v>
      </c>
      <c r="J119" s="4">
        <f t="shared" si="5"/>
        <v>10.767179785757605</v>
      </c>
      <c r="K119" s="21">
        <v>2</v>
      </c>
    </row>
    <row r="120" spans="1:11" x14ac:dyDescent="0.2">
      <c r="A120">
        <v>87480</v>
      </c>
      <c r="B120" s="1">
        <v>30435</v>
      </c>
      <c r="C120" s="2">
        <f t="shared" si="3"/>
        <v>119</v>
      </c>
      <c r="D120">
        <v>21.2</v>
      </c>
      <c r="E120">
        <v>9.9</v>
      </c>
      <c r="F120">
        <v>13.7</v>
      </c>
      <c r="G120">
        <v>0</v>
      </c>
      <c r="H120">
        <v>-32.903599999999997</v>
      </c>
      <c r="I120" s="4">
        <f t="shared" si="4"/>
        <v>14.268782604199705</v>
      </c>
      <c r="J120" s="4">
        <f t="shared" si="5"/>
        <v>10.737206982692694</v>
      </c>
      <c r="K120" s="21">
        <v>2.8</v>
      </c>
    </row>
    <row r="121" spans="1:11" x14ac:dyDescent="0.2">
      <c r="A121">
        <v>87480</v>
      </c>
      <c r="B121" s="1">
        <v>30436</v>
      </c>
      <c r="C121" s="2">
        <f t="shared" si="3"/>
        <v>120</v>
      </c>
      <c r="D121">
        <v>18.5</v>
      </c>
      <c r="E121">
        <v>3.8</v>
      </c>
      <c r="F121">
        <v>11.2</v>
      </c>
      <c r="G121">
        <v>0</v>
      </c>
      <c r="H121">
        <v>-32.903599999999997</v>
      </c>
      <c r="I121" s="4">
        <f t="shared" si="4"/>
        <v>14.586996250938343</v>
      </c>
      <c r="J121" s="4">
        <f t="shared" si="5"/>
        <v>10.707523657278259</v>
      </c>
      <c r="K121" s="21">
        <v>1.2</v>
      </c>
    </row>
    <row r="122" spans="1:11" x14ac:dyDescent="0.2">
      <c r="A122">
        <v>87480</v>
      </c>
      <c r="B122" s="1">
        <v>30437</v>
      </c>
      <c r="C122" s="2">
        <f t="shared" si="3"/>
        <v>121</v>
      </c>
      <c r="D122">
        <v>18.600000000000001</v>
      </c>
      <c r="E122">
        <v>9.5</v>
      </c>
      <c r="F122">
        <v>14.8</v>
      </c>
      <c r="G122">
        <v>0</v>
      </c>
      <c r="H122">
        <v>-32.903599999999997</v>
      </c>
      <c r="I122" s="4">
        <f t="shared" si="4"/>
        <v>14.90088745587466</v>
      </c>
      <c r="J122" s="4">
        <f t="shared" si="5"/>
        <v>10.678139961112409</v>
      </c>
      <c r="K122" s="21">
        <v>1.3</v>
      </c>
    </row>
    <row r="123" spans="1:11" x14ac:dyDescent="0.2">
      <c r="A123">
        <v>87480</v>
      </c>
      <c r="B123" s="1">
        <v>30438</v>
      </c>
      <c r="C123" s="2">
        <f t="shared" si="3"/>
        <v>122</v>
      </c>
      <c r="D123">
        <v>21.3</v>
      </c>
      <c r="E123">
        <v>16</v>
      </c>
      <c r="F123">
        <v>17.8</v>
      </c>
      <c r="G123">
        <v>5.0999999999999996</v>
      </c>
      <c r="H123">
        <v>-32.903599999999997</v>
      </c>
      <c r="I123" s="4">
        <f t="shared" si="4"/>
        <v>15.210363206270312</v>
      </c>
      <c r="J123" s="4">
        <f t="shared" si="5"/>
        <v>10.649066181795273</v>
      </c>
      <c r="K123" s="21">
        <v>1.3</v>
      </c>
    </row>
    <row r="124" spans="1:11" x14ac:dyDescent="0.2">
      <c r="A124">
        <v>87480</v>
      </c>
      <c r="B124" s="1">
        <v>30439</v>
      </c>
      <c r="C124" s="2">
        <f t="shared" si="3"/>
        <v>123</v>
      </c>
      <c r="D124">
        <v>21.7</v>
      </c>
      <c r="E124">
        <v>17.2</v>
      </c>
      <c r="F124">
        <v>19.399999999999999</v>
      </c>
      <c r="G124">
        <v>2.5</v>
      </c>
      <c r="H124">
        <v>-32.903599999999997</v>
      </c>
      <c r="I124" s="4">
        <f t="shared" si="4"/>
        <v>15.515331797781426</v>
      </c>
      <c r="J124" s="4">
        <f t="shared" si="5"/>
        <v>10.620312738225415</v>
      </c>
      <c r="K124" s="21">
        <v>1</v>
      </c>
    </row>
    <row r="125" spans="1:11" x14ac:dyDescent="0.2">
      <c r="A125">
        <v>87480</v>
      </c>
      <c r="B125" s="1">
        <v>30440</v>
      </c>
      <c r="C125" s="2">
        <f t="shared" si="3"/>
        <v>124</v>
      </c>
      <c r="D125">
        <v>21.9</v>
      </c>
      <c r="E125">
        <v>12.8</v>
      </c>
      <c r="F125">
        <v>17.2</v>
      </c>
      <c r="G125">
        <v>0</v>
      </c>
      <c r="H125">
        <v>-32.903599999999997</v>
      </c>
      <c r="I125" s="4">
        <f t="shared" si="4"/>
        <v>15.81570286163257</v>
      </c>
      <c r="J125" s="4">
        <f t="shared" si="5"/>
        <v>10.59189017525344</v>
      </c>
      <c r="K125" s="21">
        <v>2.6</v>
      </c>
    </row>
    <row r="126" spans="1:11" x14ac:dyDescent="0.2">
      <c r="A126">
        <v>87480</v>
      </c>
      <c r="B126" s="1">
        <v>30441</v>
      </c>
      <c r="C126" s="2">
        <f t="shared" si="3"/>
        <v>125</v>
      </c>
      <c r="D126">
        <v>18</v>
      </c>
      <c r="E126">
        <v>7.5</v>
      </c>
      <c r="F126">
        <v>11.5</v>
      </c>
      <c r="G126">
        <v>0</v>
      </c>
      <c r="H126">
        <v>-32.903599999999997</v>
      </c>
      <c r="I126" s="4">
        <f t="shared" si="4"/>
        <v>16.111387391394992</v>
      </c>
      <c r="J126" s="4">
        <f t="shared" si="5"/>
        <v>10.563809157681836</v>
      </c>
      <c r="K126" s="21">
        <v>2.2999999999999998</v>
      </c>
    </row>
    <row r="127" spans="1:11" x14ac:dyDescent="0.2">
      <c r="A127">
        <v>87480</v>
      </c>
      <c r="B127" s="1">
        <v>30442</v>
      </c>
      <c r="C127" s="2">
        <f t="shared" si="3"/>
        <v>126</v>
      </c>
      <c r="D127">
        <v>17.8</v>
      </c>
      <c r="E127">
        <v>4</v>
      </c>
      <c r="F127">
        <v>11.6</v>
      </c>
      <c r="G127">
        <v>0</v>
      </c>
      <c r="H127">
        <v>-32.903599999999997</v>
      </c>
      <c r="I127" s="4">
        <f t="shared" si="4"/>
        <v>16.402297769361123</v>
      </c>
      <c r="J127" s="4">
        <f t="shared" si="5"/>
        <v>10.536080463601758</v>
      </c>
      <c r="K127" s="21">
        <v>1.7</v>
      </c>
    </row>
    <row r="128" spans="1:11" x14ac:dyDescent="0.2">
      <c r="A128">
        <v>87480</v>
      </c>
      <c r="B128" s="1">
        <v>30443</v>
      </c>
      <c r="C128" s="2">
        <f t="shared" si="3"/>
        <v>127</v>
      </c>
      <c r="D128">
        <v>20.5</v>
      </c>
      <c r="E128">
        <v>8</v>
      </c>
      <c r="F128">
        <v>14.8</v>
      </c>
      <c r="G128">
        <v>0</v>
      </c>
      <c r="H128">
        <v>-32.903599999999997</v>
      </c>
      <c r="I128" s="4">
        <f t="shared" si="4"/>
        <v>16.688347792507614</v>
      </c>
      <c r="J128" s="4">
        <f t="shared" si="5"/>
        <v>10.508714977059242</v>
      </c>
      <c r="K128" s="21">
        <v>1.1000000000000001</v>
      </c>
    </row>
    <row r="129" spans="1:11" x14ac:dyDescent="0.2">
      <c r="A129">
        <v>87480</v>
      </c>
      <c r="B129" s="1">
        <v>30444</v>
      </c>
      <c r="C129" s="2">
        <f t="shared" si="3"/>
        <v>128</v>
      </c>
      <c r="D129">
        <v>19.899999999999999</v>
      </c>
      <c r="E129">
        <v>7.6</v>
      </c>
      <c r="F129">
        <v>12.8</v>
      </c>
      <c r="G129">
        <v>0</v>
      </c>
      <c r="H129">
        <v>-32.903599999999997</v>
      </c>
      <c r="I129" s="4">
        <f t="shared" si="4"/>
        <v>16.969452698039142</v>
      </c>
      <c r="J129" s="4">
        <f t="shared" si="5"/>
        <v>10.481723680045263</v>
      </c>
      <c r="K129" s="21">
        <v>1.9</v>
      </c>
    </row>
    <row r="130" spans="1:11" x14ac:dyDescent="0.2">
      <c r="A130">
        <v>87480</v>
      </c>
      <c r="B130" s="1">
        <v>30445</v>
      </c>
      <c r="C130" s="2">
        <f t="shared" ref="C130:C193" si="6">B130-DATE(YEAR(B130),1,1)+1</f>
        <v>129</v>
      </c>
      <c r="D130">
        <v>19</v>
      </c>
      <c r="E130">
        <v>6.8</v>
      </c>
      <c r="F130">
        <v>13.7</v>
      </c>
      <c r="G130">
        <v>0</v>
      </c>
      <c r="H130">
        <v>-32.903599999999997</v>
      </c>
      <c r="I130" s="4">
        <f t="shared" ref="I130:I193" si="7">23.45*SIN(RADIANS(360/365*(C130-81)))</f>
        <v>17.245529188505458</v>
      </c>
      <c r="J130" s="4">
        <f t="shared" ref="J130:J193" si="8">IFERROR(24 / PI() * ACOS(-TAN(RADIANS(H130)) * TAN(RADIANS(I130))), IF(-TAN(RADIANS(H130)) * TAN(RADIANS(I130)) &gt;= 1, 0,24))</f>
        <v>10.455117643806283</v>
      </c>
      <c r="K130" s="21">
        <v>1.7</v>
      </c>
    </row>
    <row r="131" spans="1:11" x14ac:dyDescent="0.2">
      <c r="A131">
        <v>87480</v>
      </c>
      <c r="B131" s="1">
        <v>30446</v>
      </c>
      <c r="C131" s="2">
        <f t="shared" si="6"/>
        <v>130</v>
      </c>
      <c r="D131">
        <v>17.7</v>
      </c>
      <c r="E131">
        <v>14.5</v>
      </c>
      <c r="F131">
        <v>16</v>
      </c>
      <c r="G131">
        <v>0</v>
      </c>
      <c r="H131">
        <v>-32.903599999999997</v>
      </c>
      <c r="I131" s="4">
        <f t="shared" si="7"/>
        <v>17.516495456484218</v>
      </c>
      <c r="J131" s="4">
        <f t="shared" si="8"/>
        <v>10.428908019474072</v>
      </c>
      <c r="K131" s="21">
        <v>1.8</v>
      </c>
    </row>
    <row r="132" spans="1:11" x14ac:dyDescent="0.2">
      <c r="A132">
        <v>87480</v>
      </c>
      <c r="B132" s="1">
        <v>30447</v>
      </c>
      <c r="C132" s="2">
        <f t="shared" si="6"/>
        <v>131</v>
      </c>
      <c r="D132">
        <v>19.3</v>
      </c>
      <c r="E132">
        <v>9.4</v>
      </c>
      <c r="F132">
        <v>13.4</v>
      </c>
      <c r="G132">
        <v>0</v>
      </c>
      <c r="H132">
        <v>-32.903599999999997</v>
      </c>
      <c r="I132" s="4">
        <f t="shared" si="7"/>
        <v>17.782271208822291</v>
      </c>
      <c r="J132" s="4">
        <f t="shared" si="8"/>
        <v>10.40310602801619</v>
      </c>
      <c r="K132" s="21">
        <v>1.4</v>
      </c>
    </row>
    <row r="133" spans="1:11" x14ac:dyDescent="0.2">
      <c r="A133">
        <v>87480</v>
      </c>
      <c r="B133" s="1">
        <v>30448</v>
      </c>
      <c r="C133" s="2">
        <f t="shared" si="6"/>
        <v>132</v>
      </c>
      <c r="D133">
        <v>20.6</v>
      </c>
      <c r="E133">
        <v>2.9</v>
      </c>
      <c r="F133">
        <v>10.8</v>
      </c>
      <c r="G133">
        <v>0</v>
      </c>
      <c r="H133">
        <v>-32.903599999999997</v>
      </c>
      <c r="I133" s="4">
        <f t="shared" si="7"/>
        <v>18.042777690428341</v>
      </c>
      <c r="J133" s="4">
        <f t="shared" si="8"/>
        <v>10.377722949511027</v>
      </c>
      <c r="K133" s="21">
        <v>2.4</v>
      </c>
    </row>
    <row r="134" spans="1:11" x14ac:dyDescent="0.2">
      <c r="A134">
        <v>87480</v>
      </c>
      <c r="B134" s="1">
        <v>30449</v>
      </c>
      <c r="C134" s="2">
        <f t="shared" si="6"/>
        <v>133</v>
      </c>
      <c r="D134">
        <v>21.4</v>
      </c>
      <c r="E134">
        <v>3</v>
      </c>
      <c r="F134">
        <v>11.6</v>
      </c>
      <c r="G134">
        <v>0</v>
      </c>
      <c r="H134">
        <v>-32.903599999999997</v>
      </c>
      <c r="I134" s="4">
        <f t="shared" si="7"/>
        <v>18.297937707609684</v>
      </c>
      <c r="J134" s="4">
        <f t="shared" si="8"/>
        <v>10.352770111754102</v>
      </c>
      <c r="K134" s="21">
        <v>3</v>
      </c>
    </row>
    <row r="135" spans="1:11" x14ac:dyDescent="0.2">
      <c r="A135">
        <v>87480</v>
      </c>
      <c r="B135" s="1">
        <v>30450</v>
      </c>
      <c r="C135" s="2">
        <f t="shared" si="6"/>
        <v>134</v>
      </c>
      <c r="D135">
        <v>21.2</v>
      </c>
      <c r="E135">
        <v>4.8</v>
      </c>
      <c r="F135">
        <v>14.1</v>
      </c>
      <c r="G135">
        <v>6</v>
      </c>
      <c r="H135">
        <v>-32.903599999999997</v>
      </c>
      <c r="I135" s="4">
        <f t="shared" si="7"/>
        <v>18.547675650946424</v>
      </c>
      <c r="J135" s="4">
        <f t="shared" si="8"/>
        <v>10.328258878205206</v>
      </c>
      <c r="K135" s="21">
        <v>1.8</v>
      </c>
    </row>
    <row r="136" spans="1:11" x14ac:dyDescent="0.2">
      <c r="A136">
        <v>87480</v>
      </c>
      <c r="B136" s="1">
        <v>30451</v>
      </c>
      <c r="C136" s="2">
        <f t="shared" si="6"/>
        <v>135</v>
      </c>
      <c r="D136">
        <v>20.8</v>
      </c>
      <c r="E136">
        <v>15.7</v>
      </c>
      <c r="F136">
        <v>17.600000000000001</v>
      </c>
      <c r="G136">
        <v>0.7</v>
      </c>
      <c r="H136">
        <v>-32.903599999999997</v>
      </c>
      <c r="I136" s="4">
        <f t="shared" si="7"/>
        <v>18.791917517696167</v>
      </c>
      <c r="J136" s="4">
        <f t="shared" si="8"/>
        <v>10.304200635289048</v>
      </c>
      <c r="K136" s="21">
        <v>0.6</v>
      </c>
    </row>
    <row r="137" spans="1:11" x14ac:dyDescent="0.2">
      <c r="A137">
        <v>87480</v>
      </c>
      <c r="B137" s="1">
        <v>30452</v>
      </c>
      <c r="C137" s="2">
        <f t="shared" si="6"/>
        <v>136</v>
      </c>
      <c r="D137">
        <v>19.399999999999999</v>
      </c>
      <c r="E137">
        <v>12.8</v>
      </c>
      <c r="F137">
        <v>15.9</v>
      </c>
      <c r="G137">
        <v>2.2000000000000002</v>
      </c>
      <c r="H137">
        <v>-32.903599999999997</v>
      </c>
      <c r="I137" s="4">
        <f t="shared" si="7"/>
        <v>19.030590933722614</v>
      </c>
      <c r="J137" s="4">
        <f t="shared" si="8"/>
        <v>10.280606779065153</v>
      </c>
      <c r="K137" s="21">
        <v>1.9</v>
      </c>
    </row>
    <row r="138" spans="1:11" x14ac:dyDescent="0.2">
      <c r="A138">
        <v>87480</v>
      </c>
      <c r="B138" s="1">
        <v>30453</v>
      </c>
      <c r="C138" s="2">
        <f t="shared" si="6"/>
        <v>137</v>
      </c>
      <c r="D138">
        <v>19.2</v>
      </c>
      <c r="E138">
        <v>7.4</v>
      </c>
      <c r="F138">
        <v>12.6</v>
      </c>
      <c r="G138">
        <v>0</v>
      </c>
      <c r="H138">
        <v>-32.903599999999997</v>
      </c>
      <c r="I138" s="4">
        <f t="shared" si="7"/>
        <v>19.263625174941613</v>
      </c>
      <c r="J138" s="4">
        <f t="shared" si="8"/>
        <v>10.257488701286134</v>
      </c>
      <c r="K138" s="21">
        <v>1.3</v>
      </c>
    </row>
    <row r="139" spans="1:11" x14ac:dyDescent="0.2">
      <c r="A139">
        <v>87480</v>
      </c>
      <c r="B139" s="1">
        <v>30454</v>
      </c>
      <c r="C139" s="2">
        <f t="shared" si="6"/>
        <v>138</v>
      </c>
      <c r="D139">
        <v>19.600000000000001</v>
      </c>
      <c r="E139">
        <v>10.8</v>
      </c>
      <c r="F139">
        <v>16.600000000000001</v>
      </c>
      <c r="G139">
        <v>0</v>
      </c>
      <c r="H139">
        <v>-32.903599999999997</v>
      </c>
      <c r="I139" s="4">
        <f t="shared" si="7"/>
        <v>19.490951188278192</v>
      </c>
      <c r="J139" s="4">
        <f t="shared" si="8"/>
        <v>10.234857774866711</v>
      </c>
      <c r="K139" s="21">
        <v>1.1000000000000001</v>
      </c>
    </row>
    <row r="140" spans="1:11" x14ac:dyDescent="0.2">
      <c r="A140">
        <v>87480</v>
      </c>
      <c r="B140" s="1">
        <v>30455</v>
      </c>
      <c r="C140" s="2">
        <f t="shared" si="6"/>
        <v>139</v>
      </c>
      <c r="D140">
        <v>19.5</v>
      </c>
      <c r="E140">
        <v>10.1</v>
      </c>
      <c r="F140">
        <v>13.8</v>
      </c>
      <c r="G140">
        <v>20.100000000000001</v>
      </c>
      <c r="H140">
        <v>-32.903599999999997</v>
      </c>
      <c r="I140" s="4">
        <f t="shared" si="7"/>
        <v>19.712501612128509</v>
      </c>
      <c r="J140" s="4">
        <f t="shared" si="8"/>
        <v>10.212725338789349</v>
      </c>
      <c r="K140" s="21">
        <v>1.2</v>
      </c>
    </row>
    <row r="141" spans="1:11" x14ac:dyDescent="0.2">
      <c r="A141">
        <v>87480</v>
      </c>
      <c r="B141" s="1">
        <v>30456</v>
      </c>
      <c r="C141" s="2">
        <f t="shared" si="6"/>
        <v>140</v>
      </c>
      <c r="D141">
        <v>15.2</v>
      </c>
      <c r="E141">
        <v>9.8000000000000007</v>
      </c>
      <c r="F141">
        <v>13.3</v>
      </c>
      <c r="G141">
        <v>1.8</v>
      </c>
      <c r="H141">
        <v>-32.903599999999997</v>
      </c>
      <c r="I141" s="4">
        <f t="shared" si="7"/>
        <v>19.928210796320528</v>
      </c>
      <c r="J141" s="4">
        <f t="shared" si="8"/>
        <v>10.19110268247587</v>
      </c>
      <c r="K141" s="21">
        <v>0.9</v>
      </c>
    </row>
    <row r="142" spans="1:11" x14ac:dyDescent="0.2">
      <c r="A142">
        <v>87480</v>
      </c>
      <c r="B142" s="1">
        <v>30457</v>
      </c>
      <c r="C142" s="2">
        <f t="shared" si="6"/>
        <v>141</v>
      </c>
      <c r="D142">
        <v>19.7</v>
      </c>
      <c r="E142">
        <v>11</v>
      </c>
      <c r="F142">
        <v>14.6</v>
      </c>
      <c r="G142">
        <v>0</v>
      </c>
      <c r="H142">
        <v>-32.903599999999997</v>
      </c>
      <c r="I142" s="4">
        <f t="shared" si="7"/>
        <v>20.138014821567577</v>
      </c>
      <c r="J142" s="4">
        <f t="shared" si="8"/>
        <v>10.170001029657911</v>
      </c>
      <c r="K142" s="21">
        <v>0.8</v>
      </c>
    </row>
    <row r="143" spans="1:11" x14ac:dyDescent="0.2">
      <c r="A143">
        <v>87480</v>
      </c>
      <c r="B143" s="1">
        <v>30458</v>
      </c>
      <c r="C143" s="2">
        <f t="shared" si="6"/>
        <v>142</v>
      </c>
      <c r="D143">
        <v>17.399999999999999</v>
      </c>
      <c r="E143">
        <v>13.2</v>
      </c>
      <c r="F143">
        <v>15.4</v>
      </c>
      <c r="G143">
        <v>0.5</v>
      </c>
      <c r="H143">
        <v>-32.903599999999997</v>
      </c>
      <c r="I143" s="4">
        <f t="shared" si="7"/>
        <v>20.341851518409044</v>
      </c>
      <c r="J143" s="4">
        <f t="shared" si="8"/>
        <v>10.149431521782612</v>
      </c>
      <c r="K143" s="21">
        <v>0.7</v>
      </c>
    </row>
    <row r="144" spans="1:11" x14ac:dyDescent="0.2">
      <c r="A144">
        <v>87480</v>
      </c>
      <c r="B144" s="1">
        <v>30459</v>
      </c>
      <c r="C144" s="2">
        <f t="shared" si="6"/>
        <v>143</v>
      </c>
      <c r="D144">
        <v>16.2</v>
      </c>
      <c r="E144">
        <v>12.6</v>
      </c>
      <c r="F144">
        <v>14.1</v>
      </c>
      <c r="G144">
        <v>4</v>
      </c>
      <c r="H144">
        <v>-32.903599999999997</v>
      </c>
      <c r="I144" s="4">
        <f t="shared" si="7"/>
        <v>20.539660485632496</v>
      </c>
      <c r="J144" s="4">
        <f t="shared" si="8"/>
        <v>10.129405200993459</v>
      </c>
      <c r="K144" s="21">
        <v>0.7</v>
      </c>
    </row>
    <row r="145" spans="1:11" x14ac:dyDescent="0.2">
      <c r="A145">
        <v>87480</v>
      </c>
      <c r="B145" s="1">
        <v>30460</v>
      </c>
      <c r="C145" s="2">
        <f t="shared" si="6"/>
        <v>144</v>
      </c>
      <c r="D145">
        <v>16.7</v>
      </c>
      <c r="E145">
        <v>5.6</v>
      </c>
      <c r="F145">
        <v>10.6</v>
      </c>
      <c r="G145">
        <v>0</v>
      </c>
      <c r="H145">
        <v>-32.903599999999997</v>
      </c>
      <c r="I145" s="4">
        <f t="shared" si="7"/>
        <v>20.731383108171876</v>
      </c>
      <c r="J145" s="4">
        <f t="shared" si="8"/>
        <v>10.109932992729703</v>
      </c>
      <c r="K145" s="21">
        <v>1.3</v>
      </c>
    </row>
    <row r="146" spans="1:11" x14ac:dyDescent="0.2">
      <c r="A146">
        <v>87480</v>
      </c>
      <c r="B146" s="1">
        <v>30461</v>
      </c>
      <c r="C146" s="2">
        <f t="shared" si="6"/>
        <v>145</v>
      </c>
      <c r="D146">
        <v>18.3</v>
      </c>
      <c r="E146">
        <v>4.8</v>
      </c>
      <c r="F146">
        <v>12.9</v>
      </c>
      <c r="G146">
        <v>0</v>
      </c>
      <c r="H146">
        <v>-32.903599999999997</v>
      </c>
      <c r="I146" s="4">
        <f t="shared" si="7"/>
        <v>20.916962574476411</v>
      </c>
      <c r="J146" s="4">
        <f t="shared" si="8"/>
        <v>10.091025687991099</v>
      </c>
      <c r="K146" s="21">
        <v>1.2</v>
      </c>
    </row>
    <row r="147" spans="1:11" x14ac:dyDescent="0.2">
      <c r="A147">
        <v>87480</v>
      </c>
      <c r="B147" s="1">
        <v>30462</v>
      </c>
      <c r="C147" s="2">
        <f t="shared" si="6"/>
        <v>146</v>
      </c>
      <c r="D147">
        <v>16.5</v>
      </c>
      <c r="E147">
        <v>12</v>
      </c>
      <c r="F147">
        <v>14.4</v>
      </c>
      <c r="G147">
        <v>0.6</v>
      </c>
      <c r="H147">
        <v>-32.903599999999997</v>
      </c>
      <c r="I147" s="4">
        <f t="shared" si="7"/>
        <v>21.096343893345107</v>
      </c>
      <c r="J147" s="4">
        <f t="shared" si="8"/>
        <v>10.072693925318104</v>
      </c>
      <c r="K147" s="21">
        <v>0.6</v>
      </c>
    </row>
    <row r="148" spans="1:11" x14ac:dyDescent="0.2">
      <c r="A148">
        <v>87480</v>
      </c>
      <c r="B148" s="1">
        <v>30463</v>
      </c>
      <c r="C148" s="2">
        <f t="shared" si="6"/>
        <v>147</v>
      </c>
      <c r="D148">
        <v>16.899999999999999</v>
      </c>
      <c r="E148">
        <v>12.3</v>
      </c>
      <c r="F148">
        <v>14.2</v>
      </c>
      <c r="G148">
        <v>10.3</v>
      </c>
      <c r="H148">
        <v>-32.903599999999997</v>
      </c>
      <c r="I148" s="4">
        <f t="shared" si="7"/>
        <v>21.269473910221812</v>
      </c>
      <c r="J148" s="4">
        <f t="shared" si="8"/>
        <v>10.054948172540776</v>
      </c>
      <c r="K148" s="21">
        <v>0.8</v>
      </c>
    </row>
    <row r="149" spans="1:11" x14ac:dyDescent="0.2">
      <c r="A149">
        <v>87480</v>
      </c>
      <c r="B149" s="1">
        <v>30464</v>
      </c>
      <c r="C149" s="2">
        <f t="shared" si="6"/>
        <v>148</v>
      </c>
      <c r="D149">
        <v>15</v>
      </c>
      <c r="E149">
        <v>4.8</v>
      </c>
      <c r="F149">
        <v>8.1999999999999993</v>
      </c>
      <c r="G149">
        <v>0</v>
      </c>
      <c r="H149">
        <v>-32.903599999999997</v>
      </c>
      <c r="I149" s="4">
        <f t="shared" si="7"/>
        <v>21.436301322946075</v>
      </c>
      <c r="J149" s="4">
        <f t="shared" si="8"/>
        <v>10.037798708352666</v>
      </c>
      <c r="K149" s="21">
        <v>1.6</v>
      </c>
    </row>
    <row r="150" spans="1:11" x14ac:dyDescent="0.2">
      <c r="A150">
        <v>87480</v>
      </c>
      <c r="B150" s="1">
        <v>30465</v>
      </c>
      <c r="C150" s="2">
        <f t="shared" si="6"/>
        <v>149</v>
      </c>
      <c r="D150">
        <v>16.2</v>
      </c>
      <c r="E150">
        <v>-0.2</v>
      </c>
      <c r="F150">
        <v>7.8</v>
      </c>
      <c r="G150">
        <v>1.2</v>
      </c>
      <c r="H150">
        <v>-32.903599999999997</v>
      </c>
      <c r="I150" s="4">
        <f t="shared" si="7"/>
        <v>21.596776696955082</v>
      </c>
      <c r="J150" s="4">
        <f t="shared" si="8"/>
        <v>10.021255603768768</v>
      </c>
      <c r="K150" s="21">
        <v>1.5</v>
      </c>
    </row>
    <row r="151" spans="1:11" x14ac:dyDescent="0.2">
      <c r="A151">
        <v>87480</v>
      </c>
      <c r="B151" s="1">
        <v>30466</v>
      </c>
      <c r="C151" s="2">
        <f t="shared" si="6"/>
        <v>150</v>
      </c>
      <c r="D151">
        <v>10.7</v>
      </c>
      <c r="E151">
        <v>5.8</v>
      </c>
      <c r="F151">
        <v>6.9</v>
      </c>
      <c r="G151">
        <v>0</v>
      </c>
      <c r="H151">
        <v>-32.903599999999997</v>
      </c>
      <c r="I151" s="4">
        <f t="shared" si="7"/>
        <v>21.75085247993216</v>
      </c>
      <c r="J151" s="4">
        <f t="shared" si="8"/>
        <v>10.005328703529235</v>
      </c>
      <c r="K151" s="21">
        <v>1.3</v>
      </c>
    </row>
    <row r="152" spans="1:11" x14ac:dyDescent="0.2">
      <c r="A152">
        <v>87480</v>
      </c>
      <c r="B152" s="1">
        <v>30467</v>
      </c>
      <c r="C152" s="2">
        <f t="shared" si="6"/>
        <v>151</v>
      </c>
      <c r="D152">
        <v>11.2</v>
      </c>
      <c r="E152">
        <v>3.9</v>
      </c>
      <c r="F152">
        <v>8.1999999999999993</v>
      </c>
      <c r="G152">
        <v>0</v>
      </c>
      <c r="H152">
        <v>-32.903599999999997</v>
      </c>
      <c r="I152" s="4">
        <f t="shared" si="7"/>
        <v>21.898483015897597</v>
      </c>
      <c r="J152" s="4">
        <f t="shared" si="8"/>
        <v>9.9900276075128343</v>
      </c>
      <c r="K152" s="21">
        <v>1.3</v>
      </c>
    </row>
    <row r="153" spans="1:11" x14ac:dyDescent="0.2">
      <c r="A153">
        <v>87480</v>
      </c>
      <c r="B153" s="1">
        <v>30468</v>
      </c>
      <c r="C153" s="2">
        <f t="shared" si="6"/>
        <v>152</v>
      </c>
      <c r="D153">
        <v>13.2</v>
      </c>
      <c r="E153">
        <v>2.8</v>
      </c>
      <c r="F153">
        <v>7.5</v>
      </c>
      <c r="G153">
        <v>0.2</v>
      </c>
      <c r="H153">
        <v>-32.903599999999997</v>
      </c>
      <c r="I153" s="4">
        <f t="shared" si="7"/>
        <v>22.039624558737447</v>
      </c>
      <c r="J153" s="4">
        <f t="shared" si="8"/>
        <v>9.9753616522262352</v>
      </c>
      <c r="K153" s="21">
        <v>1.4</v>
      </c>
    </row>
    <row r="154" spans="1:11" x14ac:dyDescent="0.2">
      <c r="A154">
        <v>87480</v>
      </c>
      <c r="B154" s="1">
        <v>30469</v>
      </c>
      <c r="C154" s="2">
        <f t="shared" si="6"/>
        <v>153</v>
      </c>
      <c r="D154">
        <v>9.8000000000000007</v>
      </c>
      <c r="E154">
        <v>5.8</v>
      </c>
      <c r="F154">
        <v>7.6</v>
      </c>
      <c r="G154">
        <v>19.2</v>
      </c>
      <c r="H154">
        <v>-32.903599999999997</v>
      </c>
      <c r="I154" s="4">
        <f t="shared" si="7"/>
        <v>22.174235285166493</v>
      </c>
      <c r="J154" s="4">
        <f t="shared" si="8"/>
        <v>9.9613398924368681</v>
      </c>
      <c r="K154" s="21">
        <v>0.6</v>
      </c>
    </row>
    <row r="155" spans="1:11" x14ac:dyDescent="0.2">
      <c r="A155">
        <v>87480</v>
      </c>
      <c r="B155" s="1">
        <v>30470</v>
      </c>
      <c r="C155" s="2">
        <f t="shared" si="6"/>
        <v>154</v>
      </c>
      <c r="D155">
        <v>10.3</v>
      </c>
      <c r="E155">
        <v>4.2</v>
      </c>
      <c r="F155">
        <v>6.2</v>
      </c>
      <c r="G155">
        <v>0</v>
      </c>
      <c r="H155">
        <v>-32.903599999999997</v>
      </c>
      <c r="I155" s="4">
        <f t="shared" si="7"/>
        <v>22.302275307121349</v>
      </c>
      <c r="J155" s="4">
        <f t="shared" si="8"/>
        <v>9.9479710830185741</v>
      </c>
      <c r="K155" s="21">
        <v>1.2</v>
      </c>
    </row>
    <row r="156" spans="1:11" x14ac:dyDescent="0.2">
      <c r="A156">
        <v>87480</v>
      </c>
      <c r="B156" s="1">
        <v>30471</v>
      </c>
      <c r="C156" s="2">
        <f t="shared" si="6"/>
        <v>155</v>
      </c>
      <c r="D156">
        <v>10.8</v>
      </c>
      <c r="E156">
        <v>0</v>
      </c>
      <c r="F156">
        <v>4.3</v>
      </c>
      <c r="G156">
        <v>0</v>
      </c>
      <c r="H156">
        <v>-32.903599999999997</v>
      </c>
      <c r="I156" s="4">
        <f t="shared" si="7"/>
        <v>22.423706683580185</v>
      </c>
      <c r="J156" s="4">
        <f t="shared" si="8"/>
        <v>9.9352636610801781</v>
      </c>
      <c r="K156" s="21">
        <v>1.2</v>
      </c>
    </row>
    <row r="157" spans="1:11" x14ac:dyDescent="0.2">
      <c r="A157">
        <v>87480</v>
      </c>
      <c r="B157" s="1">
        <v>30472</v>
      </c>
      <c r="C157" s="2">
        <f t="shared" si="6"/>
        <v>156</v>
      </c>
      <c r="D157">
        <v>13.2</v>
      </c>
      <c r="E157">
        <v>-2.9</v>
      </c>
      <c r="F157">
        <v>4</v>
      </c>
      <c r="G157">
        <v>0</v>
      </c>
      <c r="H157">
        <v>-32.903599999999997</v>
      </c>
      <c r="I157" s="4">
        <f t="shared" si="7"/>
        <v>22.538493431805453</v>
      </c>
      <c r="J157" s="4">
        <f t="shared" si="8"/>
        <v>9.9232257284478305</v>
      </c>
      <c r="K157" s="21">
        <v>1.2</v>
      </c>
    </row>
    <row r="158" spans="1:11" x14ac:dyDescent="0.2">
      <c r="A158">
        <v>87480</v>
      </c>
      <c r="B158" s="1">
        <v>30473</v>
      </c>
      <c r="C158" s="2">
        <f t="shared" si="6"/>
        <v>157</v>
      </c>
      <c r="D158">
        <v>17</v>
      </c>
      <c r="E158">
        <v>-0.6</v>
      </c>
      <c r="F158">
        <v>7</v>
      </c>
      <c r="G158">
        <v>0</v>
      </c>
      <c r="H158">
        <v>-32.903599999999997</v>
      </c>
      <c r="I158" s="4">
        <f t="shared" si="7"/>
        <v>22.646601538006347</v>
      </c>
      <c r="J158" s="4">
        <f t="shared" si="8"/>
        <v>9.9118650345721147</v>
      </c>
      <c r="K158" s="21">
        <v>1.2</v>
      </c>
    </row>
    <row r="159" spans="1:11" x14ac:dyDescent="0.2">
      <c r="A159">
        <v>87480</v>
      </c>
      <c r="B159" s="1">
        <v>30474</v>
      </c>
      <c r="C159" s="2">
        <f t="shared" si="6"/>
        <v>158</v>
      </c>
      <c r="D159">
        <v>15.4</v>
      </c>
      <c r="E159">
        <v>0.1</v>
      </c>
      <c r="F159">
        <v>7.1</v>
      </c>
      <c r="G159">
        <v>0</v>
      </c>
      <c r="H159">
        <v>-32.903599999999997</v>
      </c>
      <c r="I159" s="4">
        <f t="shared" si="7"/>
        <v>22.747998967417839</v>
      </c>
      <c r="J159" s="4">
        <f t="shared" si="8"/>
        <v>9.9011889599307317</v>
      </c>
      <c r="K159" s="21">
        <v>1.7</v>
      </c>
    </row>
    <row r="160" spans="1:11" x14ac:dyDescent="0.2">
      <c r="A160">
        <v>87480</v>
      </c>
      <c r="B160" s="1">
        <v>30475</v>
      </c>
      <c r="C160" s="2">
        <f t="shared" si="6"/>
        <v>159</v>
      </c>
      <c r="D160">
        <v>15.2</v>
      </c>
      <c r="E160">
        <v>1</v>
      </c>
      <c r="F160">
        <v>7.1</v>
      </c>
      <c r="G160">
        <v>0</v>
      </c>
      <c r="H160">
        <v>-32.903599999999997</v>
      </c>
      <c r="I160" s="4">
        <f t="shared" si="7"/>
        <v>22.84265567379326</v>
      </c>
      <c r="J160" s="4">
        <f t="shared" si="8"/>
        <v>9.8912044999968813</v>
      </c>
      <c r="K160" s="21">
        <v>1.3</v>
      </c>
    </row>
    <row r="161" spans="1:11" x14ac:dyDescent="0.2">
      <c r="A161">
        <v>87480</v>
      </c>
      <c r="B161" s="1">
        <v>30476</v>
      </c>
      <c r="C161" s="2">
        <f t="shared" si="6"/>
        <v>160</v>
      </c>
      <c r="D161">
        <v>14</v>
      </c>
      <c r="E161">
        <v>4.8</v>
      </c>
      <c r="F161">
        <v>7.6</v>
      </c>
      <c r="G161">
        <v>0</v>
      </c>
      <c r="H161">
        <v>-32.903599999999997</v>
      </c>
      <c r="I161" s="4">
        <f t="shared" si="7"/>
        <v>22.930543608307651</v>
      </c>
      <c r="J161" s="4">
        <f t="shared" si="8"/>
        <v>9.881918249842343</v>
      </c>
      <c r="K161" s="21">
        <v>1.1000000000000001</v>
      </c>
    </row>
    <row r="162" spans="1:11" x14ac:dyDescent="0.2">
      <c r="A162">
        <v>87480</v>
      </c>
      <c r="B162" s="1">
        <v>30477</v>
      </c>
      <c r="C162" s="2">
        <f t="shared" si="6"/>
        <v>161</v>
      </c>
      <c r="D162">
        <v>12.8</v>
      </c>
      <c r="E162">
        <v>-1</v>
      </c>
      <c r="F162">
        <v>4.5</v>
      </c>
      <c r="G162">
        <v>0</v>
      </c>
      <c r="H162">
        <v>-32.903599999999997</v>
      </c>
      <c r="I162" s="4">
        <f t="shared" si="7"/>
        <v>23.011636727869238</v>
      </c>
      <c r="J162" s="4">
        <f t="shared" si="8"/>
        <v>9.8733363894427484</v>
      </c>
      <c r="K162" s="21">
        <v>1.2</v>
      </c>
    </row>
    <row r="163" spans="1:11" x14ac:dyDescent="0.2">
      <c r="A163">
        <v>87480</v>
      </c>
      <c r="B163" s="1">
        <v>30478</v>
      </c>
      <c r="C163" s="2">
        <f t="shared" si="6"/>
        <v>162</v>
      </c>
      <c r="D163">
        <v>12.6</v>
      </c>
      <c r="E163">
        <v>2</v>
      </c>
      <c r="F163">
        <v>6.7</v>
      </c>
      <c r="G163">
        <v>0</v>
      </c>
      <c r="H163">
        <v>-32.903599999999997</v>
      </c>
      <c r="I163" s="4">
        <f t="shared" si="7"/>
        <v>23.085911002836561</v>
      </c>
      <c r="J163" s="4">
        <f t="shared" si="8"/>
        <v>9.8654646697503487</v>
      </c>
      <c r="K163" s="21">
        <v>0.9</v>
      </c>
    </row>
    <row r="164" spans="1:11" x14ac:dyDescent="0.2">
      <c r="A164">
        <v>87480</v>
      </c>
      <c r="B164" s="1">
        <v>30479</v>
      </c>
      <c r="C164" s="2">
        <f t="shared" si="6"/>
        <v>163</v>
      </c>
      <c r="D164">
        <v>9.9</v>
      </c>
      <c r="E164">
        <v>4.9000000000000004</v>
      </c>
      <c r="F164">
        <v>7.3</v>
      </c>
      <c r="G164">
        <v>5.8</v>
      </c>
      <c r="H164">
        <v>-32.903599999999997</v>
      </c>
      <c r="I164" s="4">
        <f t="shared" si="7"/>
        <v>23.153344424138979</v>
      </c>
      <c r="J164" s="4">
        <f t="shared" si="8"/>
        <v>9.8583083995972665</v>
      </c>
      <c r="K164" s="21">
        <v>0.4</v>
      </c>
    </row>
    <row r="165" spans="1:11" x14ac:dyDescent="0.2">
      <c r="A165">
        <v>87480</v>
      </c>
      <c r="B165" s="1">
        <v>30480</v>
      </c>
      <c r="C165" s="2">
        <f t="shared" si="6"/>
        <v>164</v>
      </c>
      <c r="D165">
        <v>11</v>
      </c>
      <c r="E165">
        <v>5.9</v>
      </c>
      <c r="F165">
        <v>8.6</v>
      </c>
      <c r="G165">
        <v>4</v>
      </c>
      <c r="H165">
        <v>-32.903599999999997</v>
      </c>
      <c r="I165" s="4">
        <f t="shared" si="7"/>
        <v>23.213917009798429</v>
      </c>
      <c r="J165" s="4">
        <f t="shared" si="8"/>
        <v>9.851872433489115</v>
      </c>
      <c r="K165" s="21">
        <v>0.5</v>
      </c>
    </row>
    <row r="166" spans="1:11" x14ac:dyDescent="0.2">
      <c r="A166">
        <v>87480</v>
      </c>
      <c r="B166" s="1">
        <v>30481</v>
      </c>
      <c r="C166" s="2">
        <f t="shared" si="6"/>
        <v>165</v>
      </c>
      <c r="D166">
        <v>11.7</v>
      </c>
      <c r="E166">
        <v>4.2</v>
      </c>
      <c r="F166">
        <v>7.9</v>
      </c>
      <c r="G166">
        <v>0</v>
      </c>
      <c r="H166">
        <v>-32.903599999999997</v>
      </c>
      <c r="I166" s="4">
        <f t="shared" si="7"/>
        <v>23.26761081085051</v>
      </c>
      <c r="J166" s="4">
        <f t="shared" si="8"/>
        <v>9.8461611603456127</v>
      </c>
      <c r="K166" s="21">
        <v>1</v>
      </c>
    </row>
    <row r="167" spans="1:11" x14ac:dyDescent="0.2">
      <c r="A167">
        <v>87480</v>
      </c>
      <c r="B167" s="1">
        <v>30482</v>
      </c>
      <c r="C167" s="2">
        <f t="shared" si="6"/>
        <v>166</v>
      </c>
      <c r="D167">
        <v>13.6</v>
      </c>
      <c r="E167">
        <v>0.8</v>
      </c>
      <c r="F167">
        <v>6.1</v>
      </c>
      <c r="G167">
        <v>0</v>
      </c>
      <c r="H167">
        <v>-32.903599999999997</v>
      </c>
      <c r="I167" s="4">
        <f t="shared" si="7"/>
        <v>23.31440991666317</v>
      </c>
      <c r="J167" s="4">
        <f t="shared" si="8"/>
        <v>9.8411784932408803</v>
      </c>
      <c r="K167" s="21">
        <v>1.8</v>
      </c>
    </row>
    <row r="168" spans="1:11" x14ac:dyDescent="0.2">
      <c r="A168">
        <v>87480</v>
      </c>
      <c r="B168" s="1">
        <v>30483</v>
      </c>
      <c r="C168" s="2">
        <f t="shared" si="6"/>
        <v>167</v>
      </c>
      <c r="D168">
        <v>14.7</v>
      </c>
      <c r="E168">
        <v>5</v>
      </c>
      <c r="F168">
        <v>10.5</v>
      </c>
      <c r="G168">
        <v>0</v>
      </c>
      <c r="H168">
        <v>-32.903599999999997</v>
      </c>
      <c r="I168" s="4">
        <f t="shared" si="7"/>
        <v>23.354300459651348</v>
      </c>
      <c r="J168" s="4">
        <f t="shared" si="8"/>
        <v>9.8369278601920609</v>
      </c>
      <c r="K168" s="21">
        <v>1.6</v>
      </c>
    </row>
    <row r="169" spans="1:11" x14ac:dyDescent="0.2">
      <c r="A169">
        <v>87480</v>
      </c>
      <c r="B169" s="1">
        <v>30484</v>
      </c>
      <c r="C169" s="2">
        <f t="shared" si="6"/>
        <v>168</v>
      </c>
      <c r="D169">
        <v>19</v>
      </c>
      <c r="E169">
        <v>7.1</v>
      </c>
      <c r="F169">
        <v>14.1</v>
      </c>
      <c r="G169">
        <v>0</v>
      </c>
      <c r="H169">
        <v>-32.903599999999997</v>
      </c>
      <c r="I169" s="4">
        <f t="shared" si="7"/>
        <v>23.387270619386246</v>
      </c>
      <c r="J169" s="4">
        <f t="shared" si="8"/>
        <v>9.8334121960401895</v>
      </c>
      <c r="K169" s="21">
        <v>2.1</v>
      </c>
    </row>
    <row r="170" spans="1:11" x14ac:dyDescent="0.2">
      <c r="A170">
        <v>87480</v>
      </c>
      <c r="B170" s="1">
        <v>30485</v>
      </c>
      <c r="C170" s="2">
        <f t="shared" si="6"/>
        <v>169</v>
      </c>
      <c r="D170">
        <v>21</v>
      </c>
      <c r="E170">
        <v>10.6</v>
      </c>
      <c r="F170">
        <v>16.3</v>
      </c>
      <c r="G170">
        <v>0.1</v>
      </c>
      <c r="H170">
        <v>-32.903599999999997</v>
      </c>
      <c r="I170" s="4">
        <f t="shared" si="7"/>
        <v>23.413310626097982</v>
      </c>
      <c r="J170" s="4">
        <f t="shared" si="8"/>
        <v>9.8306339354624104</v>
      </c>
      <c r="K170" s="21">
        <v>1.1000000000000001</v>
      </c>
    </row>
    <row r="171" spans="1:11" x14ac:dyDescent="0.2">
      <c r="A171">
        <v>87480</v>
      </c>
      <c r="B171" s="1">
        <v>30486</v>
      </c>
      <c r="C171" s="2">
        <f t="shared" si="6"/>
        <v>170</v>
      </c>
      <c r="D171">
        <v>15</v>
      </c>
      <c r="E171">
        <v>12.6</v>
      </c>
      <c r="F171">
        <v>14.1</v>
      </c>
      <c r="G171">
        <v>0.3</v>
      </c>
      <c r="H171">
        <v>-32.903599999999997</v>
      </c>
      <c r="I171" s="4">
        <f t="shared" si="7"/>
        <v>23.432412763570579</v>
      </c>
      <c r="J171" s="4">
        <f t="shared" si="8"/>
        <v>9.8285950071493939</v>
      </c>
      <c r="K171" s="21">
        <v>0.8</v>
      </c>
    </row>
    <row r="172" spans="1:11" x14ac:dyDescent="0.2">
      <c r="A172">
        <v>87480</v>
      </c>
      <c r="B172" s="1">
        <v>30487</v>
      </c>
      <c r="C172" s="2">
        <f t="shared" si="6"/>
        <v>171</v>
      </c>
      <c r="D172">
        <v>18</v>
      </c>
      <c r="E172">
        <v>11.5</v>
      </c>
      <c r="F172">
        <v>13.8</v>
      </c>
      <c r="G172">
        <v>0</v>
      </c>
      <c r="H172">
        <v>-32.903599999999997</v>
      </c>
      <c r="I172" s="4">
        <f t="shared" si="7"/>
        <v>23.444571371428442</v>
      </c>
      <c r="J172" s="4">
        <f t="shared" si="8"/>
        <v>9.8272968291763068</v>
      </c>
      <c r="K172" s="21">
        <v>0.9</v>
      </c>
    </row>
    <row r="173" spans="1:11" x14ac:dyDescent="0.2">
      <c r="A173">
        <v>87480</v>
      </c>
      <c r="B173" s="1">
        <v>30488</v>
      </c>
      <c r="C173" s="2">
        <f t="shared" si="6"/>
        <v>172</v>
      </c>
      <c r="D173">
        <v>14.2</v>
      </c>
      <c r="E173">
        <v>12</v>
      </c>
      <c r="F173">
        <v>13</v>
      </c>
      <c r="G173">
        <v>0</v>
      </c>
      <c r="H173">
        <v>-32.903599999999997</v>
      </c>
      <c r="I173" s="4">
        <f t="shared" si="7"/>
        <v>23.449782846813658</v>
      </c>
      <c r="J173" s="4">
        <f t="shared" si="8"/>
        <v>9.8267403055900093</v>
      </c>
      <c r="K173" s="21">
        <v>0.2</v>
      </c>
    </row>
    <row r="174" spans="1:11" x14ac:dyDescent="0.2">
      <c r="A174">
        <v>87480</v>
      </c>
      <c r="B174" s="1">
        <v>30489</v>
      </c>
      <c r="C174" s="2">
        <f t="shared" si="6"/>
        <v>173</v>
      </c>
      <c r="D174">
        <v>14.8</v>
      </c>
      <c r="E174">
        <v>9</v>
      </c>
      <c r="F174">
        <v>11.5</v>
      </c>
      <c r="G174">
        <v>0</v>
      </c>
      <c r="H174">
        <v>-32.903599999999997</v>
      </c>
      <c r="I174" s="4">
        <f t="shared" si="7"/>
        <v>23.448045645453604</v>
      </c>
      <c r="J174" s="4">
        <f t="shared" si="8"/>
        <v>9.8269258242292015</v>
      </c>
      <c r="K174" s="21">
        <v>1.4</v>
      </c>
    </row>
    <row r="175" spans="1:11" x14ac:dyDescent="0.2">
      <c r="A175">
        <v>87480</v>
      </c>
      <c r="B175" s="1">
        <v>30490</v>
      </c>
      <c r="C175" s="2">
        <f t="shared" si="6"/>
        <v>174</v>
      </c>
      <c r="D175">
        <v>14.2</v>
      </c>
      <c r="E175">
        <v>0.4</v>
      </c>
      <c r="F175">
        <v>6.9</v>
      </c>
      <c r="G175">
        <v>0</v>
      </c>
      <c r="H175">
        <v>-32.903599999999997</v>
      </c>
      <c r="I175" s="4">
        <f t="shared" si="7"/>
        <v>23.439360282118528</v>
      </c>
      <c r="J175" s="4">
        <f t="shared" si="8"/>
        <v>9.8278532557882929</v>
      </c>
      <c r="K175" s="21">
        <v>1.4</v>
      </c>
    </row>
    <row r="176" spans="1:11" x14ac:dyDescent="0.2">
      <c r="A176">
        <v>87480</v>
      </c>
      <c r="B176" s="1">
        <v>30491</v>
      </c>
      <c r="C176" s="2">
        <f t="shared" si="6"/>
        <v>175</v>
      </c>
      <c r="D176">
        <v>16.399999999999999</v>
      </c>
      <c r="E176">
        <v>-2.6</v>
      </c>
      <c r="F176">
        <v>5.3</v>
      </c>
      <c r="G176">
        <v>0</v>
      </c>
      <c r="H176">
        <v>-32.903599999999997</v>
      </c>
      <c r="I176" s="4">
        <f t="shared" si="7"/>
        <v>23.423729330469037</v>
      </c>
      <c r="J176" s="4">
        <f t="shared" si="8"/>
        <v>9.8295219541295769</v>
      </c>
      <c r="K176" s="21">
        <v>1.5</v>
      </c>
    </row>
    <row r="177" spans="1:11" x14ac:dyDescent="0.2">
      <c r="A177">
        <v>87480</v>
      </c>
      <c r="B177" s="1">
        <v>30492</v>
      </c>
      <c r="C177" s="2">
        <f t="shared" si="6"/>
        <v>176</v>
      </c>
      <c r="D177">
        <v>17.100000000000001</v>
      </c>
      <c r="E177">
        <v>-0.5</v>
      </c>
      <c r="F177">
        <v>6.8</v>
      </c>
      <c r="G177">
        <v>0</v>
      </c>
      <c r="H177">
        <v>-32.903599999999997</v>
      </c>
      <c r="I177" s="4">
        <f t="shared" si="7"/>
        <v>23.401157422293444</v>
      </c>
      <c r="J177" s="4">
        <f t="shared" si="8"/>
        <v>9.8319307578421764</v>
      </c>
      <c r="K177" s="21">
        <v>1.2</v>
      </c>
    </row>
    <row r="178" spans="1:11" x14ac:dyDescent="0.2">
      <c r="A178">
        <v>87480</v>
      </c>
      <c r="B178" s="1">
        <v>30493</v>
      </c>
      <c r="C178" s="2">
        <f t="shared" si="6"/>
        <v>177</v>
      </c>
      <c r="D178">
        <v>16</v>
      </c>
      <c r="E178">
        <v>0.4</v>
      </c>
      <c r="F178">
        <v>6.5</v>
      </c>
      <c r="G178">
        <v>0</v>
      </c>
      <c r="H178">
        <v>-32.903599999999997</v>
      </c>
      <c r="I178" s="4">
        <f t="shared" si="7"/>
        <v>23.37165124613529</v>
      </c>
      <c r="J178" s="4">
        <f t="shared" si="8"/>
        <v>9.8350779930400947</v>
      </c>
      <c r="K178" s="21">
        <v>1.4</v>
      </c>
    </row>
    <row r="179" spans="1:11" x14ac:dyDescent="0.2">
      <c r="A179">
        <v>87480</v>
      </c>
      <c r="B179" s="1">
        <v>30494</v>
      </c>
      <c r="C179" s="2">
        <f t="shared" si="6"/>
        <v>178</v>
      </c>
      <c r="D179">
        <v>18.600000000000001</v>
      </c>
      <c r="E179">
        <v>-1.4</v>
      </c>
      <c r="F179">
        <v>7</v>
      </c>
      <c r="G179">
        <v>0</v>
      </c>
      <c r="H179">
        <v>-32.903599999999997</v>
      </c>
      <c r="I179" s="4">
        <f t="shared" si="7"/>
        <v>23.335219545311357</v>
      </c>
      <c r="J179" s="4">
        <f t="shared" si="8"/>
        <v>9.8389614773856007</v>
      </c>
      <c r="K179" s="21">
        <v>1</v>
      </c>
    </row>
    <row r="180" spans="1:11" x14ac:dyDescent="0.2">
      <c r="A180">
        <v>87480</v>
      </c>
      <c r="B180" s="1">
        <v>30495</v>
      </c>
      <c r="C180" s="2">
        <f t="shared" si="6"/>
        <v>179</v>
      </c>
      <c r="D180">
        <v>18.399999999999999</v>
      </c>
      <c r="E180">
        <v>-1</v>
      </c>
      <c r="F180">
        <v>6.8</v>
      </c>
      <c r="G180">
        <v>0</v>
      </c>
      <c r="H180">
        <v>-32.903599999999997</v>
      </c>
      <c r="I180" s="4">
        <f t="shared" si="7"/>
        <v>23.291873115320865</v>
      </c>
      <c r="J180" s="4">
        <f t="shared" si="8"/>
        <v>9.8435785253182253</v>
      </c>
      <c r="K180" s="21">
        <v>1.1000000000000001</v>
      </c>
    </row>
    <row r="181" spans="1:11" x14ac:dyDescent="0.2">
      <c r="A181">
        <v>87480</v>
      </c>
      <c r="B181" s="1">
        <v>30496</v>
      </c>
      <c r="C181" s="2">
        <f t="shared" si="6"/>
        <v>180</v>
      </c>
      <c r="D181">
        <v>13.8</v>
      </c>
      <c r="E181">
        <v>0.2</v>
      </c>
      <c r="F181">
        <v>6.3</v>
      </c>
      <c r="G181">
        <v>0</v>
      </c>
      <c r="H181">
        <v>-32.903599999999997</v>
      </c>
      <c r="I181" s="4">
        <f t="shared" si="7"/>
        <v>23.241624800646512</v>
      </c>
      <c r="J181" s="4">
        <f t="shared" si="8"/>
        <v>9.8489259544638426</v>
      </c>
      <c r="K181" s="21">
        <v>1.4</v>
      </c>
    </row>
    <row r="182" spans="1:11" x14ac:dyDescent="0.2">
      <c r="A182">
        <v>87480</v>
      </c>
      <c r="B182" s="1">
        <v>30497</v>
      </c>
      <c r="C182" s="2">
        <f t="shared" si="6"/>
        <v>181</v>
      </c>
      <c r="D182">
        <v>15.7</v>
      </c>
      <c r="E182">
        <v>2</v>
      </c>
      <c r="F182">
        <v>8.3000000000000007</v>
      </c>
      <c r="G182">
        <v>0</v>
      </c>
      <c r="H182">
        <v>-32.903599999999997</v>
      </c>
      <c r="I182" s="4">
        <f t="shared" si="7"/>
        <v>23.184489490948383</v>
      </c>
      <c r="J182" s="4">
        <f t="shared" si="8"/>
        <v>9.8550000931926878</v>
      </c>
      <c r="K182" s="21">
        <v>0.6</v>
      </c>
    </row>
    <row r="183" spans="1:11" x14ac:dyDescent="0.2">
      <c r="A183">
        <v>87480</v>
      </c>
      <c r="B183" s="1">
        <v>30498</v>
      </c>
      <c r="C183" s="2">
        <f t="shared" si="6"/>
        <v>182</v>
      </c>
      <c r="D183">
        <v>14.4</v>
      </c>
      <c r="E183">
        <v>2</v>
      </c>
      <c r="F183">
        <v>8.4</v>
      </c>
      <c r="G183">
        <v>0</v>
      </c>
      <c r="H183">
        <v>-32.903599999999997</v>
      </c>
      <c r="I183" s="4">
        <f t="shared" si="7"/>
        <v>23.120484116651824</v>
      </c>
      <c r="J183" s="4">
        <f t="shared" si="8"/>
        <v>9.8617967892898104</v>
      </c>
      <c r="K183" s="21">
        <v>1.5</v>
      </c>
    </row>
    <row r="184" spans="1:11" x14ac:dyDescent="0.2">
      <c r="A184">
        <v>87480</v>
      </c>
      <c r="B184" s="1">
        <v>30499</v>
      </c>
      <c r="C184" s="2">
        <f t="shared" si="6"/>
        <v>183</v>
      </c>
      <c r="D184">
        <v>20</v>
      </c>
      <c r="E184">
        <v>7.9</v>
      </c>
      <c r="F184">
        <v>13.2</v>
      </c>
      <c r="G184">
        <v>0</v>
      </c>
      <c r="H184">
        <v>-32.903599999999997</v>
      </c>
      <c r="I184" s="4">
        <f t="shared" si="7"/>
        <v>23.049627643930584</v>
      </c>
      <c r="J184" s="4">
        <f t="shared" si="8"/>
        <v>9.8693114196964178</v>
      </c>
      <c r="K184" s="21">
        <v>1.8</v>
      </c>
    </row>
    <row r="185" spans="1:11" x14ac:dyDescent="0.2">
      <c r="A185">
        <v>87480</v>
      </c>
      <c r="B185" s="1">
        <v>30500</v>
      </c>
      <c r="C185" s="2">
        <f t="shared" si="6"/>
        <v>184</v>
      </c>
      <c r="D185">
        <v>17.100000000000001</v>
      </c>
      <c r="E185">
        <v>0.6</v>
      </c>
      <c r="F185">
        <v>8.6</v>
      </c>
      <c r="G185">
        <v>0</v>
      </c>
      <c r="H185">
        <v>-32.903599999999997</v>
      </c>
      <c r="I185" s="4">
        <f t="shared" si="7"/>
        <v>22.971941069086743</v>
      </c>
      <c r="J185" s="4">
        <f t="shared" si="8"/>
        <v>9.8775389012757451</v>
      </c>
      <c r="K185" s="21">
        <v>1.4</v>
      </c>
    </row>
    <row r="186" spans="1:11" x14ac:dyDescent="0.2">
      <c r="A186">
        <v>87480</v>
      </c>
      <c r="B186" s="1">
        <v>30501</v>
      </c>
      <c r="C186" s="2">
        <f t="shared" si="6"/>
        <v>185</v>
      </c>
      <c r="D186">
        <v>19.7</v>
      </c>
      <c r="E186">
        <v>5.5</v>
      </c>
      <c r="F186">
        <v>13.3</v>
      </c>
      <c r="G186">
        <v>0</v>
      </c>
      <c r="H186">
        <v>-32.903599999999997</v>
      </c>
      <c r="I186" s="4">
        <f t="shared" si="7"/>
        <v>22.887447412329035</v>
      </c>
      <c r="J186" s="4">
        <f t="shared" si="8"/>
        <v>9.8864737025527916</v>
      </c>
      <c r="K186" s="21">
        <v>1.5</v>
      </c>
    </row>
    <row r="187" spans="1:11" x14ac:dyDescent="0.2">
      <c r="A187">
        <v>87480</v>
      </c>
      <c r="B187" s="1">
        <v>30502</v>
      </c>
      <c r="C187" s="2">
        <f t="shared" si="6"/>
        <v>186</v>
      </c>
      <c r="D187">
        <v>19.8</v>
      </c>
      <c r="E187">
        <v>8.8000000000000007</v>
      </c>
      <c r="F187">
        <v>12.6</v>
      </c>
      <c r="G187">
        <v>0</v>
      </c>
      <c r="H187">
        <v>-32.903599999999997</v>
      </c>
      <c r="I187" s="4">
        <f t="shared" si="7"/>
        <v>22.796171710951487</v>
      </c>
      <c r="J187" s="4">
        <f t="shared" si="8"/>
        <v>9.896109856373176</v>
      </c>
      <c r="K187" s="21">
        <v>1.8</v>
      </c>
    </row>
    <row r="188" spans="1:11" x14ac:dyDescent="0.2">
      <c r="A188">
        <v>87480</v>
      </c>
      <c r="B188" s="1">
        <v>30503</v>
      </c>
      <c r="C188" s="2">
        <f t="shared" si="6"/>
        <v>187</v>
      </c>
      <c r="D188">
        <v>16.7</v>
      </c>
      <c r="E188">
        <v>3.5</v>
      </c>
      <c r="F188">
        <v>10.1</v>
      </c>
      <c r="G188">
        <v>0</v>
      </c>
      <c r="H188">
        <v>-32.903599999999997</v>
      </c>
      <c r="I188" s="4">
        <f t="shared" si="7"/>
        <v>22.698141011914306</v>
      </c>
      <c r="J188" s="4">
        <f t="shared" si="8"/>
        <v>9.906440973422816</v>
      </c>
      <c r="K188" s="21">
        <v>1.9</v>
      </c>
    </row>
    <row r="189" spans="1:11" x14ac:dyDescent="0.2">
      <c r="A189">
        <v>87480</v>
      </c>
      <c r="B189" s="1">
        <v>30504</v>
      </c>
      <c r="C189" s="2">
        <f t="shared" si="6"/>
        <v>188</v>
      </c>
      <c r="D189">
        <v>13.7</v>
      </c>
      <c r="E189">
        <v>9.4</v>
      </c>
      <c r="F189">
        <v>12.6</v>
      </c>
      <c r="G189">
        <v>0.8</v>
      </c>
      <c r="H189">
        <v>-32.903599999999997</v>
      </c>
      <c r="I189" s="4">
        <f t="shared" si="7"/>
        <v>22.593384363829291</v>
      </c>
      <c r="J189" s="4">
        <f t="shared" si="8"/>
        <v>9.9174602565469314</v>
      </c>
      <c r="K189" s="21">
        <v>1.2</v>
      </c>
    </row>
    <row r="190" spans="1:11" x14ac:dyDescent="0.2">
      <c r="A190">
        <v>87480</v>
      </c>
      <c r="B190" s="1">
        <v>30505</v>
      </c>
      <c r="C190" s="2">
        <f t="shared" si="6"/>
        <v>189</v>
      </c>
      <c r="D190">
        <v>11.2</v>
      </c>
      <c r="E190">
        <v>6.1</v>
      </c>
      <c r="F190">
        <v>8</v>
      </c>
      <c r="G190">
        <v>0</v>
      </c>
      <c r="H190">
        <v>-32.903599999999997</v>
      </c>
      <c r="I190" s="4">
        <f t="shared" si="7"/>
        <v>22.481932808352099</v>
      </c>
      <c r="J190" s="4">
        <f t="shared" si="8"/>
        <v>9.9291605158041918</v>
      </c>
      <c r="K190" s="21">
        <v>1.3</v>
      </c>
    </row>
    <row r="191" spans="1:11" x14ac:dyDescent="0.2">
      <c r="A191">
        <v>87480</v>
      </c>
      <c r="B191" s="1">
        <v>30506</v>
      </c>
      <c r="C191" s="2">
        <f t="shared" si="6"/>
        <v>190</v>
      </c>
      <c r="D191">
        <v>11.3</v>
      </c>
      <c r="E191">
        <v>3.1</v>
      </c>
      <c r="F191">
        <v>7.3</v>
      </c>
      <c r="G191">
        <v>0</v>
      </c>
      <c r="H191">
        <v>-32.903599999999997</v>
      </c>
      <c r="I191" s="4">
        <f t="shared" si="7"/>
        <v>22.363819370983947</v>
      </c>
      <c r="J191" s="4">
        <f t="shared" si="8"/>
        <v>9.9415341841895124</v>
      </c>
      <c r="K191" s="21">
        <v>1</v>
      </c>
    </row>
    <row r="192" spans="1:11" x14ac:dyDescent="0.2">
      <c r="A192">
        <v>87480</v>
      </c>
      <c r="B192" s="1">
        <v>30507</v>
      </c>
      <c r="C192" s="2">
        <f t="shared" si="6"/>
        <v>191</v>
      </c>
      <c r="D192">
        <v>13.9</v>
      </c>
      <c r="E192">
        <v>-1</v>
      </c>
      <c r="F192">
        <v>5.9</v>
      </c>
      <c r="G192">
        <v>0</v>
      </c>
      <c r="H192">
        <v>-32.903599999999997</v>
      </c>
      <c r="I192" s="4">
        <f t="shared" si="7"/>
        <v>22.239079051285422</v>
      </c>
      <c r="J192" s="4">
        <f t="shared" si="8"/>
        <v>9.9545733339572333</v>
      </c>
      <c r="K192" s="21">
        <v>1.1000000000000001</v>
      </c>
    </row>
    <row r="193" spans="1:11" x14ac:dyDescent="0.2">
      <c r="A193">
        <v>87480</v>
      </c>
      <c r="B193" s="1">
        <v>30508</v>
      </c>
      <c r="C193" s="2">
        <f t="shared" si="6"/>
        <v>192</v>
      </c>
      <c r="D193">
        <v>14.5</v>
      </c>
      <c r="E193">
        <v>-0.8</v>
      </c>
      <c r="F193">
        <v>5.8</v>
      </c>
      <c r="G193">
        <v>0</v>
      </c>
      <c r="H193">
        <v>-32.903599999999997</v>
      </c>
      <c r="I193" s="4">
        <f t="shared" si="7"/>
        <v>22.107748812505367</v>
      </c>
      <c r="J193" s="4">
        <f t="shared" si="8"/>
        <v>9.9682696934750403</v>
      </c>
      <c r="K193" s="21">
        <v>1.8</v>
      </c>
    </row>
    <row r="194" spans="1:11" x14ac:dyDescent="0.2">
      <c r="A194">
        <v>87480</v>
      </c>
      <c r="B194" s="1">
        <v>30509</v>
      </c>
      <c r="C194" s="2">
        <f t="shared" ref="C194:C257" si="9">B194-DATE(YEAR(B194),1,1)+1</f>
        <v>193</v>
      </c>
      <c r="D194">
        <v>15.2</v>
      </c>
      <c r="E194">
        <v>-2.2000000000000002</v>
      </c>
      <c r="F194">
        <v>5.7</v>
      </c>
      <c r="G194">
        <v>0</v>
      </c>
      <c r="H194">
        <v>-32.903599999999997</v>
      </c>
      <c r="I194" s="4">
        <f t="shared" ref="I194:I257" si="10">23.45*SIN(RADIANS(360/365*(C194-81)))</f>
        <v>21.969867570627869</v>
      </c>
      <c r="J194" s="4">
        <f t="shared" ref="J194:J257" si="11">IFERROR(24 / PI() * ACOS(-TAN(RADIANS(H194)) * TAN(RADIANS(I194))), IF(-TAN(RADIANS(H194)) * TAN(RADIANS(I194)) &gt;= 1, 0,24))</f>
        <v>9.9826146645381257</v>
      </c>
      <c r="K194" s="21">
        <v>2.4</v>
      </c>
    </row>
    <row r="195" spans="1:11" x14ac:dyDescent="0.2">
      <c r="A195">
        <v>87480</v>
      </c>
      <c r="B195" s="1">
        <v>30510</v>
      </c>
      <c r="C195" s="2">
        <f t="shared" si="9"/>
        <v>194</v>
      </c>
      <c r="D195">
        <v>13.5</v>
      </c>
      <c r="E195">
        <v>2.4</v>
      </c>
      <c r="F195">
        <v>9.6999999999999993</v>
      </c>
      <c r="G195">
        <v>0</v>
      </c>
      <c r="H195">
        <v>-32.903599999999997</v>
      </c>
      <c r="I195" s="4">
        <f t="shared" si="10"/>
        <v>21.825476182840617</v>
      </c>
      <c r="J195" s="4">
        <f t="shared" si="11"/>
        <v>9.9975993400725844</v>
      </c>
      <c r="K195" s="21">
        <v>1.3</v>
      </c>
    </row>
    <row r="196" spans="1:11" x14ac:dyDescent="0.2">
      <c r="A196">
        <v>87480</v>
      </c>
      <c r="B196" s="1">
        <v>30511</v>
      </c>
      <c r="C196" s="2">
        <f t="shared" si="9"/>
        <v>195</v>
      </c>
      <c r="D196">
        <v>16.8</v>
      </c>
      <c r="E196">
        <v>9</v>
      </c>
      <c r="F196">
        <v>11.4</v>
      </c>
      <c r="G196">
        <v>0</v>
      </c>
      <c r="H196">
        <v>-32.903599999999997</v>
      </c>
      <c r="I196" s="4">
        <f t="shared" si="10"/>
        <v>21.67461743542804</v>
      </c>
      <c r="J196" s="4">
        <f t="shared" si="11"/>
        <v>10.013214522157138</v>
      </c>
      <c r="K196" s="21">
        <v>1.1000000000000001</v>
      </c>
    </row>
    <row r="197" spans="1:11" x14ac:dyDescent="0.2">
      <c r="A197">
        <v>87480</v>
      </c>
      <c r="B197" s="1">
        <v>30512</v>
      </c>
      <c r="C197" s="2">
        <f t="shared" si="9"/>
        <v>196</v>
      </c>
      <c r="D197">
        <v>15.9</v>
      </c>
      <c r="E197">
        <v>3</v>
      </c>
      <c r="F197">
        <v>8.3000000000000007</v>
      </c>
      <c r="G197">
        <v>0</v>
      </c>
      <c r="H197">
        <v>-32.903599999999997</v>
      </c>
      <c r="I197" s="4">
        <f t="shared" si="10"/>
        <v>21.517336031092785</v>
      </c>
      <c r="J197" s="4">
        <f t="shared" si="11"/>
        <v>10.029450740292596</v>
      </c>
      <c r="K197" s="21">
        <v>2.2999999999999998</v>
      </c>
    </row>
    <row r="198" spans="1:11" x14ac:dyDescent="0.2">
      <c r="A198">
        <v>87480</v>
      </c>
      <c r="B198" s="1">
        <v>30513</v>
      </c>
      <c r="C198" s="2">
        <f t="shared" si="9"/>
        <v>197</v>
      </c>
      <c r="D198">
        <v>13.8</v>
      </c>
      <c r="E198">
        <v>-1.8</v>
      </c>
      <c r="F198">
        <v>5.2</v>
      </c>
      <c r="G198">
        <v>0</v>
      </c>
      <c r="H198">
        <v>-32.903599999999997</v>
      </c>
      <c r="I198" s="4">
        <f t="shared" si="10"/>
        <v>21.353678575709374</v>
      </c>
      <c r="J198" s="4">
        <f t="shared" si="11"/>
        <v>10.046298269849352</v>
      </c>
      <c r="K198" s="21">
        <v>0.8</v>
      </c>
    </row>
    <row r="199" spans="1:11" x14ac:dyDescent="0.2">
      <c r="A199">
        <v>87480</v>
      </c>
      <c r="B199" s="1">
        <v>30514</v>
      </c>
      <c r="C199" s="2">
        <f t="shared" si="9"/>
        <v>198</v>
      </c>
      <c r="D199">
        <v>12.2</v>
      </c>
      <c r="E199">
        <v>-1.9</v>
      </c>
      <c r="F199">
        <v>4.4000000000000004</v>
      </c>
      <c r="G199">
        <v>0</v>
      </c>
      <c r="H199">
        <v>-32.903599999999997</v>
      </c>
      <c r="I199" s="4">
        <f t="shared" si="10"/>
        <v>21.183693564513849</v>
      </c>
      <c r="J199" s="4">
        <f t="shared" si="11"/>
        <v>10.063747150624376</v>
      </c>
      <c r="K199" s="21">
        <v>1.2</v>
      </c>
    </row>
    <row r="200" spans="1:11" x14ac:dyDescent="0.2">
      <c r="A200">
        <v>87480</v>
      </c>
      <c r="B200" s="1">
        <v>30515</v>
      </c>
      <c r="C200" s="2">
        <f t="shared" si="9"/>
        <v>199</v>
      </c>
      <c r="D200">
        <v>14.5</v>
      </c>
      <c r="E200">
        <v>-1.5</v>
      </c>
      <c r="F200">
        <v>5.4</v>
      </c>
      <c r="G200">
        <v>0</v>
      </c>
      <c r="H200">
        <v>-32.903599999999997</v>
      </c>
      <c r="I200" s="4">
        <f t="shared" si="10"/>
        <v>21.007431367733616</v>
      </c>
      <c r="J200" s="4">
        <f t="shared" si="11"/>
        <v>10.081787205440778</v>
      </c>
      <c r="K200" s="21">
        <v>1.1000000000000001</v>
      </c>
    </row>
    <row r="201" spans="1:11" x14ac:dyDescent="0.2">
      <c r="A201">
        <v>87480</v>
      </c>
      <c r="B201" s="1">
        <v>30516</v>
      </c>
      <c r="C201" s="2">
        <f t="shared" si="9"/>
        <v>200</v>
      </c>
      <c r="D201">
        <v>15.2</v>
      </c>
      <c r="E201">
        <v>-2</v>
      </c>
      <c r="F201">
        <v>6.8</v>
      </c>
      <c r="G201">
        <v>0</v>
      </c>
      <c r="H201">
        <v>-32.903599999999997</v>
      </c>
      <c r="I201" s="4">
        <f t="shared" si="10"/>
        <v>20.824944215661617</v>
      </c>
      <c r="J201" s="4">
        <f t="shared" si="11"/>
        <v>10.100408058724827</v>
      </c>
      <c r="K201" s="21">
        <v>1.2</v>
      </c>
    </row>
    <row r="202" spans="1:11" x14ac:dyDescent="0.2">
      <c r="A202">
        <v>87480</v>
      </c>
      <c r="B202" s="1">
        <v>30517</v>
      </c>
      <c r="C202" s="2">
        <f t="shared" si="9"/>
        <v>201</v>
      </c>
      <c r="D202">
        <v>15.5</v>
      </c>
      <c r="E202">
        <v>-1</v>
      </c>
      <c r="F202">
        <v>7.3</v>
      </c>
      <c r="G202">
        <v>0</v>
      </c>
      <c r="H202">
        <v>-32.903599999999997</v>
      </c>
      <c r="I202" s="4">
        <f t="shared" si="10"/>
        <v>20.636286183179411</v>
      </c>
      <c r="J202" s="4">
        <f t="shared" si="11"/>
        <v>10.119599154997589</v>
      </c>
      <c r="K202" s="21">
        <v>0.8</v>
      </c>
    </row>
    <row r="203" spans="1:11" x14ac:dyDescent="0.2">
      <c r="A203">
        <v>87480</v>
      </c>
      <c r="B203" s="1">
        <v>30518</v>
      </c>
      <c r="C203" s="2">
        <f t="shared" si="9"/>
        <v>202</v>
      </c>
      <c r="D203">
        <v>18.5</v>
      </c>
      <c r="E203">
        <v>-1.2</v>
      </c>
      <c r="F203">
        <v>6.9</v>
      </c>
      <c r="G203">
        <v>0</v>
      </c>
      <c r="H203">
        <v>-32.903599999999997</v>
      </c>
      <c r="I203" s="4">
        <f t="shared" si="10"/>
        <v>20.441513173733597</v>
      </c>
      <c r="J203" s="4">
        <f t="shared" si="11"/>
        <v>10.139349777220737</v>
      </c>
      <c r="K203" s="21">
        <v>0.7</v>
      </c>
    </row>
    <row r="204" spans="1:11" x14ac:dyDescent="0.2">
      <c r="A204">
        <v>87480</v>
      </c>
      <c r="B204" s="1">
        <v>30519</v>
      </c>
      <c r="C204" s="2">
        <f t="shared" si="9"/>
        <v>203</v>
      </c>
      <c r="D204">
        <v>15.7</v>
      </c>
      <c r="E204">
        <v>1.3</v>
      </c>
      <c r="F204">
        <v>7.5</v>
      </c>
      <c r="G204">
        <v>0</v>
      </c>
      <c r="H204">
        <v>-32.903599999999997</v>
      </c>
      <c r="I204" s="4">
        <f t="shared" si="10"/>
        <v>20.240682902770423</v>
      </c>
      <c r="J204" s="4">
        <f t="shared" si="11"/>
        <v>10.15964906493887</v>
      </c>
      <c r="K204" s="21">
        <v>1.4</v>
      </c>
    </row>
    <row r="205" spans="1:11" x14ac:dyDescent="0.2">
      <c r="A205">
        <v>87480</v>
      </c>
      <c r="B205" s="1">
        <v>30520</v>
      </c>
      <c r="C205" s="2">
        <f t="shared" si="9"/>
        <v>204</v>
      </c>
      <c r="D205">
        <v>16.5</v>
      </c>
      <c r="E205">
        <v>3.2</v>
      </c>
      <c r="F205">
        <v>9</v>
      </c>
      <c r="G205">
        <v>0.3</v>
      </c>
      <c r="H205">
        <v>-32.903599999999997</v>
      </c>
      <c r="I205" s="4">
        <f t="shared" si="10"/>
        <v>20.033854880633442</v>
      </c>
      <c r="J205" s="4">
        <f t="shared" si="11"/>
        <v>10.18048603216349</v>
      </c>
      <c r="K205" s="21">
        <v>1.2</v>
      </c>
    </row>
    <row r="206" spans="1:11" x14ac:dyDescent="0.2">
      <c r="A206">
        <v>87480</v>
      </c>
      <c r="B206" s="1">
        <v>30521</v>
      </c>
      <c r="C206" s="2">
        <f t="shared" si="9"/>
        <v>205</v>
      </c>
      <c r="D206">
        <v>10.9</v>
      </c>
      <c r="E206">
        <v>6.3</v>
      </c>
      <c r="F206">
        <v>8.1999999999999993</v>
      </c>
      <c r="G206">
        <v>1</v>
      </c>
      <c r="H206">
        <v>-32.903599999999997</v>
      </c>
      <c r="I206" s="4">
        <f t="shared" si="10"/>
        <v>19.821090394929335</v>
      </c>
      <c r="J206" s="4">
        <f t="shared" si="11"/>
        <v>10.201849584946993</v>
      </c>
      <c r="K206" s="21">
        <v>1.4</v>
      </c>
    </row>
    <row r="207" spans="1:11" x14ac:dyDescent="0.2">
      <c r="A207">
        <v>87480</v>
      </c>
      <c r="B207" s="1">
        <v>30522</v>
      </c>
      <c r="C207" s="2">
        <f t="shared" si="9"/>
        <v>206</v>
      </c>
      <c r="D207">
        <v>12.5</v>
      </c>
      <c r="E207">
        <v>3.2</v>
      </c>
      <c r="F207">
        <v>6.8</v>
      </c>
      <c r="G207">
        <v>0</v>
      </c>
      <c r="H207">
        <v>-32.903599999999997</v>
      </c>
      <c r="I207" s="4">
        <f t="shared" si="10"/>
        <v>19.602452492367039</v>
      </c>
      <c r="J207" s="4">
        <f t="shared" si="11"/>
        <v>10.223728538598174</v>
      </c>
      <c r="K207" s="21">
        <v>1.2</v>
      </c>
    </row>
    <row r="208" spans="1:11" x14ac:dyDescent="0.2">
      <c r="A208">
        <v>87480</v>
      </c>
      <c r="B208" s="1">
        <v>30523</v>
      </c>
      <c r="C208" s="2">
        <f t="shared" si="9"/>
        <v>207</v>
      </c>
      <c r="D208">
        <v>14</v>
      </c>
      <c r="E208">
        <v>-0.8</v>
      </c>
      <c r="F208">
        <v>5.9</v>
      </c>
      <c r="G208">
        <v>0</v>
      </c>
      <c r="H208">
        <v>-32.903599999999997</v>
      </c>
      <c r="I208" s="4">
        <f t="shared" si="10"/>
        <v>19.378005960075679</v>
      </c>
      <c r="J208" s="4">
        <f t="shared" si="11"/>
        <v>10.246111634494168</v>
      </c>
      <c r="K208" s="21">
        <v>1.4</v>
      </c>
    </row>
    <row r="209" spans="1:11" x14ac:dyDescent="0.2">
      <c r="A209">
        <v>87480</v>
      </c>
      <c r="B209" s="1">
        <v>30524</v>
      </c>
      <c r="C209" s="2">
        <f t="shared" si="9"/>
        <v>208</v>
      </c>
      <c r="D209">
        <v>13.6</v>
      </c>
      <c r="E209">
        <v>2.9</v>
      </c>
      <c r="F209">
        <v>8.1999999999999993</v>
      </c>
      <c r="G209">
        <v>0</v>
      </c>
      <c r="H209">
        <v>-32.903599999999997</v>
      </c>
      <c r="I209" s="4">
        <f t="shared" si="10"/>
        <v>19.147817306406733</v>
      </c>
      <c r="J209" s="4">
        <f t="shared" si="11"/>
        <v>10.268987556447145</v>
      </c>
      <c r="K209" s="21">
        <v>1.1000000000000001</v>
      </c>
    </row>
    <row r="210" spans="1:11" x14ac:dyDescent="0.2">
      <c r="A210">
        <v>87480</v>
      </c>
      <c r="B210" s="1">
        <v>30525</v>
      </c>
      <c r="C210" s="2">
        <f t="shared" si="9"/>
        <v>209</v>
      </c>
      <c r="D210">
        <v>16.600000000000001</v>
      </c>
      <c r="E210">
        <v>9.4</v>
      </c>
      <c r="F210">
        <v>12.3</v>
      </c>
      <c r="G210">
        <v>0</v>
      </c>
      <c r="H210">
        <v>-32.903599999999997</v>
      </c>
      <c r="I210" s="4">
        <f t="shared" si="10"/>
        <v>18.911954741226154</v>
      </c>
      <c r="J210" s="4">
        <f t="shared" si="11"/>
        <v>10.292344946587619</v>
      </c>
      <c r="K210" s="21">
        <v>1.6</v>
      </c>
    </row>
    <row r="211" spans="1:11" x14ac:dyDescent="0.2">
      <c r="A211">
        <v>87480</v>
      </c>
      <c r="B211" s="1">
        <v>30526</v>
      </c>
      <c r="C211" s="2">
        <f t="shared" si="9"/>
        <v>210</v>
      </c>
      <c r="D211">
        <v>13.7</v>
      </c>
      <c r="E211">
        <v>-1.3</v>
      </c>
      <c r="F211">
        <v>5.3</v>
      </c>
      <c r="G211">
        <v>0</v>
      </c>
      <c r="H211">
        <v>-32.903599999999997</v>
      </c>
      <c r="I211" s="4">
        <f t="shared" si="10"/>
        <v>18.670488155702341</v>
      </c>
      <c r="J211" s="4">
        <f t="shared" si="11"/>
        <v>10.316172420729686</v>
      </c>
      <c r="K211" s="21">
        <v>1.5</v>
      </c>
    </row>
    <row r="212" spans="1:11" x14ac:dyDescent="0.2">
      <c r="A212">
        <v>87480</v>
      </c>
      <c r="B212" s="1">
        <v>30527</v>
      </c>
      <c r="C212" s="2">
        <f t="shared" si="9"/>
        <v>211</v>
      </c>
      <c r="D212">
        <v>14.2</v>
      </c>
      <c r="E212">
        <v>-6</v>
      </c>
      <c r="F212">
        <v>3.5</v>
      </c>
      <c r="G212">
        <v>0</v>
      </c>
      <c r="H212">
        <v>-32.903599999999997</v>
      </c>
      <c r="I212" s="4">
        <f t="shared" si="10"/>
        <v>18.423489101595852</v>
      </c>
      <c r="J212" s="4">
        <f t="shared" si="11"/>
        <v>10.340458583187171</v>
      </c>
      <c r="K212" s="21">
        <v>1.4</v>
      </c>
    </row>
    <row r="213" spans="1:11" x14ac:dyDescent="0.2">
      <c r="A213">
        <v>87480</v>
      </c>
      <c r="B213" s="1">
        <v>30528</v>
      </c>
      <c r="C213" s="2">
        <f t="shared" si="9"/>
        <v>212</v>
      </c>
      <c r="D213">
        <v>10.8</v>
      </c>
      <c r="E213">
        <v>-3.8</v>
      </c>
      <c r="F213">
        <v>3.6</v>
      </c>
      <c r="G213">
        <v>0</v>
      </c>
      <c r="H213">
        <v>-32.903599999999997</v>
      </c>
      <c r="I213" s="4">
        <f t="shared" si="10"/>
        <v>18.171030770057104</v>
      </c>
      <c r="J213" s="4">
        <f t="shared" si="11"/>
        <v>10.365192041012978</v>
      </c>
      <c r="K213" s="21">
        <v>1.2</v>
      </c>
    </row>
    <row r="214" spans="1:11" x14ac:dyDescent="0.2">
      <c r="A214">
        <v>87480</v>
      </c>
      <c r="B214" s="1">
        <v>30529</v>
      </c>
      <c r="C214" s="2">
        <f t="shared" si="9"/>
        <v>213</v>
      </c>
      <c r="D214">
        <v>13.2</v>
      </c>
      <c r="E214">
        <v>-2</v>
      </c>
      <c r="F214">
        <v>5.5</v>
      </c>
      <c r="G214">
        <v>0</v>
      </c>
      <c r="H214">
        <v>-32.903599999999997</v>
      </c>
      <c r="I214" s="4">
        <f t="shared" si="10"/>
        <v>17.913187969938228</v>
      </c>
      <c r="J214" s="4">
        <f t="shared" si="11"/>
        <v>10.390361417637612</v>
      </c>
      <c r="K214" s="21">
        <v>1.2</v>
      </c>
    </row>
    <row r="215" spans="1:11" x14ac:dyDescent="0.2">
      <c r="A215">
        <v>87480</v>
      </c>
      <c r="B215" s="1">
        <v>30530</v>
      </c>
      <c r="C215" s="2">
        <f t="shared" si="9"/>
        <v>214</v>
      </c>
      <c r="D215">
        <v>14.8</v>
      </c>
      <c r="E215">
        <v>-3</v>
      </c>
      <c r="F215">
        <v>5.3</v>
      </c>
      <c r="G215">
        <v>0</v>
      </c>
      <c r="H215">
        <v>-32.903599999999997</v>
      </c>
      <c r="I215" s="4">
        <f t="shared" si="10"/>
        <v>17.650037105625596</v>
      </c>
      <c r="J215" s="4">
        <f t="shared" si="11"/>
        <v>10.415955365886074</v>
      </c>
      <c r="K215" s="21">
        <v>1.8</v>
      </c>
    </row>
    <row r="216" spans="1:11" x14ac:dyDescent="0.2">
      <c r="A216">
        <v>87480</v>
      </c>
      <c r="B216" s="1">
        <v>30531</v>
      </c>
      <c r="C216" s="2">
        <f t="shared" si="9"/>
        <v>215</v>
      </c>
      <c r="D216">
        <v>15.5</v>
      </c>
      <c r="E216">
        <v>0.3</v>
      </c>
      <c r="F216">
        <v>7.7</v>
      </c>
      <c r="G216">
        <v>0</v>
      </c>
      <c r="H216">
        <v>-32.903599999999997</v>
      </c>
      <c r="I216" s="4">
        <f t="shared" si="10"/>
        <v>17.381656154399575</v>
      </c>
      <c r="J216" s="4">
        <f t="shared" si="11"/>
        <v>10.441962580355735</v>
      </c>
      <c r="K216" s="21">
        <v>2.2999999999999998</v>
      </c>
    </row>
    <row r="217" spans="1:11" x14ac:dyDescent="0.2">
      <c r="A217">
        <v>87480</v>
      </c>
      <c r="B217" s="1">
        <v>30532</v>
      </c>
      <c r="C217" s="2">
        <f t="shared" si="9"/>
        <v>216</v>
      </c>
      <c r="D217">
        <v>18.3</v>
      </c>
      <c r="E217">
        <v>7</v>
      </c>
      <c r="F217">
        <v>13.2</v>
      </c>
      <c r="G217">
        <v>0</v>
      </c>
      <c r="H217">
        <v>-32.903599999999997</v>
      </c>
      <c r="I217" s="4">
        <f t="shared" si="10"/>
        <v>17.108124643328132</v>
      </c>
      <c r="J217" s="4">
        <f t="shared" si="11"/>
        <v>10.468371809141017</v>
      </c>
      <c r="K217" s="21">
        <v>1.5</v>
      </c>
    </row>
    <row r="218" spans="1:11" x14ac:dyDescent="0.2">
      <c r="A218">
        <v>87480</v>
      </c>
      <c r="B218" s="1">
        <v>30533</v>
      </c>
      <c r="C218" s="2">
        <f t="shared" si="9"/>
        <v>217</v>
      </c>
      <c r="D218">
        <v>21.4</v>
      </c>
      <c r="E218">
        <v>11.9</v>
      </c>
      <c r="F218">
        <v>15.9</v>
      </c>
      <c r="G218">
        <v>0</v>
      </c>
      <c r="H218">
        <v>-32.903599999999997</v>
      </c>
      <c r="I218" s="4">
        <f t="shared" si="10"/>
        <v>16.829523625701309</v>
      </c>
      <c r="J218" s="4">
        <f t="shared" si="11"/>
        <v>10.495171864893724</v>
      </c>
      <c r="K218" s="21">
        <v>2.2000000000000002</v>
      </c>
    </row>
    <row r="219" spans="1:11" x14ac:dyDescent="0.2">
      <c r="A219">
        <v>87480</v>
      </c>
      <c r="B219" s="1">
        <v>30534</v>
      </c>
      <c r="C219" s="2">
        <f t="shared" si="9"/>
        <v>218</v>
      </c>
      <c r="D219">
        <v>21.6</v>
      </c>
      <c r="E219">
        <v>10.199999999999999</v>
      </c>
      <c r="F219">
        <v>14.3</v>
      </c>
      <c r="G219">
        <v>0</v>
      </c>
      <c r="H219">
        <v>-32.903599999999997</v>
      </c>
      <c r="I219" s="4">
        <f t="shared" si="10"/>
        <v>16.545935657013324</v>
      </c>
      <c r="J219" s="4">
        <f t="shared" si="11"/>
        <v>10.522351635210946</v>
      </c>
      <c r="K219" s="21">
        <v>1.9</v>
      </c>
    </row>
    <row r="220" spans="1:11" x14ac:dyDescent="0.2">
      <c r="A220">
        <v>87480</v>
      </c>
      <c r="B220" s="1">
        <v>30535</v>
      </c>
      <c r="C220" s="2">
        <f t="shared" si="9"/>
        <v>219</v>
      </c>
      <c r="D220">
        <v>14</v>
      </c>
      <c r="E220">
        <v>7</v>
      </c>
      <c r="F220">
        <v>10.199999999999999</v>
      </c>
      <c r="G220">
        <v>18.8</v>
      </c>
      <c r="H220">
        <v>-32.903599999999997</v>
      </c>
      <c r="I220" s="4">
        <f t="shared" si="10"/>
        <v>16.257444770499625</v>
      </c>
      <c r="J220" s="4">
        <f t="shared" si="11"/>
        <v>10.549900092345242</v>
      </c>
      <c r="K220" s="21">
        <v>1.1000000000000001</v>
      </c>
    </row>
    <row r="221" spans="1:11" x14ac:dyDescent="0.2">
      <c r="A221">
        <v>87480</v>
      </c>
      <c r="B221" s="1">
        <v>30536</v>
      </c>
      <c r="C221" s="2">
        <f t="shared" si="9"/>
        <v>220</v>
      </c>
      <c r="D221">
        <v>12</v>
      </c>
      <c r="E221">
        <v>5</v>
      </c>
      <c r="F221">
        <v>7.6</v>
      </c>
      <c r="G221">
        <v>0</v>
      </c>
      <c r="H221">
        <v>-32.903599999999997</v>
      </c>
      <c r="I221" s="4">
        <f t="shared" si="10"/>
        <v>15.964136452236028</v>
      </c>
      <c r="J221" s="4">
        <f t="shared" si="11"/>
        <v>10.577806302234444</v>
      </c>
      <c r="K221" s="21">
        <v>1.7</v>
      </c>
    </row>
    <row r="222" spans="1:11" x14ac:dyDescent="0.2">
      <c r="A222">
        <v>87480</v>
      </c>
      <c r="B222" s="1">
        <v>30537</v>
      </c>
      <c r="C222" s="2">
        <f t="shared" si="9"/>
        <v>221</v>
      </c>
      <c r="D222">
        <v>11.8</v>
      </c>
      <c r="E222">
        <v>2</v>
      </c>
      <c r="F222">
        <v>8.1999999999999993</v>
      </c>
      <c r="G222">
        <v>0</v>
      </c>
      <c r="H222">
        <v>-32.903599999999997</v>
      </c>
      <c r="I222" s="4">
        <f t="shared" si="10"/>
        <v>15.666097615807359</v>
      </c>
      <c r="J222" s="4">
        <f t="shared" si="11"/>
        <v>10.606059432851083</v>
      </c>
      <c r="K222" s="21">
        <v>1.1000000000000001</v>
      </c>
    </row>
    <row r="223" spans="1:11" x14ac:dyDescent="0.2">
      <c r="A223">
        <v>87480</v>
      </c>
      <c r="B223" s="1">
        <v>30538</v>
      </c>
      <c r="C223" s="2">
        <f t="shared" si="9"/>
        <v>222</v>
      </c>
      <c r="D223">
        <v>12</v>
      </c>
      <c r="E223">
        <v>9.6</v>
      </c>
      <c r="F223">
        <v>10.8</v>
      </c>
      <c r="G223">
        <v>0.2</v>
      </c>
      <c r="H223">
        <v>-32.903599999999997</v>
      </c>
      <c r="I223" s="4">
        <f t="shared" si="10"/>
        <v>15.36341657655305</v>
      </c>
      <c r="J223" s="4">
        <f t="shared" si="11"/>
        <v>10.634648761873676</v>
      </c>
      <c r="K223" s="21">
        <v>1</v>
      </c>
    </row>
    <row r="224" spans="1:11" x14ac:dyDescent="0.2">
      <c r="A224">
        <v>87480</v>
      </c>
      <c r="B224" s="1">
        <v>30539</v>
      </c>
      <c r="C224" s="2">
        <f t="shared" si="9"/>
        <v>223</v>
      </c>
      <c r="D224">
        <v>13.5</v>
      </c>
      <c r="E224">
        <v>4</v>
      </c>
      <c r="F224">
        <v>8.1</v>
      </c>
      <c r="G224">
        <v>0.5</v>
      </c>
      <c r="H224">
        <v>-32.903599999999997</v>
      </c>
      <c r="I224" s="4">
        <f t="shared" si="10"/>
        <v>15.056183025397418</v>
      </c>
      <c r="J224" s="4">
        <f t="shared" si="11"/>
        <v>10.663563683684412</v>
      </c>
      <c r="K224" s="21">
        <v>1.6</v>
      </c>
    </row>
    <row r="225" spans="1:11" x14ac:dyDescent="0.2">
      <c r="A225">
        <v>87480</v>
      </c>
      <c r="B225" s="1">
        <v>30540</v>
      </c>
      <c r="C225" s="2">
        <f t="shared" si="9"/>
        <v>224</v>
      </c>
      <c r="D225">
        <v>14</v>
      </c>
      <c r="E225">
        <v>9.8000000000000007</v>
      </c>
      <c r="F225">
        <v>11.8</v>
      </c>
      <c r="G225">
        <v>0.2</v>
      </c>
      <c r="H225">
        <v>-32.903599999999997</v>
      </c>
      <c r="I225" s="4">
        <f t="shared" si="10"/>
        <v>14.744488002272323</v>
      </c>
      <c r="J225" s="4">
        <f t="shared" si="11"/>
        <v>10.692793715699791</v>
      </c>
      <c r="K225" s="21">
        <v>1.9</v>
      </c>
    </row>
    <row r="226" spans="1:11" x14ac:dyDescent="0.2">
      <c r="A226">
        <v>87480</v>
      </c>
      <c r="B226" s="1">
        <v>30541</v>
      </c>
      <c r="C226" s="2">
        <f t="shared" si="9"/>
        <v>225</v>
      </c>
      <c r="D226">
        <v>16.7</v>
      </c>
      <c r="E226">
        <v>3.7</v>
      </c>
      <c r="F226">
        <v>9.1999999999999993</v>
      </c>
      <c r="G226">
        <v>0</v>
      </c>
      <c r="H226">
        <v>-32.903599999999997</v>
      </c>
      <c r="I226" s="4">
        <f t="shared" si="10"/>
        <v>14.428423869140033</v>
      </c>
      <c r="J226" s="4">
        <f t="shared" si="11"/>
        <v>10.722328504042611</v>
      </c>
      <c r="K226" s="21">
        <v>1.7</v>
      </c>
    </row>
    <row r="227" spans="1:11" x14ac:dyDescent="0.2">
      <c r="A227">
        <v>87480</v>
      </c>
      <c r="B227" s="1">
        <v>30542</v>
      </c>
      <c r="C227" s="2">
        <f t="shared" si="9"/>
        <v>226</v>
      </c>
      <c r="D227">
        <v>18.2</v>
      </c>
      <c r="E227">
        <v>5.5</v>
      </c>
      <c r="F227">
        <v>12.2</v>
      </c>
      <c r="G227">
        <v>0</v>
      </c>
      <c r="H227">
        <v>-32.903599999999997</v>
      </c>
      <c r="I227" s="4">
        <f t="shared" si="10"/>
        <v>14.108084282624434</v>
      </c>
      <c r="J227" s="4">
        <f t="shared" si="11"/>
        <v>10.752157828565517</v>
      </c>
      <c r="K227" s="21">
        <v>1.8</v>
      </c>
    </row>
    <row r="228" spans="1:11" x14ac:dyDescent="0.2">
      <c r="A228">
        <v>87480</v>
      </c>
      <c r="B228" s="1">
        <v>30543</v>
      </c>
      <c r="C228" s="2">
        <f t="shared" si="9"/>
        <v>227</v>
      </c>
      <c r="D228">
        <v>14.3</v>
      </c>
      <c r="E228">
        <v>1.3</v>
      </c>
      <c r="F228">
        <v>7.6</v>
      </c>
      <c r="G228">
        <v>0</v>
      </c>
      <c r="H228">
        <v>-32.903599999999997</v>
      </c>
      <c r="I228" s="4">
        <f t="shared" si="10"/>
        <v>13.783564166258497</v>
      </c>
      <c r="J228" s="4">
        <f t="shared" si="11"/>
        <v>10.782271607237726</v>
      </c>
      <c r="K228" s="21">
        <v>2.4</v>
      </c>
    </row>
    <row r="229" spans="1:11" x14ac:dyDescent="0.2">
      <c r="A229">
        <v>87480</v>
      </c>
      <c r="B229" s="1">
        <v>30544</v>
      </c>
      <c r="C229" s="2">
        <f t="shared" si="9"/>
        <v>228</v>
      </c>
      <c r="D229">
        <v>14.4</v>
      </c>
      <c r="E229">
        <v>-4.0999999999999996</v>
      </c>
      <c r="F229">
        <v>5.0999999999999996</v>
      </c>
      <c r="G229">
        <v>0</v>
      </c>
      <c r="H229">
        <v>-32.903599999999997</v>
      </c>
      <c r="I229" s="4">
        <f t="shared" si="10"/>
        <v>13.454959682356419</v>
      </c>
      <c r="J229" s="4">
        <f t="shared" si="11"/>
        <v>10.812659899908097</v>
      </c>
      <c r="K229" s="21">
        <v>2</v>
      </c>
    </row>
    <row r="230" spans="1:11" x14ac:dyDescent="0.2">
      <c r="A230">
        <v>87480</v>
      </c>
      <c r="B230" s="1">
        <v>30545</v>
      </c>
      <c r="C230" s="2">
        <f t="shared" si="9"/>
        <v>229</v>
      </c>
      <c r="D230">
        <v>15.9</v>
      </c>
      <c r="E230">
        <v>-3.4</v>
      </c>
      <c r="F230">
        <v>5.7</v>
      </c>
      <c r="G230">
        <v>0</v>
      </c>
      <c r="H230">
        <v>-32.903599999999997</v>
      </c>
      <c r="I230" s="4">
        <f t="shared" si="10"/>
        <v>13.122368203518638</v>
      </c>
      <c r="J230" s="4">
        <f t="shared" si="11"/>
        <v>10.84331291145881</v>
      </c>
      <c r="K230" s="21">
        <v>2.6</v>
      </c>
    </row>
    <row r="231" spans="1:11" x14ac:dyDescent="0.2">
      <c r="A231">
        <v>87480</v>
      </c>
      <c r="B231" s="1">
        <v>30546</v>
      </c>
      <c r="C231" s="2">
        <f t="shared" si="9"/>
        <v>230</v>
      </c>
      <c r="D231">
        <v>21.4</v>
      </c>
      <c r="E231">
        <v>0.1</v>
      </c>
      <c r="F231">
        <v>10</v>
      </c>
      <c r="G231">
        <v>0</v>
      </c>
      <c r="H231">
        <v>-32.903599999999997</v>
      </c>
      <c r="I231" s="4">
        <f t="shared" si="10"/>
        <v>12.785888283778265</v>
      </c>
      <c r="J231" s="4">
        <f t="shared" si="11"/>
        <v>10.874220994365105</v>
      </c>
      <c r="K231" s="21">
        <v>2.9</v>
      </c>
    </row>
    <row r="232" spans="1:11" x14ac:dyDescent="0.2">
      <c r="A232">
        <v>87480</v>
      </c>
      <c r="B232" s="1">
        <v>30547</v>
      </c>
      <c r="C232" s="2">
        <f t="shared" si="9"/>
        <v>231</v>
      </c>
      <c r="D232">
        <v>16.5</v>
      </c>
      <c r="E232">
        <v>1.2</v>
      </c>
      <c r="F232">
        <v>8.3000000000000007</v>
      </c>
      <c r="G232">
        <v>0</v>
      </c>
      <c r="H232">
        <v>-32.903599999999997</v>
      </c>
      <c r="I232" s="4">
        <f t="shared" si="10"/>
        <v>12.445619629397337</v>
      </c>
      <c r="J232" s="4">
        <f t="shared" si="11"/>
        <v>10.905374650677444</v>
      </c>
      <c r="K232" s="21">
        <v>1.9</v>
      </c>
    </row>
    <row r="233" spans="1:11" x14ac:dyDescent="0.2">
      <c r="A233">
        <v>87480</v>
      </c>
      <c r="B233" s="1">
        <v>30548</v>
      </c>
      <c r="C233" s="2">
        <f t="shared" si="9"/>
        <v>232</v>
      </c>
      <c r="D233">
        <v>13</v>
      </c>
      <c r="E233">
        <v>0</v>
      </c>
      <c r="F233">
        <v>6.5</v>
      </c>
      <c r="G233">
        <v>0</v>
      </c>
      <c r="H233">
        <v>-32.903599999999997</v>
      </c>
      <c r="I233" s="4">
        <f t="shared" si="10"/>
        <v>12.101663069321749</v>
      </c>
      <c r="J233" s="4">
        <f t="shared" si="11"/>
        <v>10.936764533443215</v>
      </c>
      <c r="K233" s="21">
        <v>1.8</v>
      </c>
    </row>
    <row r="234" spans="1:11" x14ac:dyDescent="0.2">
      <c r="A234">
        <v>87480</v>
      </c>
      <c r="B234" s="1">
        <v>30549</v>
      </c>
      <c r="C234" s="2">
        <f t="shared" si="9"/>
        <v>233</v>
      </c>
      <c r="D234">
        <v>16.3</v>
      </c>
      <c r="E234">
        <v>6.9</v>
      </c>
      <c r="F234">
        <v>11.9</v>
      </c>
      <c r="G234">
        <v>0</v>
      </c>
      <c r="H234">
        <v>-32.903599999999997</v>
      </c>
      <c r="I234" s="4">
        <f t="shared" si="10"/>
        <v>11.754120525303442</v>
      </c>
      <c r="J234" s="4">
        <f t="shared" si="11"/>
        <v>10.968381447585854</v>
      </c>
      <c r="K234" s="21">
        <v>2.1</v>
      </c>
    </row>
    <row r="235" spans="1:11" x14ac:dyDescent="0.2">
      <c r="A235">
        <v>87480</v>
      </c>
      <c r="B235" s="1">
        <v>30550</v>
      </c>
      <c r="C235" s="2">
        <f t="shared" si="9"/>
        <v>234</v>
      </c>
      <c r="D235">
        <v>17.7</v>
      </c>
      <c r="E235">
        <v>7.8</v>
      </c>
      <c r="F235">
        <v>13</v>
      </c>
      <c r="G235">
        <v>0</v>
      </c>
      <c r="H235">
        <v>-32.903599999999997</v>
      </c>
      <c r="I235" s="4">
        <f t="shared" si="10"/>
        <v>11.40309498169878</v>
      </c>
      <c r="J235" s="4">
        <f t="shared" si="11"/>
        <v>11.000216350259754</v>
      </c>
      <c r="K235" s="21">
        <v>2.2999999999999998</v>
      </c>
    </row>
    <row r="236" spans="1:11" x14ac:dyDescent="0.2">
      <c r="A236">
        <v>87480</v>
      </c>
      <c r="B236" s="1">
        <v>30551</v>
      </c>
      <c r="C236" s="2">
        <f t="shared" si="9"/>
        <v>235</v>
      </c>
      <c r="D236">
        <v>23.2</v>
      </c>
      <c r="E236">
        <v>9.1999999999999993</v>
      </c>
      <c r="F236">
        <v>16.3</v>
      </c>
      <c r="G236">
        <v>0</v>
      </c>
      <c r="H236">
        <v>-32.903599999999997</v>
      </c>
      <c r="I236" s="4">
        <f t="shared" si="10"/>
        <v>11.048690454952105</v>
      </c>
      <c r="J236" s="4">
        <f t="shared" si="11"/>
        <v>11.032260350699771</v>
      </c>
      <c r="K236" s="21">
        <v>2.7</v>
      </c>
    </row>
    <row r="237" spans="1:11" x14ac:dyDescent="0.2">
      <c r="A237">
        <v>87480</v>
      </c>
      <c r="B237" s="1">
        <v>30552</v>
      </c>
      <c r="C237" s="2">
        <f t="shared" si="9"/>
        <v>236</v>
      </c>
      <c r="D237">
        <v>26.8</v>
      </c>
      <c r="E237">
        <v>14.1</v>
      </c>
      <c r="F237">
        <v>19.2</v>
      </c>
      <c r="G237">
        <v>0</v>
      </c>
      <c r="H237">
        <v>-32.903599999999997</v>
      </c>
      <c r="I237" s="4">
        <f t="shared" si="10"/>
        <v>10.691011962773359</v>
      </c>
      <c r="J237" s="4">
        <f t="shared" si="11"/>
        <v>11.064504709584496</v>
      </c>
      <c r="K237" s="21">
        <v>0.9</v>
      </c>
    </row>
    <row r="238" spans="1:11" x14ac:dyDescent="0.2">
      <c r="A238">
        <v>87480</v>
      </c>
      <c r="B238" s="1">
        <v>30553</v>
      </c>
      <c r="C238" s="2">
        <f t="shared" si="9"/>
        <v>237</v>
      </c>
      <c r="D238">
        <v>27.5</v>
      </c>
      <c r="E238">
        <v>12</v>
      </c>
      <c r="F238">
        <v>18.5</v>
      </c>
      <c r="G238">
        <v>4.5999999999999996</v>
      </c>
      <c r="H238">
        <v>-32.903599999999997</v>
      </c>
      <c r="I238" s="4">
        <f t="shared" si="10"/>
        <v>10.330165493019107</v>
      </c>
      <c r="J238" s="4">
        <f t="shared" si="11"/>
        <v>11.096940837932605</v>
      </c>
      <c r="K238" s="21">
        <v>1.1000000000000001</v>
      </c>
    </row>
    <row r="239" spans="1:11" x14ac:dyDescent="0.2">
      <c r="A239">
        <v>87480</v>
      </c>
      <c r="B239" s="1">
        <v>30554</v>
      </c>
      <c r="C239" s="2">
        <f t="shared" si="9"/>
        <v>238</v>
      </c>
      <c r="D239">
        <v>16.2</v>
      </c>
      <c r="E239">
        <v>12.5</v>
      </c>
      <c r="F239">
        <v>14.4</v>
      </c>
      <c r="G239">
        <v>5</v>
      </c>
      <c r="H239">
        <v>-32.903599999999997</v>
      </c>
      <c r="I239" s="4">
        <f t="shared" si="10"/>
        <v>9.9662579722860336</v>
      </c>
      <c r="J239" s="4">
        <f t="shared" si="11"/>
        <v>11.129560295551835</v>
      </c>
      <c r="K239" s="21">
        <v>0.9</v>
      </c>
    </row>
    <row r="240" spans="1:11" x14ac:dyDescent="0.2">
      <c r="A240">
        <v>87480</v>
      </c>
      <c r="B240" s="1">
        <v>30555</v>
      </c>
      <c r="C240" s="2">
        <f t="shared" si="9"/>
        <v>239</v>
      </c>
      <c r="D240">
        <v>18.2</v>
      </c>
      <c r="E240">
        <v>13.8</v>
      </c>
      <c r="F240">
        <v>15.9</v>
      </c>
      <c r="G240">
        <v>29.5</v>
      </c>
      <c r="H240">
        <v>-32.903599999999997</v>
      </c>
      <c r="I240" s="4">
        <f t="shared" si="10"/>
        <v>9.5993972342263199</v>
      </c>
      <c r="J240" s="4">
        <f t="shared" si="11"/>
        <v>11.162354789060091</v>
      </c>
      <c r="K240" s="21">
        <v>1.8</v>
      </c>
    </row>
    <row r="241" spans="1:11" x14ac:dyDescent="0.2">
      <c r="A241">
        <v>87480</v>
      </c>
      <c r="B241" s="1">
        <v>30556</v>
      </c>
      <c r="C241" s="2">
        <f t="shared" si="9"/>
        <v>240</v>
      </c>
      <c r="D241">
        <v>18</v>
      </c>
      <c r="E241">
        <v>15.5</v>
      </c>
      <c r="F241">
        <v>16.8</v>
      </c>
      <c r="G241">
        <v>4.4000000000000004</v>
      </c>
      <c r="H241">
        <v>-32.903599999999997</v>
      </c>
      <c r="I241" s="4">
        <f t="shared" si="10"/>
        <v>9.2296919875941441</v>
      </c>
      <c r="J241" s="4">
        <f t="shared" si="11"/>
        <v>11.195316169498218</v>
      </c>
      <c r="K241" s="21">
        <v>2.1</v>
      </c>
    </row>
    <row r="242" spans="1:11" x14ac:dyDescent="0.2">
      <c r="A242">
        <v>87480</v>
      </c>
      <c r="B242" s="1">
        <v>30557</v>
      </c>
      <c r="C242" s="2">
        <f t="shared" si="9"/>
        <v>241</v>
      </c>
      <c r="D242">
        <v>15.6</v>
      </c>
      <c r="E242">
        <v>10.6</v>
      </c>
      <c r="F242">
        <v>13.2</v>
      </c>
      <c r="G242">
        <v>0</v>
      </c>
      <c r="H242">
        <v>-32.903599999999997</v>
      </c>
      <c r="I242" s="4">
        <f t="shared" si="10"/>
        <v>8.857251784032977</v>
      </c>
      <c r="J242" s="4">
        <f t="shared" si="11"/>
        <v>11.228436429553831</v>
      </c>
      <c r="K242" s="21">
        <v>2.1</v>
      </c>
    </row>
    <row r="243" spans="1:11" x14ac:dyDescent="0.2">
      <c r="A243">
        <v>87480</v>
      </c>
      <c r="B243" s="1">
        <v>30558</v>
      </c>
      <c r="C243" s="2">
        <f t="shared" si="9"/>
        <v>242</v>
      </c>
      <c r="D243">
        <v>11.8</v>
      </c>
      <c r="E243">
        <v>7.8</v>
      </c>
      <c r="F243">
        <v>9.6999999999999993</v>
      </c>
      <c r="G243">
        <v>0</v>
      </c>
      <c r="H243">
        <v>-32.903599999999997</v>
      </c>
      <c r="I243" s="4">
        <f t="shared" si="10"/>
        <v>8.4821869856130601</v>
      </c>
      <c r="J243" s="4">
        <f t="shared" si="11"/>
        <v>11.261707700415455</v>
      </c>
      <c r="K243" s="21">
        <v>2</v>
      </c>
    </row>
    <row r="244" spans="1:11" x14ac:dyDescent="0.2">
      <c r="A244">
        <v>87480</v>
      </c>
      <c r="B244" s="1">
        <v>30559</v>
      </c>
      <c r="C244" s="2">
        <f t="shared" si="9"/>
        <v>243</v>
      </c>
      <c r="D244">
        <v>13.3</v>
      </c>
      <c r="E244">
        <v>8</v>
      </c>
      <c r="F244">
        <v>9.6</v>
      </c>
      <c r="G244">
        <v>0</v>
      </c>
      <c r="H244">
        <v>-32.903599999999997</v>
      </c>
      <c r="I244" s="4">
        <f t="shared" si="10"/>
        <v>8.1046087321286997</v>
      </c>
      <c r="J244" s="4">
        <f t="shared" si="11"/>
        <v>11.295122248276023</v>
      </c>
      <c r="K244" s="21">
        <v>2.2999999999999998</v>
      </c>
    </row>
    <row r="245" spans="1:11" x14ac:dyDescent="0.2">
      <c r="A245">
        <v>87480</v>
      </c>
      <c r="B245" s="1">
        <v>30560</v>
      </c>
      <c r="C245" s="2">
        <f t="shared" si="9"/>
        <v>244</v>
      </c>
      <c r="D245">
        <v>18.3</v>
      </c>
      <c r="E245">
        <v>0.7</v>
      </c>
      <c r="F245">
        <v>9.3000000000000007</v>
      </c>
      <c r="G245">
        <v>0</v>
      </c>
      <c r="H245">
        <v>-32.903599999999997</v>
      </c>
      <c r="I245" s="4">
        <f t="shared" si="10"/>
        <v>7.7246289081652373</v>
      </c>
      <c r="J245" s="4">
        <f t="shared" si="11"/>
        <v>11.328672470504486</v>
      </c>
      <c r="K245" s="21">
        <v>2.8</v>
      </c>
    </row>
    <row r="246" spans="1:11" x14ac:dyDescent="0.2">
      <c r="A246">
        <v>87480</v>
      </c>
      <c r="B246" s="1">
        <v>30561</v>
      </c>
      <c r="C246" s="2">
        <f t="shared" si="9"/>
        <v>245</v>
      </c>
      <c r="D246">
        <v>20.3</v>
      </c>
      <c r="E246">
        <v>4.2</v>
      </c>
      <c r="F246">
        <v>11.9</v>
      </c>
      <c r="G246">
        <v>0</v>
      </c>
      <c r="H246">
        <v>-32.903599999999997</v>
      </c>
      <c r="I246" s="4">
        <f t="shared" si="10"/>
        <v>7.3423601099451412</v>
      </c>
      <c r="J246" s="4">
        <f t="shared" si="11"/>
        <v>11.362350891504025</v>
      </c>
      <c r="K246" s="21">
        <v>4.3</v>
      </c>
    </row>
    <row r="247" spans="1:11" x14ac:dyDescent="0.2">
      <c r="A247">
        <v>87480</v>
      </c>
      <c r="B247" s="1">
        <v>30562</v>
      </c>
      <c r="C247" s="2">
        <f t="shared" si="9"/>
        <v>246</v>
      </c>
      <c r="D247">
        <v>21.2</v>
      </c>
      <c r="E247">
        <v>4.7</v>
      </c>
      <c r="F247">
        <v>12.4</v>
      </c>
      <c r="G247">
        <v>0</v>
      </c>
      <c r="H247">
        <v>-32.903599999999997</v>
      </c>
      <c r="I247" s="4">
        <f t="shared" si="10"/>
        <v>6.9579156119633581</v>
      </c>
      <c r="J247" s="4">
        <f t="shared" si="11"/>
        <v>11.396150158275013</v>
      </c>
      <c r="K247" s="21">
        <v>2.7</v>
      </c>
    </row>
    <row r="248" spans="1:11" x14ac:dyDescent="0.2">
      <c r="A248">
        <v>87480</v>
      </c>
      <c r="B248" s="1">
        <v>30563</v>
      </c>
      <c r="C248" s="2">
        <f t="shared" si="9"/>
        <v>247</v>
      </c>
      <c r="D248">
        <v>21.5</v>
      </c>
      <c r="E248">
        <v>9</v>
      </c>
      <c r="F248">
        <v>15.4</v>
      </c>
      <c r="G248">
        <v>0</v>
      </c>
      <c r="H248">
        <v>-32.903599999999997</v>
      </c>
      <c r="I248" s="4">
        <f t="shared" si="10"/>
        <v>6.5714093334216326</v>
      </c>
      <c r="J248" s="4">
        <f t="shared" si="11"/>
        <v>11.430063035700471</v>
      </c>
      <c r="K248" s="21">
        <v>4.2</v>
      </c>
    </row>
    <row r="249" spans="1:11" x14ac:dyDescent="0.2">
      <c r="A249">
        <v>87480</v>
      </c>
      <c r="B249" s="1">
        <v>30564</v>
      </c>
      <c r="C249" s="2">
        <f t="shared" si="9"/>
        <v>248</v>
      </c>
      <c r="D249">
        <v>19.3</v>
      </c>
      <c r="E249">
        <v>7.9</v>
      </c>
      <c r="F249">
        <v>14.7</v>
      </c>
      <c r="G249">
        <v>0</v>
      </c>
      <c r="H249">
        <v>-32.903599999999997</v>
      </c>
      <c r="I249" s="4">
        <f t="shared" si="10"/>
        <v>6.1829558044717752</v>
      </c>
      <c r="J249" s="4">
        <f t="shared" si="11"/>
        <v>11.464082401571487</v>
      </c>
      <c r="K249" s="21">
        <v>3.8</v>
      </c>
    </row>
    <row r="250" spans="1:11" x14ac:dyDescent="0.2">
      <c r="A250">
        <v>87480</v>
      </c>
      <c r="B250" s="1">
        <v>30565</v>
      </c>
      <c r="C250" s="2">
        <f t="shared" si="9"/>
        <v>249</v>
      </c>
      <c r="D250">
        <v>16.5</v>
      </c>
      <c r="E250">
        <v>8</v>
      </c>
      <c r="F250">
        <v>11.8</v>
      </c>
      <c r="G250">
        <v>0</v>
      </c>
      <c r="H250">
        <v>-32.903599999999997</v>
      </c>
      <c r="I250" s="4">
        <f t="shared" si="10"/>
        <v>5.7926701322779479</v>
      </c>
      <c r="J250" s="4">
        <f t="shared" si="11"/>
        <v>11.498201241369538</v>
      </c>
      <c r="K250" s="21">
        <v>3.7</v>
      </c>
    </row>
    <row r="251" spans="1:11" x14ac:dyDescent="0.2">
      <c r="A251">
        <v>87480</v>
      </c>
      <c r="B251" s="1">
        <v>30566</v>
      </c>
      <c r="C251" s="2">
        <f t="shared" si="9"/>
        <v>250</v>
      </c>
      <c r="D251">
        <v>14.4</v>
      </c>
      <c r="E251">
        <v>0.8</v>
      </c>
      <c r="F251">
        <v>6.7</v>
      </c>
      <c r="G251">
        <v>0</v>
      </c>
      <c r="H251">
        <v>-32.903599999999997</v>
      </c>
      <c r="I251" s="4">
        <f t="shared" si="10"/>
        <v>5.400667966907867</v>
      </c>
      <c r="J251" s="4">
        <f t="shared" si="11"/>
        <v>11.532412642822386</v>
      </c>
      <c r="K251" s="21">
        <v>3.4</v>
      </c>
    </row>
    <row r="252" spans="1:11" x14ac:dyDescent="0.2">
      <c r="A252">
        <v>87480</v>
      </c>
      <c r="B252" s="1">
        <v>30567</v>
      </c>
      <c r="C252" s="2">
        <f t="shared" si="9"/>
        <v>251</v>
      </c>
      <c r="D252">
        <v>14.9</v>
      </c>
      <c r="E252">
        <v>-4.8</v>
      </c>
      <c r="F252">
        <v>6.1</v>
      </c>
      <c r="G252">
        <v>0</v>
      </c>
      <c r="H252">
        <v>-32.903599999999997</v>
      </c>
      <c r="I252" s="4">
        <f t="shared" si="10"/>
        <v>5.0070654670632297</v>
      </c>
      <c r="J252" s="4">
        <f t="shared" si="11"/>
        <v>11.566709790249709</v>
      </c>
      <c r="K252" s="21">
        <v>1.9</v>
      </c>
    </row>
    <row r="253" spans="1:11" x14ac:dyDescent="0.2">
      <c r="A253">
        <v>87480</v>
      </c>
      <c r="B253" s="1">
        <v>30568</v>
      </c>
      <c r="C253" s="2">
        <f t="shared" si="9"/>
        <v>252</v>
      </c>
      <c r="D253">
        <v>19.7</v>
      </c>
      <c r="E253">
        <v>-0.2</v>
      </c>
      <c r="F253">
        <v>9.1999999999999993</v>
      </c>
      <c r="G253">
        <v>0</v>
      </c>
      <c r="H253">
        <v>-32.903599999999997</v>
      </c>
      <c r="I253" s="4">
        <f t="shared" si="10"/>
        <v>4.6119792656593681</v>
      </c>
      <c r="J253" s="4">
        <f t="shared" si="11"/>
        <v>11.6010859587143</v>
      </c>
      <c r="K253" s="21">
        <v>3.8</v>
      </c>
    </row>
    <row r="254" spans="1:11" x14ac:dyDescent="0.2">
      <c r="A254">
        <v>87480</v>
      </c>
      <c r="B254" s="1">
        <v>30569</v>
      </c>
      <c r="C254" s="2">
        <f t="shared" si="9"/>
        <v>253</v>
      </c>
      <c r="D254">
        <v>16.2</v>
      </c>
      <c r="E254">
        <v>2.7</v>
      </c>
      <c r="F254">
        <v>10.3</v>
      </c>
      <c r="G254">
        <v>0</v>
      </c>
      <c r="H254">
        <v>-32.903599999999997</v>
      </c>
      <c r="I254" s="4">
        <f t="shared" si="10"/>
        <v>4.2155264352644384</v>
      </c>
      <c r="J254" s="4">
        <f t="shared" si="11"/>
        <v>11.635534507994214</v>
      </c>
      <c r="K254" s="21">
        <v>2.5</v>
      </c>
    </row>
    <row r="255" spans="1:11" x14ac:dyDescent="0.2">
      <c r="A255">
        <v>87480</v>
      </c>
      <c r="B255" s="1">
        <v>30570</v>
      </c>
      <c r="C255" s="2">
        <f t="shared" si="9"/>
        <v>254</v>
      </c>
      <c r="D255">
        <v>13.5</v>
      </c>
      <c r="E255">
        <v>6.2</v>
      </c>
      <c r="F255">
        <v>9.8000000000000007</v>
      </c>
      <c r="G255">
        <v>0</v>
      </c>
      <c r="H255">
        <v>-32.903599999999997</v>
      </c>
      <c r="I255" s="4">
        <f t="shared" si="10"/>
        <v>3.8178244534082273</v>
      </c>
      <c r="J255" s="4">
        <f t="shared" si="11"/>
        <v>11.670048876390899</v>
      </c>
      <c r="K255" s="21">
        <v>1.8</v>
      </c>
    </row>
    <row r="256" spans="1:11" x14ac:dyDescent="0.2">
      <c r="A256">
        <v>87480</v>
      </c>
      <c r="B256" s="1">
        <v>30571</v>
      </c>
      <c r="C256" s="2">
        <f t="shared" si="9"/>
        <v>255</v>
      </c>
      <c r="D256">
        <v>17</v>
      </c>
      <c r="E256">
        <v>0</v>
      </c>
      <c r="F256">
        <v>10.3</v>
      </c>
      <c r="G256">
        <v>0</v>
      </c>
      <c r="H256">
        <v>-32.903599999999997</v>
      </c>
      <c r="I256" s="4">
        <f t="shared" si="10"/>
        <v>3.4189911677710714</v>
      </c>
      <c r="J256" s="4">
        <f t="shared" si="11"/>
        <v>11.704622574387942</v>
      </c>
      <c r="K256" s="21">
        <v>2.7</v>
      </c>
    </row>
    <row r="257" spans="1:11" x14ac:dyDescent="0.2">
      <c r="A257">
        <v>87480</v>
      </c>
      <c r="B257" s="1">
        <v>30572</v>
      </c>
      <c r="C257" s="2">
        <f t="shared" si="9"/>
        <v>256</v>
      </c>
      <c r="D257">
        <v>20.6</v>
      </c>
      <c r="E257">
        <v>2.5</v>
      </c>
      <c r="F257">
        <v>12.1</v>
      </c>
      <c r="G257">
        <v>0</v>
      </c>
      <c r="H257">
        <v>-32.903599999999997</v>
      </c>
      <c r="I257" s="4">
        <f t="shared" si="10"/>
        <v>3.019144761263032</v>
      </c>
      <c r="J257" s="4">
        <f t="shared" si="11"/>
        <v>11.739249178174713</v>
      </c>
      <c r="K257" s="21">
        <v>3.3</v>
      </c>
    </row>
    <row r="258" spans="1:11" x14ac:dyDescent="0.2">
      <c r="A258">
        <v>87480</v>
      </c>
      <c r="B258" s="1">
        <v>30573</v>
      </c>
      <c r="C258" s="2">
        <f t="shared" ref="C258:C321" si="12">B258-DATE(YEAR(B258),1,1)+1</f>
        <v>257</v>
      </c>
      <c r="D258">
        <v>20.5</v>
      </c>
      <c r="E258">
        <v>7.8</v>
      </c>
      <c r="F258">
        <v>14.9</v>
      </c>
      <c r="G258">
        <v>0</v>
      </c>
      <c r="H258">
        <v>-32.903599999999997</v>
      </c>
      <c r="I258" s="4">
        <f t="shared" ref="I258:I321" si="13">23.45*SIN(RADIANS(360/365*(C258-81)))</f>
        <v>2.6184037170037402</v>
      </c>
      <c r="J258" s="4">
        <f t="shared" ref="J258:J321" si="14">IFERROR(24 / PI() * ACOS(-TAN(RADIANS(H258)) * TAN(RADIANS(I258))), IF(-TAN(RADIANS(H258)) * TAN(RADIANS(I258)) &gt;= 1, 0,24))</f>
        <v>11.773922323048874</v>
      </c>
      <c r="K258" s="21">
        <v>2</v>
      </c>
    </row>
    <row r="259" spans="1:11" x14ac:dyDescent="0.2">
      <c r="A259">
        <v>87480</v>
      </c>
      <c r="B259" s="1">
        <v>30574</v>
      </c>
      <c r="C259" s="2">
        <f t="shared" si="12"/>
        <v>258</v>
      </c>
      <c r="D259">
        <v>20.100000000000001</v>
      </c>
      <c r="E259">
        <v>7.9</v>
      </c>
      <c r="F259">
        <v>14.4</v>
      </c>
      <c r="G259">
        <v>0</v>
      </c>
      <c r="H259">
        <v>-32.903599999999997</v>
      </c>
      <c r="I259" s="4">
        <f t="shared" si="13"/>
        <v>2.2168867832133294</v>
      </c>
      <c r="J259" s="4">
        <f t="shared" si="14"/>
        <v>11.808635696711358</v>
      </c>
      <c r="K259" s="21">
        <v>3</v>
      </c>
    </row>
    <row r="260" spans="1:11" x14ac:dyDescent="0.2">
      <c r="A260">
        <v>87480</v>
      </c>
      <c r="B260" s="1">
        <v>30575</v>
      </c>
      <c r="C260" s="2">
        <f t="shared" si="12"/>
        <v>259</v>
      </c>
      <c r="D260">
        <v>20.7</v>
      </c>
      <c r="E260">
        <v>2.6</v>
      </c>
      <c r="F260">
        <v>13.4</v>
      </c>
      <c r="G260">
        <v>1.4</v>
      </c>
      <c r="H260">
        <v>-32.903599999999997</v>
      </c>
      <c r="I260" s="4">
        <f t="shared" si="13"/>
        <v>1.8147129380247178</v>
      </c>
      <c r="J260" s="4">
        <f t="shared" si="14"/>
        <v>11.84338303246723</v>
      </c>
      <c r="K260" s="21">
        <v>3.3</v>
      </c>
    </row>
    <row r="261" spans="1:11" x14ac:dyDescent="0.2">
      <c r="A261">
        <v>87480</v>
      </c>
      <c r="B261" s="1">
        <v>30576</v>
      </c>
      <c r="C261" s="2">
        <f t="shared" si="12"/>
        <v>260</v>
      </c>
      <c r="D261">
        <v>15.4</v>
      </c>
      <c r="E261">
        <v>11.4</v>
      </c>
      <c r="F261">
        <v>12.8</v>
      </c>
      <c r="G261">
        <v>20</v>
      </c>
      <c r="H261">
        <v>-32.903599999999997</v>
      </c>
      <c r="I261" s="4">
        <f t="shared" si="13"/>
        <v>1.4120013542278567</v>
      </c>
      <c r="J261" s="4">
        <f t="shared" si="14"/>
        <v>11.878158102345447</v>
      </c>
      <c r="K261" s="21">
        <v>2.6</v>
      </c>
    </row>
    <row r="262" spans="1:11" x14ac:dyDescent="0.2">
      <c r="A262">
        <v>87480</v>
      </c>
      <c r="B262" s="1">
        <v>30577</v>
      </c>
      <c r="C262" s="2">
        <f t="shared" si="12"/>
        <v>261</v>
      </c>
      <c r="D262">
        <v>17.7</v>
      </c>
      <c r="E262">
        <v>6.4</v>
      </c>
      <c r="F262">
        <v>10.8</v>
      </c>
      <c r="G262">
        <v>0</v>
      </c>
      <c r="H262">
        <v>-32.903599999999997</v>
      </c>
      <c r="I262" s="4">
        <f t="shared" si="13"/>
        <v>1.0088713639562423</v>
      </c>
      <c r="J262" s="4">
        <f t="shared" si="14"/>
        <v>11.912954710150439</v>
      </c>
      <c r="K262" s="21">
        <v>3.1</v>
      </c>
    </row>
    <row r="263" spans="1:11" x14ac:dyDescent="0.2">
      <c r="A263">
        <v>87480</v>
      </c>
      <c r="B263" s="1">
        <v>30578</v>
      </c>
      <c r="C263" s="2">
        <f t="shared" si="12"/>
        <v>262</v>
      </c>
      <c r="D263">
        <v>18.7</v>
      </c>
      <c r="E263">
        <v>2.1</v>
      </c>
      <c r="F263">
        <v>10.7</v>
      </c>
      <c r="G263">
        <v>0</v>
      </c>
      <c r="H263">
        <v>-32.903599999999997</v>
      </c>
      <c r="I263" s="4">
        <f t="shared" si="13"/>
        <v>0.60544242332627074</v>
      </c>
      <c r="J263" s="4">
        <f t="shared" si="14"/>
        <v>11.947766684458161</v>
      </c>
      <c r="K263" s="21">
        <v>2.2000000000000002</v>
      </c>
    </row>
    <row r="264" spans="1:11" x14ac:dyDescent="0.2">
      <c r="A264">
        <v>87480</v>
      </c>
      <c r="B264" s="1">
        <v>30579</v>
      </c>
      <c r="C264" s="2">
        <f t="shared" si="12"/>
        <v>263</v>
      </c>
      <c r="D264">
        <v>19.3</v>
      </c>
      <c r="E264">
        <v>2.7</v>
      </c>
      <c r="F264">
        <v>12.6</v>
      </c>
      <c r="G264">
        <v>0</v>
      </c>
      <c r="H264">
        <v>-32.903599999999997</v>
      </c>
      <c r="I264" s="4">
        <f t="shared" si="13"/>
        <v>0.20183407703974995</v>
      </c>
      <c r="J264" s="4">
        <f t="shared" si="14"/>
        <v>11.982587871569139</v>
      </c>
      <c r="K264" s="21">
        <v>4.0999999999999996</v>
      </c>
    </row>
    <row r="265" spans="1:11" x14ac:dyDescent="0.2">
      <c r="A265">
        <v>87480</v>
      </c>
      <c r="B265" s="1">
        <v>30580</v>
      </c>
      <c r="C265" s="2">
        <f t="shared" si="12"/>
        <v>264</v>
      </c>
      <c r="D265">
        <v>21.3</v>
      </c>
      <c r="E265">
        <v>8.4</v>
      </c>
      <c r="F265">
        <v>14.5</v>
      </c>
      <c r="G265">
        <v>0</v>
      </c>
      <c r="H265">
        <v>-32.903599999999997</v>
      </c>
      <c r="I265" s="4">
        <f t="shared" si="13"/>
        <v>-0.2018340770397338</v>
      </c>
      <c r="J265" s="4">
        <f t="shared" si="14"/>
        <v>12.017412128430859</v>
      </c>
      <c r="K265" s="21">
        <v>4</v>
      </c>
    </row>
    <row r="266" spans="1:11" x14ac:dyDescent="0.2">
      <c r="A266">
        <v>87480</v>
      </c>
      <c r="B266" s="1">
        <v>30581</v>
      </c>
      <c r="C266" s="2">
        <f t="shared" si="12"/>
        <v>265</v>
      </c>
      <c r="D266">
        <v>22.2</v>
      </c>
      <c r="E266">
        <v>8.1999999999999993</v>
      </c>
      <c r="F266">
        <v>15.2</v>
      </c>
      <c r="G266">
        <v>0</v>
      </c>
      <c r="H266">
        <v>-32.903599999999997</v>
      </c>
      <c r="I266" s="4">
        <f t="shared" si="13"/>
        <v>-0.60544242332625453</v>
      </c>
      <c r="J266" s="4">
        <f t="shared" si="14"/>
        <v>12.052233315541836</v>
      </c>
      <c r="K266" s="21">
        <v>3.3</v>
      </c>
    </row>
    <row r="267" spans="1:11" x14ac:dyDescent="0.2">
      <c r="A267">
        <v>87480</v>
      </c>
      <c r="B267" s="1">
        <v>30582</v>
      </c>
      <c r="C267" s="2">
        <f t="shared" si="12"/>
        <v>266</v>
      </c>
      <c r="D267">
        <v>24.1</v>
      </c>
      <c r="E267">
        <v>5.9</v>
      </c>
      <c r="F267">
        <v>14.8</v>
      </c>
      <c r="G267">
        <v>0</v>
      </c>
      <c r="H267">
        <v>-32.903599999999997</v>
      </c>
      <c r="I267" s="4">
        <f t="shared" si="13"/>
        <v>-1.0088713639562366</v>
      </c>
      <c r="J267" s="4">
        <f t="shared" si="14"/>
        <v>12.087045289849561</v>
      </c>
      <c r="K267" s="21">
        <v>2.7</v>
      </c>
    </row>
    <row r="268" spans="1:11" x14ac:dyDescent="0.2">
      <c r="A268">
        <v>87480</v>
      </c>
      <c r="B268" s="1">
        <v>30583</v>
      </c>
      <c r="C268" s="2">
        <f t="shared" si="12"/>
        <v>267</v>
      </c>
      <c r="D268">
        <v>25.1</v>
      </c>
      <c r="E268">
        <v>10.6</v>
      </c>
      <c r="F268">
        <v>19.3</v>
      </c>
      <c r="G268">
        <v>0</v>
      </c>
      <c r="H268">
        <v>-32.903599999999997</v>
      </c>
      <c r="I268" s="4">
        <f t="shared" si="13"/>
        <v>-1.4120013542278405</v>
      </c>
      <c r="J268" s="4">
        <f t="shared" si="14"/>
        <v>12.121841897654551</v>
      </c>
      <c r="K268" s="21">
        <v>4.9000000000000004</v>
      </c>
    </row>
    <row r="269" spans="1:11" x14ac:dyDescent="0.2">
      <c r="A269">
        <v>87480</v>
      </c>
      <c r="B269" s="1">
        <v>30584</v>
      </c>
      <c r="C269" s="2">
        <f t="shared" si="12"/>
        <v>268</v>
      </c>
      <c r="D269">
        <v>27.6</v>
      </c>
      <c r="E269">
        <v>14.8</v>
      </c>
      <c r="F269">
        <v>21.2</v>
      </c>
      <c r="G269">
        <v>0</v>
      </c>
      <c r="H269">
        <v>-32.903599999999997</v>
      </c>
      <c r="I269" s="4">
        <f t="shared" si="13"/>
        <v>-1.814712938024702</v>
      </c>
      <c r="J269" s="4">
        <f t="shared" si="14"/>
        <v>12.156616967532768</v>
      </c>
      <c r="K269" s="21">
        <v>2.4</v>
      </c>
    </row>
    <row r="270" spans="1:11" x14ac:dyDescent="0.2">
      <c r="A270">
        <v>87480</v>
      </c>
      <c r="B270" s="1">
        <v>30585</v>
      </c>
      <c r="C270" s="2">
        <f t="shared" si="12"/>
        <v>269</v>
      </c>
      <c r="D270">
        <v>29.8</v>
      </c>
      <c r="E270">
        <v>16.600000000000001</v>
      </c>
      <c r="F270">
        <v>21.2</v>
      </c>
      <c r="G270">
        <v>8.6999999999999993</v>
      </c>
      <c r="H270">
        <v>-32.903599999999997</v>
      </c>
      <c r="I270" s="4">
        <f t="shared" si="13"/>
        <v>-2.2168867832133139</v>
      </c>
      <c r="J270" s="4">
        <f t="shared" si="14"/>
        <v>12.191364303288641</v>
      </c>
      <c r="K270" s="21">
        <v>6</v>
      </c>
    </row>
    <row r="271" spans="1:11" x14ac:dyDescent="0.2">
      <c r="A271">
        <v>87480</v>
      </c>
      <c r="B271" s="1">
        <v>30586</v>
      </c>
      <c r="C271" s="2">
        <f t="shared" si="12"/>
        <v>270</v>
      </c>
      <c r="D271">
        <v>17.7</v>
      </c>
      <c r="E271">
        <v>14.2</v>
      </c>
      <c r="F271">
        <v>15.3</v>
      </c>
      <c r="G271">
        <v>1.3</v>
      </c>
      <c r="H271">
        <v>-32.903599999999997</v>
      </c>
      <c r="I271" s="4">
        <f t="shared" si="13"/>
        <v>-2.6184037170037344</v>
      </c>
      <c r="J271" s="4">
        <f t="shared" si="14"/>
        <v>12.226077676951126</v>
      </c>
      <c r="K271" s="21">
        <v>5.7</v>
      </c>
    </row>
    <row r="272" spans="1:11" x14ac:dyDescent="0.2">
      <c r="A272">
        <v>87480</v>
      </c>
      <c r="B272" s="1">
        <v>30587</v>
      </c>
      <c r="C272" s="2">
        <f t="shared" si="12"/>
        <v>271</v>
      </c>
      <c r="D272">
        <v>14.8</v>
      </c>
      <c r="E272">
        <v>10</v>
      </c>
      <c r="F272">
        <v>11.4</v>
      </c>
      <c r="G272">
        <v>1.1000000000000001</v>
      </c>
      <c r="H272">
        <v>-32.903599999999997</v>
      </c>
      <c r="I272" s="4">
        <f t="shared" si="13"/>
        <v>-3.0191447612630165</v>
      </c>
      <c r="J272" s="4">
        <f t="shared" si="14"/>
        <v>12.260750821825283</v>
      </c>
      <c r="K272" s="21">
        <v>3.4</v>
      </c>
    </row>
    <row r="273" spans="1:11" x14ac:dyDescent="0.2">
      <c r="A273">
        <v>87480</v>
      </c>
      <c r="B273" s="1">
        <v>30588</v>
      </c>
      <c r="C273" s="2">
        <f t="shared" si="12"/>
        <v>272</v>
      </c>
      <c r="D273">
        <v>16.3</v>
      </c>
      <c r="E273">
        <v>5.4</v>
      </c>
      <c r="F273">
        <v>10.6</v>
      </c>
      <c r="G273">
        <v>0</v>
      </c>
      <c r="H273">
        <v>-32.903599999999997</v>
      </c>
      <c r="I273" s="4">
        <f t="shared" si="13"/>
        <v>-3.4189911677710549</v>
      </c>
      <c r="J273" s="4">
        <f t="shared" si="14"/>
        <v>12.295377425612054</v>
      </c>
      <c r="K273" s="21">
        <v>2.9</v>
      </c>
    </row>
    <row r="274" spans="1:11" x14ac:dyDescent="0.2">
      <c r="A274">
        <v>87480</v>
      </c>
      <c r="B274" s="1">
        <v>30589</v>
      </c>
      <c r="C274" s="2">
        <f t="shared" si="12"/>
        <v>273</v>
      </c>
      <c r="D274">
        <v>17.100000000000001</v>
      </c>
      <c r="E274">
        <v>0.9</v>
      </c>
      <c r="F274">
        <v>10.3</v>
      </c>
      <c r="G274">
        <v>0</v>
      </c>
      <c r="H274">
        <v>-32.903599999999997</v>
      </c>
      <c r="I274" s="4">
        <f t="shared" si="13"/>
        <v>-3.8178244534082109</v>
      </c>
      <c r="J274" s="4">
        <f t="shared" si="14"/>
        <v>12.329951123609098</v>
      </c>
      <c r="K274" s="21">
        <v>3.4</v>
      </c>
    </row>
    <row r="275" spans="1:11" x14ac:dyDescent="0.2">
      <c r="A275">
        <v>87480</v>
      </c>
      <c r="B275" s="1">
        <v>30590</v>
      </c>
      <c r="C275" s="2">
        <f t="shared" si="12"/>
        <v>274</v>
      </c>
      <c r="D275">
        <v>22.6</v>
      </c>
      <c r="E275">
        <v>2</v>
      </c>
      <c r="F275">
        <v>13.7</v>
      </c>
      <c r="G275">
        <v>0</v>
      </c>
      <c r="H275">
        <v>-32.903599999999997</v>
      </c>
      <c r="I275" s="4">
        <f t="shared" si="13"/>
        <v>-4.2155264352644215</v>
      </c>
      <c r="J275" s="4">
        <f t="shared" si="14"/>
        <v>12.364465492005783</v>
      </c>
      <c r="K275" s="21">
        <v>5</v>
      </c>
    </row>
    <row r="276" spans="1:11" x14ac:dyDescent="0.2">
      <c r="A276">
        <v>87480</v>
      </c>
      <c r="B276" s="1">
        <v>30591</v>
      </c>
      <c r="C276" s="2">
        <f t="shared" si="12"/>
        <v>275</v>
      </c>
      <c r="D276">
        <v>23.4</v>
      </c>
      <c r="E276">
        <v>6</v>
      </c>
      <c r="F276">
        <v>15.5</v>
      </c>
      <c r="G276">
        <v>0</v>
      </c>
      <c r="H276">
        <v>-32.903599999999997</v>
      </c>
      <c r="I276" s="4">
        <f t="shared" si="13"/>
        <v>-4.6119792656593619</v>
      </c>
      <c r="J276" s="4">
        <f t="shared" si="14"/>
        <v>12.3989140412857</v>
      </c>
      <c r="K276" s="21">
        <v>5.8</v>
      </c>
    </row>
    <row r="277" spans="1:11" x14ac:dyDescent="0.2">
      <c r="A277">
        <v>87480</v>
      </c>
      <c r="B277" s="1">
        <v>30592</v>
      </c>
      <c r="C277" s="2">
        <f t="shared" si="12"/>
        <v>276</v>
      </c>
      <c r="D277">
        <v>25.7</v>
      </c>
      <c r="E277">
        <v>10.199999999999999</v>
      </c>
      <c r="F277">
        <v>18</v>
      </c>
      <c r="G277">
        <v>0</v>
      </c>
      <c r="H277">
        <v>-32.903599999999997</v>
      </c>
      <c r="I277" s="4">
        <f t="shared" si="13"/>
        <v>-5.0070654670632138</v>
      </c>
      <c r="J277" s="4">
        <f t="shared" si="14"/>
        <v>12.433290209750288</v>
      </c>
      <c r="K277" s="21">
        <v>6.2</v>
      </c>
    </row>
    <row r="278" spans="1:11" x14ac:dyDescent="0.2">
      <c r="A278">
        <v>87480</v>
      </c>
      <c r="B278" s="1">
        <v>30593</v>
      </c>
      <c r="C278" s="2">
        <f t="shared" si="12"/>
        <v>277</v>
      </c>
      <c r="D278">
        <v>27.7</v>
      </c>
      <c r="E278">
        <v>8.5</v>
      </c>
      <c r="F278">
        <v>20.3</v>
      </c>
      <c r="G278">
        <v>0</v>
      </c>
      <c r="H278">
        <v>-32.903599999999997</v>
      </c>
      <c r="I278" s="4">
        <f t="shared" si="13"/>
        <v>-5.4006679669078501</v>
      </c>
      <c r="J278" s="4">
        <f t="shared" si="14"/>
        <v>12.467587357177612</v>
      </c>
      <c r="K278" s="21">
        <v>4.4000000000000004</v>
      </c>
    </row>
    <row r="279" spans="1:11" x14ac:dyDescent="0.2">
      <c r="A279">
        <v>87480</v>
      </c>
      <c r="B279" s="1">
        <v>30594</v>
      </c>
      <c r="C279" s="2">
        <f t="shared" si="12"/>
        <v>278</v>
      </c>
      <c r="D279">
        <v>27.3</v>
      </c>
      <c r="E279">
        <v>15.2</v>
      </c>
      <c r="F279">
        <v>20.7</v>
      </c>
      <c r="G279">
        <v>0</v>
      </c>
      <c r="H279">
        <v>-32.903599999999997</v>
      </c>
      <c r="I279" s="4">
        <f t="shared" si="13"/>
        <v>-5.7926701322779319</v>
      </c>
      <c r="J279" s="4">
        <f t="shared" si="14"/>
        <v>12.501798758630459</v>
      </c>
      <c r="K279" s="21">
        <v>4.3</v>
      </c>
    </row>
    <row r="280" spans="1:11" x14ac:dyDescent="0.2">
      <c r="A280">
        <v>87480</v>
      </c>
      <c r="B280" s="1">
        <v>30595</v>
      </c>
      <c r="C280" s="2">
        <f t="shared" si="12"/>
        <v>279</v>
      </c>
      <c r="D280">
        <v>33.799999999999997</v>
      </c>
      <c r="E280">
        <v>19.899999999999999</v>
      </c>
      <c r="F280">
        <v>26.1</v>
      </c>
      <c r="G280">
        <v>0</v>
      </c>
      <c r="H280">
        <v>-32.903599999999997</v>
      </c>
      <c r="I280" s="4">
        <f t="shared" si="13"/>
        <v>-6.182955804471769</v>
      </c>
      <c r="J280" s="4">
        <f t="shared" si="14"/>
        <v>12.535917598428513</v>
      </c>
      <c r="K280" s="21">
        <v>7.3</v>
      </c>
    </row>
    <row r="281" spans="1:11" x14ac:dyDescent="0.2">
      <c r="A281">
        <v>87480</v>
      </c>
      <c r="B281" s="1">
        <v>30596</v>
      </c>
      <c r="C281" s="2">
        <f t="shared" si="12"/>
        <v>280</v>
      </c>
      <c r="D281">
        <v>31.8</v>
      </c>
      <c r="E281">
        <v>20</v>
      </c>
      <c r="F281">
        <v>26.6</v>
      </c>
      <c r="G281">
        <v>0</v>
      </c>
      <c r="H281">
        <v>-32.903599999999997</v>
      </c>
      <c r="I281" s="4">
        <f t="shared" si="13"/>
        <v>-6.5714093334216166</v>
      </c>
      <c r="J281" s="4">
        <f t="shared" si="14"/>
        <v>12.569936964299528</v>
      </c>
      <c r="K281" s="21">
        <v>5.3</v>
      </c>
    </row>
    <row r="282" spans="1:11" x14ac:dyDescent="0.2">
      <c r="A282">
        <v>87480</v>
      </c>
      <c r="B282" s="1">
        <v>30597</v>
      </c>
      <c r="C282" s="2">
        <f t="shared" si="12"/>
        <v>281</v>
      </c>
      <c r="D282">
        <v>31.9</v>
      </c>
      <c r="E282">
        <v>22.6</v>
      </c>
      <c r="F282">
        <v>26.1</v>
      </c>
      <c r="G282">
        <v>0</v>
      </c>
      <c r="H282">
        <v>-32.903599999999997</v>
      </c>
      <c r="I282" s="4">
        <f t="shared" si="13"/>
        <v>-6.9579156119633421</v>
      </c>
      <c r="J282" s="4">
        <f t="shared" si="14"/>
        <v>12.603849841724987</v>
      </c>
      <c r="K282" s="21">
        <v>5.3</v>
      </c>
    </row>
    <row r="283" spans="1:11" x14ac:dyDescent="0.2">
      <c r="A283">
        <v>87480</v>
      </c>
      <c r="B283" s="1">
        <v>30598</v>
      </c>
      <c r="C283" s="2">
        <f t="shared" si="12"/>
        <v>282</v>
      </c>
      <c r="D283">
        <v>24.3</v>
      </c>
      <c r="E283">
        <v>14.3</v>
      </c>
      <c r="F283">
        <v>20</v>
      </c>
      <c r="G283">
        <v>0</v>
      </c>
      <c r="H283">
        <v>-32.903599999999997</v>
      </c>
      <c r="I283" s="4">
        <f t="shared" si="13"/>
        <v>-7.3423601099451252</v>
      </c>
      <c r="J283" s="4">
        <f t="shared" si="14"/>
        <v>12.637649108495973</v>
      </c>
      <c r="K283" s="21">
        <v>4.2</v>
      </c>
    </row>
    <row r="284" spans="1:11" x14ac:dyDescent="0.2">
      <c r="A284">
        <v>87480</v>
      </c>
      <c r="B284" s="1">
        <v>30599</v>
      </c>
      <c r="C284" s="2">
        <f t="shared" si="12"/>
        <v>283</v>
      </c>
      <c r="D284">
        <v>20.2</v>
      </c>
      <c r="E284">
        <v>15.1</v>
      </c>
      <c r="F284">
        <v>16.899999999999999</v>
      </c>
      <c r="G284">
        <v>0</v>
      </c>
      <c r="H284">
        <v>-32.903599999999997</v>
      </c>
      <c r="I284" s="4">
        <f t="shared" si="13"/>
        <v>-7.7246289081652231</v>
      </c>
      <c r="J284" s="4">
        <f t="shared" si="14"/>
        <v>12.671327529495512</v>
      </c>
      <c r="K284" s="21">
        <v>4.5</v>
      </c>
    </row>
    <row r="285" spans="1:11" x14ac:dyDescent="0.2">
      <c r="A285">
        <v>87480</v>
      </c>
      <c r="B285" s="1">
        <v>30600</v>
      </c>
      <c r="C285" s="2">
        <f t="shared" si="12"/>
        <v>284</v>
      </c>
      <c r="D285">
        <v>20.100000000000001</v>
      </c>
      <c r="E285">
        <v>5.3</v>
      </c>
      <c r="F285">
        <v>15</v>
      </c>
      <c r="G285">
        <v>0</v>
      </c>
      <c r="H285">
        <v>-32.903599999999997</v>
      </c>
      <c r="I285" s="4">
        <f t="shared" si="13"/>
        <v>-8.1046087321286944</v>
      </c>
      <c r="J285" s="4">
        <f t="shared" si="14"/>
        <v>12.704877751723975</v>
      </c>
      <c r="K285" s="21">
        <v>3.4</v>
      </c>
    </row>
    <row r="286" spans="1:11" x14ac:dyDescent="0.2">
      <c r="A286">
        <v>87480</v>
      </c>
      <c r="B286" s="1">
        <v>30601</v>
      </c>
      <c r="C286" s="2">
        <f t="shared" si="12"/>
        <v>285</v>
      </c>
      <c r="D286">
        <v>24.6</v>
      </c>
      <c r="E286">
        <v>13.1</v>
      </c>
      <c r="F286">
        <v>19.2</v>
      </c>
      <c r="G286">
        <v>0</v>
      </c>
      <c r="H286">
        <v>-32.903599999999997</v>
      </c>
      <c r="I286" s="4">
        <f t="shared" si="13"/>
        <v>-8.4821869856130458</v>
      </c>
      <c r="J286" s="4">
        <f t="shared" si="14"/>
        <v>12.738292299584542</v>
      </c>
      <c r="K286" s="21">
        <v>2.2999999999999998</v>
      </c>
    </row>
    <row r="287" spans="1:11" x14ac:dyDescent="0.2">
      <c r="A287">
        <v>87480</v>
      </c>
      <c r="B287" s="1">
        <v>30602</v>
      </c>
      <c r="C287" s="2">
        <f t="shared" si="12"/>
        <v>286</v>
      </c>
      <c r="D287">
        <v>31.2</v>
      </c>
      <c r="E287">
        <v>18</v>
      </c>
      <c r="F287">
        <v>23.9</v>
      </c>
      <c r="G287">
        <v>49</v>
      </c>
      <c r="H287">
        <v>-32.903599999999997</v>
      </c>
      <c r="I287" s="4">
        <f t="shared" si="13"/>
        <v>-8.8572517840329716</v>
      </c>
      <c r="J287" s="4">
        <f t="shared" si="14"/>
        <v>12.771563570446167</v>
      </c>
      <c r="K287" s="21">
        <v>6.4</v>
      </c>
    </row>
    <row r="288" spans="1:11" x14ac:dyDescent="0.2">
      <c r="A288">
        <v>87480</v>
      </c>
      <c r="B288" s="1">
        <v>30603</v>
      </c>
      <c r="C288" s="2">
        <f t="shared" si="12"/>
        <v>287</v>
      </c>
      <c r="D288">
        <v>25</v>
      </c>
      <c r="E288">
        <v>15</v>
      </c>
      <c r="F288">
        <v>19.100000000000001</v>
      </c>
      <c r="G288">
        <v>1</v>
      </c>
      <c r="H288">
        <v>-32.903599999999997</v>
      </c>
      <c r="I288" s="4">
        <f t="shared" si="13"/>
        <v>-9.2296919875941388</v>
      </c>
      <c r="J288" s="4">
        <f t="shared" si="14"/>
        <v>12.80468383050178</v>
      </c>
      <c r="K288" s="21">
        <v>4.9000000000000004</v>
      </c>
    </row>
    <row r="289" spans="1:11" x14ac:dyDescent="0.2">
      <c r="A289">
        <v>87480</v>
      </c>
      <c r="B289" s="1">
        <v>30604</v>
      </c>
      <c r="C289" s="2">
        <f t="shared" si="12"/>
        <v>288</v>
      </c>
      <c r="D289">
        <v>22.2</v>
      </c>
      <c r="E289">
        <v>18.5</v>
      </c>
      <c r="F289">
        <v>20.3</v>
      </c>
      <c r="G289">
        <v>31.5</v>
      </c>
      <c r="H289">
        <v>-32.903599999999997</v>
      </c>
      <c r="I289" s="4">
        <f t="shared" si="13"/>
        <v>-9.5993972342263252</v>
      </c>
      <c r="J289" s="4">
        <f t="shared" si="14"/>
        <v>12.837645210939911</v>
      </c>
      <c r="K289" s="21">
        <v>4.5</v>
      </c>
    </row>
    <row r="290" spans="1:11" x14ac:dyDescent="0.2">
      <c r="A290">
        <v>87480</v>
      </c>
      <c r="B290" s="1">
        <v>30605</v>
      </c>
      <c r="C290" s="2">
        <f t="shared" si="12"/>
        <v>289</v>
      </c>
      <c r="D290">
        <v>22.3</v>
      </c>
      <c r="E290">
        <v>17.100000000000001</v>
      </c>
      <c r="F290">
        <v>19.3</v>
      </c>
      <c r="G290">
        <v>0</v>
      </c>
      <c r="H290">
        <v>-32.903599999999997</v>
      </c>
      <c r="I290" s="4">
        <f t="shared" si="13"/>
        <v>-9.9662579722860389</v>
      </c>
      <c r="J290" s="4">
        <f t="shared" si="14"/>
        <v>12.870439704448165</v>
      </c>
      <c r="K290" s="21">
        <v>3.4</v>
      </c>
    </row>
    <row r="291" spans="1:11" x14ac:dyDescent="0.2">
      <c r="A291">
        <v>87480</v>
      </c>
      <c r="B291" s="1">
        <v>30606</v>
      </c>
      <c r="C291" s="2">
        <f t="shared" si="12"/>
        <v>290</v>
      </c>
      <c r="D291">
        <v>23.9</v>
      </c>
      <c r="E291">
        <v>11</v>
      </c>
      <c r="F291">
        <v>17.5</v>
      </c>
      <c r="G291">
        <v>0</v>
      </c>
      <c r="H291">
        <v>-32.903599999999997</v>
      </c>
      <c r="I291" s="4">
        <f t="shared" si="13"/>
        <v>-10.330165493019102</v>
      </c>
      <c r="J291" s="4">
        <f t="shared" si="14"/>
        <v>12.903059162067395</v>
      </c>
      <c r="K291" s="21">
        <v>3.4</v>
      </c>
    </row>
    <row r="292" spans="1:11" x14ac:dyDescent="0.2">
      <c r="A292">
        <v>87480</v>
      </c>
      <c r="B292" s="1">
        <v>30607</v>
      </c>
      <c r="C292" s="2">
        <f t="shared" si="12"/>
        <v>291</v>
      </c>
      <c r="D292">
        <v>23.8</v>
      </c>
      <c r="E292">
        <v>11.7</v>
      </c>
      <c r="F292">
        <v>18.5</v>
      </c>
      <c r="G292">
        <v>0</v>
      </c>
      <c r="H292">
        <v>-32.903599999999997</v>
      </c>
      <c r="I292" s="4">
        <f t="shared" si="13"/>
        <v>-10.691011962773354</v>
      </c>
      <c r="J292" s="4">
        <f t="shared" si="14"/>
        <v>12.935495290415503</v>
      </c>
      <c r="K292" s="21">
        <v>4.5</v>
      </c>
    </row>
    <row r="293" spans="1:11" x14ac:dyDescent="0.2">
      <c r="A293">
        <v>87480</v>
      </c>
      <c r="B293" s="1">
        <v>30608</v>
      </c>
      <c r="C293" s="2">
        <f t="shared" si="12"/>
        <v>292</v>
      </c>
      <c r="D293">
        <v>22.2</v>
      </c>
      <c r="E293">
        <v>14.7</v>
      </c>
      <c r="F293">
        <v>18.100000000000001</v>
      </c>
      <c r="G293">
        <v>0.5</v>
      </c>
      <c r="H293">
        <v>-32.903599999999997</v>
      </c>
      <c r="I293" s="4">
        <f t="shared" si="13"/>
        <v>-11.0486904549521</v>
      </c>
      <c r="J293" s="4">
        <f t="shared" si="14"/>
        <v>12.967739649300228</v>
      </c>
      <c r="K293" s="21">
        <v>4.5999999999999996</v>
      </c>
    </row>
    <row r="294" spans="1:11" x14ac:dyDescent="0.2">
      <c r="A294">
        <v>87480</v>
      </c>
      <c r="B294" s="1">
        <v>30609</v>
      </c>
      <c r="C294" s="2">
        <f t="shared" si="12"/>
        <v>293</v>
      </c>
      <c r="D294">
        <v>25</v>
      </c>
      <c r="E294">
        <v>13</v>
      </c>
      <c r="F294">
        <v>19.600000000000001</v>
      </c>
      <c r="G294">
        <v>4</v>
      </c>
      <c r="H294">
        <v>-32.903599999999997</v>
      </c>
      <c r="I294" s="4">
        <f t="shared" si="13"/>
        <v>-11.403094981698784</v>
      </c>
      <c r="J294" s="4">
        <f t="shared" si="14"/>
        <v>12.999783649740248</v>
      </c>
      <c r="K294" s="21">
        <v>5.3</v>
      </c>
    </row>
    <row r="295" spans="1:11" x14ac:dyDescent="0.2">
      <c r="A295">
        <v>87480</v>
      </c>
      <c r="B295" s="1">
        <v>30610</v>
      </c>
      <c r="C295" s="2">
        <f t="shared" si="12"/>
        <v>294</v>
      </c>
      <c r="D295">
        <v>24.1</v>
      </c>
      <c r="E295">
        <v>13.5</v>
      </c>
      <c r="F295">
        <v>19.399999999999999</v>
      </c>
      <c r="G295">
        <v>0.3</v>
      </c>
      <c r="H295">
        <v>-32.903599999999997</v>
      </c>
      <c r="I295" s="4">
        <f t="shared" si="13"/>
        <v>-11.754120525303437</v>
      </c>
      <c r="J295" s="4">
        <f t="shared" si="14"/>
        <v>13.031618552414145</v>
      </c>
      <c r="K295" s="21">
        <v>4.8</v>
      </c>
    </row>
    <row r="296" spans="1:11" x14ac:dyDescent="0.2">
      <c r="A296">
        <v>87480</v>
      </c>
      <c r="B296" s="1">
        <v>30611</v>
      </c>
      <c r="C296" s="2">
        <f t="shared" si="12"/>
        <v>295</v>
      </c>
      <c r="D296">
        <v>19.600000000000001</v>
      </c>
      <c r="E296">
        <v>12</v>
      </c>
      <c r="F296">
        <v>16.2</v>
      </c>
      <c r="G296">
        <v>0</v>
      </c>
      <c r="H296">
        <v>-32.903599999999997</v>
      </c>
      <c r="I296" s="4">
        <f t="shared" si="13"/>
        <v>-12.101663069321743</v>
      </c>
      <c r="J296" s="4">
        <f t="shared" si="14"/>
        <v>13.063235466556781</v>
      </c>
      <c r="K296" s="21">
        <v>5.2</v>
      </c>
    </row>
    <row r="297" spans="1:11" x14ac:dyDescent="0.2">
      <c r="A297">
        <v>87480</v>
      </c>
      <c r="B297" s="1">
        <v>30612</v>
      </c>
      <c r="C297" s="2">
        <f t="shared" si="12"/>
        <v>296</v>
      </c>
      <c r="D297">
        <v>17.600000000000001</v>
      </c>
      <c r="E297">
        <v>4.5</v>
      </c>
      <c r="F297">
        <v>11.8</v>
      </c>
      <c r="G297">
        <v>0</v>
      </c>
      <c r="H297">
        <v>-32.903599999999997</v>
      </c>
      <c r="I297" s="4">
        <f t="shared" si="13"/>
        <v>-12.445619629397331</v>
      </c>
      <c r="J297" s="4">
        <f t="shared" si="14"/>
        <v>13.094625349322552</v>
      </c>
      <c r="K297" s="21">
        <v>3.6</v>
      </c>
    </row>
    <row r="298" spans="1:11" x14ac:dyDescent="0.2">
      <c r="A298">
        <v>87480</v>
      </c>
      <c r="B298" s="1">
        <v>30613</v>
      </c>
      <c r="C298" s="2">
        <f t="shared" si="12"/>
        <v>297</v>
      </c>
      <c r="D298">
        <v>21.3</v>
      </c>
      <c r="E298">
        <v>8.6999999999999993</v>
      </c>
      <c r="F298">
        <v>15.6</v>
      </c>
      <c r="G298">
        <v>0</v>
      </c>
      <c r="H298">
        <v>-32.903599999999997</v>
      </c>
      <c r="I298" s="4">
        <f t="shared" si="13"/>
        <v>-12.785888283778267</v>
      </c>
      <c r="J298" s="4">
        <f t="shared" si="14"/>
        <v>13.125779005634895</v>
      </c>
      <c r="K298" s="21">
        <v>4.3</v>
      </c>
    </row>
    <row r="299" spans="1:11" x14ac:dyDescent="0.2">
      <c r="A299">
        <v>87480</v>
      </c>
      <c r="B299" s="1">
        <v>30614</v>
      </c>
      <c r="C299" s="2">
        <f t="shared" si="12"/>
        <v>298</v>
      </c>
      <c r="D299">
        <v>22.9</v>
      </c>
      <c r="E299">
        <v>13.1</v>
      </c>
      <c r="F299">
        <v>17.2</v>
      </c>
      <c r="G299">
        <v>0</v>
      </c>
      <c r="H299">
        <v>-32.903599999999997</v>
      </c>
      <c r="I299" s="4">
        <f t="shared" si="13"/>
        <v>-13.122368203518644</v>
      </c>
      <c r="J299" s="4">
        <f t="shared" si="14"/>
        <v>13.156687088541192</v>
      </c>
      <c r="K299" s="21">
        <v>4.5999999999999996</v>
      </c>
    </row>
    <row r="300" spans="1:11" x14ac:dyDescent="0.2">
      <c r="A300">
        <v>87480</v>
      </c>
      <c r="B300" s="1">
        <v>30615</v>
      </c>
      <c r="C300" s="2">
        <f t="shared" si="12"/>
        <v>299</v>
      </c>
      <c r="D300">
        <v>25.6</v>
      </c>
      <c r="E300">
        <v>13.5</v>
      </c>
      <c r="F300">
        <v>19.8</v>
      </c>
      <c r="G300">
        <v>0</v>
      </c>
      <c r="H300">
        <v>-32.903599999999997</v>
      </c>
      <c r="I300" s="4">
        <f t="shared" si="13"/>
        <v>-13.454959682356414</v>
      </c>
      <c r="J300" s="4">
        <f t="shared" si="14"/>
        <v>13.187340100091903</v>
      </c>
      <c r="K300" s="21">
        <v>4.5</v>
      </c>
    </row>
    <row r="301" spans="1:11" x14ac:dyDescent="0.2">
      <c r="A301">
        <v>87480</v>
      </c>
      <c r="B301" s="1">
        <v>30616</v>
      </c>
      <c r="C301" s="2">
        <f t="shared" si="12"/>
        <v>300</v>
      </c>
      <c r="D301">
        <v>29.5</v>
      </c>
      <c r="E301">
        <v>15</v>
      </c>
      <c r="F301">
        <v>23.3</v>
      </c>
      <c r="G301">
        <v>36.799999999999997</v>
      </c>
      <c r="H301">
        <v>-32.903599999999997</v>
      </c>
      <c r="I301" s="4">
        <f t="shared" si="13"/>
        <v>-13.783564166258492</v>
      </c>
      <c r="J301" s="4">
        <f t="shared" si="14"/>
        <v>13.217728392762272</v>
      </c>
      <c r="K301" s="21">
        <v>5.3</v>
      </c>
    </row>
    <row r="302" spans="1:11" x14ac:dyDescent="0.2">
      <c r="A302">
        <v>87480</v>
      </c>
      <c r="B302" s="1">
        <v>30617</v>
      </c>
      <c r="C302" s="2">
        <f t="shared" si="12"/>
        <v>301</v>
      </c>
      <c r="D302">
        <v>25.3</v>
      </c>
      <c r="E302">
        <v>15.6</v>
      </c>
      <c r="F302">
        <v>19.7</v>
      </c>
      <c r="G302">
        <v>0</v>
      </c>
      <c r="H302">
        <v>-32.903599999999997</v>
      </c>
      <c r="I302" s="4">
        <f t="shared" si="13"/>
        <v>-14.108084282624429</v>
      </c>
      <c r="J302" s="4">
        <f t="shared" si="14"/>
        <v>13.247842171434481</v>
      </c>
      <c r="K302" s="21">
        <v>2.2999999999999998</v>
      </c>
    </row>
    <row r="303" spans="1:11" x14ac:dyDescent="0.2">
      <c r="A303">
        <v>87480</v>
      </c>
      <c r="B303" s="1">
        <v>30618</v>
      </c>
      <c r="C303" s="2">
        <f t="shared" si="12"/>
        <v>302</v>
      </c>
      <c r="D303">
        <v>25.4</v>
      </c>
      <c r="E303">
        <v>15.5</v>
      </c>
      <c r="F303">
        <v>20.5</v>
      </c>
      <c r="G303">
        <v>0</v>
      </c>
      <c r="H303">
        <v>-32.903599999999997</v>
      </c>
      <c r="I303" s="4">
        <f t="shared" si="13"/>
        <v>-14.428423869140035</v>
      </c>
      <c r="J303" s="4">
        <f t="shared" si="14"/>
        <v>13.277671495957389</v>
      </c>
      <c r="K303" s="21">
        <v>3.9</v>
      </c>
    </row>
    <row r="304" spans="1:11" x14ac:dyDescent="0.2">
      <c r="A304">
        <v>87480</v>
      </c>
      <c r="B304" s="1">
        <v>30619</v>
      </c>
      <c r="C304" s="2">
        <f t="shared" si="12"/>
        <v>303</v>
      </c>
      <c r="D304">
        <v>26</v>
      </c>
      <c r="E304">
        <v>12.2</v>
      </c>
      <c r="F304">
        <v>20.5</v>
      </c>
      <c r="G304">
        <v>0</v>
      </c>
      <c r="H304">
        <v>-32.903599999999997</v>
      </c>
      <c r="I304" s="4">
        <f t="shared" si="13"/>
        <v>-14.744488002272318</v>
      </c>
      <c r="J304" s="4">
        <f t="shared" si="14"/>
        <v>13.307206284300209</v>
      </c>
      <c r="K304" s="21">
        <v>4.3</v>
      </c>
    </row>
    <row r="305" spans="1:11" x14ac:dyDescent="0.2">
      <c r="A305">
        <v>87480</v>
      </c>
      <c r="B305" s="1">
        <v>30620</v>
      </c>
      <c r="C305" s="2">
        <f t="shared" si="12"/>
        <v>304</v>
      </c>
      <c r="D305">
        <v>28.6</v>
      </c>
      <c r="E305">
        <v>16</v>
      </c>
      <c r="F305">
        <v>20.7</v>
      </c>
      <c r="G305">
        <v>0</v>
      </c>
      <c r="H305">
        <v>-32.903599999999997</v>
      </c>
      <c r="I305" s="4">
        <f t="shared" si="13"/>
        <v>-15.056183025397416</v>
      </c>
      <c r="J305" s="4">
        <f t="shared" si="14"/>
        <v>13.336436316315588</v>
      </c>
      <c r="K305" s="21">
        <v>4.7</v>
      </c>
    </row>
    <row r="306" spans="1:11" x14ac:dyDescent="0.2">
      <c r="A306">
        <v>87480</v>
      </c>
      <c r="B306" s="1">
        <v>30621</v>
      </c>
      <c r="C306" s="2">
        <f t="shared" si="12"/>
        <v>305</v>
      </c>
      <c r="D306">
        <v>21.7</v>
      </c>
      <c r="E306">
        <v>14.7</v>
      </c>
      <c r="F306">
        <v>17.5</v>
      </c>
      <c r="G306">
        <v>0</v>
      </c>
      <c r="H306">
        <v>-32.903599999999997</v>
      </c>
      <c r="I306" s="4">
        <f t="shared" si="13"/>
        <v>-15.363416576553035</v>
      </c>
      <c r="J306" s="4">
        <f t="shared" si="14"/>
        <v>13.365351238126323</v>
      </c>
      <c r="K306" s="21">
        <v>4.5999999999999996</v>
      </c>
    </row>
    <row r="307" spans="1:11" x14ac:dyDescent="0.2">
      <c r="A307">
        <v>87480</v>
      </c>
      <c r="B307" s="1">
        <v>30622</v>
      </c>
      <c r="C307" s="2">
        <f t="shared" si="12"/>
        <v>306</v>
      </c>
      <c r="D307">
        <v>21.2</v>
      </c>
      <c r="E307">
        <v>14.5</v>
      </c>
      <c r="F307">
        <v>18.2</v>
      </c>
      <c r="G307">
        <v>0</v>
      </c>
      <c r="H307">
        <v>-32.903599999999997</v>
      </c>
      <c r="I307" s="4">
        <f t="shared" si="13"/>
        <v>-15.666097615807347</v>
      </c>
      <c r="J307" s="4">
        <f t="shared" si="14"/>
        <v>13.393940567148917</v>
      </c>
      <c r="K307" s="21">
        <v>4.7</v>
      </c>
    </row>
    <row r="308" spans="1:11" x14ac:dyDescent="0.2">
      <c r="A308">
        <v>87480</v>
      </c>
      <c r="B308" s="1">
        <v>30623</v>
      </c>
      <c r="C308" s="2">
        <f t="shared" si="12"/>
        <v>307</v>
      </c>
      <c r="D308">
        <v>23.6</v>
      </c>
      <c r="E308">
        <v>11.5</v>
      </c>
      <c r="F308">
        <v>18.3</v>
      </c>
      <c r="G308">
        <v>0</v>
      </c>
      <c r="H308">
        <v>-32.903599999999997</v>
      </c>
      <c r="I308" s="4">
        <f t="shared" si="13"/>
        <v>-15.964136452236023</v>
      </c>
      <c r="J308" s="4">
        <f t="shared" si="14"/>
        <v>13.422193697765556</v>
      </c>
      <c r="K308" s="21">
        <v>1.3</v>
      </c>
    </row>
    <row r="309" spans="1:11" x14ac:dyDescent="0.2">
      <c r="A309">
        <v>87480</v>
      </c>
      <c r="B309" s="1">
        <v>30624</v>
      </c>
      <c r="C309" s="2">
        <f t="shared" si="12"/>
        <v>308</v>
      </c>
      <c r="D309">
        <v>25.7</v>
      </c>
      <c r="E309">
        <v>13.9</v>
      </c>
      <c r="F309">
        <v>19</v>
      </c>
      <c r="G309">
        <v>0</v>
      </c>
      <c r="H309">
        <v>-32.903599999999997</v>
      </c>
      <c r="I309" s="4">
        <f t="shared" si="13"/>
        <v>-16.257444770499614</v>
      </c>
      <c r="J309" s="4">
        <f t="shared" si="14"/>
        <v>13.450099907654756</v>
      </c>
      <c r="K309" s="21">
        <v>4.5</v>
      </c>
    </row>
    <row r="310" spans="1:11" x14ac:dyDescent="0.2">
      <c r="A310">
        <v>87480</v>
      </c>
      <c r="B310" s="1">
        <v>30625</v>
      </c>
      <c r="C310" s="2">
        <f t="shared" si="12"/>
        <v>309</v>
      </c>
      <c r="D310">
        <v>26.1</v>
      </c>
      <c r="E310">
        <v>11.9</v>
      </c>
      <c r="F310">
        <v>19.600000000000001</v>
      </c>
      <c r="G310">
        <v>0</v>
      </c>
      <c r="H310">
        <v>-32.903599999999997</v>
      </c>
      <c r="I310" s="4">
        <f t="shared" si="13"/>
        <v>-16.54593565701331</v>
      </c>
      <c r="J310" s="4">
        <f t="shared" si="14"/>
        <v>13.477648364789051</v>
      </c>
      <c r="K310" s="21">
        <v>5.7</v>
      </c>
    </row>
    <row r="311" spans="1:11" x14ac:dyDescent="0.2">
      <c r="A311">
        <v>87480</v>
      </c>
      <c r="B311" s="1">
        <v>30626</v>
      </c>
      <c r="C311" s="2">
        <f t="shared" si="12"/>
        <v>310</v>
      </c>
      <c r="D311">
        <v>22.5</v>
      </c>
      <c r="E311">
        <v>17.100000000000001</v>
      </c>
      <c r="F311">
        <v>20</v>
      </c>
      <c r="G311">
        <v>4.2</v>
      </c>
      <c r="H311">
        <v>-32.903599999999997</v>
      </c>
      <c r="I311" s="4">
        <f t="shared" si="13"/>
        <v>-16.829523625701299</v>
      </c>
      <c r="J311" s="4">
        <f t="shared" si="14"/>
        <v>13.504828135106276</v>
      </c>
      <c r="K311" s="21">
        <v>2.4</v>
      </c>
    </row>
    <row r="312" spans="1:11" x14ac:dyDescent="0.2">
      <c r="A312">
        <v>87480</v>
      </c>
      <c r="B312" s="1">
        <v>30627</v>
      </c>
      <c r="C312" s="2">
        <f t="shared" si="12"/>
        <v>311</v>
      </c>
      <c r="D312">
        <v>26.5</v>
      </c>
      <c r="E312">
        <v>15.5</v>
      </c>
      <c r="F312">
        <v>20.8</v>
      </c>
      <c r="G312">
        <v>0</v>
      </c>
      <c r="H312">
        <v>-32.903599999999997</v>
      </c>
      <c r="I312" s="4">
        <f t="shared" si="13"/>
        <v>-17.108124643328129</v>
      </c>
      <c r="J312" s="4">
        <f t="shared" si="14"/>
        <v>13.53162819085898</v>
      </c>
      <c r="K312" s="21">
        <v>4.4000000000000004</v>
      </c>
    </row>
    <row r="313" spans="1:11" x14ac:dyDescent="0.2">
      <c r="A313">
        <v>87480</v>
      </c>
      <c r="B313" s="1">
        <v>30628</v>
      </c>
      <c r="C313" s="2">
        <f t="shared" si="12"/>
        <v>312</v>
      </c>
      <c r="D313">
        <v>27.6</v>
      </c>
      <c r="E313">
        <v>14.5</v>
      </c>
      <c r="F313">
        <v>21.9</v>
      </c>
      <c r="G313">
        <v>0</v>
      </c>
      <c r="H313">
        <v>-32.903599999999997</v>
      </c>
      <c r="I313" s="4">
        <f t="shared" si="13"/>
        <v>-17.381656154399565</v>
      </c>
      <c r="J313" s="4">
        <f t="shared" si="14"/>
        <v>13.558037419644263</v>
      </c>
      <c r="K313" s="21">
        <v>3.5</v>
      </c>
    </row>
    <row r="314" spans="1:11" x14ac:dyDescent="0.2">
      <c r="A314">
        <v>87480</v>
      </c>
      <c r="B314" s="1">
        <v>30629</v>
      </c>
      <c r="C314" s="2">
        <f t="shared" si="12"/>
        <v>313</v>
      </c>
      <c r="D314">
        <v>28.9</v>
      </c>
      <c r="E314">
        <v>16.2</v>
      </c>
      <c r="F314">
        <v>21.6</v>
      </c>
      <c r="G314">
        <v>75.900000000000006</v>
      </c>
      <c r="H314">
        <v>-32.903599999999997</v>
      </c>
      <c r="I314" s="4">
        <f t="shared" si="13"/>
        <v>-17.650037105625586</v>
      </c>
      <c r="J314" s="4">
        <f t="shared" si="14"/>
        <v>13.584044634113924</v>
      </c>
      <c r="K314" s="21">
        <v>4.4000000000000004</v>
      </c>
    </row>
    <row r="315" spans="1:11" x14ac:dyDescent="0.2">
      <c r="A315">
        <v>87480</v>
      </c>
      <c r="B315" s="1">
        <v>30630</v>
      </c>
      <c r="C315" s="2">
        <f t="shared" si="12"/>
        <v>314</v>
      </c>
      <c r="D315">
        <v>26.6</v>
      </c>
      <c r="E315">
        <v>15.1</v>
      </c>
      <c r="F315">
        <v>20.6</v>
      </c>
      <c r="G315">
        <v>0</v>
      </c>
      <c r="H315">
        <v>-32.903599999999997</v>
      </c>
      <c r="I315" s="4">
        <f t="shared" si="13"/>
        <v>-17.913187969938217</v>
      </c>
      <c r="J315" s="4">
        <f t="shared" si="14"/>
        <v>13.609638582362384</v>
      </c>
      <c r="K315" s="21">
        <v>4.9000000000000004</v>
      </c>
    </row>
    <row r="316" spans="1:11" x14ac:dyDescent="0.2">
      <c r="A316">
        <v>87480</v>
      </c>
      <c r="B316" s="1">
        <v>30631</v>
      </c>
      <c r="C316" s="2">
        <f t="shared" si="12"/>
        <v>315</v>
      </c>
      <c r="D316">
        <v>23.3</v>
      </c>
      <c r="E316">
        <v>15.8</v>
      </c>
      <c r="F316">
        <v>20.5</v>
      </c>
      <c r="G316">
        <v>2.1</v>
      </c>
      <c r="H316">
        <v>-32.903599999999997</v>
      </c>
      <c r="I316" s="4">
        <f t="shared" si="13"/>
        <v>-18.171030770057101</v>
      </c>
      <c r="J316" s="4">
        <f t="shared" si="14"/>
        <v>13.63480795898702</v>
      </c>
      <c r="K316" s="21">
        <v>5</v>
      </c>
    </row>
    <row r="317" spans="1:11" x14ac:dyDescent="0.2">
      <c r="A317">
        <v>87480</v>
      </c>
      <c r="B317" s="1">
        <v>30632</v>
      </c>
      <c r="C317" s="2">
        <f t="shared" si="12"/>
        <v>316</v>
      </c>
      <c r="D317">
        <v>20.5</v>
      </c>
      <c r="E317">
        <v>15</v>
      </c>
      <c r="F317">
        <v>17.600000000000001</v>
      </c>
      <c r="G317">
        <v>47.6</v>
      </c>
      <c r="H317">
        <v>-32.903599999999997</v>
      </c>
      <c r="I317" s="4">
        <f t="shared" si="13"/>
        <v>-18.423489101595841</v>
      </c>
      <c r="J317" s="4">
        <f t="shared" si="14"/>
        <v>13.659541416812827</v>
      </c>
      <c r="K317" s="21">
        <v>5</v>
      </c>
    </row>
    <row r="318" spans="1:11" x14ac:dyDescent="0.2">
      <c r="A318">
        <v>87480</v>
      </c>
      <c r="B318" s="1">
        <v>30633</v>
      </c>
      <c r="C318" s="2">
        <f t="shared" si="12"/>
        <v>317</v>
      </c>
      <c r="D318">
        <v>20.5</v>
      </c>
      <c r="E318">
        <v>12.6</v>
      </c>
      <c r="F318">
        <v>16.3</v>
      </c>
      <c r="G318">
        <v>0</v>
      </c>
      <c r="H318">
        <v>-32.903599999999997</v>
      </c>
      <c r="I318" s="4">
        <f t="shared" si="13"/>
        <v>-18.67048815570233</v>
      </c>
      <c r="J318" s="4">
        <f t="shared" si="14"/>
        <v>13.683827579270313</v>
      </c>
      <c r="K318" s="21">
        <v>4.5</v>
      </c>
    </row>
    <row r="319" spans="1:11" x14ac:dyDescent="0.2">
      <c r="A319">
        <v>87480</v>
      </c>
      <c r="B319" s="1">
        <v>30634</v>
      </c>
      <c r="C319" s="2">
        <f t="shared" si="12"/>
        <v>318</v>
      </c>
      <c r="D319">
        <v>22</v>
      </c>
      <c r="E319">
        <v>10.199999999999999</v>
      </c>
      <c r="F319">
        <v>16.100000000000001</v>
      </c>
      <c r="G319">
        <v>0</v>
      </c>
      <c r="H319">
        <v>-32.903599999999997</v>
      </c>
      <c r="I319" s="4">
        <f t="shared" si="13"/>
        <v>-18.91195474122615</v>
      </c>
      <c r="J319" s="4">
        <f t="shared" si="14"/>
        <v>13.707655053412381</v>
      </c>
      <c r="K319" s="21">
        <v>3.7</v>
      </c>
    </row>
    <row r="320" spans="1:11" x14ac:dyDescent="0.2">
      <c r="A320">
        <v>87480</v>
      </c>
      <c r="B320" s="1">
        <v>30635</v>
      </c>
      <c r="C320" s="2">
        <f t="shared" si="12"/>
        <v>319</v>
      </c>
      <c r="D320">
        <v>23.3</v>
      </c>
      <c r="E320">
        <v>12</v>
      </c>
      <c r="F320">
        <v>18.5</v>
      </c>
      <c r="G320">
        <v>0</v>
      </c>
      <c r="H320">
        <v>-32.903599999999997</v>
      </c>
      <c r="I320" s="4">
        <f t="shared" si="13"/>
        <v>-19.147817306406722</v>
      </c>
      <c r="J320" s="4">
        <f t="shared" si="14"/>
        <v>13.731012443552851</v>
      </c>
      <c r="K320" s="21">
        <v>4.8</v>
      </c>
    </row>
    <row r="321" spans="1:11" x14ac:dyDescent="0.2">
      <c r="A321">
        <v>87480</v>
      </c>
      <c r="B321" s="1">
        <v>30636</v>
      </c>
      <c r="C321" s="2">
        <f t="shared" si="12"/>
        <v>320</v>
      </c>
      <c r="D321">
        <v>24</v>
      </c>
      <c r="E321">
        <v>13.2</v>
      </c>
      <c r="F321">
        <v>19.399999999999999</v>
      </c>
      <c r="G321">
        <v>0.3</v>
      </c>
      <c r="H321">
        <v>-32.903599999999997</v>
      </c>
      <c r="I321" s="4">
        <f t="shared" si="13"/>
        <v>-19.378005960075676</v>
      </c>
      <c r="J321" s="4">
        <f t="shared" si="14"/>
        <v>13.753888365505832</v>
      </c>
      <c r="K321" s="21">
        <v>5.4</v>
      </c>
    </row>
    <row r="322" spans="1:11" x14ac:dyDescent="0.2">
      <c r="A322">
        <v>87480</v>
      </c>
      <c r="B322" s="1">
        <v>30637</v>
      </c>
      <c r="C322" s="2">
        <f t="shared" ref="C322:C385" si="15">B322-DATE(YEAR(B322),1,1)+1</f>
        <v>321</v>
      </c>
      <c r="D322">
        <v>25.4</v>
      </c>
      <c r="E322">
        <v>18</v>
      </c>
      <c r="F322">
        <v>20.3</v>
      </c>
      <c r="G322">
        <v>0</v>
      </c>
      <c r="H322">
        <v>-32.903599999999997</v>
      </c>
      <c r="I322" s="4">
        <f t="shared" ref="I322:I385" si="16">23.45*SIN(RADIANS(360/365*(C322-81)))</f>
        <v>-19.602452492367025</v>
      </c>
      <c r="J322" s="4">
        <f t="shared" ref="J322:J385" si="17">IFERROR(24 / PI() * ACOS(-TAN(RADIANS(H322)) * TAN(RADIANS(I322))), IF(-TAN(RADIANS(H322)) * TAN(RADIANS(I322)) &gt;= 1, 0,24))</f>
        <v>13.776271461401825</v>
      </c>
      <c r="K322" s="21">
        <v>3.5</v>
      </c>
    </row>
    <row r="323" spans="1:11" x14ac:dyDescent="0.2">
      <c r="A323">
        <v>87480</v>
      </c>
      <c r="B323" s="1">
        <v>30638</v>
      </c>
      <c r="C323" s="2">
        <f t="shared" si="15"/>
        <v>322</v>
      </c>
      <c r="D323">
        <v>27.5</v>
      </c>
      <c r="E323">
        <v>12.6</v>
      </c>
      <c r="F323">
        <v>20.5</v>
      </c>
      <c r="G323">
        <v>0</v>
      </c>
      <c r="H323">
        <v>-32.903599999999997</v>
      </c>
      <c r="I323" s="4">
        <f t="shared" si="16"/>
        <v>-19.821090394929325</v>
      </c>
      <c r="J323" s="4">
        <f t="shared" si="17"/>
        <v>13.798150415053007</v>
      </c>
      <c r="K323" s="21">
        <v>4.9000000000000004</v>
      </c>
    </row>
    <row r="324" spans="1:11" x14ac:dyDescent="0.2">
      <c r="A324">
        <v>87480</v>
      </c>
      <c r="B324" s="1">
        <v>30639</v>
      </c>
      <c r="C324" s="2">
        <f t="shared" si="15"/>
        <v>323</v>
      </c>
      <c r="D324">
        <v>28</v>
      </c>
      <c r="E324">
        <v>14.1</v>
      </c>
      <c r="F324">
        <v>21.7</v>
      </c>
      <c r="G324">
        <v>0</v>
      </c>
      <c r="H324">
        <v>-32.903599999999997</v>
      </c>
      <c r="I324" s="4">
        <f t="shared" si="16"/>
        <v>-20.033854880633442</v>
      </c>
      <c r="J324" s="4">
        <f t="shared" si="17"/>
        <v>13.81951396783651</v>
      </c>
      <c r="K324" s="21">
        <v>5.4</v>
      </c>
    </row>
    <row r="325" spans="1:11" x14ac:dyDescent="0.2">
      <c r="A325">
        <v>87480</v>
      </c>
      <c r="B325" s="1">
        <v>30640</v>
      </c>
      <c r="C325" s="2">
        <f t="shared" si="15"/>
        <v>324</v>
      </c>
      <c r="D325">
        <v>28.1</v>
      </c>
      <c r="E325">
        <v>14.5</v>
      </c>
      <c r="F325">
        <v>21.5</v>
      </c>
      <c r="G325">
        <v>0</v>
      </c>
      <c r="H325">
        <v>-32.903599999999997</v>
      </c>
      <c r="I325" s="4">
        <f t="shared" si="16"/>
        <v>-20.240682902770413</v>
      </c>
      <c r="J325" s="4">
        <f t="shared" si="17"/>
        <v>13.840350935061128</v>
      </c>
      <c r="K325" s="21">
        <v>5.9</v>
      </c>
    </row>
    <row r="326" spans="1:11" x14ac:dyDescent="0.2">
      <c r="A326">
        <v>87480</v>
      </c>
      <c r="B326" s="1">
        <v>30641</v>
      </c>
      <c r="C326" s="2">
        <f t="shared" si="15"/>
        <v>325</v>
      </c>
      <c r="D326">
        <v>20.7</v>
      </c>
      <c r="E326">
        <v>13.9</v>
      </c>
      <c r="F326">
        <v>16.100000000000001</v>
      </c>
      <c r="G326">
        <v>0</v>
      </c>
      <c r="H326">
        <v>-32.903599999999997</v>
      </c>
      <c r="I326" s="4">
        <f t="shared" si="16"/>
        <v>-20.441513173733597</v>
      </c>
      <c r="J326" s="4">
        <f t="shared" si="17"/>
        <v>13.860650222779261</v>
      </c>
      <c r="K326" s="21">
        <v>5.7</v>
      </c>
    </row>
    <row r="327" spans="1:11" x14ac:dyDescent="0.2">
      <c r="A327">
        <v>87480</v>
      </c>
      <c r="B327" s="1">
        <v>30642</v>
      </c>
      <c r="C327" s="2">
        <f t="shared" si="15"/>
        <v>326</v>
      </c>
      <c r="D327">
        <v>25.9</v>
      </c>
      <c r="E327">
        <v>7.1</v>
      </c>
      <c r="F327">
        <v>17.5</v>
      </c>
      <c r="G327">
        <v>0</v>
      </c>
      <c r="H327">
        <v>-32.903599999999997</v>
      </c>
      <c r="I327" s="4">
        <f t="shared" si="16"/>
        <v>-20.636286183179401</v>
      </c>
      <c r="J327" s="4">
        <f t="shared" si="17"/>
        <v>13.880400845002409</v>
      </c>
      <c r="K327" s="21">
        <v>6.1</v>
      </c>
    </row>
    <row r="328" spans="1:11" x14ac:dyDescent="0.2">
      <c r="A328">
        <v>87480</v>
      </c>
      <c r="B328" s="1">
        <v>30643</v>
      </c>
      <c r="C328" s="2">
        <f t="shared" si="15"/>
        <v>327</v>
      </c>
      <c r="D328">
        <v>32.4</v>
      </c>
      <c r="E328">
        <v>13.8</v>
      </c>
      <c r="F328">
        <v>23.6</v>
      </c>
      <c r="G328">
        <v>0</v>
      </c>
      <c r="H328">
        <v>-32.903599999999997</v>
      </c>
      <c r="I328" s="4">
        <f t="shared" si="16"/>
        <v>-20.82494421566161</v>
      </c>
      <c r="J328" s="4">
        <f t="shared" si="17"/>
        <v>13.899591941275171</v>
      </c>
      <c r="K328" s="21">
        <v>8.1</v>
      </c>
    </row>
    <row r="329" spans="1:11" x14ac:dyDescent="0.2">
      <c r="A329">
        <v>87480</v>
      </c>
      <c r="B329" s="1">
        <v>30644</v>
      </c>
      <c r="C329" s="2">
        <f t="shared" si="15"/>
        <v>328</v>
      </c>
      <c r="D329">
        <v>32.700000000000003</v>
      </c>
      <c r="E329">
        <v>17.5</v>
      </c>
      <c r="F329">
        <v>25.7</v>
      </c>
      <c r="G329">
        <v>0</v>
      </c>
      <c r="H329">
        <v>-32.903599999999997</v>
      </c>
      <c r="I329" s="4">
        <f t="shared" si="16"/>
        <v>-21.007431367733613</v>
      </c>
      <c r="J329" s="4">
        <f t="shared" si="17"/>
        <v>13.918212794559221</v>
      </c>
      <c r="K329" s="21">
        <v>6.6</v>
      </c>
    </row>
    <row r="330" spans="1:11" x14ac:dyDescent="0.2">
      <c r="A330">
        <v>87480</v>
      </c>
      <c r="B330" s="1">
        <v>30645</v>
      </c>
      <c r="C330" s="2">
        <f t="shared" si="15"/>
        <v>329</v>
      </c>
      <c r="D330">
        <v>25.3</v>
      </c>
      <c r="E330">
        <v>15</v>
      </c>
      <c r="F330">
        <v>20.9</v>
      </c>
      <c r="G330">
        <v>0</v>
      </c>
      <c r="H330">
        <v>-32.903599999999997</v>
      </c>
      <c r="I330" s="4">
        <f t="shared" si="16"/>
        <v>-21.183693564513842</v>
      </c>
      <c r="J330" s="4">
        <f t="shared" si="17"/>
        <v>13.936252849375624</v>
      </c>
      <c r="K330" s="21">
        <v>6.5</v>
      </c>
    </row>
    <row r="331" spans="1:11" x14ac:dyDescent="0.2">
      <c r="A331">
        <v>87480</v>
      </c>
      <c r="B331" s="1">
        <v>30646</v>
      </c>
      <c r="C331" s="2">
        <f t="shared" si="15"/>
        <v>330</v>
      </c>
      <c r="D331">
        <v>26.1</v>
      </c>
      <c r="E331">
        <v>17.5</v>
      </c>
      <c r="F331">
        <v>21.5</v>
      </c>
      <c r="G331">
        <v>0</v>
      </c>
      <c r="H331">
        <v>-32.903599999999997</v>
      </c>
      <c r="I331" s="4">
        <f t="shared" si="16"/>
        <v>-21.35367857570937</v>
      </c>
      <c r="J331" s="4">
        <f t="shared" si="17"/>
        <v>13.953701730150648</v>
      </c>
      <c r="K331" s="21">
        <v>5.8</v>
      </c>
    </row>
    <row r="332" spans="1:11" x14ac:dyDescent="0.2">
      <c r="A332">
        <v>87480</v>
      </c>
      <c r="B332" s="1">
        <v>30647</v>
      </c>
      <c r="C332" s="2">
        <f t="shared" si="15"/>
        <v>331</v>
      </c>
      <c r="D332">
        <v>27.7</v>
      </c>
      <c r="E332">
        <v>18</v>
      </c>
      <c r="F332">
        <v>23.5</v>
      </c>
      <c r="G332">
        <v>0</v>
      </c>
      <c r="H332">
        <v>-32.903599999999997</v>
      </c>
      <c r="I332" s="4">
        <f t="shared" si="16"/>
        <v>-21.517336031092775</v>
      </c>
      <c r="J332" s="4">
        <f t="shared" si="17"/>
        <v>13.970549259707402</v>
      </c>
      <c r="K332" s="21">
        <v>2.4</v>
      </c>
    </row>
    <row r="333" spans="1:11" x14ac:dyDescent="0.2">
      <c r="A333">
        <v>87480</v>
      </c>
      <c r="B333" s="1">
        <v>30648</v>
      </c>
      <c r="C333" s="2">
        <f t="shared" si="15"/>
        <v>332</v>
      </c>
      <c r="D333">
        <v>30.7</v>
      </c>
      <c r="E333">
        <v>18</v>
      </c>
      <c r="F333">
        <v>24.6</v>
      </c>
      <c r="G333">
        <v>0</v>
      </c>
      <c r="H333">
        <v>-32.903599999999997</v>
      </c>
      <c r="I333" s="4">
        <f t="shared" si="16"/>
        <v>-21.674617435428033</v>
      </c>
      <c r="J333" s="4">
        <f t="shared" si="17"/>
        <v>13.986785477842862</v>
      </c>
      <c r="K333" s="21">
        <v>5.7</v>
      </c>
    </row>
    <row r="334" spans="1:11" x14ac:dyDescent="0.2">
      <c r="A334">
        <v>87480</v>
      </c>
      <c r="B334" s="1">
        <v>30649</v>
      </c>
      <c r="C334" s="2">
        <f t="shared" si="15"/>
        <v>333</v>
      </c>
      <c r="D334">
        <v>34.5</v>
      </c>
      <c r="E334">
        <v>18.5</v>
      </c>
      <c r="F334">
        <v>27.5</v>
      </c>
      <c r="G334">
        <v>0</v>
      </c>
      <c r="H334">
        <v>-32.903599999999997</v>
      </c>
      <c r="I334" s="4">
        <f t="shared" si="16"/>
        <v>-21.825476182840614</v>
      </c>
      <c r="J334" s="4">
        <f t="shared" si="17"/>
        <v>14.002400659927414</v>
      </c>
      <c r="K334" s="21">
        <v>7.2</v>
      </c>
    </row>
    <row r="335" spans="1:11" x14ac:dyDescent="0.2">
      <c r="A335">
        <v>87480</v>
      </c>
      <c r="B335" s="1">
        <v>30650</v>
      </c>
      <c r="C335" s="2">
        <f t="shared" si="15"/>
        <v>334</v>
      </c>
      <c r="D335">
        <v>27.4</v>
      </c>
      <c r="E335">
        <v>20.6</v>
      </c>
      <c r="F335">
        <v>25.4</v>
      </c>
      <c r="G335">
        <v>4.0999999999999996</v>
      </c>
      <c r="H335">
        <v>-32.903599999999997</v>
      </c>
      <c r="I335" s="4">
        <f t="shared" si="16"/>
        <v>-21.969867570627862</v>
      </c>
      <c r="J335" s="4">
        <f t="shared" si="17"/>
        <v>14.017385335461872</v>
      </c>
      <c r="K335" s="21">
        <v>5.9</v>
      </c>
    </row>
    <row r="336" spans="1:11" x14ac:dyDescent="0.2">
      <c r="A336">
        <v>87480</v>
      </c>
      <c r="B336" s="1">
        <v>30651</v>
      </c>
      <c r="C336" s="2">
        <f t="shared" si="15"/>
        <v>335</v>
      </c>
      <c r="D336">
        <v>24.6</v>
      </c>
      <c r="E336">
        <v>14.5</v>
      </c>
      <c r="F336">
        <v>20.100000000000001</v>
      </c>
      <c r="G336">
        <v>0</v>
      </c>
      <c r="H336">
        <v>-32.903599999999997</v>
      </c>
      <c r="I336" s="4">
        <f t="shared" si="16"/>
        <v>-22.107748812505363</v>
      </c>
      <c r="J336" s="4">
        <f t="shared" si="17"/>
        <v>14.031730306524958</v>
      </c>
      <c r="K336" s="21">
        <v>5.8</v>
      </c>
    </row>
    <row r="337" spans="1:11" x14ac:dyDescent="0.2">
      <c r="A337">
        <v>87480</v>
      </c>
      <c r="B337" s="1">
        <v>30652</v>
      </c>
      <c r="C337" s="2">
        <f t="shared" si="15"/>
        <v>336</v>
      </c>
      <c r="D337">
        <v>24.6</v>
      </c>
      <c r="E337">
        <v>16</v>
      </c>
      <c r="F337">
        <v>20.2</v>
      </c>
      <c r="G337">
        <v>0</v>
      </c>
      <c r="H337">
        <v>-32.903599999999997</v>
      </c>
      <c r="I337" s="4">
        <f t="shared" si="16"/>
        <v>-22.239079051285422</v>
      </c>
      <c r="J337" s="4">
        <f t="shared" si="17"/>
        <v>14.045426666042767</v>
      </c>
      <c r="K337" s="21">
        <v>6.2</v>
      </c>
    </row>
    <row r="338" spans="1:11" x14ac:dyDescent="0.2">
      <c r="A338">
        <v>87480</v>
      </c>
      <c r="B338" s="1">
        <v>30653</v>
      </c>
      <c r="C338" s="2">
        <f t="shared" si="15"/>
        <v>337</v>
      </c>
      <c r="D338">
        <v>27.5</v>
      </c>
      <c r="E338">
        <v>18</v>
      </c>
      <c r="F338">
        <v>22.5</v>
      </c>
      <c r="G338">
        <v>0</v>
      </c>
      <c r="H338">
        <v>-32.903599999999997</v>
      </c>
      <c r="I338" s="4">
        <f t="shared" si="16"/>
        <v>-22.363819370983947</v>
      </c>
      <c r="J338" s="4">
        <f t="shared" si="17"/>
        <v>14.058465815810486</v>
      </c>
      <c r="K338" s="21">
        <v>5.8</v>
      </c>
    </row>
    <row r="339" spans="1:11" x14ac:dyDescent="0.2">
      <c r="A339">
        <v>87480</v>
      </c>
      <c r="B339" s="1">
        <v>30654</v>
      </c>
      <c r="C339" s="2">
        <f t="shared" si="15"/>
        <v>338</v>
      </c>
      <c r="D339">
        <v>27.7</v>
      </c>
      <c r="E339">
        <v>17.8</v>
      </c>
      <c r="F339">
        <v>23.2</v>
      </c>
      <c r="G339">
        <v>0</v>
      </c>
      <c r="H339">
        <v>-32.903599999999997</v>
      </c>
      <c r="I339" s="4">
        <f t="shared" si="16"/>
        <v>-22.481932808352099</v>
      </c>
      <c r="J339" s="4">
        <f t="shared" si="17"/>
        <v>14.070839484195806</v>
      </c>
      <c r="K339" s="21">
        <v>6.2</v>
      </c>
    </row>
    <row r="340" spans="1:11" x14ac:dyDescent="0.2">
      <c r="A340">
        <v>87480</v>
      </c>
      <c r="B340" s="1">
        <v>30655</v>
      </c>
      <c r="C340" s="2">
        <f t="shared" si="15"/>
        <v>339</v>
      </c>
      <c r="D340">
        <v>30.6</v>
      </c>
      <c r="E340">
        <v>18.3</v>
      </c>
      <c r="F340">
        <v>25.2</v>
      </c>
      <c r="G340">
        <v>0</v>
      </c>
      <c r="H340">
        <v>-32.903599999999997</v>
      </c>
      <c r="I340" s="4">
        <f t="shared" si="16"/>
        <v>-22.593384363829284</v>
      </c>
      <c r="J340" s="4">
        <f t="shared" si="17"/>
        <v>14.082539743453067</v>
      </c>
      <c r="K340" s="21">
        <v>6.2</v>
      </c>
    </row>
    <row r="341" spans="1:11" x14ac:dyDescent="0.2">
      <c r="A341">
        <v>87480</v>
      </c>
      <c r="B341" s="1">
        <v>30656</v>
      </c>
      <c r="C341" s="2">
        <f t="shared" si="15"/>
        <v>340</v>
      </c>
      <c r="D341">
        <v>34.299999999999997</v>
      </c>
      <c r="E341">
        <v>18.8</v>
      </c>
      <c r="F341">
        <v>25.9</v>
      </c>
      <c r="G341">
        <v>0</v>
      </c>
      <c r="H341">
        <v>-32.903599999999997</v>
      </c>
      <c r="I341" s="4">
        <f t="shared" si="16"/>
        <v>-22.698141011914306</v>
      </c>
      <c r="J341" s="4">
        <f t="shared" si="17"/>
        <v>14.093559026577182</v>
      </c>
      <c r="K341" s="21">
        <v>3.5</v>
      </c>
    </row>
    <row r="342" spans="1:11" x14ac:dyDescent="0.2">
      <c r="A342">
        <v>87480</v>
      </c>
      <c r="B342" s="1">
        <v>30657</v>
      </c>
      <c r="C342" s="2">
        <f t="shared" si="15"/>
        <v>341</v>
      </c>
      <c r="D342">
        <v>31.8</v>
      </c>
      <c r="E342">
        <v>18.5</v>
      </c>
      <c r="F342">
        <v>25.9</v>
      </c>
      <c r="G342">
        <v>0</v>
      </c>
      <c r="H342">
        <v>-32.903599999999997</v>
      </c>
      <c r="I342" s="4">
        <f t="shared" si="16"/>
        <v>-22.796171710951487</v>
      </c>
      <c r="J342" s="4">
        <f t="shared" si="17"/>
        <v>14.103890143626824</v>
      </c>
      <c r="K342" s="21">
        <v>7.8</v>
      </c>
    </row>
    <row r="343" spans="1:11" x14ac:dyDescent="0.2">
      <c r="A343">
        <v>87480</v>
      </c>
      <c r="B343" s="1">
        <v>30658</v>
      </c>
      <c r="C343" s="2">
        <f t="shared" si="15"/>
        <v>342</v>
      </c>
      <c r="D343">
        <v>33.4</v>
      </c>
      <c r="E343">
        <v>18.5</v>
      </c>
      <c r="F343">
        <v>26.1</v>
      </c>
      <c r="G343">
        <v>0.1</v>
      </c>
      <c r="H343">
        <v>-32.903599999999997</v>
      </c>
      <c r="I343" s="4">
        <f t="shared" si="16"/>
        <v>-22.887447412329035</v>
      </c>
      <c r="J343" s="4">
        <f t="shared" si="17"/>
        <v>14.113526297447208</v>
      </c>
      <c r="K343" s="21">
        <v>6.2</v>
      </c>
    </row>
    <row r="344" spans="1:11" x14ac:dyDescent="0.2">
      <c r="A344">
        <v>87480</v>
      </c>
      <c r="B344" s="1">
        <v>30659</v>
      </c>
      <c r="C344" s="2">
        <f t="shared" si="15"/>
        <v>343</v>
      </c>
      <c r="D344">
        <v>31</v>
      </c>
      <c r="E344">
        <v>20.5</v>
      </c>
      <c r="F344">
        <v>24.3</v>
      </c>
      <c r="G344">
        <v>0.4</v>
      </c>
      <c r="H344">
        <v>-32.903599999999997</v>
      </c>
      <c r="I344" s="4">
        <f t="shared" si="16"/>
        <v>-22.971941069086743</v>
      </c>
      <c r="J344" s="4">
        <f t="shared" si="17"/>
        <v>14.122461098724253</v>
      </c>
      <c r="K344" s="21">
        <v>6.2</v>
      </c>
    </row>
    <row r="345" spans="1:11" x14ac:dyDescent="0.2">
      <c r="A345">
        <v>87480</v>
      </c>
      <c r="B345" s="1">
        <v>30660</v>
      </c>
      <c r="C345" s="2">
        <f t="shared" si="15"/>
        <v>344</v>
      </c>
      <c r="D345">
        <v>29.5</v>
      </c>
      <c r="E345">
        <v>17.8</v>
      </c>
      <c r="F345">
        <v>24.2</v>
      </c>
      <c r="G345">
        <v>6</v>
      </c>
      <c r="H345">
        <v>-32.903599999999997</v>
      </c>
      <c r="I345" s="4">
        <f t="shared" si="16"/>
        <v>-23.049627643930581</v>
      </c>
      <c r="J345" s="4">
        <f t="shared" si="17"/>
        <v>14.13068858030358</v>
      </c>
      <c r="K345" s="21">
        <v>6.5</v>
      </c>
    </row>
    <row r="346" spans="1:11" x14ac:dyDescent="0.2">
      <c r="A346">
        <v>87480</v>
      </c>
      <c r="B346" s="1">
        <v>30661</v>
      </c>
      <c r="C346" s="2">
        <f t="shared" si="15"/>
        <v>345</v>
      </c>
      <c r="D346">
        <v>28.9</v>
      </c>
      <c r="E346">
        <v>20.2</v>
      </c>
      <c r="F346">
        <v>24.2</v>
      </c>
      <c r="G346">
        <v>0</v>
      </c>
      <c r="H346">
        <v>-32.903599999999997</v>
      </c>
      <c r="I346" s="4">
        <f t="shared" si="16"/>
        <v>-23.12048411665182</v>
      </c>
      <c r="J346" s="4">
        <f t="shared" si="17"/>
        <v>14.138203210710186</v>
      </c>
      <c r="K346" s="21">
        <v>5.8</v>
      </c>
    </row>
    <row r="347" spans="1:11" x14ac:dyDescent="0.2">
      <c r="A347">
        <v>87480</v>
      </c>
      <c r="B347" s="1">
        <v>30662</v>
      </c>
      <c r="C347" s="2">
        <f t="shared" si="15"/>
        <v>346</v>
      </c>
      <c r="D347">
        <v>33</v>
      </c>
      <c r="E347">
        <v>16.5</v>
      </c>
      <c r="F347">
        <v>24.8</v>
      </c>
      <c r="G347">
        <v>0</v>
      </c>
      <c r="H347">
        <v>-32.903599999999997</v>
      </c>
      <c r="I347" s="4">
        <f t="shared" si="16"/>
        <v>-23.18448949094838</v>
      </c>
      <c r="J347" s="4">
        <f t="shared" si="17"/>
        <v>14.144999906807312</v>
      </c>
      <c r="K347" s="21">
        <v>5.6</v>
      </c>
    </row>
    <row r="348" spans="1:11" x14ac:dyDescent="0.2">
      <c r="A348">
        <v>87480</v>
      </c>
      <c r="B348" s="1">
        <v>30663</v>
      </c>
      <c r="C348" s="2">
        <f t="shared" si="15"/>
        <v>347</v>
      </c>
      <c r="D348">
        <v>33.4</v>
      </c>
      <c r="E348">
        <v>16.5</v>
      </c>
      <c r="F348">
        <v>26.2</v>
      </c>
      <c r="G348">
        <v>0</v>
      </c>
      <c r="H348">
        <v>-32.903599999999997</v>
      </c>
      <c r="I348" s="4">
        <f t="shared" si="16"/>
        <v>-23.241624800646509</v>
      </c>
      <c r="J348" s="4">
        <f t="shared" si="17"/>
        <v>14.151074045536156</v>
      </c>
      <c r="K348" s="21">
        <v>2.8</v>
      </c>
    </row>
    <row r="349" spans="1:11" x14ac:dyDescent="0.2">
      <c r="A349">
        <v>87480</v>
      </c>
      <c r="B349" s="1">
        <v>30664</v>
      </c>
      <c r="C349" s="2">
        <f t="shared" si="15"/>
        <v>348</v>
      </c>
      <c r="D349">
        <v>31.3</v>
      </c>
      <c r="E349">
        <v>21.2</v>
      </c>
      <c r="F349">
        <v>26.4</v>
      </c>
      <c r="G349">
        <v>0</v>
      </c>
      <c r="H349">
        <v>-32.903599999999997</v>
      </c>
      <c r="I349" s="4">
        <f t="shared" si="16"/>
        <v>-23.291873115320861</v>
      </c>
      <c r="J349" s="4">
        <f t="shared" si="17"/>
        <v>14.156421474681773</v>
      </c>
      <c r="K349" s="21">
        <v>5</v>
      </c>
    </row>
    <row r="350" spans="1:11" x14ac:dyDescent="0.2">
      <c r="A350">
        <v>87480</v>
      </c>
      <c r="B350" s="1">
        <v>30665</v>
      </c>
      <c r="C350" s="2">
        <f t="shared" si="15"/>
        <v>349</v>
      </c>
      <c r="D350">
        <v>35.200000000000003</v>
      </c>
      <c r="E350">
        <v>20.3</v>
      </c>
      <c r="F350">
        <v>27.2</v>
      </c>
      <c r="G350">
        <v>25.6</v>
      </c>
      <c r="H350">
        <v>-32.903599999999997</v>
      </c>
      <c r="I350" s="4">
        <f t="shared" si="16"/>
        <v>-23.335219545311354</v>
      </c>
      <c r="J350" s="4">
        <f t="shared" si="17"/>
        <v>14.161038522614398</v>
      </c>
      <c r="K350" s="21">
        <v>6.3</v>
      </c>
    </row>
    <row r="351" spans="1:11" x14ac:dyDescent="0.2">
      <c r="A351">
        <v>87480</v>
      </c>
      <c r="B351" s="1">
        <v>30666</v>
      </c>
      <c r="C351" s="2">
        <f t="shared" si="15"/>
        <v>350</v>
      </c>
      <c r="D351">
        <v>26.5</v>
      </c>
      <c r="E351">
        <v>20.399999999999999</v>
      </c>
      <c r="F351">
        <v>22.8</v>
      </c>
      <c r="G351">
        <v>0</v>
      </c>
      <c r="H351">
        <v>-32.903599999999997</v>
      </c>
      <c r="I351" s="4">
        <f t="shared" si="16"/>
        <v>-23.371651246135286</v>
      </c>
      <c r="J351" s="4">
        <f t="shared" si="17"/>
        <v>14.164922006959902</v>
      </c>
      <c r="K351" s="21">
        <v>5.0999999999999996</v>
      </c>
    </row>
    <row r="352" spans="1:11" x14ac:dyDescent="0.2">
      <c r="A352">
        <v>87480</v>
      </c>
      <c r="B352" s="1">
        <v>30667</v>
      </c>
      <c r="C352" s="2">
        <f t="shared" si="15"/>
        <v>351</v>
      </c>
      <c r="D352">
        <v>28.3</v>
      </c>
      <c r="E352">
        <v>18.8</v>
      </c>
      <c r="F352">
        <v>23.5</v>
      </c>
      <c r="G352">
        <v>3</v>
      </c>
      <c r="H352">
        <v>-32.903599999999997</v>
      </c>
      <c r="I352" s="4">
        <f t="shared" si="16"/>
        <v>-23.401157422293444</v>
      </c>
      <c r="J352" s="4">
        <f t="shared" si="17"/>
        <v>14.168069242157822</v>
      </c>
      <c r="K352" s="21">
        <v>6.2</v>
      </c>
    </row>
    <row r="353" spans="1:11" x14ac:dyDescent="0.2">
      <c r="A353">
        <v>87480</v>
      </c>
      <c r="B353" s="1">
        <v>30668</v>
      </c>
      <c r="C353" s="2">
        <f t="shared" si="15"/>
        <v>352</v>
      </c>
      <c r="D353">
        <v>29.8</v>
      </c>
      <c r="E353">
        <v>19.5</v>
      </c>
      <c r="F353">
        <v>25.1</v>
      </c>
      <c r="G353">
        <v>0</v>
      </c>
      <c r="H353">
        <v>-32.903599999999997</v>
      </c>
      <c r="I353" s="4">
        <f t="shared" si="16"/>
        <v>-23.423729330469037</v>
      </c>
      <c r="J353" s="4">
        <f t="shared" si="17"/>
        <v>14.170478045870421</v>
      </c>
      <c r="K353" s="21">
        <v>6.2</v>
      </c>
    </row>
    <row r="354" spans="1:11" x14ac:dyDescent="0.2">
      <c r="A354">
        <v>87480</v>
      </c>
      <c r="B354" s="1">
        <v>30669</v>
      </c>
      <c r="C354" s="2">
        <f t="shared" si="15"/>
        <v>353</v>
      </c>
      <c r="D354">
        <v>31.5</v>
      </c>
      <c r="E354">
        <v>21</v>
      </c>
      <c r="F354">
        <v>23.7</v>
      </c>
      <c r="G354">
        <v>5.6</v>
      </c>
      <c r="H354">
        <v>-32.903599999999997</v>
      </c>
      <c r="I354" s="4">
        <f t="shared" si="16"/>
        <v>-23.439360282118528</v>
      </c>
      <c r="J354" s="4">
        <f t="shared" si="17"/>
        <v>14.172146744211705</v>
      </c>
      <c r="K354" s="21">
        <v>6.7</v>
      </c>
    </row>
    <row r="355" spans="1:11" x14ac:dyDescent="0.2">
      <c r="A355">
        <v>87480</v>
      </c>
      <c r="B355" s="1">
        <v>30670</v>
      </c>
      <c r="C355" s="2">
        <f t="shared" si="15"/>
        <v>354</v>
      </c>
      <c r="D355">
        <v>33</v>
      </c>
      <c r="E355">
        <v>17.5</v>
      </c>
      <c r="F355">
        <v>24.5</v>
      </c>
      <c r="G355">
        <v>0</v>
      </c>
      <c r="H355">
        <v>-32.903599999999997</v>
      </c>
      <c r="I355" s="4">
        <f t="shared" si="16"/>
        <v>-23.448045645453604</v>
      </c>
      <c r="J355" s="4">
        <f t="shared" si="17"/>
        <v>14.173074175770797</v>
      </c>
      <c r="K355" s="21">
        <v>7.5</v>
      </c>
    </row>
    <row r="356" spans="1:11" x14ac:dyDescent="0.2">
      <c r="A356">
        <v>87480</v>
      </c>
      <c r="B356" s="1">
        <v>30671</v>
      </c>
      <c r="C356" s="2">
        <f t="shared" si="15"/>
        <v>355</v>
      </c>
      <c r="D356">
        <v>27.8</v>
      </c>
      <c r="E356">
        <v>13.9</v>
      </c>
      <c r="F356">
        <v>21.2</v>
      </c>
      <c r="G356">
        <v>0</v>
      </c>
      <c r="H356">
        <v>-32.903599999999997</v>
      </c>
      <c r="I356" s="4">
        <f t="shared" si="16"/>
        <v>-23.449782846813658</v>
      </c>
      <c r="J356" s="4">
        <f t="shared" si="17"/>
        <v>14.173259694409989</v>
      </c>
      <c r="K356" s="21">
        <v>6.7</v>
      </c>
    </row>
    <row r="357" spans="1:11" x14ac:dyDescent="0.2">
      <c r="A357">
        <v>87480</v>
      </c>
      <c r="B357" s="1">
        <v>30672</v>
      </c>
      <c r="C357" s="2">
        <f t="shared" si="15"/>
        <v>356</v>
      </c>
      <c r="D357">
        <v>28.6</v>
      </c>
      <c r="E357">
        <v>16</v>
      </c>
      <c r="F357">
        <v>22.7</v>
      </c>
      <c r="G357">
        <v>0</v>
      </c>
      <c r="H357">
        <v>-32.903599999999997</v>
      </c>
      <c r="I357" s="4">
        <f t="shared" si="16"/>
        <v>-23.444571371428442</v>
      </c>
      <c r="J357" s="4">
        <f t="shared" si="17"/>
        <v>14.172703170823691</v>
      </c>
      <c r="K357" s="21">
        <v>6.3</v>
      </c>
    </row>
    <row r="358" spans="1:11" x14ac:dyDescent="0.2">
      <c r="A358">
        <v>87480</v>
      </c>
      <c r="B358" s="1">
        <v>30673</v>
      </c>
      <c r="C358" s="2">
        <f t="shared" si="15"/>
        <v>357</v>
      </c>
      <c r="D358">
        <v>33</v>
      </c>
      <c r="E358">
        <v>15.5</v>
      </c>
      <c r="F358">
        <v>25.6</v>
      </c>
      <c r="G358">
        <v>0</v>
      </c>
      <c r="H358">
        <v>-32.903599999999997</v>
      </c>
      <c r="I358" s="4">
        <f t="shared" si="16"/>
        <v>-23.432412763570579</v>
      </c>
      <c r="J358" s="4">
        <f t="shared" si="17"/>
        <v>14.171404992850606</v>
      </c>
      <c r="K358" s="21">
        <v>7</v>
      </c>
    </row>
    <row r="359" spans="1:11" x14ac:dyDescent="0.2">
      <c r="A359">
        <v>87480</v>
      </c>
      <c r="B359" s="1">
        <v>30674</v>
      </c>
      <c r="C359" s="2">
        <f t="shared" si="15"/>
        <v>358</v>
      </c>
      <c r="D359">
        <v>35.5</v>
      </c>
      <c r="E359">
        <v>17.600000000000001</v>
      </c>
      <c r="F359">
        <v>27.9</v>
      </c>
      <c r="G359">
        <v>0</v>
      </c>
      <c r="H359">
        <v>-32.903599999999997</v>
      </c>
      <c r="I359" s="4">
        <f t="shared" si="16"/>
        <v>-23.413310626097985</v>
      </c>
      <c r="J359" s="4">
        <f t="shared" si="17"/>
        <v>14.169366064537591</v>
      </c>
      <c r="K359" s="21">
        <v>7.2</v>
      </c>
    </row>
    <row r="360" spans="1:11" x14ac:dyDescent="0.2">
      <c r="A360">
        <v>87480</v>
      </c>
      <c r="B360" s="1">
        <v>30675</v>
      </c>
      <c r="C360" s="2">
        <f t="shared" si="15"/>
        <v>359</v>
      </c>
      <c r="D360">
        <v>36.200000000000003</v>
      </c>
      <c r="E360">
        <v>20</v>
      </c>
      <c r="F360">
        <v>30</v>
      </c>
      <c r="G360">
        <v>0</v>
      </c>
      <c r="H360">
        <v>-32.903599999999997</v>
      </c>
      <c r="I360" s="4">
        <f t="shared" si="16"/>
        <v>-23.387270619386246</v>
      </c>
      <c r="J360" s="4">
        <f t="shared" si="17"/>
        <v>14.166587803959811</v>
      </c>
      <c r="K360" s="21">
        <v>7.3</v>
      </c>
    </row>
    <row r="361" spans="1:11" x14ac:dyDescent="0.2">
      <c r="A361">
        <v>87480</v>
      </c>
      <c r="B361" s="1">
        <v>30676</v>
      </c>
      <c r="C361" s="2">
        <f t="shared" si="15"/>
        <v>360</v>
      </c>
      <c r="D361">
        <v>36</v>
      </c>
      <c r="E361">
        <v>25.6</v>
      </c>
      <c r="F361">
        <v>29.8</v>
      </c>
      <c r="G361">
        <v>0</v>
      </c>
      <c r="H361">
        <v>-32.903599999999997</v>
      </c>
      <c r="I361" s="4">
        <f t="shared" si="16"/>
        <v>-23.354300459651352</v>
      </c>
      <c r="J361" s="4">
        <f t="shared" si="17"/>
        <v>14.163072139807939</v>
      </c>
      <c r="K361" s="21">
        <v>8.1999999999999993</v>
      </c>
    </row>
    <row r="362" spans="1:11" x14ac:dyDescent="0.2">
      <c r="A362">
        <v>87480</v>
      </c>
      <c r="B362" s="1">
        <v>30677</v>
      </c>
      <c r="C362" s="2">
        <f t="shared" si="15"/>
        <v>361</v>
      </c>
      <c r="D362">
        <v>38.6</v>
      </c>
      <c r="E362">
        <v>24</v>
      </c>
      <c r="F362">
        <v>31.2</v>
      </c>
      <c r="G362">
        <v>0</v>
      </c>
      <c r="H362">
        <v>-32.903599999999997</v>
      </c>
      <c r="I362" s="4">
        <f t="shared" si="16"/>
        <v>-23.314409916663173</v>
      </c>
      <c r="J362" s="4">
        <f t="shared" si="17"/>
        <v>14.15882150675912</v>
      </c>
      <c r="K362" s="21">
        <v>6.9</v>
      </c>
    </row>
    <row r="363" spans="1:11" x14ac:dyDescent="0.2">
      <c r="A363">
        <v>87480</v>
      </c>
      <c r="B363" s="1">
        <v>30678</v>
      </c>
      <c r="C363" s="2">
        <f t="shared" si="15"/>
        <v>362</v>
      </c>
      <c r="D363">
        <v>35.700000000000003</v>
      </c>
      <c r="E363">
        <v>24.2</v>
      </c>
      <c r="F363">
        <v>29.4</v>
      </c>
      <c r="G363">
        <v>0</v>
      </c>
      <c r="H363">
        <v>-32.903599999999997</v>
      </c>
      <c r="I363" s="4">
        <f t="shared" si="16"/>
        <v>-23.267610810850513</v>
      </c>
      <c r="J363" s="4">
        <f t="shared" si="17"/>
        <v>14.153838839654387</v>
      </c>
      <c r="K363" s="21">
        <v>4.9000000000000004</v>
      </c>
    </row>
    <row r="364" spans="1:11" x14ac:dyDescent="0.2">
      <c r="A364">
        <v>87480</v>
      </c>
      <c r="B364" s="1">
        <v>30679</v>
      </c>
      <c r="C364" s="2">
        <f t="shared" si="15"/>
        <v>363</v>
      </c>
      <c r="D364">
        <v>33</v>
      </c>
      <c r="E364">
        <v>24</v>
      </c>
      <c r="F364">
        <v>29.7</v>
      </c>
      <c r="G364">
        <v>19.2</v>
      </c>
      <c r="H364">
        <v>-32.903599999999997</v>
      </c>
      <c r="I364" s="4">
        <f t="shared" si="16"/>
        <v>-23.213917009798429</v>
      </c>
      <c r="J364" s="4">
        <f t="shared" si="17"/>
        <v>14.148127566510883</v>
      </c>
      <c r="K364" s="21">
        <v>7.6</v>
      </c>
    </row>
    <row r="365" spans="1:11" x14ac:dyDescent="0.2">
      <c r="A365">
        <v>87480</v>
      </c>
      <c r="B365" s="1">
        <v>30680</v>
      </c>
      <c r="C365" s="2">
        <f t="shared" si="15"/>
        <v>364</v>
      </c>
      <c r="D365">
        <v>28.6</v>
      </c>
      <c r="E365">
        <v>20</v>
      </c>
      <c r="F365">
        <v>22.9</v>
      </c>
      <c r="G365">
        <v>13</v>
      </c>
      <c r="H365">
        <v>-32.903599999999997</v>
      </c>
      <c r="I365" s="4">
        <f t="shared" si="16"/>
        <v>-23.153344424138982</v>
      </c>
      <c r="J365" s="4">
        <f t="shared" si="17"/>
        <v>14.141691600402734</v>
      </c>
      <c r="K365" s="21">
        <v>4.0999999999999996</v>
      </c>
    </row>
    <row r="366" spans="1:11" x14ac:dyDescent="0.2">
      <c r="A366">
        <v>87480</v>
      </c>
      <c r="B366" s="1">
        <v>30681</v>
      </c>
      <c r="C366" s="2">
        <f t="shared" si="15"/>
        <v>365</v>
      </c>
      <c r="D366">
        <v>22.9</v>
      </c>
      <c r="E366">
        <v>19.5</v>
      </c>
      <c r="F366">
        <v>21</v>
      </c>
      <c r="G366">
        <v>15.5</v>
      </c>
      <c r="H366">
        <v>-32.903599999999997</v>
      </c>
      <c r="I366" s="4">
        <f t="shared" si="16"/>
        <v>-23.085911002836564</v>
      </c>
      <c r="J366" s="4">
        <f t="shared" si="17"/>
        <v>14.134535330249649</v>
      </c>
      <c r="K366" s="21">
        <v>1.6</v>
      </c>
    </row>
    <row r="367" spans="1:11" x14ac:dyDescent="0.2">
      <c r="A367">
        <v>87480</v>
      </c>
      <c r="B367" s="1">
        <v>30682</v>
      </c>
      <c r="C367" s="2">
        <f t="shared" si="15"/>
        <v>1</v>
      </c>
      <c r="D367">
        <v>28.2</v>
      </c>
      <c r="E367">
        <v>18.899999999999999</v>
      </c>
      <c r="F367">
        <v>23.7</v>
      </c>
      <c r="G367">
        <v>2</v>
      </c>
      <c r="H367">
        <v>-32.903599999999997</v>
      </c>
      <c r="I367" s="4">
        <f t="shared" si="16"/>
        <v>-23.011636727869238</v>
      </c>
      <c r="J367" s="4">
        <f t="shared" si="17"/>
        <v>14.12666361055725</v>
      </c>
      <c r="K367" s="21">
        <v>2.9</v>
      </c>
    </row>
    <row r="368" spans="1:11" x14ac:dyDescent="0.2">
      <c r="A368">
        <v>87480</v>
      </c>
      <c r="B368" s="1">
        <v>30683</v>
      </c>
      <c r="C368" s="2">
        <f t="shared" si="15"/>
        <v>2</v>
      </c>
      <c r="D368">
        <v>31.4</v>
      </c>
      <c r="E368">
        <v>22.2</v>
      </c>
      <c r="F368">
        <v>25.6</v>
      </c>
      <c r="G368">
        <v>0.4</v>
      </c>
      <c r="H368">
        <v>-32.903599999999997</v>
      </c>
      <c r="I368" s="4">
        <f t="shared" si="16"/>
        <v>-22.930543608307651</v>
      </c>
      <c r="J368" s="4">
        <f t="shared" si="17"/>
        <v>14.118081750157655</v>
      </c>
      <c r="K368" s="21">
        <v>5.7</v>
      </c>
    </row>
    <row r="369" spans="1:11" x14ac:dyDescent="0.2">
      <c r="A369">
        <v>87480</v>
      </c>
      <c r="B369" s="1">
        <v>30684</v>
      </c>
      <c r="C369" s="2">
        <f t="shared" si="15"/>
        <v>3</v>
      </c>
      <c r="D369">
        <v>29.9</v>
      </c>
      <c r="E369">
        <v>20.6</v>
      </c>
      <c r="F369">
        <v>24.7</v>
      </c>
      <c r="G369">
        <v>0</v>
      </c>
      <c r="H369">
        <v>-32.903599999999997</v>
      </c>
      <c r="I369" s="4">
        <f t="shared" si="16"/>
        <v>-22.84265567379326</v>
      </c>
      <c r="J369" s="4">
        <f t="shared" si="17"/>
        <v>14.108795500003119</v>
      </c>
      <c r="K369" s="21">
        <v>5.8</v>
      </c>
    </row>
    <row r="370" spans="1:11" x14ac:dyDescent="0.2">
      <c r="A370">
        <v>87480</v>
      </c>
      <c r="B370" s="1">
        <v>30685</v>
      </c>
      <c r="C370" s="2">
        <f t="shared" si="15"/>
        <v>4</v>
      </c>
      <c r="D370">
        <v>29.9</v>
      </c>
      <c r="E370">
        <v>20.7</v>
      </c>
      <c r="F370">
        <v>25.8</v>
      </c>
      <c r="G370">
        <v>0</v>
      </c>
      <c r="H370">
        <v>-32.903599999999997</v>
      </c>
      <c r="I370" s="4">
        <f t="shared" si="16"/>
        <v>-22.747998967417839</v>
      </c>
      <c r="J370" s="4">
        <f t="shared" si="17"/>
        <v>14.098811040069268</v>
      </c>
      <c r="K370" s="21">
        <v>5.8</v>
      </c>
    </row>
    <row r="371" spans="1:11" x14ac:dyDescent="0.2">
      <c r="A371">
        <v>87480</v>
      </c>
      <c r="B371" s="1">
        <v>30686</v>
      </c>
      <c r="C371" s="2">
        <f t="shared" si="15"/>
        <v>5</v>
      </c>
      <c r="D371">
        <v>34.5</v>
      </c>
      <c r="E371">
        <v>23.5</v>
      </c>
      <c r="F371">
        <v>29.1</v>
      </c>
      <c r="G371">
        <v>0</v>
      </c>
      <c r="H371">
        <v>-32.903599999999997</v>
      </c>
      <c r="I371" s="4">
        <f t="shared" si="16"/>
        <v>-22.646601538006347</v>
      </c>
      <c r="J371" s="4">
        <f t="shared" si="17"/>
        <v>14.088134965427884</v>
      </c>
      <c r="K371" s="21">
        <v>6.4</v>
      </c>
    </row>
    <row r="372" spans="1:11" x14ac:dyDescent="0.2">
      <c r="A372">
        <v>87480</v>
      </c>
      <c r="B372" s="1">
        <v>30687</v>
      </c>
      <c r="C372" s="2">
        <f t="shared" si="15"/>
        <v>6</v>
      </c>
      <c r="D372">
        <v>35.5</v>
      </c>
      <c r="E372">
        <v>25.3</v>
      </c>
      <c r="F372">
        <v>29</v>
      </c>
      <c r="G372">
        <v>5.7</v>
      </c>
      <c r="H372">
        <v>-32.903599999999997</v>
      </c>
      <c r="I372" s="4">
        <f t="shared" si="16"/>
        <v>-22.538493431805453</v>
      </c>
      <c r="J372" s="4">
        <f t="shared" si="17"/>
        <v>14.07677427155217</v>
      </c>
      <c r="K372" s="21">
        <v>3.8</v>
      </c>
    </row>
    <row r="373" spans="1:11" x14ac:dyDescent="0.2">
      <c r="A373">
        <v>87480</v>
      </c>
      <c r="B373" s="1">
        <v>30688</v>
      </c>
      <c r="C373" s="2">
        <f t="shared" si="15"/>
        <v>7</v>
      </c>
      <c r="D373">
        <v>26.7</v>
      </c>
      <c r="E373">
        <v>24</v>
      </c>
      <c r="F373">
        <v>25.1</v>
      </c>
      <c r="G373">
        <v>2.2000000000000002</v>
      </c>
      <c r="H373">
        <v>-32.903599999999997</v>
      </c>
      <c r="I373" s="4">
        <f t="shared" si="16"/>
        <v>-22.423706683580185</v>
      </c>
      <c r="J373" s="4">
        <f t="shared" si="17"/>
        <v>14.064736338919822</v>
      </c>
      <c r="K373" s="21">
        <v>2.1</v>
      </c>
    </row>
    <row r="374" spans="1:11" x14ac:dyDescent="0.2">
      <c r="A374">
        <v>87480</v>
      </c>
      <c r="B374" s="1">
        <v>30689</v>
      </c>
      <c r="C374" s="2">
        <f t="shared" si="15"/>
        <v>8</v>
      </c>
      <c r="D374">
        <v>28.8</v>
      </c>
      <c r="E374">
        <v>23.2</v>
      </c>
      <c r="F374">
        <v>25.1</v>
      </c>
      <c r="G374">
        <v>0</v>
      </c>
      <c r="H374">
        <v>-32.903599999999997</v>
      </c>
      <c r="I374" s="4">
        <f t="shared" si="16"/>
        <v>-22.302275307121349</v>
      </c>
      <c r="J374" s="4">
        <f t="shared" si="17"/>
        <v>14.052028916981424</v>
      </c>
      <c r="K374" s="21">
        <v>4.9000000000000004</v>
      </c>
    </row>
    <row r="375" spans="1:11" x14ac:dyDescent="0.2">
      <c r="A375">
        <v>87480</v>
      </c>
      <c r="B375" s="1">
        <v>30690</v>
      </c>
      <c r="C375" s="2">
        <f t="shared" si="15"/>
        <v>9</v>
      </c>
      <c r="D375">
        <v>31.7</v>
      </c>
      <c r="E375">
        <v>20.5</v>
      </c>
      <c r="F375">
        <v>26.6</v>
      </c>
      <c r="G375">
        <v>0.1</v>
      </c>
      <c r="H375">
        <v>-32.903599999999997</v>
      </c>
      <c r="I375" s="4">
        <f t="shared" si="16"/>
        <v>-22.174235285166493</v>
      </c>
      <c r="J375" s="4">
        <f t="shared" si="17"/>
        <v>14.03866010756313</v>
      </c>
      <c r="K375" s="21">
        <v>5.6</v>
      </c>
    </row>
    <row r="376" spans="1:11" x14ac:dyDescent="0.2">
      <c r="A376">
        <v>87480</v>
      </c>
      <c r="B376" s="1">
        <v>30691</v>
      </c>
      <c r="C376" s="2">
        <f t="shared" si="15"/>
        <v>10</v>
      </c>
      <c r="D376">
        <v>28.2</v>
      </c>
      <c r="E376">
        <v>20</v>
      </c>
      <c r="F376">
        <v>24.2</v>
      </c>
      <c r="G376">
        <v>0</v>
      </c>
      <c r="H376">
        <v>-32.903599999999997</v>
      </c>
      <c r="I376" s="4">
        <f t="shared" si="16"/>
        <v>-22.039624558737447</v>
      </c>
      <c r="J376" s="4">
        <f t="shared" si="17"/>
        <v>14.024638347773765</v>
      </c>
      <c r="K376" s="21">
        <v>5</v>
      </c>
    </row>
    <row r="377" spans="1:11" x14ac:dyDescent="0.2">
      <c r="A377">
        <v>87480</v>
      </c>
      <c r="B377" s="1">
        <v>30692</v>
      </c>
      <c r="C377" s="2">
        <f t="shared" si="15"/>
        <v>11</v>
      </c>
      <c r="D377">
        <v>30.7</v>
      </c>
      <c r="E377">
        <v>22.2</v>
      </c>
      <c r="F377">
        <v>26.4</v>
      </c>
      <c r="G377">
        <v>8.4</v>
      </c>
      <c r="H377">
        <v>-32.903599999999997</v>
      </c>
      <c r="I377" s="4">
        <f t="shared" si="16"/>
        <v>-21.898483015897597</v>
      </c>
      <c r="J377" s="4">
        <f t="shared" si="17"/>
        <v>14.009972392487164</v>
      </c>
      <c r="K377" s="21">
        <v>5.2</v>
      </c>
    </row>
    <row r="378" spans="1:11" x14ac:dyDescent="0.2">
      <c r="A378">
        <v>87480</v>
      </c>
      <c r="B378" s="1">
        <v>30693</v>
      </c>
      <c r="C378" s="2">
        <f t="shared" si="15"/>
        <v>12</v>
      </c>
      <c r="D378">
        <v>26.6</v>
      </c>
      <c r="E378">
        <v>22.5</v>
      </c>
      <c r="F378">
        <v>24.3</v>
      </c>
      <c r="G378">
        <v>0</v>
      </c>
      <c r="H378">
        <v>-32.903599999999997</v>
      </c>
      <c r="I378" s="4">
        <f t="shared" si="16"/>
        <v>-21.75085247993216</v>
      </c>
      <c r="J378" s="4">
        <f t="shared" si="17"/>
        <v>13.994671296470765</v>
      </c>
      <c r="K378" s="21">
        <v>1</v>
      </c>
    </row>
    <row r="379" spans="1:11" x14ac:dyDescent="0.2">
      <c r="A379">
        <v>87480</v>
      </c>
      <c r="B379" s="1">
        <v>30694</v>
      </c>
      <c r="C379" s="2">
        <f t="shared" si="15"/>
        <v>13</v>
      </c>
      <c r="D379">
        <v>30.3</v>
      </c>
      <c r="E379">
        <v>20.3</v>
      </c>
      <c r="F379">
        <v>24.6</v>
      </c>
      <c r="G379">
        <v>0</v>
      </c>
      <c r="H379">
        <v>-32.903599999999997</v>
      </c>
      <c r="I379" s="4">
        <f t="shared" si="16"/>
        <v>-21.596776696955082</v>
      </c>
      <c r="J379" s="4">
        <f t="shared" si="17"/>
        <v>13.978744396231232</v>
      </c>
      <c r="K379" s="21">
        <v>5.8</v>
      </c>
    </row>
    <row r="380" spans="1:11" x14ac:dyDescent="0.2">
      <c r="A380">
        <v>87480</v>
      </c>
      <c r="B380" s="1">
        <v>30695</v>
      </c>
      <c r="C380" s="2">
        <f t="shared" si="15"/>
        <v>14</v>
      </c>
      <c r="D380">
        <v>33.200000000000003</v>
      </c>
      <c r="E380">
        <v>12.6</v>
      </c>
      <c r="F380">
        <v>24</v>
      </c>
      <c r="G380">
        <v>0</v>
      </c>
      <c r="H380">
        <v>-32.903599999999997</v>
      </c>
      <c r="I380" s="4">
        <f t="shared" si="16"/>
        <v>-21.436301322946075</v>
      </c>
      <c r="J380" s="4">
        <f t="shared" si="17"/>
        <v>13.962201291647334</v>
      </c>
      <c r="K380" s="21">
        <v>6</v>
      </c>
    </row>
    <row r="381" spans="1:11" x14ac:dyDescent="0.2">
      <c r="A381">
        <v>87480</v>
      </c>
      <c r="B381" s="1">
        <v>30696</v>
      </c>
      <c r="C381" s="2">
        <f t="shared" si="15"/>
        <v>15</v>
      </c>
      <c r="D381">
        <v>32.6</v>
      </c>
      <c r="E381">
        <v>16.5</v>
      </c>
      <c r="F381">
        <v>26.2</v>
      </c>
      <c r="G381">
        <v>0</v>
      </c>
      <c r="H381">
        <v>-32.903599999999997</v>
      </c>
      <c r="I381" s="4">
        <f t="shared" si="16"/>
        <v>-21.269473910221812</v>
      </c>
      <c r="J381" s="4">
        <f t="shared" si="17"/>
        <v>13.945051827459224</v>
      </c>
      <c r="K381" s="21">
        <v>6.2</v>
      </c>
    </row>
    <row r="382" spans="1:11" x14ac:dyDescent="0.2">
      <c r="A382">
        <v>87480</v>
      </c>
      <c r="B382" s="1">
        <v>30697</v>
      </c>
      <c r="C382" s="2">
        <f t="shared" si="15"/>
        <v>16</v>
      </c>
      <c r="D382">
        <v>34.799999999999997</v>
      </c>
      <c r="E382">
        <v>18.8</v>
      </c>
      <c r="F382">
        <v>27.5</v>
      </c>
      <c r="G382">
        <v>0</v>
      </c>
      <c r="H382">
        <v>-32.903599999999997</v>
      </c>
      <c r="I382" s="4">
        <f t="shared" si="16"/>
        <v>-21.096343893345107</v>
      </c>
      <c r="J382" s="4">
        <f t="shared" si="17"/>
        <v>13.927306074681896</v>
      </c>
      <c r="K382" s="21">
        <v>7</v>
      </c>
    </row>
    <row r="383" spans="1:11" x14ac:dyDescent="0.2">
      <c r="A383">
        <v>87480</v>
      </c>
      <c r="B383" s="1">
        <v>30698</v>
      </c>
      <c r="C383" s="2">
        <f t="shared" si="15"/>
        <v>17</v>
      </c>
      <c r="D383">
        <v>34.299999999999997</v>
      </c>
      <c r="E383">
        <v>20.399999999999999</v>
      </c>
      <c r="F383">
        <v>28.5</v>
      </c>
      <c r="G383">
        <v>0</v>
      </c>
      <c r="H383">
        <v>-32.903599999999997</v>
      </c>
      <c r="I383" s="4">
        <f t="shared" si="16"/>
        <v>-20.916962574476411</v>
      </c>
      <c r="J383" s="4">
        <f t="shared" si="17"/>
        <v>13.908974312008899</v>
      </c>
      <c r="K383" s="21">
        <v>7.2</v>
      </c>
    </row>
    <row r="384" spans="1:11" x14ac:dyDescent="0.2">
      <c r="A384">
        <v>87480</v>
      </c>
      <c r="B384" s="1">
        <v>30699</v>
      </c>
      <c r="C384" s="2">
        <f t="shared" si="15"/>
        <v>18</v>
      </c>
      <c r="D384">
        <v>34.5</v>
      </c>
      <c r="E384">
        <v>20</v>
      </c>
      <c r="F384">
        <v>28.3</v>
      </c>
      <c r="G384">
        <v>9.5</v>
      </c>
      <c r="H384">
        <v>-32.903599999999997</v>
      </c>
      <c r="I384" s="4">
        <f t="shared" si="16"/>
        <v>-20.731383108171876</v>
      </c>
      <c r="J384" s="4">
        <f t="shared" si="17"/>
        <v>13.890067007270297</v>
      </c>
      <c r="K384" s="21">
        <v>6.9</v>
      </c>
    </row>
    <row r="385" spans="1:11" x14ac:dyDescent="0.2">
      <c r="A385">
        <v>87480</v>
      </c>
      <c r="B385" s="1">
        <v>30700</v>
      </c>
      <c r="C385" s="2">
        <f t="shared" si="15"/>
        <v>19</v>
      </c>
      <c r="D385">
        <v>27.8</v>
      </c>
      <c r="E385">
        <v>19</v>
      </c>
      <c r="F385">
        <v>23.9</v>
      </c>
      <c r="G385">
        <v>0.7</v>
      </c>
      <c r="H385">
        <v>-32.903599999999997</v>
      </c>
      <c r="I385" s="4">
        <f t="shared" si="16"/>
        <v>-20.539660485632496</v>
      </c>
      <c r="J385" s="4">
        <f t="shared" si="17"/>
        <v>13.87059479900654</v>
      </c>
      <c r="K385" s="21">
        <v>3.1</v>
      </c>
    </row>
    <row r="386" spans="1:11" x14ac:dyDescent="0.2">
      <c r="A386">
        <v>87480</v>
      </c>
      <c r="B386" s="1">
        <v>30701</v>
      </c>
      <c r="C386" s="2">
        <f t="shared" ref="C386:C449" si="18">B386-DATE(YEAR(B386),1,1)+1</f>
        <v>20</v>
      </c>
      <c r="D386">
        <v>26.8</v>
      </c>
      <c r="E386">
        <v>13.3</v>
      </c>
      <c r="F386">
        <v>22</v>
      </c>
      <c r="G386">
        <v>0</v>
      </c>
      <c r="H386">
        <v>-32.903599999999997</v>
      </c>
      <c r="I386" s="4">
        <f t="shared" ref="I386:I449" si="19">23.45*SIN(RADIANS(360/365*(C386-81)))</f>
        <v>-20.341851518409044</v>
      </c>
      <c r="J386" s="4">
        <f t="shared" ref="J386:J449" si="20">IFERROR(24 / PI() * ACOS(-TAN(RADIANS(H386)) * TAN(RADIANS(I386))), IF(-TAN(RADIANS(H386)) * TAN(RADIANS(I386)) &gt;= 1, 0,24))</f>
        <v>13.850568478217388</v>
      </c>
      <c r="K386" s="21">
        <v>5.8</v>
      </c>
    </row>
    <row r="387" spans="1:11" x14ac:dyDescent="0.2">
      <c r="A387">
        <v>87480</v>
      </c>
      <c r="B387" s="1">
        <v>30702</v>
      </c>
      <c r="C387" s="2">
        <f t="shared" si="18"/>
        <v>21</v>
      </c>
      <c r="D387">
        <v>27.7</v>
      </c>
      <c r="E387">
        <v>18.7</v>
      </c>
      <c r="F387">
        <v>23.8</v>
      </c>
      <c r="G387">
        <v>0</v>
      </c>
      <c r="H387">
        <v>-32.903599999999997</v>
      </c>
      <c r="I387" s="4">
        <f t="shared" si="19"/>
        <v>-20.138014821567577</v>
      </c>
      <c r="J387" s="4">
        <f t="shared" si="20"/>
        <v>13.829998970342087</v>
      </c>
      <c r="K387" s="21">
        <v>5.6</v>
      </c>
    </row>
    <row r="388" spans="1:11" x14ac:dyDescent="0.2">
      <c r="A388">
        <v>87480</v>
      </c>
      <c r="B388" s="1">
        <v>30703</v>
      </c>
      <c r="C388" s="2">
        <f t="shared" si="18"/>
        <v>22</v>
      </c>
      <c r="D388">
        <v>28.8</v>
      </c>
      <c r="E388">
        <v>19.399999999999999</v>
      </c>
      <c r="F388">
        <v>24.1</v>
      </c>
      <c r="G388">
        <v>0</v>
      </c>
      <c r="H388">
        <v>-32.903599999999997</v>
      </c>
      <c r="I388" s="4">
        <f t="shared" si="19"/>
        <v>-19.928210796320528</v>
      </c>
      <c r="J388" s="4">
        <f t="shared" si="20"/>
        <v>13.80889731752413</v>
      </c>
      <c r="K388" s="21">
        <v>5.7</v>
      </c>
    </row>
    <row r="389" spans="1:11" x14ac:dyDescent="0.2">
      <c r="A389">
        <v>87480</v>
      </c>
      <c r="B389" s="1">
        <v>30704</v>
      </c>
      <c r="C389" s="2">
        <f t="shared" si="18"/>
        <v>23</v>
      </c>
      <c r="D389">
        <v>31.5</v>
      </c>
      <c r="E389">
        <v>20.100000000000001</v>
      </c>
      <c r="F389">
        <v>25.7</v>
      </c>
      <c r="G389">
        <v>0</v>
      </c>
      <c r="H389">
        <v>-32.903599999999997</v>
      </c>
      <c r="I389" s="4">
        <f t="shared" si="19"/>
        <v>-19.712501612128509</v>
      </c>
      <c r="J389" s="4">
        <f t="shared" si="20"/>
        <v>13.787274661210651</v>
      </c>
      <c r="K389" s="21">
        <v>6</v>
      </c>
    </row>
    <row r="390" spans="1:11" x14ac:dyDescent="0.2">
      <c r="A390">
        <v>87480</v>
      </c>
      <c r="B390" s="1">
        <v>30705</v>
      </c>
      <c r="C390" s="2">
        <f t="shared" si="18"/>
        <v>24</v>
      </c>
      <c r="D390">
        <v>31.2</v>
      </c>
      <c r="E390">
        <v>19.100000000000001</v>
      </c>
      <c r="F390">
        <v>26.3</v>
      </c>
      <c r="G390">
        <v>0</v>
      </c>
      <c r="H390">
        <v>-32.903599999999997</v>
      </c>
      <c r="I390" s="4">
        <f t="shared" si="19"/>
        <v>-19.490951188278192</v>
      </c>
      <c r="J390" s="4">
        <f t="shared" si="20"/>
        <v>13.765142225133289</v>
      </c>
      <c r="K390" s="21">
        <v>5.6</v>
      </c>
    </row>
    <row r="391" spans="1:11" x14ac:dyDescent="0.2">
      <c r="A391">
        <v>87480</v>
      </c>
      <c r="B391" s="1">
        <v>30706</v>
      </c>
      <c r="C391" s="2">
        <f t="shared" si="18"/>
        <v>25</v>
      </c>
      <c r="D391">
        <v>30.6</v>
      </c>
      <c r="E391">
        <v>19</v>
      </c>
      <c r="F391">
        <v>25.6</v>
      </c>
      <c r="G391">
        <v>32.6</v>
      </c>
      <c r="H391">
        <v>-32.903599999999997</v>
      </c>
      <c r="I391" s="4">
        <f t="shared" si="19"/>
        <v>-19.263625174941613</v>
      </c>
      <c r="J391" s="4">
        <f t="shared" si="20"/>
        <v>13.742511298713865</v>
      </c>
      <c r="K391" s="21">
        <v>4.8</v>
      </c>
    </row>
    <row r="392" spans="1:11" x14ac:dyDescent="0.2">
      <c r="A392">
        <v>87480</v>
      </c>
      <c r="B392" s="1">
        <v>30707</v>
      </c>
      <c r="C392" s="2">
        <f t="shared" si="18"/>
        <v>26</v>
      </c>
      <c r="D392">
        <v>30</v>
      </c>
      <c r="E392">
        <v>20.100000000000001</v>
      </c>
      <c r="F392">
        <v>25.1</v>
      </c>
      <c r="G392">
        <v>14.1</v>
      </c>
      <c r="H392">
        <v>-32.903599999999997</v>
      </c>
      <c r="I392" s="4">
        <f t="shared" si="19"/>
        <v>-19.030590933722614</v>
      </c>
      <c r="J392" s="4">
        <f t="shared" si="20"/>
        <v>13.719393220934847</v>
      </c>
      <c r="K392" s="21">
        <v>5.4</v>
      </c>
    </row>
    <row r="393" spans="1:11" x14ac:dyDescent="0.2">
      <c r="A393">
        <v>87480</v>
      </c>
      <c r="B393" s="1">
        <v>30708</v>
      </c>
      <c r="C393" s="2">
        <f t="shared" si="18"/>
        <v>27</v>
      </c>
      <c r="D393">
        <v>33.200000000000003</v>
      </c>
      <c r="E393">
        <v>19.399999999999999</v>
      </c>
      <c r="F393">
        <v>26.2</v>
      </c>
      <c r="G393">
        <v>0</v>
      </c>
      <c r="H393">
        <v>-32.903599999999997</v>
      </c>
      <c r="I393" s="4">
        <f t="shared" si="19"/>
        <v>-18.791917517696167</v>
      </c>
      <c r="J393" s="4">
        <f t="shared" si="20"/>
        <v>13.695799364710952</v>
      </c>
      <c r="K393" s="21">
        <v>7.1</v>
      </c>
    </row>
    <row r="394" spans="1:11" x14ac:dyDescent="0.2">
      <c r="A394">
        <v>87480</v>
      </c>
      <c r="B394" s="1">
        <v>30709</v>
      </c>
      <c r="C394" s="2">
        <f t="shared" si="18"/>
        <v>28</v>
      </c>
      <c r="D394">
        <v>35.4</v>
      </c>
      <c r="E394">
        <v>19.100000000000001</v>
      </c>
      <c r="F394">
        <v>25.8</v>
      </c>
      <c r="G394">
        <v>0</v>
      </c>
      <c r="H394">
        <v>-32.903599999999997</v>
      </c>
      <c r="I394" s="4">
        <f t="shared" si="19"/>
        <v>-18.547675650946424</v>
      </c>
      <c r="J394" s="4">
        <f t="shared" si="20"/>
        <v>13.671741121794794</v>
      </c>
      <c r="K394" s="21">
        <v>8.1</v>
      </c>
    </row>
    <row r="395" spans="1:11" x14ac:dyDescent="0.2">
      <c r="A395">
        <v>87480</v>
      </c>
      <c r="B395" s="1">
        <v>30710</v>
      </c>
      <c r="C395" s="2">
        <f t="shared" si="18"/>
        <v>29</v>
      </c>
      <c r="D395">
        <v>29.7</v>
      </c>
      <c r="E395">
        <v>19</v>
      </c>
      <c r="F395">
        <v>24.4</v>
      </c>
      <c r="G395">
        <v>0</v>
      </c>
      <c r="H395">
        <v>-32.903599999999997</v>
      </c>
      <c r="I395" s="4">
        <f t="shared" si="19"/>
        <v>-18.297937707609684</v>
      </c>
      <c r="J395" s="4">
        <f t="shared" si="20"/>
        <v>13.647229888245898</v>
      </c>
      <c r="K395" s="21">
        <v>6.5</v>
      </c>
    </row>
    <row r="396" spans="1:11" x14ac:dyDescent="0.2">
      <c r="A396">
        <v>87480</v>
      </c>
      <c r="B396" s="1">
        <v>30711</v>
      </c>
      <c r="C396" s="2">
        <f t="shared" si="18"/>
        <v>30</v>
      </c>
      <c r="D396">
        <v>25.7</v>
      </c>
      <c r="E396">
        <v>18</v>
      </c>
      <c r="F396">
        <v>22.3</v>
      </c>
      <c r="G396">
        <v>8.1999999999999993</v>
      </c>
      <c r="H396">
        <v>-32.903599999999997</v>
      </c>
      <c r="I396" s="4">
        <f t="shared" si="19"/>
        <v>-18.042777690428341</v>
      </c>
      <c r="J396" s="4">
        <f t="shared" si="20"/>
        <v>13.622277050488973</v>
      </c>
      <c r="K396" s="21">
        <v>3.5</v>
      </c>
    </row>
    <row r="397" spans="1:11" x14ac:dyDescent="0.2">
      <c r="A397">
        <v>87480</v>
      </c>
      <c r="B397" s="1">
        <v>30712</v>
      </c>
      <c r="C397" s="2">
        <f t="shared" si="18"/>
        <v>31</v>
      </c>
      <c r="D397">
        <v>28</v>
      </c>
      <c r="E397">
        <v>19.2</v>
      </c>
      <c r="F397">
        <v>23.4</v>
      </c>
      <c r="G397">
        <v>0</v>
      </c>
      <c r="H397">
        <v>-32.903599999999997</v>
      </c>
      <c r="I397" s="4">
        <f t="shared" si="19"/>
        <v>-17.782271208822291</v>
      </c>
      <c r="J397" s="4">
        <f t="shared" si="20"/>
        <v>13.59689397198381</v>
      </c>
      <c r="K397" s="21">
        <v>4.8</v>
      </c>
    </row>
    <row r="398" spans="1:11" x14ac:dyDescent="0.2">
      <c r="A398">
        <v>87480</v>
      </c>
      <c r="B398" s="1">
        <v>30713</v>
      </c>
      <c r="C398" s="2">
        <f t="shared" si="18"/>
        <v>32</v>
      </c>
      <c r="D398">
        <v>29.2</v>
      </c>
      <c r="E398">
        <v>15.8</v>
      </c>
      <c r="F398">
        <v>23.6</v>
      </c>
      <c r="G398">
        <v>0</v>
      </c>
      <c r="H398">
        <v>-32.903599999999997</v>
      </c>
      <c r="I398" s="4">
        <f t="shared" si="19"/>
        <v>-17.516495456484218</v>
      </c>
      <c r="J398" s="4">
        <f t="shared" si="20"/>
        <v>13.571091980525928</v>
      </c>
      <c r="K398" s="21">
        <v>5.3</v>
      </c>
    </row>
    <row r="399" spans="1:11" x14ac:dyDescent="0.2">
      <c r="A399">
        <v>87480</v>
      </c>
      <c r="B399" s="1">
        <v>30714</v>
      </c>
      <c r="C399" s="2">
        <f t="shared" si="18"/>
        <v>33</v>
      </c>
      <c r="D399">
        <v>31.8</v>
      </c>
      <c r="E399">
        <v>18.5</v>
      </c>
      <c r="F399">
        <v>25.8</v>
      </c>
      <c r="G399">
        <v>0</v>
      </c>
      <c r="H399">
        <v>-32.903599999999997</v>
      </c>
      <c r="I399" s="4">
        <f t="shared" si="19"/>
        <v>-17.245529188505458</v>
      </c>
      <c r="J399" s="4">
        <f t="shared" si="20"/>
        <v>13.544882356193716</v>
      </c>
      <c r="K399" s="21">
        <v>6.4</v>
      </c>
    </row>
    <row r="400" spans="1:11" x14ac:dyDescent="0.2">
      <c r="A400">
        <v>87480</v>
      </c>
      <c r="B400" s="1">
        <v>30715</v>
      </c>
      <c r="C400" s="2">
        <f t="shared" si="18"/>
        <v>34</v>
      </c>
      <c r="D400">
        <v>31.7</v>
      </c>
      <c r="E400">
        <v>21</v>
      </c>
      <c r="F400">
        <v>26.7</v>
      </c>
      <c r="G400">
        <v>19</v>
      </c>
      <c r="H400">
        <v>-32.903599999999997</v>
      </c>
      <c r="I400" s="4">
        <f t="shared" si="19"/>
        <v>-16.969452698039142</v>
      </c>
      <c r="J400" s="4">
        <f t="shared" si="20"/>
        <v>13.518276319954735</v>
      </c>
      <c r="K400" s="21">
        <v>6</v>
      </c>
    </row>
    <row r="401" spans="1:11" x14ac:dyDescent="0.2">
      <c r="A401">
        <v>87480</v>
      </c>
      <c r="B401" s="1">
        <v>30716</v>
      </c>
      <c r="C401" s="2">
        <f t="shared" si="18"/>
        <v>35</v>
      </c>
      <c r="D401">
        <v>26.2</v>
      </c>
      <c r="E401">
        <v>18.600000000000001</v>
      </c>
      <c r="F401">
        <v>20.6</v>
      </c>
      <c r="G401">
        <v>7</v>
      </c>
      <c r="H401">
        <v>-32.903599999999997</v>
      </c>
      <c r="I401" s="4">
        <f t="shared" si="19"/>
        <v>-16.688347792507614</v>
      </c>
      <c r="J401" s="4">
        <f t="shared" si="20"/>
        <v>13.491285022940758</v>
      </c>
      <c r="K401" s="21">
        <v>3.7</v>
      </c>
    </row>
    <row r="402" spans="1:11" x14ac:dyDescent="0.2">
      <c r="A402">
        <v>87480</v>
      </c>
      <c r="B402" s="1">
        <v>30717</v>
      </c>
      <c r="C402" s="2">
        <f t="shared" si="18"/>
        <v>36</v>
      </c>
      <c r="D402">
        <v>24.8</v>
      </c>
      <c r="E402">
        <v>14</v>
      </c>
      <c r="F402">
        <v>18.399999999999999</v>
      </c>
      <c r="G402">
        <v>0</v>
      </c>
      <c r="H402">
        <v>-32.903599999999997</v>
      </c>
      <c r="I402" s="4">
        <f t="shared" si="19"/>
        <v>-16.402297769361123</v>
      </c>
      <c r="J402" s="4">
        <f t="shared" si="20"/>
        <v>13.46391953639824</v>
      </c>
      <c r="K402" s="21">
        <v>5.6</v>
      </c>
    </row>
    <row r="403" spans="1:11" x14ac:dyDescent="0.2">
      <c r="A403">
        <v>87480</v>
      </c>
      <c r="B403" s="1">
        <v>30718</v>
      </c>
      <c r="C403" s="2">
        <f t="shared" si="18"/>
        <v>37</v>
      </c>
      <c r="D403">
        <v>28.2</v>
      </c>
      <c r="E403">
        <v>9.4</v>
      </c>
      <c r="F403">
        <v>19.3</v>
      </c>
      <c r="G403">
        <v>0</v>
      </c>
      <c r="H403">
        <v>-32.903599999999997</v>
      </c>
      <c r="I403" s="4">
        <f t="shared" si="19"/>
        <v>-16.111387391394992</v>
      </c>
      <c r="J403" s="4">
        <f t="shared" si="20"/>
        <v>13.436190842318164</v>
      </c>
      <c r="K403" s="21">
        <v>5.9</v>
      </c>
    </row>
    <row r="404" spans="1:11" x14ac:dyDescent="0.2">
      <c r="A404">
        <v>87480</v>
      </c>
      <c r="B404" s="1">
        <v>30719</v>
      </c>
      <c r="C404" s="2">
        <f t="shared" si="18"/>
        <v>38</v>
      </c>
      <c r="D404">
        <v>28.8</v>
      </c>
      <c r="E404">
        <v>16.600000000000001</v>
      </c>
      <c r="F404">
        <v>22.8</v>
      </c>
      <c r="G404">
        <v>0</v>
      </c>
      <c r="H404">
        <v>-32.903599999999997</v>
      </c>
      <c r="I404" s="4">
        <f t="shared" si="19"/>
        <v>-15.81570286163257</v>
      </c>
      <c r="J404" s="4">
        <f t="shared" si="20"/>
        <v>13.408109824746559</v>
      </c>
      <c r="K404" s="21">
        <v>6.4</v>
      </c>
    </row>
    <row r="405" spans="1:11" x14ac:dyDescent="0.2">
      <c r="A405">
        <v>87480</v>
      </c>
      <c r="B405" s="1">
        <v>30720</v>
      </c>
      <c r="C405" s="2">
        <f t="shared" si="18"/>
        <v>39</v>
      </c>
      <c r="D405">
        <v>28.7</v>
      </c>
      <c r="E405">
        <v>16.600000000000001</v>
      </c>
      <c r="F405">
        <v>22.7</v>
      </c>
      <c r="G405">
        <v>0</v>
      </c>
      <c r="H405">
        <v>-32.903599999999997</v>
      </c>
      <c r="I405" s="4">
        <f t="shared" si="19"/>
        <v>-15.515331797781426</v>
      </c>
      <c r="J405" s="4">
        <f t="shared" si="20"/>
        <v>13.379687261774583</v>
      </c>
      <c r="K405" s="21">
        <v>6</v>
      </c>
    </row>
    <row r="406" spans="1:11" x14ac:dyDescent="0.2">
      <c r="A406">
        <v>87480</v>
      </c>
      <c r="B406" s="1">
        <v>30721</v>
      </c>
      <c r="C406" s="2">
        <f t="shared" si="18"/>
        <v>40</v>
      </c>
      <c r="D406">
        <v>32</v>
      </c>
      <c r="E406">
        <v>15.8</v>
      </c>
      <c r="F406">
        <v>25</v>
      </c>
      <c r="G406">
        <v>1.6</v>
      </c>
      <c r="H406">
        <v>-32.903599999999997</v>
      </c>
      <c r="I406" s="4">
        <f t="shared" si="19"/>
        <v>-15.210363206270312</v>
      </c>
      <c r="J406" s="4">
        <f t="shared" si="20"/>
        <v>13.350933818204727</v>
      </c>
      <c r="K406" s="21">
        <v>6.4</v>
      </c>
    </row>
    <row r="407" spans="1:11" x14ac:dyDescent="0.2">
      <c r="A407">
        <v>87480</v>
      </c>
      <c r="B407" s="1">
        <v>30722</v>
      </c>
      <c r="C407" s="2">
        <f t="shared" si="18"/>
        <v>41</v>
      </c>
      <c r="D407">
        <v>27.3</v>
      </c>
      <c r="E407">
        <v>21.5</v>
      </c>
      <c r="F407">
        <v>25</v>
      </c>
      <c r="G407">
        <v>94.3</v>
      </c>
      <c r="H407">
        <v>-32.903599999999997</v>
      </c>
      <c r="I407" s="4">
        <f t="shared" si="19"/>
        <v>-14.90088745587466</v>
      </c>
      <c r="J407" s="4">
        <f t="shared" si="20"/>
        <v>13.321860038887591</v>
      </c>
      <c r="K407" s="21">
        <v>4.7</v>
      </c>
    </row>
    <row r="408" spans="1:11" x14ac:dyDescent="0.2">
      <c r="A408">
        <v>87480</v>
      </c>
      <c r="B408" s="1">
        <v>30723</v>
      </c>
      <c r="C408" s="2">
        <f t="shared" si="18"/>
        <v>42</v>
      </c>
      <c r="D408">
        <v>26.7</v>
      </c>
      <c r="E408">
        <v>19.2</v>
      </c>
      <c r="F408">
        <v>22.2</v>
      </c>
      <c r="G408">
        <v>32.5</v>
      </c>
      <c r="H408">
        <v>-32.903599999999997</v>
      </c>
      <c r="I408" s="4">
        <f t="shared" si="19"/>
        <v>-14.586996250938343</v>
      </c>
      <c r="J408" s="4">
        <f t="shared" si="20"/>
        <v>13.29247634272174</v>
      </c>
      <c r="K408" s="21">
        <v>3.3</v>
      </c>
    </row>
    <row r="409" spans="1:11" x14ac:dyDescent="0.2">
      <c r="A409">
        <v>87480</v>
      </c>
      <c r="B409" s="1">
        <v>30724</v>
      </c>
      <c r="C409" s="2">
        <f t="shared" si="18"/>
        <v>43</v>
      </c>
      <c r="D409">
        <v>24.7</v>
      </c>
      <c r="E409">
        <v>20.9</v>
      </c>
      <c r="F409">
        <v>22.2</v>
      </c>
      <c r="G409">
        <v>44.7</v>
      </c>
      <c r="H409">
        <v>-32.903599999999997</v>
      </c>
      <c r="I409" s="4">
        <f t="shared" si="19"/>
        <v>-14.268782604199705</v>
      </c>
      <c r="J409" s="4">
        <f t="shared" si="20"/>
        <v>13.262793017307304</v>
      </c>
      <c r="K409" s="21">
        <v>1.7</v>
      </c>
    </row>
    <row r="410" spans="1:11" x14ac:dyDescent="0.2">
      <c r="A410">
        <v>87480</v>
      </c>
      <c r="B410" s="1">
        <v>30725</v>
      </c>
      <c r="C410" s="2">
        <f t="shared" si="18"/>
        <v>44</v>
      </c>
      <c r="D410">
        <v>25.6</v>
      </c>
      <c r="E410">
        <v>19</v>
      </c>
      <c r="F410">
        <v>21.9</v>
      </c>
      <c r="G410">
        <v>0</v>
      </c>
      <c r="H410">
        <v>-32.903599999999997</v>
      </c>
      <c r="I410" s="4">
        <f t="shared" si="19"/>
        <v>-13.9463408092299</v>
      </c>
      <c r="J410" s="4">
        <f t="shared" si="20"/>
        <v>13.232820214242395</v>
      </c>
      <c r="K410" s="21">
        <v>4.4000000000000004</v>
      </c>
    </row>
    <row r="411" spans="1:11" x14ac:dyDescent="0.2">
      <c r="A411">
        <v>87480</v>
      </c>
      <c r="B411" s="1">
        <v>30726</v>
      </c>
      <c r="C411" s="2">
        <f t="shared" si="18"/>
        <v>45</v>
      </c>
      <c r="D411">
        <v>29.8</v>
      </c>
      <c r="E411">
        <v>18.7</v>
      </c>
      <c r="F411">
        <v>23.9</v>
      </c>
      <c r="G411">
        <v>0</v>
      </c>
      <c r="H411">
        <v>-32.903599999999997</v>
      </c>
      <c r="I411" s="4">
        <f t="shared" si="19"/>
        <v>-13.61976641249163</v>
      </c>
      <c r="J411" s="4">
        <f t="shared" si="20"/>
        <v>13.202567945049918</v>
      </c>
      <c r="K411" s="21">
        <v>5.5</v>
      </c>
    </row>
    <row r="412" spans="1:11" x14ac:dyDescent="0.2">
      <c r="A412">
        <v>87480</v>
      </c>
      <c r="B412" s="1">
        <v>30727</v>
      </c>
      <c r="C412" s="2">
        <f t="shared" si="18"/>
        <v>46</v>
      </c>
      <c r="D412">
        <v>31</v>
      </c>
      <c r="E412">
        <v>18.7</v>
      </c>
      <c r="F412">
        <v>25.2</v>
      </c>
      <c r="G412">
        <v>0</v>
      </c>
      <c r="H412">
        <v>-32.903599999999997</v>
      </c>
      <c r="I412" s="4">
        <f t="shared" si="19"/>
        <v>-13.289156185026709</v>
      </c>
      <c r="J412" s="4">
        <f t="shared" si="20"/>
        <v>13.172046077721072</v>
      </c>
      <c r="K412" s="21">
        <v>5.4</v>
      </c>
    </row>
    <row r="413" spans="1:11" x14ac:dyDescent="0.2">
      <c r="A413">
        <v>87480</v>
      </c>
      <c r="B413" s="1">
        <v>30728</v>
      </c>
      <c r="C413" s="2">
        <f t="shared" si="18"/>
        <v>47</v>
      </c>
      <c r="D413">
        <v>31.1</v>
      </c>
      <c r="E413">
        <v>19.8</v>
      </c>
      <c r="F413">
        <v>26</v>
      </c>
      <c r="G413">
        <v>0</v>
      </c>
      <c r="H413">
        <v>-32.903599999999997</v>
      </c>
      <c r="I413" s="4">
        <f t="shared" si="19"/>
        <v>-12.95460809378068</v>
      </c>
      <c r="J413" s="4">
        <f t="shared" si="20"/>
        <v>13.141264333860621</v>
      </c>
      <c r="K413" s="21">
        <v>5.3</v>
      </c>
    </row>
    <row r="414" spans="1:11" x14ac:dyDescent="0.2">
      <c r="A414">
        <v>87480</v>
      </c>
      <c r="B414" s="1">
        <v>30729</v>
      </c>
      <c r="C414" s="2">
        <f t="shared" si="18"/>
        <v>48</v>
      </c>
      <c r="D414">
        <v>32.200000000000003</v>
      </c>
      <c r="E414">
        <v>24.4</v>
      </c>
      <c r="F414">
        <v>28</v>
      </c>
      <c r="G414">
        <v>0</v>
      </c>
      <c r="H414">
        <v>-32.903599999999997</v>
      </c>
      <c r="I414" s="4">
        <f t="shared" si="19"/>
        <v>-12.616221272573126</v>
      </c>
      <c r="J414" s="4">
        <f t="shared" si="20"/>
        <v>13.110232286418043</v>
      </c>
      <c r="K414" s="21">
        <v>4.9000000000000004</v>
      </c>
    </row>
    <row r="415" spans="1:11" x14ac:dyDescent="0.2">
      <c r="A415">
        <v>87480</v>
      </c>
      <c r="B415" s="1">
        <v>30730</v>
      </c>
      <c r="C415" s="2">
        <f t="shared" si="18"/>
        <v>49</v>
      </c>
      <c r="D415">
        <v>30</v>
      </c>
      <c r="E415">
        <v>24.4</v>
      </c>
      <c r="F415">
        <v>26.5</v>
      </c>
      <c r="G415">
        <v>0</v>
      </c>
      <c r="H415">
        <v>-32.903599999999997</v>
      </c>
      <c r="I415" s="4">
        <f t="shared" si="19"/>
        <v>-12.274095992722152</v>
      </c>
      <c r="J415" s="4">
        <f t="shared" si="20"/>
        <v>13.078959357987793</v>
      </c>
      <c r="K415" s="21">
        <v>2.7</v>
      </c>
    </row>
    <row r="416" spans="1:11" x14ac:dyDescent="0.2">
      <c r="A416">
        <v>87480</v>
      </c>
      <c r="B416" s="1">
        <v>30731</v>
      </c>
      <c r="C416" s="2">
        <f t="shared" si="18"/>
        <v>50</v>
      </c>
      <c r="D416">
        <v>27.4</v>
      </c>
      <c r="E416">
        <v>23.6</v>
      </c>
      <c r="F416">
        <v>25</v>
      </c>
      <c r="G416">
        <v>0</v>
      </c>
      <c r="H416">
        <v>-32.903599999999997</v>
      </c>
      <c r="I416" s="4">
        <f t="shared" si="19"/>
        <v>-11.928333633331848</v>
      </c>
      <c r="J416" s="4">
        <f t="shared" si="20"/>
        <v>13.04745481966115</v>
      </c>
      <c r="K416" s="21">
        <v>1.1000000000000001</v>
      </c>
    </row>
    <row r="417" spans="1:11" x14ac:dyDescent="0.2">
      <c r="A417">
        <v>87480</v>
      </c>
      <c r="B417" s="1">
        <v>30732</v>
      </c>
      <c r="C417" s="2">
        <f t="shared" si="18"/>
        <v>51</v>
      </c>
      <c r="D417">
        <v>29.7</v>
      </c>
      <c r="E417">
        <v>21.2</v>
      </c>
      <c r="F417">
        <v>24.5</v>
      </c>
      <c r="G417">
        <v>0.5</v>
      </c>
      <c r="H417">
        <v>-32.903599999999997</v>
      </c>
      <c r="I417" s="4">
        <f t="shared" si="19"/>
        <v>-11.579036651251466</v>
      </c>
      <c r="J417" s="4">
        <f t="shared" si="20"/>
        <v>13.01572779041153</v>
      </c>
      <c r="K417" s="21">
        <v>5.0999999999999996</v>
      </c>
    </row>
    <row r="418" spans="1:11" x14ac:dyDescent="0.2">
      <c r="A418">
        <v>87480</v>
      </c>
      <c r="B418" s="1">
        <v>30733</v>
      </c>
      <c r="C418" s="2">
        <f t="shared" si="18"/>
        <v>52</v>
      </c>
      <c r="D418">
        <v>25.7</v>
      </c>
      <c r="E418">
        <v>20.6</v>
      </c>
      <c r="F418">
        <v>23.2</v>
      </c>
      <c r="G418">
        <v>52.9</v>
      </c>
      <c r="H418">
        <v>-32.903599999999997</v>
      </c>
      <c r="I418" s="4">
        <f t="shared" si="19"/>
        <v>-11.226308550715238</v>
      </c>
      <c r="J418" s="4">
        <f t="shared" si="20"/>
        <v>12.983787236994655</v>
      </c>
      <c r="K418" s="21">
        <v>3.7</v>
      </c>
    </row>
    <row r="419" spans="1:11" x14ac:dyDescent="0.2">
      <c r="A419">
        <v>87480</v>
      </c>
      <c r="B419" s="1">
        <v>30734</v>
      </c>
      <c r="C419" s="2">
        <f t="shared" si="18"/>
        <v>53</v>
      </c>
      <c r="D419">
        <v>29.5</v>
      </c>
      <c r="E419">
        <v>20.2</v>
      </c>
      <c r="F419">
        <v>24.4</v>
      </c>
      <c r="G419">
        <v>0.4</v>
      </c>
      <c r="H419">
        <v>-32.903599999999997</v>
      </c>
      <c r="I419" s="4">
        <f t="shared" si="19"/>
        <v>-10.870253852671851</v>
      </c>
      <c r="J419" s="4">
        <f t="shared" si="20"/>
        <v>12.951641974344565</v>
      </c>
      <c r="K419" s="21">
        <v>2.4</v>
      </c>
    </row>
    <row r="420" spans="1:11" x14ac:dyDescent="0.2">
      <c r="A420">
        <v>87480</v>
      </c>
      <c r="B420" s="1">
        <v>30735</v>
      </c>
      <c r="C420" s="2">
        <f t="shared" si="18"/>
        <v>54</v>
      </c>
      <c r="D420">
        <v>28.4</v>
      </c>
      <c r="E420">
        <v>22.2</v>
      </c>
      <c r="F420">
        <v>25.3</v>
      </c>
      <c r="G420">
        <v>8.4</v>
      </c>
      <c r="H420">
        <v>-32.903599999999997</v>
      </c>
      <c r="I420" s="4">
        <f t="shared" si="19"/>
        <v>-10.51097806381263</v>
      </c>
      <c r="J420" s="4">
        <f t="shared" si="20"/>
        <v>12.91930066644626</v>
      </c>
      <c r="K420" s="21">
        <v>2.4</v>
      </c>
    </row>
    <row r="421" spans="1:11" x14ac:dyDescent="0.2">
      <c r="A421">
        <v>87480</v>
      </c>
      <c r="B421" s="1">
        <v>30736</v>
      </c>
      <c r="C421" s="2">
        <f t="shared" si="18"/>
        <v>55</v>
      </c>
      <c r="D421">
        <v>26.6</v>
      </c>
      <c r="E421">
        <v>18.2</v>
      </c>
      <c r="F421">
        <v>22.4</v>
      </c>
      <c r="G421">
        <v>0.1</v>
      </c>
      <c r="H421">
        <v>-32.903599999999997</v>
      </c>
      <c r="I421" s="4">
        <f t="shared" si="19"/>
        <v>-10.148587645307611</v>
      </c>
      <c r="J421" s="4">
        <f t="shared" si="20"/>
        <v>12.886771827665454</v>
      </c>
      <c r="K421" s="21">
        <v>2.4</v>
      </c>
    </row>
    <row r="422" spans="1:11" x14ac:dyDescent="0.2">
      <c r="A422">
        <v>87480</v>
      </c>
      <c r="B422" s="1">
        <v>30737</v>
      </c>
      <c r="C422" s="2">
        <f t="shared" si="18"/>
        <v>56</v>
      </c>
      <c r="D422">
        <v>32.1</v>
      </c>
      <c r="E422">
        <v>22.6</v>
      </c>
      <c r="F422">
        <v>25.5</v>
      </c>
      <c r="G422">
        <v>24.5</v>
      </c>
      <c r="H422">
        <v>-32.903599999999997</v>
      </c>
      <c r="I422" s="4">
        <f t="shared" si="19"/>
        <v>-9.783189981258829</v>
      </c>
      <c r="J422" s="4">
        <f t="shared" si="20"/>
        <v>12.854063824515988</v>
      </c>
      <c r="K422" s="21">
        <v>5.3</v>
      </c>
    </row>
    <row r="423" spans="1:11" x14ac:dyDescent="0.2">
      <c r="A423">
        <v>87480</v>
      </c>
      <c r="B423" s="1">
        <v>30738</v>
      </c>
      <c r="C423" s="2">
        <f t="shared" si="18"/>
        <v>57</v>
      </c>
      <c r="D423">
        <v>23.8</v>
      </c>
      <c r="E423">
        <v>20.2</v>
      </c>
      <c r="F423">
        <v>21.8</v>
      </c>
      <c r="G423">
        <v>1.7</v>
      </c>
      <c r="H423">
        <v>-32.903599999999997</v>
      </c>
      <c r="I423" s="4">
        <f t="shared" si="19"/>
        <v>-9.4148933468800671</v>
      </c>
      <c r="J423" s="4">
        <f t="shared" si="20"/>
        <v>12.821184877845317</v>
      </c>
      <c r="K423" s="21">
        <v>0.9</v>
      </c>
    </row>
    <row r="424" spans="1:11" x14ac:dyDescent="0.2">
      <c r="A424">
        <v>87480</v>
      </c>
      <c r="B424" s="1">
        <v>30739</v>
      </c>
      <c r="C424" s="2">
        <f t="shared" si="18"/>
        <v>58</v>
      </c>
      <c r="D424">
        <v>24</v>
      </c>
      <c r="E424">
        <v>20</v>
      </c>
      <c r="F424">
        <v>21.7</v>
      </c>
      <c r="G424">
        <v>82.6</v>
      </c>
      <c r="H424">
        <v>-32.903599999999997</v>
      </c>
      <c r="I424" s="4">
        <f t="shared" si="19"/>
        <v>-9.0438068764125852</v>
      </c>
      <c r="J424" s="4">
        <f t="shared" si="20"/>
        <v>12.788143065418636</v>
      </c>
      <c r="K424" s="21">
        <v>1.2</v>
      </c>
    </row>
    <row r="425" spans="1:11" x14ac:dyDescent="0.2">
      <c r="A425">
        <v>87480</v>
      </c>
      <c r="B425" s="1">
        <v>30740</v>
      </c>
      <c r="C425" s="2">
        <f t="shared" si="18"/>
        <v>59</v>
      </c>
      <c r="D425">
        <v>24.5</v>
      </c>
      <c r="E425">
        <v>20.2</v>
      </c>
      <c r="F425">
        <v>21.7</v>
      </c>
      <c r="G425">
        <v>24</v>
      </c>
      <c r="H425">
        <v>-32.903599999999997</v>
      </c>
      <c r="I425" s="4">
        <f t="shared" si="19"/>
        <v>-8.6700405307862844</v>
      </c>
      <c r="J425" s="4">
        <f t="shared" si="20"/>
        <v>12.754946324882287</v>
      </c>
      <c r="K425" s="21">
        <v>1.9</v>
      </c>
    </row>
    <row r="426" spans="1:11" x14ac:dyDescent="0.2">
      <c r="A426">
        <v>87480</v>
      </c>
      <c r="B426" s="1">
        <v>30741</v>
      </c>
      <c r="C426" s="2">
        <f t="shared" si="18"/>
        <v>60</v>
      </c>
      <c r="D426">
        <v>26.5</v>
      </c>
      <c r="E426">
        <v>16.7</v>
      </c>
      <c r="F426">
        <v>21.4</v>
      </c>
      <c r="G426">
        <v>0</v>
      </c>
      <c r="H426">
        <v>-32.903599999999997</v>
      </c>
      <c r="I426" s="4">
        <f t="shared" si="19"/>
        <v>-8.2937050650359136</v>
      </c>
      <c r="J426" s="4">
        <f t="shared" si="20"/>
        <v>12.721602457087299</v>
      </c>
      <c r="K426" s="21">
        <v>4.5999999999999996</v>
      </c>
    </row>
    <row r="427" spans="1:11" x14ac:dyDescent="0.2">
      <c r="A427">
        <v>87480</v>
      </c>
      <c r="B427" s="1">
        <v>30742</v>
      </c>
      <c r="C427" s="2">
        <f t="shared" si="18"/>
        <v>61</v>
      </c>
      <c r="D427">
        <v>27.8</v>
      </c>
      <c r="E427">
        <v>17.100000000000001</v>
      </c>
      <c r="F427">
        <v>22.6</v>
      </c>
      <c r="G427">
        <v>0</v>
      </c>
      <c r="H427">
        <v>-32.903599999999997</v>
      </c>
      <c r="I427" s="4">
        <f t="shared" si="19"/>
        <v>-7.9149119954819565</v>
      </c>
      <c r="J427" s="4">
        <f t="shared" si="20"/>
        <v>12.688119129754163</v>
      </c>
      <c r="K427" s="21">
        <v>4.8</v>
      </c>
    </row>
    <row r="428" spans="1:11" x14ac:dyDescent="0.2">
      <c r="A428">
        <v>87480</v>
      </c>
      <c r="B428" s="1">
        <v>30743</v>
      </c>
      <c r="C428" s="2">
        <f t="shared" si="18"/>
        <v>62</v>
      </c>
      <c r="D428">
        <v>27.5</v>
      </c>
      <c r="E428">
        <v>16.399999999999999</v>
      </c>
      <c r="F428">
        <v>22.8</v>
      </c>
      <c r="G428">
        <v>0</v>
      </c>
      <c r="H428">
        <v>-32.903599999999997</v>
      </c>
      <c r="I428" s="4">
        <f t="shared" si="19"/>
        <v>-7.5337735666859453</v>
      </c>
      <c r="J428" s="4">
        <f t="shared" si="20"/>
        <v>12.654503881460215</v>
      </c>
      <c r="K428" s="21">
        <v>4.9000000000000004</v>
      </c>
    </row>
    <row r="429" spans="1:11" x14ac:dyDescent="0.2">
      <c r="A429">
        <v>87480</v>
      </c>
      <c r="B429" s="1">
        <v>30744</v>
      </c>
      <c r="C429" s="2">
        <f t="shared" si="18"/>
        <v>63</v>
      </c>
      <c r="D429">
        <v>28.9</v>
      </c>
      <c r="E429">
        <v>19.2</v>
      </c>
      <c r="F429">
        <v>23.9</v>
      </c>
      <c r="G429">
        <v>0</v>
      </c>
      <c r="H429">
        <v>-32.903599999999997</v>
      </c>
      <c r="I429" s="4">
        <f t="shared" si="19"/>
        <v>-7.1504027181899783</v>
      </c>
      <c r="J429" s="4">
        <f t="shared" si="20"/>
        <v>12.620764125931293</v>
      </c>
      <c r="K429" s="21">
        <v>4.5999999999999996</v>
      </c>
    </row>
    <row r="430" spans="1:11" x14ac:dyDescent="0.2">
      <c r="A430">
        <v>87480</v>
      </c>
      <c r="B430" s="1">
        <v>30745</v>
      </c>
      <c r="C430" s="2">
        <f t="shared" si="18"/>
        <v>64</v>
      </c>
      <c r="D430">
        <v>30.4</v>
      </c>
      <c r="E430">
        <v>18.8</v>
      </c>
      <c r="F430">
        <v>24.9</v>
      </c>
      <c r="G430">
        <v>0</v>
      </c>
      <c r="H430">
        <v>-32.903599999999997</v>
      </c>
      <c r="I430" s="4">
        <f t="shared" si="19"/>
        <v>-6.7649130510502804</v>
      </c>
      <c r="J430" s="4">
        <f t="shared" si="20"/>
        <v>12.586907156619725</v>
      </c>
      <c r="K430" s="21">
        <v>4.5999999999999996</v>
      </c>
    </row>
    <row r="431" spans="1:11" x14ac:dyDescent="0.2">
      <c r="A431">
        <v>87480</v>
      </c>
      <c r="B431" s="1">
        <v>30746</v>
      </c>
      <c r="C431" s="2">
        <f t="shared" si="18"/>
        <v>65</v>
      </c>
      <c r="D431">
        <v>30.8</v>
      </c>
      <c r="E431">
        <v>20.2</v>
      </c>
      <c r="F431">
        <v>25.4</v>
      </c>
      <c r="G431">
        <v>0.4</v>
      </c>
      <c r="H431">
        <v>-32.903599999999997</v>
      </c>
      <c r="I431" s="4">
        <f t="shared" si="19"/>
        <v>-6.3774187941747744</v>
      </c>
      <c r="J431" s="4">
        <f t="shared" si="20"/>
        <v>12.552940151551047</v>
      </c>
      <c r="K431" s="21">
        <v>4.0999999999999996</v>
      </c>
    </row>
    <row r="432" spans="1:11" x14ac:dyDescent="0.2">
      <c r="A432">
        <v>87480</v>
      </c>
      <c r="B432" s="1">
        <v>30747</v>
      </c>
      <c r="C432" s="2">
        <f t="shared" si="18"/>
        <v>66</v>
      </c>
      <c r="D432">
        <v>32.700000000000003</v>
      </c>
      <c r="E432">
        <v>22.6</v>
      </c>
      <c r="F432">
        <v>27</v>
      </c>
      <c r="G432">
        <v>0</v>
      </c>
      <c r="H432">
        <v>-32.903599999999997</v>
      </c>
      <c r="I432" s="4">
        <f t="shared" si="19"/>
        <v>-5.9880347704745844</v>
      </c>
      <c r="J432" s="4">
        <f t="shared" si="20"/>
        <v>12.518870178422228</v>
      </c>
      <c r="K432" s="21">
        <v>5.0999999999999996</v>
      </c>
    </row>
    <row r="433" spans="1:11" x14ac:dyDescent="0.2">
      <c r="A433">
        <v>87480</v>
      </c>
      <c r="B433" s="1">
        <v>30748</v>
      </c>
      <c r="C433" s="2">
        <f t="shared" si="18"/>
        <v>67</v>
      </c>
      <c r="D433">
        <v>32</v>
      </c>
      <c r="E433">
        <v>21.6</v>
      </c>
      <c r="F433">
        <v>26.9</v>
      </c>
      <c r="G433">
        <v>0.6</v>
      </c>
      <c r="H433">
        <v>-32.903599999999997</v>
      </c>
      <c r="I433" s="4">
        <f t="shared" si="19"/>
        <v>-5.5968763628395291</v>
      </c>
      <c r="J433" s="4">
        <f t="shared" si="20"/>
        <v>12.484704199934622</v>
      </c>
      <c r="K433" s="21">
        <v>4.5</v>
      </c>
    </row>
    <row r="434" spans="1:11" x14ac:dyDescent="0.2">
      <c r="A434">
        <v>87480</v>
      </c>
      <c r="B434" s="1">
        <v>30749</v>
      </c>
      <c r="C434" s="2">
        <f t="shared" si="18"/>
        <v>68</v>
      </c>
      <c r="D434">
        <v>26.5</v>
      </c>
      <c r="E434">
        <v>19.8</v>
      </c>
      <c r="F434">
        <v>23.6</v>
      </c>
      <c r="G434">
        <v>2.9</v>
      </c>
      <c r="H434">
        <v>-32.903599999999997</v>
      </c>
      <c r="I434" s="4">
        <f t="shared" si="19"/>
        <v>-5.2040594799476816</v>
      </c>
      <c r="J434" s="4">
        <f t="shared" si="20"/>
        <v>12.450449079345194</v>
      </c>
      <c r="K434" s="21">
        <v>1.7</v>
      </c>
    </row>
    <row r="435" spans="1:11" x14ac:dyDescent="0.2">
      <c r="A435">
        <v>87480</v>
      </c>
      <c r="B435" s="1">
        <v>30750</v>
      </c>
      <c r="C435" s="2">
        <f t="shared" si="18"/>
        <v>69</v>
      </c>
      <c r="D435">
        <v>22.6</v>
      </c>
      <c r="E435">
        <v>17.2</v>
      </c>
      <c r="F435">
        <v>19.3</v>
      </c>
      <c r="G435">
        <v>0</v>
      </c>
      <c r="H435">
        <v>-32.903599999999997</v>
      </c>
      <c r="I435" s="4">
        <f t="shared" si="19"/>
        <v>-4.8097005219191198</v>
      </c>
      <c r="J435" s="4">
        <f t="shared" si="20"/>
        <v>12.416111586220064</v>
      </c>
      <c r="K435" s="21">
        <v>2.8</v>
      </c>
    </row>
    <row r="436" spans="1:11" x14ac:dyDescent="0.2">
      <c r="A436">
        <v>87480</v>
      </c>
      <c r="B436" s="1">
        <v>30751</v>
      </c>
      <c r="C436" s="2">
        <f t="shared" si="18"/>
        <v>70</v>
      </c>
      <c r="D436">
        <v>25.3</v>
      </c>
      <c r="E436">
        <v>12.3</v>
      </c>
      <c r="F436">
        <v>18.5</v>
      </c>
      <c r="G436">
        <v>0</v>
      </c>
      <c r="H436">
        <v>-32.903599999999997</v>
      </c>
      <c r="I436" s="4">
        <f t="shared" si="19"/>
        <v>-4.4139163458240764</v>
      </c>
      <c r="J436" s="4">
        <f t="shared" si="20"/>
        <v>12.381698402374724</v>
      </c>
      <c r="K436" s="21">
        <v>3.6</v>
      </c>
    </row>
    <row r="437" spans="1:11" x14ac:dyDescent="0.2">
      <c r="A437">
        <v>87480</v>
      </c>
      <c r="B437" s="1">
        <v>30752</v>
      </c>
      <c r="C437" s="2">
        <f t="shared" si="18"/>
        <v>71</v>
      </c>
      <c r="D437">
        <v>26.7</v>
      </c>
      <c r="E437">
        <v>14.5</v>
      </c>
      <c r="F437">
        <v>21</v>
      </c>
      <c r="G437">
        <v>0</v>
      </c>
      <c r="H437">
        <v>-32.903599999999997</v>
      </c>
      <c r="I437" s="4">
        <f t="shared" si="19"/>
        <v>-4.016824231055649</v>
      </c>
      <c r="J437" s="4">
        <f t="shared" si="20"/>
        <v>12.347216127985764</v>
      </c>
      <c r="K437" s="21">
        <v>3.3</v>
      </c>
    </row>
    <row r="438" spans="1:11" x14ac:dyDescent="0.2">
      <c r="A438">
        <v>87480</v>
      </c>
      <c r="B438" s="1">
        <v>30753</v>
      </c>
      <c r="C438" s="2">
        <f t="shared" si="18"/>
        <v>72</v>
      </c>
      <c r="D438">
        <v>27.5</v>
      </c>
      <c r="E438">
        <v>18</v>
      </c>
      <c r="F438">
        <v>22.9</v>
      </c>
      <c r="G438">
        <v>0</v>
      </c>
      <c r="H438">
        <v>-32.903599999999997</v>
      </c>
      <c r="I438" s="4">
        <f t="shared" si="19"/>
        <v>-3.6185418445773934</v>
      </c>
      <c r="J438" s="4">
        <f t="shared" si="20"/>
        <v>12.312671287859235</v>
      </c>
      <c r="K438" s="21">
        <v>3.3</v>
      </c>
    </row>
    <row r="439" spans="1:11" x14ac:dyDescent="0.2">
      <c r="A439">
        <v>87480</v>
      </c>
      <c r="B439" s="1">
        <v>30754</v>
      </c>
      <c r="C439" s="2">
        <f t="shared" si="18"/>
        <v>73</v>
      </c>
      <c r="D439">
        <v>23</v>
      </c>
      <c r="E439">
        <v>19.399999999999999</v>
      </c>
      <c r="F439">
        <v>20.3</v>
      </c>
      <c r="G439">
        <v>0.2</v>
      </c>
      <c r="H439">
        <v>-32.903599999999997</v>
      </c>
      <c r="I439" s="4">
        <f t="shared" si="19"/>
        <v>-3.2191872060560591</v>
      </c>
      <c r="J439" s="4">
        <f t="shared" si="20"/>
        <v>12.278070337841221</v>
      </c>
      <c r="K439" s="21">
        <v>1.8</v>
      </c>
    </row>
    <row r="440" spans="1:11" x14ac:dyDescent="0.2">
      <c r="A440">
        <v>87480</v>
      </c>
      <c r="B440" s="1">
        <v>30755</v>
      </c>
      <c r="C440" s="2">
        <f t="shared" si="18"/>
        <v>74</v>
      </c>
      <c r="D440">
        <v>27.9</v>
      </c>
      <c r="E440">
        <v>16.2</v>
      </c>
      <c r="F440">
        <v>21.7</v>
      </c>
      <c r="G440">
        <v>20</v>
      </c>
      <c r="H440">
        <v>-32.903599999999997</v>
      </c>
      <c r="I440" s="4">
        <f t="shared" si="19"/>
        <v>-2.8188786528898206</v>
      </c>
      <c r="J440" s="4">
        <f t="shared" si="20"/>
        <v>12.243419671356486</v>
      </c>
      <c r="K440" s="21">
        <v>2.9</v>
      </c>
    </row>
    <row r="441" spans="1:11" x14ac:dyDescent="0.2">
      <c r="A441">
        <v>87480</v>
      </c>
      <c r="B441" s="1">
        <v>30756</v>
      </c>
      <c r="C441" s="2">
        <f t="shared" si="18"/>
        <v>75</v>
      </c>
      <c r="D441">
        <v>23</v>
      </c>
      <c r="E441">
        <v>20</v>
      </c>
      <c r="F441">
        <v>21.6</v>
      </c>
      <c r="G441">
        <v>34</v>
      </c>
      <c r="H441">
        <v>-32.903599999999997</v>
      </c>
      <c r="I441" s="4">
        <f t="shared" si="19"/>
        <v>-2.4177348051423468</v>
      </c>
      <c r="J441" s="4">
        <f t="shared" si="20"/>
        <v>12.208725626061408</v>
      </c>
      <c r="K441" s="21">
        <v>2.4</v>
      </c>
    </row>
    <row r="442" spans="1:11" x14ac:dyDescent="0.2">
      <c r="A442">
        <v>87480</v>
      </c>
      <c r="B442" s="1">
        <v>30757</v>
      </c>
      <c r="C442" s="2">
        <f t="shared" si="18"/>
        <v>76</v>
      </c>
      <c r="D442">
        <v>27.8</v>
      </c>
      <c r="E442">
        <v>18.399999999999999</v>
      </c>
      <c r="F442">
        <v>22.2</v>
      </c>
      <c r="G442">
        <v>0</v>
      </c>
      <c r="H442">
        <v>-32.903599999999997</v>
      </c>
      <c r="I442" s="4">
        <f t="shared" si="19"/>
        <v>-2.0158745303931198</v>
      </c>
      <c r="J442" s="4">
        <f t="shared" si="20"/>
        <v>12.173994490597721</v>
      </c>
      <c r="K442" s="21">
        <v>3.5</v>
      </c>
    </row>
    <row r="443" spans="1:11" x14ac:dyDescent="0.2">
      <c r="A443">
        <v>87480</v>
      </c>
      <c r="B443" s="1">
        <v>30758</v>
      </c>
      <c r="C443" s="2">
        <f t="shared" si="18"/>
        <v>77</v>
      </c>
      <c r="D443">
        <v>26.7</v>
      </c>
      <c r="E443">
        <v>14.6</v>
      </c>
      <c r="F443">
        <v>20.8</v>
      </c>
      <c r="G443">
        <v>0</v>
      </c>
      <c r="H443">
        <v>-32.903599999999997</v>
      </c>
      <c r="I443" s="4">
        <f t="shared" si="19"/>
        <v>-1.6134169085144008</v>
      </c>
      <c r="J443" s="4">
        <f t="shared" si="20"/>
        <v>12.139232511433828</v>
      </c>
      <c r="K443" s="21">
        <v>3.5</v>
      </c>
    </row>
    <row r="444" spans="1:11" x14ac:dyDescent="0.2">
      <c r="A444">
        <v>87480</v>
      </c>
      <c r="B444" s="1">
        <v>30759</v>
      </c>
      <c r="C444" s="2">
        <f t="shared" si="18"/>
        <v>78</v>
      </c>
      <c r="D444">
        <v>25.4</v>
      </c>
      <c r="E444">
        <v>16.399999999999999</v>
      </c>
      <c r="F444">
        <v>20.9</v>
      </c>
      <c r="G444">
        <v>0</v>
      </c>
      <c r="H444">
        <v>-32.903599999999997</v>
      </c>
      <c r="I444" s="4">
        <f t="shared" si="19"/>
        <v>-1.2104811963853008</v>
      </c>
      <c r="J444" s="4">
        <f t="shared" si="20"/>
        <v>12.104445899780719</v>
      </c>
      <c r="K444" s="21">
        <v>3.6</v>
      </c>
    </row>
    <row r="445" spans="1:11" x14ac:dyDescent="0.2">
      <c r="A445">
        <v>87480</v>
      </c>
      <c r="B445" s="1">
        <v>30760</v>
      </c>
      <c r="C445" s="2">
        <f t="shared" si="18"/>
        <v>79</v>
      </c>
      <c r="D445">
        <v>25.3</v>
      </c>
      <c r="E445">
        <v>15.2</v>
      </c>
      <c r="F445">
        <v>20.3</v>
      </c>
      <c r="G445">
        <v>0</v>
      </c>
      <c r="H445">
        <v>-32.903599999999997</v>
      </c>
      <c r="I445" s="4">
        <f t="shared" si="19"/>
        <v>-0.80718679255338766</v>
      </c>
      <c r="J445" s="4">
        <f t="shared" si="20"/>
        <v>12.069640838569725</v>
      </c>
      <c r="K445" s="21">
        <v>3</v>
      </c>
    </row>
    <row r="446" spans="1:11" x14ac:dyDescent="0.2">
      <c r="A446">
        <v>87480</v>
      </c>
      <c r="B446" s="1">
        <v>30761</v>
      </c>
      <c r="C446" s="2">
        <f t="shared" si="18"/>
        <v>80</v>
      </c>
      <c r="D446">
        <v>25.5</v>
      </c>
      <c r="E446">
        <v>15.7</v>
      </c>
      <c r="F446">
        <v>20.9</v>
      </c>
      <c r="G446">
        <v>0</v>
      </c>
      <c r="H446">
        <v>-32.903599999999997</v>
      </c>
      <c r="I446" s="4">
        <f t="shared" si="19"/>
        <v>-0.40365320185432335</v>
      </c>
      <c r="J446" s="4">
        <f t="shared" si="20"/>
        <v>12.03482348947953</v>
      </c>
      <c r="K446" s="21">
        <v>3.4</v>
      </c>
    </row>
    <row r="447" spans="1:11" x14ac:dyDescent="0.2">
      <c r="A447">
        <v>87480</v>
      </c>
      <c r="B447" s="1">
        <v>30762</v>
      </c>
      <c r="C447" s="2">
        <f t="shared" si="18"/>
        <v>81</v>
      </c>
      <c r="D447">
        <v>26.4</v>
      </c>
      <c r="E447">
        <v>14.4</v>
      </c>
      <c r="F447">
        <v>21.2</v>
      </c>
      <c r="G447">
        <v>0</v>
      </c>
      <c r="H447">
        <v>-32.903599999999997</v>
      </c>
      <c r="I447" s="4">
        <f t="shared" si="19"/>
        <v>0</v>
      </c>
      <c r="J447" s="4">
        <f t="shared" si="20"/>
        <v>12</v>
      </c>
      <c r="K447" s="21">
        <v>3.8</v>
      </c>
    </row>
    <row r="448" spans="1:11" x14ac:dyDescent="0.2">
      <c r="A448">
        <v>87480</v>
      </c>
      <c r="B448" s="1">
        <v>30763</v>
      </c>
      <c r="C448" s="2">
        <f t="shared" si="18"/>
        <v>82</v>
      </c>
      <c r="D448">
        <v>28.2</v>
      </c>
      <c r="E448">
        <v>17.2</v>
      </c>
      <c r="F448">
        <v>22.8</v>
      </c>
      <c r="G448">
        <v>0</v>
      </c>
      <c r="H448">
        <v>-32.903599999999997</v>
      </c>
      <c r="I448" s="4">
        <f t="shared" si="19"/>
        <v>0.40365320185432335</v>
      </c>
      <c r="J448" s="4">
        <f t="shared" si="20"/>
        <v>11.96517651052047</v>
      </c>
      <c r="K448" s="21">
        <v>2.7</v>
      </c>
    </row>
    <row r="449" spans="1:11" x14ac:dyDescent="0.2">
      <c r="A449">
        <v>87480</v>
      </c>
      <c r="B449" s="1">
        <v>30764</v>
      </c>
      <c r="C449" s="2">
        <f t="shared" si="18"/>
        <v>83</v>
      </c>
      <c r="D449">
        <v>30.1</v>
      </c>
      <c r="E449">
        <v>16.5</v>
      </c>
      <c r="F449">
        <v>23.5</v>
      </c>
      <c r="G449">
        <v>25.2</v>
      </c>
      <c r="H449">
        <v>-32.903599999999997</v>
      </c>
      <c r="I449" s="4">
        <f t="shared" si="19"/>
        <v>0.80718679255338766</v>
      </c>
      <c r="J449" s="4">
        <f t="shared" si="20"/>
        <v>11.930359161430275</v>
      </c>
      <c r="K449" s="21">
        <v>4.8</v>
      </c>
    </row>
    <row r="450" spans="1:11" x14ac:dyDescent="0.2">
      <c r="A450">
        <v>87480</v>
      </c>
      <c r="B450" s="1">
        <v>30765</v>
      </c>
      <c r="C450" s="2">
        <f t="shared" ref="C450:C513" si="21">B450-DATE(YEAR(B450),1,1)+1</f>
        <v>84</v>
      </c>
      <c r="D450">
        <v>25.4</v>
      </c>
      <c r="E450">
        <v>16.8</v>
      </c>
      <c r="F450">
        <v>20.399999999999999</v>
      </c>
      <c r="G450">
        <v>0</v>
      </c>
      <c r="H450">
        <v>-32.903599999999997</v>
      </c>
      <c r="I450" s="4">
        <f t="shared" ref="I450:I513" si="22">23.45*SIN(RADIANS(360/365*(C450-81)))</f>
        <v>1.2104811963853008</v>
      </c>
      <c r="J450" s="4">
        <f t="shared" ref="J450:J513" si="23">IFERROR(24 / PI() * ACOS(-TAN(RADIANS(H450)) * TAN(RADIANS(I450))), IF(-TAN(RADIANS(H450)) * TAN(RADIANS(I450)) &gt;= 1, 0,24))</f>
        <v>11.895554100219279</v>
      </c>
      <c r="K450" s="21">
        <v>3.5</v>
      </c>
    </row>
    <row r="451" spans="1:11" x14ac:dyDescent="0.2">
      <c r="A451">
        <v>87480</v>
      </c>
      <c r="B451" s="1">
        <v>30766</v>
      </c>
      <c r="C451" s="2">
        <f t="shared" si="21"/>
        <v>85</v>
      </c>
      <c r="D451">
        <v>25.4</v>
      </c>
      <c r="E451">
        <v>14.5</v>
      </c>
      <c r="F451">
        <v>19.7</v>
      </c>
      <c r="G451">
        <v>0</v>
      </c>
      <c r="H451">
        <v>-32.903599999999997</v>
      </c>
      <c r="I451" s="4">
        <f t="shared" si="22"/>
        <v>1.6134169085144008</v>
      </c>
      <c r="J451" s="4">
        <f t="shared" si="23"/>
        <v>11.860767488566172</v>
      </c>
      <c r="K451" s="21">
        <v>3.3</v>
      </c>
    </row>
    <row r="452" spans="1:11" x14ac:dyDescent="0.2">
      <c r="A452">
        <v>87480</v>
      </c>
      <c r="B452" s="1">
        <v>30767</v>
      </c>
      <c r="C452" s="2">
        <f t="shared" si="21"/>
        <v>86</v>
      </c>
      <c r="D452">
        <v>22</v>
      </c>
      <c r="E452">
        <v>10.7</v>
      </c>
      <c r="F452">
        <v>16.7</v>
      </c>
      <c r="G452">
        <v>0</v>
      </c>
      <c r="H452">
        <v>-32.903599999999997</v>
      </c>
      <c r="I452" s="4">
        <f t="shared" si="22"/>
        <v>2.0158745303931198</v>
      </c>
      <c r="J452" s="4">
        <f t="shared" si="23"/>
        <v>11.826005509402279</v>
      </c>
      <c r="K452" s="21">
        <v>3</v>
      </c>
    </row>
    <row r="453" spans="1:11" x14ac:dyDescent="0.2">
      <c r="A453">
        <v>87480</v>
      </c>
      <c r="B453" s="1">
        <v>30768</v>
      </c>
      <c r="C453" s="2">
        <f t="shared" si="21"/>
        <v>87</v>
      </c>
      <c r="D453">
        <v>24.4</v>
      </c>
      <c r="E453">
        <v>13.5</v>
      </c>
      <c r="F453">
        <v>19.7</v>
      </c>
      <c r="G453">
        <v>1.9</v>
      </c>
      <c r="H453">
        <v>-32.903599999999997</v>
      </c>
      <c r="I453" s="4">
        <f t="shared" si="22"/>
        <v>2.4177348051423468</v>
      </c>
      <c r="J453" s="4">
        <f t="shared" si="23"/>
        <v>11.791274373938592</v>
      </c>
      <c r="K453" s="21">
        <v>2.5</v>
      </c>
    </row>
    <row r="454" spans="1:11" x14ac:dyDescent="0.2">
      <c r="A454">
        <v>87480</v>
      </c>
      <c r="B454" s="1">
        <v>30769</v>
      </c>
      <c r="C454" s="2">
        <f t="shared" si="21"/>
        <v>88</v>
      </c>
      <c r="D454">
        <v>21.5</v>
      </c>
      <c r="E454">
        <v>17.2</v>
      </c>
      <c r="F454">
        <v>19.2</v>
      </c>
      <c r="G454">
        <v>1.6</v>
      </c>
      <c r="H454">
        <v>-32.903599999999997</v>
      </c>
      <c r="I454" s="4">
        <f t="shared" si="22"/>
        <v>2.8188786528898206</v>
      </c>
      <c r="J454" s="4">
        <f t="shared" si="23"/>
        <v>11.756580328643514</v>
      </c>
      <c r="K454" s="21">
        <v>2.5</v>
      </c>
    </row>
    <row r="455" spans="1:11" x14ac:dyDescent="0.2">
      <c r="A455">
        <v>87480</v>
      </c>
      <c r="B455" s="1">
        <v>30770</v>
      </c>
      <c r="C455" s="2">
        <f t="shared" si="21"/>
        <v>89</v>
      </c>
      <c r="D455">
        <v>20.7</v>
      </c>
      <c r="E455">
        <v>11</v>
      </c>
      <c r="F455">
        <v>15.3</v>
      </c>
      <c r="G455">
        <v>0</v>
      </c>
      <c r="H455">
        <v>-32.903599999999997</v>
      </c>
      <c r="I455" s="4">
        <f t="shared" si="22"/>
        <v>3.2191872060560591</v>
      </c>
      <c r="J455" s="4">
        <f t="shared" si="23"/>
        <v>11.721929662158777</v>
      </c>
      <c r="K455" s="21">
        <v>1.2</v>
      </c>
    </row>
    <row r="456" spans="1:11" x14ac:dyDescent="0.2">
      <c r="A456">
        <v>87480</v>
      </c>
      <c r="B456" s="1">
        <v>30771</v>
      </c>
      <c r="C456" s="2">
        <f t="shared" si="21"/>
        <v>90</v>
      </c>
      <c r="D456">
        <v>21.2</v>
      </c>
      <c r="E456">
        <v>14.8</v>
      </c>
      <c r="F456">
        <v>18</v>
      </c>
      <c r="G456">
        <v>8</v>
      </c>
      <c r="H456">
        <v>-32.903599999999997</v>
      </c>
      <c r="I456" s="4">
        <f t="shared" si="22"/>
        <v>3.6185418445773934</v>
      </c>
      <c r="J456" s="4">
        <f t="shared" si="23"/>
        <v>11.687328712140763</v>
      </c>
      <c r="K456" s="21">
        <v>1.4</v>
      </c>
    </row>
    <row r="457" spans="1:11" x14ac:dyDescent="0.2">
      <c r="A457">
        <v>87480</v>
      </c>
      <c r="B457" s="1">
        <v>30772</v>
      </c>
      <c r="C457" s="2">
        <f t="shared" si="21"/>
        <v>91</v>
      </c>
      <c r="D457">
        <v>18.8</v>
      </c>
      <c r="E457">
        <v>15.4</v>
      </c>
      <c r="F457">
        <v>16.5</v>
      </c>
      <c r="G457">
        <v>34.1</v>
      </c>
      <c r="H457">
        <v>-32.903599999999997</v>
      </c>
      <c r="I457" s="4">
        <f t="shared" si="22"/>
        <v>4.016824231055649</v>
      </c>
      <c r="J457" s="4">
        <f t="shared" si="23"/>
        <v>11.652783872014234</v>
      </c>
      <c r="K457" s="21">
        <v>0.7</v>
      </c>
    </row>
    <row r="458" spans="1:11" x14ac:dyDescent="0.2">
      <c r="A458">
        <v>87480</v>
      </c>
      <c r="B458" s="1">
        <v>30773</v>
      </c>
      <c r="C458" s="2">
        <f t="shared" si="21"/>
        <v>92</v>
      </c>
      <c r="D458">
        <v>18.8</v>
      </c>
      <c r="E458">
        <v>14.6</v>
      </c>
      <c r="F458">
        <v>16.100000000000001</v>
      </c>
      <c r="G458">
        <v>1</v>
      </c>
      <c r="H458">
        <v>-32.903599999999997</v>
      </c>
      <c r="I458" s="4">
        <f t="shared" si="22"/>
        <v>4.4139163458240764</v>
      </c>
      <c r="J458" s="4">
        <f t="shared" si="23"/>
        <v>11.618301597625276</v>
      </c>
      <c r="K458" s="21">
        <v>1.6</v>
      </c>
    </row>
    <row r="459" spans="1:11" x14ac:dyDescent="0.2">
      <c r="A459">
        <v>87480</v>
      </c>
      <c r="B459" s="1">
        <v>30774</v>
      </c>
      <c r="C459" s="2">
        <f t="shared" si="21"/>
        <v>93</v>
      </c>
      <c r="D459">
        <v>23.3</v>
      </c>
      <c r="E459">
        <v>12.8</v>
      </c>
      <c r="F459">
        <v>17.5</v>
      </c>
      <c r="G459">
        <v>0</v>
      </c>
      <c r="H459">
        <v>-32.903599999999997</v>
      </c>
      <c r="I459" s="4">
        <f t="shared" si="22"/>
        <v>4.8097005219191198</v>
      </c>
      <c r="J459" s="4">
        <f t="shared" si="23"/>
        <v>11.583888413779935</v>
      </c>
      <c r="K459" s="21">
        <v>3.2</v>
      </c>
    </row>
    <row r="460" spans="1:11" x14ac:dyDescent="0.2">
      <c r="A460">
        <v>87480</v>
      </c>
      <c r="B460" s="1">
        <v>30775</v>
      </c>
      <c r="C460" s="2">
        <f t="shared" si="21"/>
        <v>94</v>
      </c>
      <c r="D460">
        <v>18.5</v>
      </c>
      <c r="E460">
        <v>9.4</v>
      </c>
      <c r="F460">
        <v>13</v>
      </c>
      <c r="G460">
        <v>0</v>
      </c>
      <c r="H460">
        <v>-32.903599999999997</v>
      </c>
      <c r="I460" s="4">
        <f t="shared" si="22"/>
        <v>5.2040594799476816</v>
      </c>
      <c r="J460" s="4">
        <f t="shared" si="23"/>
        <v>11.549550920654806</v>
      </c>
      <c r="K460" s="21">
        <v>3.3</v>
      </c>
    </row>
    <row r="461" spans="1:11" x14ac:dyDescent="0.2">
      <c r="A461">
        <v>87480</v>
      </c>
      <c r="B461" s="1">
        <v>30776</v>
      </c>
      <c r="C461" s="2">
        <f t="shared" si="21"/>
        <v>95</v>
      </c>
      <c r="D461">
        <v>20.5</v>
      </c>
      <c r="E461">
        <v>7.9</v>
      </c>
      <c r="F461">
        <v>13.1</v>
      </c>
      <c r="G461">
        <v>0</v>
      </c>
      <c r="H461">
        <v>-32.903599999999997</v>
      </c>
      <c r="I461" s="4">
        <f t="shared" si="22"/>
        <v>5.5968763628395291</v>
      </c>
      <c r="J461" s="4">
        <f t="shared" si="23"/>
        <v>11.515295800065378</v>
      </c>
      <c r="K461" s="21">
        <v>3.1</v>
      </c>
    </row>
    <row r="462" spans="1:11" x14ac:dyDescent="0.2">
      <c r="A462">
        <v>87480</v>
      </c>
      <c r="B462" s="1">
        <v>30777</v>
      </c>
      <c r="C462" s="2">
        <f t="shared" si="21"/>
        <v>96</v>
      </c>
      <c r="D462">
        <v>25.7</v>
      </c>
      <c r="E462">
        <v>5.7</v>
      </c>
      <c r="F462">
        <v>15.9</v>
      </c>
      <c r="G462">
        <v>0</v>
      </c>
      <c r="H462">
        <v>-32.903599999999997</v>
      </c>
      <c r="I462" s="4">
        <f t="shared" si="22"/>
        <v>5.9880347704745844</v>
      </c>
      <c r="J462" s="4">
        <f t="shared" si="23"/>
        <v>11.48112982157777</v>
      </c>
      <c r="K462" s="21">
        <v>3.3</v>
      </c>
    </row>
    <row r="463" spans="1:11" x14ac:dyDescent="0.2">
      <c r="A463">
        <v>87480</v>
      </c>
      <c r="B463" s="1">
        <v>30778</v>
      </c>
      <c r="C463" s="2">
        <f t="shared" si="21"/>
        <v>97</v>
      </c>
      <c r="D463">
        <v>22.7</v>
      </c>
      <c r="E463">
        <v>7.2</v>
      </c>
      <c r="F463">
        <v>14.8</v>
      </c>
      <c r="G463">
        <v>0</v>
      </c>
      <c r="H463">
        <v>-32.903599999999997</v>
      </c>
      <c r="I463" s="4">
        <f t="shared" si="22"/>
        <v>6.3774187941747744</v>
      </c>
      <c r="J463" s="4">
        <f t="shared" si="23"/>
        <v>11.447059848448953</v>
      </c>
      <c r="K463" s="21">
        <v>3.3</v>
      </c>
    </row>
    <row r="464" spans="1:11" x14ac:dyDescent="0.2">
      <c r="A464">
        <v>87480</v>
      </c>
      <c r="B464" s="1">
        <v>30779</v>
      </c>
      <c r="C464" s="2">
        <f t="shared" si="21"/>
        <v>98</v>
      </c>
      <c r="D464">
        <v>25.1</v>
      </c>
      <c r="E464">
        <v>10.1</v>
      </c>
      <c r="F464">
        <v>16.8</v>
      </c>
      <c r="G464">
        <v>0</v>
      </c>
      <c r="H464">
        <v>-32.903599999999997</v>
      </c>
      <c r="I464" s="4">
        <f t="shared" si="22"/>
        <v>6.7649130510502804</v>
      </c>
      <c r="J464" s="4">
        <f t="shared" si="23"/>
        <v>11.413092843380273</v>
      </c>
      <c r="K464" s="21">
        <v>3.1</v>
      </c>
    </row>
    <row r="465" spans="1:11" x14ac:dyDescent="0.2">
      <c r="A465">
        <v>87480</v>
      </c>
      <c r="B465" s="1">
        <v>30780</v>
      </c>
      <c r="C465" s="2">
        <f t="shared" si="21"/>
        <v>99</v>
      </c>
      <c r="D465">
        <v>25.5</v>
      </c>
      <c r="E465">
        <v>10.6</v>
      </c>
      <c r="F465">
        <v>18</v>
      </c>
      <c r="G465">
        <v>0</v>
      </c>
      <c r="H465">
        <v>-32.903599999999997</v>
      </c>
      <c r="I465" s="4">
        <f t="shared" si="22"/>
        <v>7.1504027181899783</v>
      </c>
      <c r="J465" s="4">
        <f t="shared" si="23"/>
        <v>11.379235874068705</v>
      </c>
      <c r="K465" s="21">
        <v>3.3</v>
      </c>
    </row>
    <row r="466" spans="1:11" x14ac:dyDescent="0.2">
      <c r="A466">
        <v>87480</v>
      </c>
      <c r="B466" s="1">
        <v>30781</v>
      </c>
      <c r="C466" s="2">
        <f t="shared" si="21"/>
        <v>100</v>
      </c>
      <c r="D466">
        <v>28.5</v>
      </c>
      <c r="E466">
        <v>13.7</v>
      </c>
      <c r="F466">
        <v>21.3</v>
      </c>
      <c r="G466">
        <v>0</v>
      </c>
      <c r="H466">
        <v>-32.903599999999997</v>
      </c>
      <c r="I466" s="4">
        <f t="shared" si="22"/>
        <v>7.5337735666859453</v>
      </c>
      <c r="J466" s="4">
        <f t="shared" si="23"/>
        <v>11.345496118539783</v>
      </c>
      <c r="K466" s="21">
        <v>2.5</v>
      </c>
    </row>
    <row r="467" spans="1:11" x14ac:dyDescent="0.2">
      <c r="A467">
        <v>87480</v>
      </c>
      <c r="B467" s="1">
        <v>30782</v>
      </c>
      <c r="C467" s="2">
        <f t="shared" si="21"/>
        <v>101</v>
      </c>
      <c r="D467">
        <v>29.7</v>
      </c>
      <c r="E467">
        <v>14.4</v>
      </c>
      <c r="F467">
        <v>22.1</v>
      </c>
      <c r="G467">
        <v>0</v>
      </c>
      <c r="H467">
        <v>-32.903599999999997</v>
      </c>
      <c r="I467" s="4">
        <f t="shared" si="22"/>
        <v>7.9149119954819565</v>
      </c>
      <c r="J467" s="4">
        <f t="shared" si="23"/>
        <v>11.311880870245837</v>
      </c>
      <c r="K467" s="21">
        <v>3.4</v>
      </c>
    </row>
    <row r="468" spans="1:11" x14ac:dyDescent="0.2">
      <c r="A468">
        <v>87480</v>
      </c>
      <c r="B468" s="1">
        <v>30783</v>
      </c>
      <c r="C468" s="2">
        <f t="shared" si="21"/>
        <v>102</v>
      </c>
      <c r="D468">
        <v>29.2</v>
      </c>
      <c r="E468">
        <v>19</v>
      </c>
      <c r="F468">
        <v>23.8</v>
      </c>
      <c r="G468">
        <v>0</v>
      </c>
      <c r="H468">
        <v>-32.903599999999997</v>
      </c>
      <c r="I468" s="4">
        <f t="shared" si="22"/>
        <v>8.2937050650359136</v>
      </c>
      <c r="J468" s="4">
        <f t="shared" si="23"/>
        <v>11.278397542912701</v>
      </c>
      <c r="K468" s="21">
        <v>3.9</v>
      </c>
    </row>
    <row r="469" spans="1:11" x14ac:dyDescent="0.2">
      <c r="A469">
        <v>87480</v>
      </c>
      <c r="B469" s="1">
        <v>30784</v>
      </c>
      <c r="C469" s="2">
        <f t="shared" si="21"/>
        <v>103</v>
      </c>
      <c r="D469">
        <v>27.3</v>
      </c>
      <c r="E469">
        <v>19</v>
      </c>
      <c r="F469">
        <v>22.1</v>
      </c>
      <c r="G469">
        <v>0</v>
      </c>
      <c r="H469">
        <v>-32.903599999999997</v>
      </c>
      <c r="I469" s="4">
        <f t="shared" si="22"/>
        <v>8.6700405307862844</v>
      </c>
      <c r="J469" s="4">
        <f t="shared" si="23"/>
        <v>11.245053675117711</v>
      </c>
      <c r="K469" s="21">
        <v>3.2</v>
      </c>
    </row>
    <row r="470" spans="1:11" x14ac:dyDescent="0.2">
      <c r="A470">
        <v>87480</v>
      </c>
      <c r="B470" s="1">
        <v>30785</v>
      </c>
      <c r="C470" s="2">
        <f t="shared" si="21"/>
        <v>104</v>
      </c>
      <c r="D470">
        <v>27.6</v>
      </c>
      <c r="E470">
        <v>16.399999999999999</v>
      </c>
      <c r="F470">
        <v>21.6</v>
      </c>
      <c r="G470">
        <v>0</v>
      </c>
      <c r="H470">
        <v>-32.903599999999997</v>
      </c>
      <c r="I470" s="4">
        <f t="shared" si="22"/>
        <v>9.0438068764125852</v>
      </c>
      <c r="J470" s="4">
        <f t="shared" si="23"/>
        <v>11.211856934581361</v>
      </c>
      <c r="K470" s="21">
        <v>3.9</v>
      </c>
    </row>
    <row r="471" spans="1:11" x14ac:dyDescent="0.2">
      <c r="A471">
        <v>87480</v>
      </c>
      <c r="B471" s="1">
        <v>30786</v>
      </c>
      <c r="C471" s="2">
        <f t="shared" si="21"/>
        <v>105</v>
      </c>
      <c r="D471">
        <v>27.4</v>
      </c>
      <c r="E471">
        <v>15</v>
      </c>
      <c r="F471">
        <v>20.8</v>
      </c>
      <c r="G471">
        <v>0</v>
      </c>
      <c r="H471">
        <v>-32.903599999999997</v>
      </c>
      <c r="I471" s="4">
        <f t="shared" si="22"/>
        <v>9.4148933468800671</v>
      </c>
      <c r="J471" s="4">
        <f t="shared" si="23"/>
        <v>11.178815122154683</v>
      </c>
      <c r="K471" s="21">
        <v>3</v>
      </c>
    </row>
    <row r="472" spans="1:11" x14ac:dyDescent="0.2">
      <c r="A472">
        <v>87480</v>
      </c>
      <c r="B472" s="1">
        <v>30787</v>
      </c>
      <c r="C472" s="2">
        <f t="shared" si="21"/>
        <v>106</v>
      </c>
      <c r="D472">
        <v>28</v>
      </c>
      <c r="E472">
        <v>15</v>
      </c>
      <c r="F472">
        <v>20.100000000000001</v>
      </c>
      <c r="G472">
        <v>24.6</v>
      </c>
      <c r="H472">
        <v>-32.903599999999997</v>
      </c>
      <c r="I472" s="4">
        <f t="shared" si="22"/>
        <v>9.783189981258829</v>
      </c>
      <c r="J472" s="4">
        <f t="shared" si="23"/>
        <v>11.145936175484012</v>
      </c>
      <c r="K472" s="21">
        <v>2.9</v>
      </c>
    </row>
    <row r="473" spans="1:11" x14ac:dyDescent="0.2">
      <c r="A473">
        <v>87480</v>
      </c>
      <c r="B473" s="1">
        <v>30788</v>
      </c>
      <c r="C473" s="2">
        <f t="shared" si="21"/>
        <v>107</v>
      </c>
      <c r="D473">
        <v>17</v>
      </c>
      <c r="E473">
        <v>11.9</v>
      </c>
      <c r="F473">
        <v>13.4</v>
      </c>
      <c r="G473">
        <v>7</v>
      </c>
      <c r="H473">
        <v>-32.903599999999997</v>
      </c>
      <c r="I473" s="4">
        <f t="shared" si="22"/>
        <v>10.148587645307611</v>
      </c>
      <c r="J473" s="4">
        <f t="shared" si="23"/>
        <v>11.113228172334544</v>
      </c>
      <c r="K473" s="21">
        <v>0.9</v>
      </c>
    </row>
    <row r="474" spans="1:11" x14ac:dyDescent="0.2">
      <c r="A474">
        <v>87480</v>
      </c>
      <c r="B474" s="1">
        <v>30789</v>
      </c>
      <c r="C474" s="2">
        <f t="shared" si="21"/>
        <v>108</v>
      </c>
      <c r="D474">
        <v>17.8</v>
      </c>
      <c r="E474">
        <v>5.8</v>
      </c>
      <c r="F474">
        <v>11.3</v>
      </c>
      <c r="G474">
        <v>0</v>
      </c>
      <c r="H474">
        <v>-32.903599999999997</v>
      </c>
      <c r="I474" s="4">
        <f t="shared" si="22"/>
        <v>10.51097806381263</v>
      </c>
      <c r="J474" s="4">
        <f t="shared" si="23"/>
        <v>11.080699333553738</v>
      </c>
      <c r="K474" s="21">
        <v>2.1</v>
      </c>
    </row>
    <row r="475" spans="1:11" x14ac:dyDescent="0.2">
      <c r="A475">
        <v>87480</v>
      </c>
      <c r="B475" s="1">
        <v>30790</v>
      </c>
      <c r="C475" s="2">
        <f t="shared" si="21"/>
        <v>109</v>
      </c>
      <c r="D475">
        <v>18.2</v>
      </c>
      <c r="E475">
        <v>8.1</v>
      </c>
      <c r="F475">
        <v>13.7</v>
      </c>
      <c r="G475">
        <v>2.2999999999999998</v>
      </c>
      <c r="H475">
        <v>-32.903599999999997</v>
      </c>
      <c r="I475" s="4">
        <f t="shared" si="22"/>
        <v>10.870253852671851</v>
      </c>
      <c r="J475" s="4">
        <f t="shared" si="23"/>
        <v>11.048358025655435</v>
      </c>
      <c r="K475" s="21">
        <v>1.4</v>
      </c>
    </row>
    <row r="476" spans="1:11" x14ac:dyDescent="0.2">
      <c r="A476">
        <v>87480</v>
      </c>
      <c r="B476" s="1">
        <v>30791</v>
      </c>
      <c r="C476" s="2">
        <f t="shared" si="21"/>
        <v>110</v>
      </c>
      <c r="D476">
        <v>16.399999999999999</v>
      </c>
      <c r="E476">
        <v>13.8</v>
      </c>
      <c r="F476">
        <v>15.2</v>
      </c>
      <c r="G476">
        <v>1.8</v>
      </c>
      <c r="H476">
        <v>-32.903599999999997</v>
      </c>
      <c r="I476" s="4">
        <f t="shared" si="22"/>
        <v>11.226308550715238</v>
      </c>
      <c r="J476" s="4">
        <f t="shared" si="23"/>
        <v>11.016212763005345</v>
      </c>
      <c r="K476" s="21">
        <v>0.5</v>
      </c>
    </row>
    <row r="477" spans="1:11" x14ac:dyDescent="0.2">
      <c r="A477">
        <v>87480</v>
      </c>
      <c r="B477" s="1">
        <v>30792</v>
      </c>
      <c r="C477" s="2">
        <f t="shared" si="21"/>
        <v>111</v>
      </c>
      <c r="D477">
        <v>17.5</v>
      </c>
      <c r="E477">
        <v>14</v>
      </c>
      <c r="F477">
        <v>15.6</v>
      </c>
      <c r="G477">
        <v>0.8</v>
      </c>
      <c r="H477">
        <v>-32.903599999999997</v>
      </c>
      <c r="I477" s="4">
        <f t="shared" si="22"/>
        <v>11.579036651251466</v>
      </c>
      <c r="J477" s="4">
        <f t="shared" si="23"/>
        <v>10.98427220958847</v>
      </c>
      <c r="K477" s="21">
        <v>0.9</v>
      </c>
    </row>
    <row r="478" spans="1:11" x14ac:dyDescent="0.2">
      <c r="A478">
        <v>87480</v>
      </c>
      <c r="B478" s="1">
        <v>30793</v>
      </c>
      <c r="C478" s="2">
        <f t="shared" si="21"/>
        <v>112</v>
      </c>
      <c r="D478">
        <v>19.100000000000001</v>
      </c>
      <c r="E478">
        <v>15.2</v>
      </c>
      <c r="F478">
        <v>16.8</v>
      </c>
      <c r="G478">
        <v>0.3</v>
      </c>
      <c r="H478">
        <v>-32.903599999999997</v>
      </c>
      <c r="I478" s="4">
        <f t="shared" si="22"/>
        <v>11.928333633331848</v>
      </c>
      <c r="J478" s="4">
        <f t="shared" si="23"/>
        <v>10.952545180338848</v>
      </c>
      <c r="K478" s="21">
        <v>1.1000000000000001</v>
      </c>
    </row>
    <row r="479" spans="1:11" x14ac:dyDescent="0.2">
      <c r="A479">
        <v>87480</v>
      </c>
      <c r="B479" s="1">
        <v>30794</v>
      </c>
      <c r="C479" s="2">
        <f t="shared" si="21"/>
        <v>113</v>
      </c>
      <c r="D479">
        <v>18.8</v>
      </c>
      <c r="E479">
        <v>11.8</v>
      </c>
      <c r="F479">
        <v>14.3</v>
      </c>
      <c r="G479">
        <v>0</v>
      </c>
      <c r="H479">
        <v>-32.903599999999997</v>
      </c>
      <c r="I479" s="4">
        <f t="shared" si="22"/>
        <v>12.274095992722152</v>
      </c>
      <c r="J479" s="4">
        <f t="shared" si="23"/>
        <v>10.921040642012207</v>
      </c>
      <c r="K479" s="21">
        <v>1.6</v>
      </c>
    </row>
    <row r="480" spans="1:11" x14ac:dyDescent="0.2">
      <c r="A480">
        <v>87480</v>
      </c>
      <c r="B480" s="1">
        <v>30795</v>
      </c>
      <c r="C480" s="2">
        <f t="shared" si="21"/>
        <v>114</v>
      </c>
      <c r="D480">
        <v>20.2</v>
      </c>
      <c r="E480">
        <v>10</v>
      </c>
      <c r="F480">
        <v>13.8</v>
      </c>
      <c r="G480">
        <v>0</v>
      </c>
      <c r="H480">
        <v>-32.903599999999997</v>
      </c>
      <c r="I480" s="4">
        <f t="shared" si="22"/>
        <v>12.616221272573126</v>
      </c>
      <c r="J480" s="4">
        <f t="shared" si="23"/>
        <v>10.889767713581957</v>
      </c>
      <c r="K480" s="21">
        <v>3.4</v>
      </c>
    </row>
    <row r="481" spans="1:11" x14ac:dyDescent="0.2">
      <c r="A481">
        <v>87480</v>
      </c>
      <c r="B481" s="1">
        <v>30796</v>
      </c>
      <c r="C481" s="2">
        <f t="shared" si="21"/>
        <v>115</v>
      </c>
      <c r="D481">
        <v>18</v>
      </c>
      <c r="E481">
        <v>4.2</v>
      </c>
      <c r="F481">
        <v>10.3</v>
      </c>
      <c r="G481">
        <v>0</v>
      </c>
      <c r="H481">
        <v>-32.903599999999997</v>
      </c>
      <c r="I481" s="4">
        <f t="shared" si="22"/>
        <v>12.95460809378068</v>
      </c>
      <c r="J481" s="4">
        <f t="shared" si="23"/>
        <v>10.858735666139379</v>
      </c>
      <c r="K481" s="21">
        <v>2</v>
      </c>
    </row>
    <row r="482" spans="1:11" x14ac:dyDescent="0.2">
      <c r="A482">
        <v>87480</v>
      </c>
      <c r="B482" s="1">
        <v>30797</v>
      </c>
      <c r="C482" s="2">
        <f t="shared" si="21"/>
        <v>116</v>
      </c>
      <c r="D482">
        <v>22.7</v>
      </c>
      <c r="E482">
        <v>3.5</v>
      </c>
      <c r="F482">
        <v>12.6</v>
      </c>
      <c r="G482">
        <v>0</v>
      </c>
      <c r="H482">
        <v>-32.903599999999997</v>
      </c>
      <c r="I482" s="4">
        <f t="shared" si="22"/>
        <v>13.289156185026709</v>
      </c>
      <c r="J482" s="4">
        <f t="shared" si="23"/>
        <v>10.827953922278926</v>
      </c>
      <c r="K482" s="21">
        <v>3</v>
      </c>
    </row>
    <row r="483" spans="1:11" x14ac:dyDescent="0.2">
      <c r="A483">
        <v>87480</v>
      </c>
      <c r="B483" s="1">
        <v>30798</v>
      </c>
      <c r="C483" s="2">
        <f t="shared" si="21"/>
        <v>117</v>
      </c>
      <c r="D483">
        <v>25.6</v>
      </c>
      <c r="E483">
        <v>7</v>
      </c>
      <c r="F483">
        <v>15.7</v>
      </c>
      <c r="G483">
        <v>0</v>
      </c>
      <c r="H483">
        <v>-32.903599999999997</v>
      </c>
      <c r="I483" s="4">
        <f t="shared" si="22"/>
        <v>13.61976641249163</v>
      </c>
      <c r="J483" s="4">
        <f t="shared" si="23"/>
        <v>10.797432054950082</v>
      </c>
      <c r="K483" s="21">
        <v>2.5</v>
      </c>
    </row>
    <row r="484" spans="1:11" x14ac:dyDescent="0.2">
      <c r="A484">
        <v>87480</v>
      </c>
      <c r="B484" s="1">
        <v>30799</v>
      </c>
      <c r="C484" s="2">
        <f t="shared" si="21"/>
        <v>118</v>
      </c>
      <c r="D484">
        <v>18.5</v>
      </c>
      <c r="E484">
        <v>5.5</v>
      </c>
      <c r="F484">
        <v>11.7</v>
      </c>
      <c r="G484">
        <v>0</v>
      </c>
      <c r="H484">
        <v>-32.903599999999997</v>
      </c>
      <c r="I484" s="4">
        <f t="shared" si="22"/>
        <v>13.9463408092299</v>
      </c>
      <c r="J484" s="4">
        <f t="shared" si="23"/>
        <v>10.767179785757605</v>
      </c>
      <c r="K484" s="21">
        <v>1.8</v>
      </c>
    </row>
    <row r="485" spans="1:11" x14ac:dyDescent="0.2">
      <c r="A485">
        <v>87480</v>
      </c>
      <c r="B485" s="1">
        <v>30800</v>
      </c>
      <c r="C485" s="2">
        <f t="shared" si="21"/>
        <v>119</v>
      </c>
      <c r="D485">
        <v>22.2</v>
      </c>
      <c r="E485">
        <v>4.2</v>
      </c>
      <c r="F485">
        <v>12.5</v>
      </c>
      <c r="G485">
        <v>0</v>
      </c>
      <c r="H485">
        <v>-32.903599999999997</v>
      </c>
      <c r="I485" s="4">
        <f t="shared" si="22"/>
        <v>14.268782604199705</v>
      </c>
      <c r="J485" s="4">
        <f t="shared" si="23"/>
        <v>10.737206982692694</v>
      </c>
      <c r="K485" s="21">
        <v>1.7</v>
      </c>
    </row>
    <row r="486" spans="1:11" x14ac:dyDescent="0.2">
      <c r="A486">
        <v>87480</v>
      </c>
      <c r="B486" s="1">
        <v>30801</v>
      </c>
      <c r="C486" s="2">
        <f t="shared" si="21"/>
        <v>120</v>
      </c>
      <c r="D486">
        <v>19.600000000000001</v>
      </c>
      <c r="E486">
        <v>7.3</v>
      </c>
      <c r="F486">
        <v>13.4</v>
      </c>
      <c r="G486">
        <v>0</v>
      </c>
      <c r="H486">
        <v>-32.903599999999997</v>
      </c>
      <c r="I486" s="4">
        <f t="shared" si="22"/>
        <v>14.586996250938343</v>
      </c>
      <c r="J486" s="4">
        <f t="shared" si="23"/>
        <v>10.707523657278259</v>
      </c>
      <c r="K486" s="21">
        <v>2</v>
      </c>
    </row>
    <row r="487" spans="1:11" x14ac:dyDescent="0.2">
      <c r="A487">
        <v>87480</v>
      </c>
      <c r="B487" s="1">
        <v>30802</v>
      </c>
      <c r="C487" s="2">
        <f t="shared" si="21"/>
        <v>121</v>
      </c>
      <c r="D487">
        <v>21</v>
      </c>
      <c r="E487">
        <v>1.5</v>
      </c>
      <c r="F487">
        <v>10.199999999999999</v>
      </c>
      <c r="G487">
        <v>0</v>
      </c>
      <c r="H487">
        <v>-32.903599999999997</v>
      </c>
      <c r="I487" s="4">
        <f t="shared" si="22"/>
        <v>14.90088745587466</v>
      </c>
      <c r="J487" s="4">
        <f t="shared" si="23"/>
        <v>10.678139961112409</v>
      </c>
      <c r="K487" s="21">
        <v>3.3</v>
      </c>
    </row>
    <row r="488" spans="1:11" x14ac:dyDescent="0.2">
      <c r="A488">
        <v>87480</v>
      </c>
      <c r="B488" s="1">
        <v>30803</v>
      </c>
      <c r="C488" s="2">
        <f t="shared" si="21"/>
        <v>122</v>
      </c>
      <c r="D488">
        <v>22.4</v>
      </c>
      <c r="E488">
        <v>7.4</v>
      </c>
      <c r="F488">
        <v>14.8</v>
      </c>
      <c r="G488">
        <v>0</v>
      </c>
      <c r="H488">
        <v>-32.903599999999997</v>
      </c>
      <c r="I488" s="4">
        <f t="shared" si="22"/>
        <v>15.210363206270312</v>
      </c>
      <c r="J488" s="4">
        <f t="shared" si="23"/>
        <v>10.649066181795273</v>
      </c>
      <c r="K488" s="21">
        <v>2.5</v>
      </c>
    </row>
    <row r="489" spans="1:11" x14ac:dyDescent="0.2">
      <c r="A489">
        <v>87480</v>
      </c>
      <c r="B489" s="1">
        <v>30804</v>
      </c>
      <c r="C489" s="2">
        <f t="shared" si="21"/>
        <v>123</v>
      </c>
      <c r="D489">
        <v>24.3</v>
      </c>
      <c r="E489">
        <v>10.4</v>
      </c>
      <c r="F489">
        <v>18.3</v>
      </c>
      <c r="G489">
        <v>0</v>
      </c>
      <c r="H489">
        <v>-32.903599999999997</v>
      </c>
      <c r="I489" s="4">
        <f t="shared" si="22"/>
        <v>15.515331797781426</v>
      </c>
      <c r="J489" s="4">
        <f t="shared" si="23"/>
        <v>10.620312738225415</v>
      </c>
      <c r="K489" s="21">
        <v>3.4</v>
      </c>
    </row>
    <row r="490" spans="1:11" x14ac:dyDescent="0.2">
      <c r="A490">
        <v>87480</v>
      </c>
      <c r="B490" s="1">
        <v>30805</v>
      </c>
      <c r="C490" s="2">
        <f t="shared" si="21"/>
        <v>124</v>
      </c>
      <c r="D490">
        <v>26.5</v>
      </c>
      <c r="E490">
        <v>18</v>
      </c>
      <c r="F490">
        <v>22</v>
      </c>
      <c r="G490">
        <v>0.3</v>
      </c>
      <c r="H490">
        <v>-32.903599999999997</v>
      </c>
      <c r="I490" s="4">
        <f t="shared" si="22"/>
        <v>15.81570286163257</v>
      </c>
      <c r="J490" s="4">
        <f t="shared" si="23"/>
        <v>10.59189017525344</v>
      </c>
      <c r="K490" s="21">
        <v>1.1000000000000001</v>
      </c>
    </row>
    <row r="491" spans="1:11" x14ac:dyDescent="0.2">
      <c r="A491">
        <v>87480</v>
      </c>
      <c r="B491" s="1">
        <v>30806</v>
      </c>
      <c r="C491" s="2">
        <f t="shared" si="21"/>
        <v>125</v>
      </c>
      <c r="D491">
        <v>28.3</v>
      </c>
      <c r="E491">
        <v>16.399999999999999</v>
      </c>
      <c r="F491">
        <v>22.1</v>
      </c>
      <c r="G491">
        <v>0</v>
      </c>
      <c r="H491">
        <v>-32.903599999999997</v>
      </c>
      <c r="I491" s="4">
        <f t="shared" si="22"/>
        <v>16.111387391394992</v>
      </c>
      <c r="J491" s="4">
        <f t="shared" si="23"/>
        <v>10.563809157681836</v>
      </c>
      <c r="K491" s="21">
        <v>2</v>
      </c>
    </row>
    <row r="492" spans="1:11" x14ac:dyDescent="0.2">
      <c r="A492">
        <v>87480</v>
      </c>
      <c r="B492" s="1">
        <v>30807</v>
      </c>
      <c r="C492" s="2">
        <f t="shared" si="21"/>
        <v>126</v>
      </c>
      <c r="D492">
        <v>20.8</v>
      </c>
      <c r="E492">
        <v>8.6</v>
      </c>
      <c r="F492">
        <v>14.1</v>
      </c>
      <c r="G492">
        <v>0</v>
      </c>
      <c r="H492">
        <v>-32.903599999999997</v>
      </c>
      <c r="I492" s="4">
        <f t="shared" si="22"/>
        <v>16.402297769361123</v>
      </c>
      <c r="J492" s="4">
        <f t="shared" si="23"/>
        <v>10.536080463601758</v>
      </c>
      <c r="K492" s="21">
        <v>1.8</v>
      </c>
    </row>
    <row r="493" spans="1:11" x14ac:dyDescent="0.2">
      <c r="A493">
        <v>87480</v>
      </c>
      <c r="B493" s="1">
        <v>30808</v>
      </c>
      <c r="C493" s="2">
        <f t="shared" si="21"/>
        <v>127</v>
      </c>
      <c r="D493">
        <v>21</v>
      </c>
      <c r="E493">
        <v>14</v>
      </c>
      <c r="F493">
        <v>17.2</v>
      </c>
      <c r="G493">
        <v>0</v>
      </c>
      <c r="H493">
        <v>-32.903599999999997</v>
      </c>
      <c r="I493" s="4">
        <f t="shared" si="22"/>
        <v>16.688347792507614</v>
      </c>
      <c r="J493" s="4">
        <f t="shared" si="23"/>
        <v>10.508714977059242</v>
      </c>
      <c r="K493" s="21">
        <v>1.7</v>
      </c>
    </row>
    <row r="494" spans="1:11" x14ac:dyDescent="0.2">
      <c r="A494">
        <v>87480</v>
      </c>
      <c r="B494" s="1">
        <v>30809</v>
      </c>
      <c r="C494" s="2">
        <f t="shared" si="21"/>
        <v>128</v>
      </c>
      <c r="D494">
        <v>21.2</v>
      </c>
      <c r="E494">
        <v>3.5</v>
      </c>
      <c r="F494">
        <v>12.1</v>
      </c>
      <c r="G494">
        <v>0</v>
      </c>
      <c r="H494">
        <v>-32.903599999999997</v>
      </c>
      <c r="I494" s="4">
        <f t="shared" si="22"/>
        <v>16.969452698039142</v>
      </c>
      <c r="J494" s="4">
        <f t="shared" si="23"/>
        <v>10.481723680045263</v>
      </c>
      <c r="K494" s="21">
        <v>1.5</v>
      </c>
    </row>
    <row r="495" spans="1:11" x14ac:dyDescent="0.2">
      <c r="A495">
        <v>87480</v>
      </c>
      <c r="B495" s="1">
        <v>30810</v>
      </c>
      <c r="C495" s="2">
        <f t="shared" si="21"/>
        <v>129</v>
      </c>
      <c r="D495">
        <v>22.7</v>
      </c>
      <c r="E495">
        <v>3.8</v>
      </c>
      <c r="F495">
        <v>11.8</v>
      </c>
      <c r="G495">
        <v>0</v>
      </c>
      <c r="H495">
        <v>-32.903599999999997</v>
      </c>
      <c r="I495" s="4">
        <f t="shared" si="22"/>
        <v>17.245529188505458</v>
      </c>
      <c r="J495" s="4">
        <f t="shared" si="23"/>
        <v>10.455117643806283</v>
      </c>
      <c r="K495" s="21">
        <v>2.2999999999999998</v>
      </c>
    </row>
    <row r="496" spans="1:11" x14ac:dyDescent="0.2">
      <c r="A496">
        <v>87480</v>
      </c>
      <c r="B496" s="1">
        <v>30811</v>
      </c>
      <c r="C496" s="2">
        <f t="shared" si="21"/>
        <v>130</v>
      </c>
      <c r="D496">
        <v>21</v>
      </c>
      <c r="E496">
        <v>10.6</v>
      </c>
      <c r="F496">
        <v>14.7</v>
      </c>
      <c r="G496">
        <v>0</v>
      </c>
      <c r="H496">
        <v>-32.903599999999997</v>
      </c>
      <c r="I496" s="4">
        <f t="shared" si="22"/>
        <v>17.516495456484218</v>
      </c>
      <c r="J496" s="4">
        <f t="shared" si="23"/>
        <v>10.428908019474072</v>
      </c>
      <c r="K496" s="21">
        <v>2.2999999999999998</v>
      </c>
    </row>
    <row r="497" spans="1:11" x14ac:dyDescent="0.2">
      <c r="A497">
        <v>87480</v>
      </c>
      <c r="B497" s="1">
        <v>30812</v>
      </c>
      <c r="C497" s="2">
        <f t="shared" si="21"/>
        <v>131</v>
      </c>
      <c r="D497">
        <v>16.5</v>
      </c>
      <c r="E497">
        <v>6.6</v>
      </c>
      <c r="F497">
        <v>10.6</v>
      </c>
      <c r="G497">
        <v>0</v>
      </c>
      <c r="H497">
        <v>-32.903599999999997</v>
      </c>
      <c r="I497" s="4">
        <f t="shared" si="22"/>
        <v>17.782271208822291</v>
      </c>
      <c r="J497" s="4">
        <f t="shared" si="23"/>
        <v>10.40310602801619</v>
      </c>
      <c r="K497" s="21">
        <v>1.6</v>
      </c>
    </row>
    <row r="498" spans="1:11" x14ac:dyDescent="0.2">
      <c r="A498">
        <v>87480</v>
      </c>
      <c r="B498" s="1">
        <v>30813</v>
      </c>
      <c r="C498" s="2">
        <f t="shared" si="21"/>
        <v>132</v>
      </c>
      <c r="D498">
        <v>15.1</v>
      </c>
      <c r="E498">
        <v>-0.8</v>
      </c>
      <c r="F498">
        <v>7.1</v>
      </c>
      <c r="G498">
        <v>0.5</v>
      </c>
      <c r="H498">
        <v>-32.903599999999997</v>
      </c>
      <c r="I498" s="4">
        <f t="shared" si="22"/>
        <v>18.042777690428341</v>
      </c>
      <c r="J498" s="4">
        <f t="shared" si="23"/>
        <v>10.377722949511027</v>
      </c>
      <c r="K498" s="21">
        <v>1.5</v>
      </c>
    </row>
    <row r="499" spans="1:11" x14ac:dyDescent="0.2">
      <c r="A499">
        <v>87480</v>
      </c>
      <c r="B499" s="1">
        <v>30814</v>
      </c>
      <c r="C499" s="2">
        <f t="shared" si="21"/>
        <v>133</v>
      </c>
      <c r="D499">
        <v>12.7</v>
      </c>
      <c r="E499">
        <v>2.5</v>
      </c>
      <c r="F499">
        <v>7.4</v>
      </c>
      <c r="G499">
        <v>0</v>
      </c>
      <c r="H499">
        <v>-32.903599999999997</v>
      </c>
      <c r="I499" s="4">
        <f t="shared" si="22"/>
        <v>18.297937707609684</v>
      </c>
      <c r="J499" s="4">
        <f t="shared" si="23"/>
        <v>10.352770111754102</v>
      </c>
      <c r="K499" s="21">
        <v>1.5</v>
      </c>
    </row>
    <row r="500" spans="1:11" x14ac:dyDescent="0.2">
      <c r="A500">
        <v>87480</v>
      </c>
      <c r="B500" s="1">
        <v>30815</v>
      </c>
      <c r="C500" s="2">
        <f t="shared" si="21"/>
        <v>134</v>
      </c>
      <c r="D500">
        <v>14.2</v>
      </c>
      <c r="E500">
        <v>-4.2</v>
      </c>
      <c r="F500">
        <v>5.2</v>
      </c>
      <c r="G500">
        <v>0</v>
      </c>
      <c r="H500">
        <v>-32.903599999999997</v>
      </c>
      <c r="I500" s="4">
        <f t="shared" si="22"/>
        <v>18.547675650946424</v>
      </c>
      <c r="J500" s="4">
        <f t="shared" si="23"/>
        <v>10.328258878205206</v>
      </c>
      <c r="K500" s="21">
        <v>1.8</v>
      </c>
    </row>
    <row r="501" spans="1:11" x14ac:dyDescent="0.2">
      <c r="A501">
        <v>87480</v>
      </c>
      <c r="B501" s="1">
        <v>30816</v>
      </c>
      <c r="C501" s="2">
        <f t="shared" si="21"/>
        <v>135</v>
      </c>
      <c r="D501">
        <v>15.7</v>
      </c>
      <c r="E501">
        <v>1.3</v>
      </c>
      <c r="F501">
        <v>8.5</v>
      </c>
      <c r="G501">
        <v>0</v>
      </c>
      <c r="H501">
        <v>-32.903599999999997</v>
      </c>
      <c r="I501" s="4">
        <f t="shared" si="22"/>
        <v>18.791917517696167</v>
      </c>
      <c r="J501" s="4">
        <f t="shared" si="23"/>
        <v>10.304200635289048</v>
      </c>
      <c r="K501" s="21">
        <v>2.4</v>
      </c>
    </row>
    <row r="502" spans="1:11" x14ac:dyDescent="0.2">
      <c r="A502">
        <v>87480</v>
      </c>
      <c r="B502" s="1">
        <v>30817</v>
      </c>
      <c r="C502" s="2">
        <f t="shared" si="21"/>
        <v>136</v>
      </c>
      <c r="D502">
        <v>17.8</v>
      </c>
      <c r="E502">
        <v>-3</v>
      </c>
      <c r="F502">
        <v>5.5</v>
      </c>
      <c r="G502">
        <v>0</v>
      </c>
      <c r="H502">
        <v>-32.903599999999997</v>
      </c>
      <c r="I502" s="4">
        <f t="shared" si="22"/>
        <v>19.030590933722614</v>
      </c>
      <c r="J502" s="4">
        <f t="shared" si="23"/>
        <v>10.280606779065153</v>
      </c>
      <c r="K502" s="21">
        <v>2.1</v>
      </c>
    </row>
    <row r="503" spans="1:11" x14ac:dyDescent="0.2">
      <c r="A503">
        <v>87480</v>
      </c>
      <c r="B503" s="1">
        <v>30818</v>
      </c>
      <c r="C503" s="2">
        <f t="shared" si="21"/>
        <v>137</v>
      </c>
      <c r="D503">
        <v>18.8</v>
      </c>
      <c r="E503">
        <v>1.4</v>
      </c>
      <c r="F503">
        <v>9.8000000000000007</v>
      </c>
      <c r="G503">
        <v>0</v>
      </c>
      <c r="H503">
        <v>-32.903599999999997</v>
      </c>
      <c r="I503" s="4">
        <f t="shared" si="22"/>
        <v>19.263625174941613</v>
      </c>
      <c r="J503" s="4">
        <f t="shared" si="23"/>
        <v>10.257488701286134</v>
      </c>
      <c r="K503" s="21">
        <v>2.1</v>
      </c>
    </row>
    <row r="504" spans="1:11" x14ac:dyDescent="0.2">
      <c r="A504">
        <v>87480</v>
      </c>
      <c r="B504" s="1">
        <v>30819</v>
      </c>
      <c r="C504" s="2">
        <f t="shared" si="21"/>
        <v>138</v>
      </c>
      <c r="D504">
        <v>21.5</v>
      </c>
      <c r="E504">
        <v>3.6</v>
      </c>
      <c r="F504">
        <v>12.8</v>
      </c>
      <c r="G504">
        <v>0</v>
      </c>
      <c r="H504">
        <v>-32.903599999999997</v>
      </c>
      <c r="I504" s="4">
        <f t="shared" si="22"/>
        <v>19.490951188278192</v>
      </c>
      <c r="J504" s="4">
        <f t="shared" si="23"/>
        <v>10.234857774866711</v>
      </c>
      <c r="K504" s="21">
        <v>2.7</v>
      </c>
    </row>
    <row r="505" spans="1:11" x14ac:dyDescent="0.2">
      <c r="A505">
        <v>87480</v>
      </c>
      <c r="B505" s="1">
        <v>30820</v>
      </c>
      <c r="C505" s="2">
        <f t="shared" si="21"/>
        <v>139</v>
      </c>
      <c r="D505">
        <v>20.9</v>
      </c>
      <c r="E505">
        <v>6.5</v>
      </c>
      <c r="F505">
        <v>14.4</v>
      </c>
      <c r="G505">
        <v>0</v>
      </c>
      <c r="H505">
        <v>-32.903599999999997</v>
      </c>
      <c r="I505" s="4">
        <f t="shared" si="22"/>
        <v>19.712501612128509</v>
      </c>
      <c r="J505" s="4">
        <f t="shared" si="23"/>
        <v>10.212725338789349</v>
      </c>
      <c r="K505" s="21">
        <v>1.9</v>
      </c>
    </row>
    <row r="506" spans="1:11" x14ac:dyDescent="0.2">
      <c r="A506">
        <v>87480</v>
      </c>
      <c r="B506" s="1">
        <v>30821</v>
      </c>
      <c r="C506" s="2">
        <f t="shared" si="21"/>
        <v>140</v>
      </c>
      <c r="D506">
        <v>17.399999999999999</v>
      </c>
      <c r="E506">
        <v>2.9</v>
      </c>
      <c r="F506">
        <v>10.199999999999999</v>
      </c>
      <c r="G506">
        <v>0</v>
      </c>
      <c r="H506">
        <v>-32.903599999999997</v>
      </c>
      <c r="I506" s="4">
        <f t="shared" si="22"/>
        <v>19.928210796320528</v>
      </c>
      <c r="J506" s="4">
        <f t="shared" si="23"/>
        <v>10.19110268247587</v>
      </c>
      <c r="K506" s="21">
        <v>1.5</v>
      </c>
    </row>
    <row r="507" spans="1:11" x14ac:dyDescent="0.2">
      <c r="A507">
        <v>87480</v>
      </c>
      <c r="B507" s="1">
        <v>30822</v>
      </c>
      <c r="C507" s="2">
        <f t="shared" si="21"/>
        <v>141</v>
      </c>
      <c r="D507">
        <v>20.6</v>
      </c>
      <c r="E507">
        <v>8.8000000000000007</v>
      </c>
      <c r="F507">
        <v>14.8</v>
      </c>
      <c r="G507">
        <v>0</v>
      </c>
      <c r="H507">
        <v>-32.903599999999997</v>
      </c>
      <c r="I507" s="4">
        <f t="shared" si="22"/>
        <v>20.138014821567577</v>
      </c>
      <c r="J507" s="4">
        <f t="shared" si="23"/>
        <v>10.170001029657911</v>
      </c>
      <c r="K507" s="21">
        <v>1.3</v>
      </c>
    </row>
    <row r="508" spans="1:11" x14ac:dyDescent="0.2">
      <c r="A508">
        <v>87480</v>
      </c>
      <c r="B508" s="1">
        <v>30823</v>
      </c>
      <c r="C508" s="2">
        <f t="shared" si="21"/>
        <v>142</v>
      </c>
      <c r="D508">
        <v>19.7</v>
      </c>
      <c r="E508">
        <v>15.2</v>
      </c>
      <c r="F508">
        <v>17.100000000000001</v>
      </c>
      <c r="G508">
        <v>0</v>
      </c>
      <c r="H508">
        <v>-32.903599999999997</v>
      </c>
      <c r="I508" s="4">
        <f t="shared" si="22"/>
        <v>20.341851518409044</v>
      </c>
      <c r="J508" s="4">
        <f t="shared" si="23"/>
        <v>10.149431521782612</v>
      </c>
      <c r="K508" s="21">
        <v>0.7</v>
      </c>
    </row>
    <row r="509" spans="1:11" x14ac:dyDescent="0.2">
      <c r="A509">
        <v>87480</v>
      </c>
      <c r="B509" s="1">
        <v>30824</v>
      </c>
      <c r="C509" s="2">
        <f t="shared" si="21"/>
        <v>143</v>
      </c>
      <c r="D509">
        <v>22.2</v>
      </c>
      <c r="E509">
        <v>13</v>
      </c>
      <c r="F509">
        <v>16.899999999999999</v>
      </c>
      <c r="G509">
        <v>0</v>
      </c>
      <c r="H509">
        <v>-32.903599999999997</v>
      </c>
      <c r="I509" s="4">
        <f t="shared" si="22"/>
        <v>20.539660485632496</v>
      </c>
      <c r="J509" s="4">
        <f t="shared" si="23"/>
        <v>10.129405200993459</v>
      </c>
      <c r="K509" s="21">
        <v>1.2</v>
      </c>
    </row>
    <row r="510" spans="1:11" x14ac:dyDescent="0.2">
      <c r="A510">
        <v>87480</v>
      </c>
      <c r="B510" s="1">
        <v>30825</v>
      </c>
      <c r="C510" s="2">
        <f t="shared" si="21"/>
        <v>144</v>
      </c>
      <c r="D510">
        <v>17.2</v>
      </c>
      <c r="E510">
        <v>9.8000000000000007</v>
      </c>
      <c r="F510">
        <v>16.5</v>
      </c>
      <c r="G510">
        <v>0</v>
      </c>
      <c r="H510">
        <v>-32.903599999999997</v>
      </c>
      <c r="I510" s="4">
        <f t="shared" si="22"/>
        <v>20.731383108171876</v>
      </c>
      <c r="J510" s="4">
        <f t="shared" si="23"/>
        <v>10.109932992729703</v>
      </c>
      <c r="K510" s="21">
        <v>0.3</v>
      </c>
    </row>
    <row r="511" spans="1:11" x14ac:dyDescent="0.2">
      <c r="A511">
        <v>87480</v>
      </c>
      <c r="B511" s="1">
        <v>30826</v>
      </c>
      <c r="C511" s="2">
        <f t="shared" si="21"/>
        <v>145</v>
      </c>
      <c r="D511">
        <v>16.8</v>
      </c>
      <c r="E511">
        <v>11</v>
      </c>
      <c r="F511">
        <v>14.2</v>
      </c>
      <c r="G511">
        <v>0</v>
      </c>
      <c r="H511">
        <v>-32.903599999999997</v>
      </c>
      <c r="I511" s="4">
        <f t="shared" si="22"/>
        <v>20.916962574476411</v>
      </c>
      <c r="J511" s="4">
        <f t="shared" si="23"/>
        <v>10.091025687991099</v>
      </c>
      <c r="K511" s="21">
        <v>0.3</v>
      </c>
    </row>
    <row r="512" spans="1:11" x14ac:dyDescent="0.2">
      <c r="A512">
        <v>87480</v>
      </c>
      <c r="B512" s="1">
        <v>30827</v>
      </c>
      <c r="C512" s="2">
        <f t="shared" si="21"/>
        <v>146</v>
      </c>
      <c r="D512">
        <v>20.7</v>
      </c>
      <c r="E512">
        <v>15</v>
      </c>
      <c r="F512">
        <v>17.399999999999999</v>
      </c>
      <c r="G512">
        <v>0.8</v>
      </c>
      <c r="H512">
        <v>-32.903599999999997</v>
      </c>
      <c r="I512" s="4">
        <f t="shared" si="22"/>
        <v>21.096343893345107</v>
      </c>
      <c r="J512" s="4">
        <f t="shared" si="23"/>
        <v>10.072693925318104</v>
      </c>
      <c r="K512" s="21">
        <v>0.5</v>
      </c>
    </row>
    <row r="513" spans="1:11" x14ac:dyDescent="0.2">
      <c r="A513">
        <v>87480</v>
      </c>
      <c r="B513" s="1">
        <v>30828</v>
      </c>
      <c r="C513" s="2">
        <f t="shared" si="21"/>
        <v>147</v>
      </c>
      <c r="D513">
        <v>23</v>
      </c>
      <c r="E513">
        <v>16.3</v>
      </c>
      <c r="F513">
        <v>18.8</v>
      </c>
      <c r="G513">
        <v>6</v>
      </c>
      <c r="H513">
        <v>-32.903599999999997</v>
      </c>
      <c r="I513" s="4">
        <f t="shared" si="22"/>
        <v>21.269473910221812</v>
      </c>
      <c r="J513" s="4">
        <f t="shared" si="23"/>
        <v>10.054948172540776</v>
      </c>
      <c r="K513" s="21">
        <v>0.5</v>
      </c>
    </row>
    <row r="514" spans="1:11" x14ac:dyDescent="0.2">
      <c r="A514">
        <v>87480</v>
      </c>
      <c r="B514" s="1">
        <v>30829</v>
      </c>
      <c r="C514" s="2">
        <f t="shared" ref="C514:C577" si="24">B514-DATE(YEAR(B514),1,1)+1</f>
        <v>148</v>
      </c>
      <c r="D514">
        <v>19</v>
      </c>
      <c r="E514">
        <v>15.6</v>
      </c>
      <c r="F514">
        <v>17.3</v>
      </c>
      <c r="G514">
        <v>40</v>
      </c>
      <c r="H514">
        <v>-32.903599999999997</v>
      </c>
      <c r="I514" s="4">
        <f t="shared" ref="I514:I548" si="25">23.45*SIN(RADIANS(360/365*(C514-81)))</f>
        <v>21.436301322946075</v>
      </c>
      <c r="J514" s="4">
        <f t="shared" ref="J514:J577" si="26">IFERROR(24 / PI() * ACOS(-TAN(RADIANS(H514)) * TAN(RADIANS(I514))), IF(-TAN(RADIANS(H514)) * TAN(RADIANS(I514)) &gt;= 1, 0,24))</f>
        <v>10.037798708352666</v>
      </c>
      <c r="K514" s="21">
        <v>0.4</v>
      </c>
    </row>
    <row r="515" spans="1:11" x14ac:dyDescent="0.2">
      <c r="A515">
        <v>87480</v>
      </c>
      <c r="B515" s="1">
        <v>30830</v>
      </c>
      <c r="C515" s="2">
        <f t="shared" si="24"/>
        <v>149</v>
      </c>
      <c r="D515">
        <v>19</v>
      </c>
      <c r="E515">
        <v>10.7</v>
      </c>
      <c r="F515">
        <v>14.8</v>
      </c>
      <c r="G515">
        <v>4.2</v>
      </c>
      <c r="H515">
        <v>-32.903599999999997</v>
      </c>
      <c r="I515" s="4">
        <f t="shared" si="25"/>
        <v>21.596776696955082</v>
      </c>
      <c r="J515" s="4">
        <f t="shared" si="26"/>
        <v>10.021255603768768</v>
      </c>
      <c r="K515" s="21">
        <v>3</v>
      </c>
    </row>
    <row r="516" spans="1:11" x14ac:dyDescent="0.2">
      <c r="A516">
        <v>87480</v>
      </c>
      <c r="B516" s="1">
        <v>30831</v>
      </c>
      <c r="C516" s="2">
        <f t="shared" si="24"/>
        <v>150</v>
      </c>
      <c r="D516">
        <v>13.4</v>
      </c>
      <c r="E516">
        <v>4.8</v>
      </c>
      <c r="F516">
        <v>8.6999999999999993</v>
      </c>
      <c r="G516">
        <v>0</v>
      </c>
      <c r="H516">
        <v>-32.903599999999997</v>
      </c>
      <c r="I516" s="4">
        <f t="shared" si="25"/>
        <v>21.75085247993216</v>
      </c>
      <c r="J516" s="4">
        <f t="shared" si="26"/>
        <v>10.005328703529235</v>
      </c>
      <c r="K516" s="21">
        <v>3</v>
      </c>
    </row>
    <row r="517" spans="1:11" x14ac:dyDescent="0.2">
      <c r="A517">
        <v>87480</v>
      </c>
      <c r="B517" s="1">
        <v>30832</v>
      </c>
      <c r="C517" s="2">
        <f t="shared" si="24"/>
        <v>151</v>
      </c>
      <c r="D517">
        <v>16</v>
      </c>
      <c r="E517">
        <v>2.7</v>
      </c>
      <c r="F517">
        <v>8</v>
      </c>
      <c r="G517">
        <v>0</v>
      </c>
      <c r="H517">
        <v>-32.903599999999997</v>
      </c>
      <c r="I517" s="4">
        <f t="shared" si="25"/>
        <v>21.898483015897597</v>
      </c>
      <c r="J517" s="4">
        <f t="shared" si="26"/>
        <v>9.9900276075128343</v>
      </c>
      <c r="K517" s="21">
        <v>1</v>
      </c>
    </row>
    <row r="518" spans="1:11" x14ac:dyDescent="0.2">
      <c r="A518">
        <v>87480</v>
      </c>
      <c r="B518" s="1">
        <v>30833</v>
      </c>
      <c r="C518" s="2">
        <f t="shared" si="24"/>
        <v>152</v>
      </c>
      <c r="D518">
        <v>18.8</v>
      </c>
      <c r="E518">
        <v>4</v>
      </c>
      <c r="F518">
        <v>12.8</v>
      </c>
      <c r="G518">
        <v>0</v>
      </c>
      <c r="H518">
        <v>-32.903599999999997</v>
      </c>
      <c r="I518" s="4">
        <f t="shared" si="25"/>
        <v>22.039624558737447</v>
      </c>
      <c r="J518" s="4">
        <f t="shared" si="26"/>
        <v>9.9753616522262352</v>
      </c>
      <c r="K518" s="21">
        <v>1.5</v>
      </c>
    </row>
    <row r="519" spans="1:11" x14ac:dyDescent="0.2">
      <c r="A519">
        <v>87480</v>
      </c>
      <c r="B519" s="1">
        <v>30834</v>
      </c>
      <c r="C519" s="2">
        <f t="shared" si="24"/>
        <v>153</v>
      </c>
      <c r="D519">
        <v>18.899999999999999</v>
      </c>
      <c r="E519">
        <v>9.5</v>
      </c>
      <c r="F519">
        <v>13.9</v>
      </c>
      <c r="G519">
        <v>0</v>
      </c>
      <c r="H519">
        <v>-32.903599999999997</v>
      </c>
      <c r="I519" s="4">
        <f t="shared" si="25"/>
        <v>22.174235285166493</v>
      </c>
      <c r="J519" s="4">
        <f t="shared" si="26"/>
        <v>9.9613398924368681</v>
      </c>
      <c r="K519" s="21">
        <v>3.5</v>
      </c>
    </row>
    <row r="520" spans="1:11" x14ac:dyDescent="0.2">
      <c r="A520">
        <v>87480</v>
      </c>
      <c r="B520" s="1">
        <v>30835</v>
      </c>
      <c r="C520" s="2">
        <f t="shared" si="24"/>
        <v>154</v>
      </c>
      <c r="D520">
        <v>15.9</v>
      </c>
      <c r="E520">
        <v>5.9</v>
      </c>
      <c r="F520">
        <v>11</v>
      </c>
      <c r="G520">
        <v>0</v>
      </c>
      <c r="H520">
        <v>-32.903599999999997</v>
      </c>
      <c r="I520" s="4">
        <f t="shared" si="25"/>
        <v>22.302275307121349</v>
      </c>
      <c r="J520" s="4">
        <f t="shared" si="26"/>
        <v>9.9479710830185741</v>
      </c>
      <c r="K520" s="21">
        <v>2</v>
      </c>
    </row>
    <row r="521" spans="1:11" x14ac:dyDescent="0.2">
      <c r="A521">
        <v>87480</v>
      </c>
      <c r="B521" s="1">
        <v>30836</v>
      </c>
      <c r="C521" s="2">
        <f t="shared" si="24"/>
        <v>155</v>
      </c>
      <c r="D521">
        <v>14.5</v>
      </c>
      <c r="E521">
        <v>-0.2</v>
      </c>
      <c r="F521">
        <v>5.5</v>
      </c>
      <c r="G521">
        <v>0</v>
      </c>
      <c r="H521">
        <v>-32.903599999999997</v>
      </c>
      <c r="I521" s="4">
        <f t="shared" si="25"/>
        <v>22.423706683580185</v>
      </c>
      <c r="J521" s="4">
        <f t="shared" si="26"/>
        <v>9.9352636610801781</v>
      </c>
      <c r="K521" s="21">
        <v>5.7</v>
      </c>
    </row>
    <row r="522" spans="1:11" x14ac:dyDescent="0.2">
      <c r="A522">
        <v>87480</v>
      </c>
      <c r="B522" s="1">
        <v>30837</v>
      </c>
      <c r="C522" s="2">
        <f t="shared" si="24"/>
        <v>156</v>
      </c>
      <c r="D522">
        <v>11.9</v>
      </c>
      <c r="E522">
        <v>2</v>
      </c>
      <c r="F522">
        <v>6.9</v>
      </c>
      <c r="G522">
        <v>0</v>
      </c>
      <c r="H522">
        <v>-32.903599999999997</v>
      </c>
      <c r="I522" s="4">
        <f t="shared" si="25"/>
        <v>22.538493431805453</v>
      </c>
      <c r="J522" s="4">
        <f t="shared" si="26"/>
        <v>9.9232257284478305</v>
      </c>
      <c r="K522" s="21">
        <v>5.8</v>
      </c>
    </row>
    <row r="523" spans="1:11" x14ac:dyDescent="0.2">
      <c r="A523">
        <v>87480</v>
      </c>
      <c r="B523" s="1">
        <v>30838</v>
      </c>
      <c r="C523" s="2">
        <f t="shared" si="24"/>
        <v>157</v>
      </c>
      <c r="D523">
        <v>12.3</v>
      </c>
      <c r="E523">
        <v>2</v>
      </c>
      <c r="F523">
        <v>7.7</v>
      </c>
      <c r="G523">
        <v>4.7</v>
      </c>
      <c r="H523">
        <v>-32.903599999999997</v>
      </c>
      <c r="I523" s="4">
        <f t="shared" si="25"/>
        <v>22.646601538006347</v>
      </c>
      <c r="J523" s="4">
        <f t="shared" si="26"/>
        <v>9.9118650345721147</v>
      </c>
      <c r="K523" s="21">
        <v>5.8</v>
      </c>
    </row>
    <row r="524" spans="1:11" x14ac:dyDescent="0.2">
      <c r="A524">
        <v>87480</v>
      </c>
      <c r="B524" s="1">
        <v>30839</v>
      </c>
      <c r="C524" s="2">
        <f t="shared" si="24"/>
        <v>158</v>
      </c>
      <c r="D524">
        <v>9</v>
      </c>
      <c r="E524">
        <v>4.8</v>
      </c>
      <c r="F524">
        <v>7</v>
      </c>
      <c r="G524">
        <v>2.8</v>
      </c>
      <c r="H524">
        <v>-32.903599999999997</v>
      </c>
      <c r="I524" s="4">
        <f t="shared" si="25"/>
        <v>22.747998967417839</v>
      </c>
      <c r="J524" s="4">
        <f t="shared" si="26"/>
        <v>9.9011889599307317</v>
      </c>
      <c r="K524" s="21">
        <v>6.4</v>
      </c>
    </row>
    <row r="525" spans="1:11" x14ac:dyDescent="0.2">
      <c r="A525">
        <v>87480</v>
      </c>
      <c r="B525" s="1">
        <v>30840</v>
      </c>
      <c r="C525" s="2">
        <f t="shared" si="24"/>
        <v>159</v>
      </c>
      <c r="D525">
        <v>11</v>
      </c>
      <c r="E525">
        <v>0</v>
      </c>
      <c r="F525">
        <v>5.7</v>
      </c>
      <c r="G525">
        <v>0</v>
      </c>
      <c r="H525">
        <v>-32.903599999999997</v>
      </c>
      <c r="I525" s="4">
        <f t="shared" si="25"/>
        <v>22.84265567379326</v>
      </c>
      <c r="J525" s="4">
        <f t="shared" si="26"/>
        <v>9.8912044999968813</v>
      </c>
      <c r="K525" s="21">
        <v>3.8</v>
      </c>
    </row>
    <row r="526" spans="1:11" x14ac:dyDescent="0.2">
      <c r="A526">
        <v>87480</v>
      </c>
      <c r="B526" s="1">
        <v>30841</v>
      </c>
      <c r="C526" s="2">
        <f t="shared" si="24"/>
        <v>160</v>
      </c>
      <c r="D526">
        <v>9.3000000000000007</v>
      </c>
      <c r="E526">
        <v>6</v>
      </c>
      <c r="F526">
        <v>7.2</v>
      </c>
      <c r="G526">
        <v>2</v>
      </c>
      <c r="H526">
        <v>-32.903599999999997</v>
      </c>
      <c r="I526" s="4">
        <f t="shared" si="25"/>
        <v>22.930543608307651</v>
      </c>
      <c r="J526" s="4">
        <f t="shared" si="26"/>
        <v>9.881918249842343</v>
      </c>
      <c r="K526" s="21">
        <v>2.1</v>
      </c>
    </row>
    <row r="527" spans="1:11" x14ac:dyDescent="0.2">
      <c r="A527">
        <v>87480</v>
      </c>
      <c r="B527" s="1">
        <v>30842</v>
      </c>
      <c r="C527" s="2">
        <f t="shared" si="24"/>
        <v>161</v>
      </c>
      <c r="D527">
        <v>13.5</v>
      </c>
      <c r="E527">
        <v>1.5</v>
      </c>
      <c r="F527">
        <v>6.8</v>
      </c>
      <c r="G527">
        <v>0</v>
      </c>
      <c r="H527">
        <v>-32.903599999999997</v>
      </c>
      <c r="I527" s="4">
        <f t="shared" si="25"/>
        <v>23.011636727869238</v>
      </c>
      <c r="J527" s="4">
        <f t="shared" si="26"/>
        <v>9.8733363894427484</v>
      </c>
      <c r="K527" s="21">
        <v>4.9000000000000004</v>
      </c>
    </row>
    <row r="528" spans="1:11" x14ac:dyDescent="0.2">
      <c r="A528">
        <v>87480</v>
      </c>
      <c r="B528" s="1">
        <v>30843</v>
      </c>
      <c r="C528" s="2">
        <f t="shared" si="24"/>
        <v>162</v>
      </c>
      <c r="D528">
        <v>16.100000000000001</v>
      </c>
      <c r="E528">
        <v>2.4</v>
      </c>
      <c r="F528">
        <v>9.9</v>
      </c>
      <c r="G528">
        <v>0</v>
      </c>
      <c r="H528">
        <v>-32.903599999999997</v>
      </c>
      <c r="I528" s="4">
        <f t="shared" si="25"/>
        <v>23.085911002836561</v>
      </c>
      <c r="J528" s="4">
        <f t="shared" si="26"/>
        <v>9.8654646697503487</v>
      </c>
      <c r="K528" s="21">
        <v>5.6</v>
      </c>
    </row>
    <row r="529" spans="1:11" x14ac:dyDescent="0.2">
      <c r="A529">
        <v>87480</v>
      </c>
      <c r="B529" s="1">
        <v>30844</v>
      </c>
      <c r="C529" s="2">
        <f t="shared" si="24"/>
        <v>163</v>
      </c>
      <c r="D529">
        <v>15.1</v>
      </c>
      <c r="E529">
        <v>4.2</v>
      </c>
      <c r="F529">
        <v>9.8000000000000007</v>
      </c>
      <c r="G529">
        <v>0</v>
      </c>
      <c r="H529">
        <v>-32.903599999999997</v>
      </c>
      <c r="I529" s="4">
        <f t="shared" si="25"/>
        <v>23.153344424138979</v>
      </c>
      <c r="J529" s="4">
        <f t="shared" si="26"/>
        <v>9.8583083995972665</v>
      </c>
      <c r="K529" s="21">
        <v>5</v>
      </c>
    </row>
    <row r="530" spans="1:11" x14ac:dyDescent="0.2">
      <c r="A530">
        <v>87480</v>
      </c>
      <c r="B530" s="1">
        <v>30845</v>
      </c>
      <c r="C530" s="2">
        <f t="shared" si="24"/>
        <v>164</v>
      </c>
      <c r="D530">
        <v>16.600000000000001</v>
      </c>
      <c r="E530">
        <v>0</v>
      </c>
      <c r="F530">
        <v>7.2</v>
      </c>
      <c r="G530">
        <v>0</v>
      </c>
      <c r="H530">
        <v>-32.903599999999997</v>
      </c>
      <c r="I530" s="4">
        <f t="shared" si="25"/>
        <v>23.213917009798429</v>
      </c>
      <c r="J530" s="4">
        <f t="shared" si="26"/>
        <v>9.851872433489115</v>
      </c>
      <c r="K530" s="21">
        <v>5.2</v>
      </c>
    </row>
    <row r="531" spans="1:11" x14ac:dyDescent="0.2">
      <c r="A531">
        <v>87480</v>
      </c>
      <c r="B531" s="1">
        <v>30846</v>
      </c>
      <c r="C531" s="2">
        <f t="shared" si="24"/>
        <v>165</v>
      </c>
      <c r="D531">
        <v>16</v>
      </c>
      <c r="E531">
        <v>0.4</v>
      </c>
      <c r="F531">
        <v>6.8</v>
      </c>
      <c r="G531">
        <v>0</v>
      </c>
      <c r="H531">
        <v>-32.903599999999997</v>
      </c>
      <c r="I531" s="4">
        <f t="shared" si="25"/>
        <v>23.26761081085051</v>
      </c>
      <c r="J531" s="4">
        <f t="shared" si="26"/>
        <v>9.8461611603456127</v>
      </c>
      <c r="K531" s="21">
        <v>1</v>
      </c>
    </row>
    <row r="532" spans="1:11" x14ac:dyDescent="0.2">
      <c r="A532">
        <v>87480</v>
      </c>
      <c r="B532" s="1">
        <v>30847</v>
      </c>
      <c r="C532" s="2">
        <f t="shared" si="24"/>
        <v>166</v>
      </c>
      <c r="D532">
        <v>13.7</v>
      </c>
      <c r="E532">
        <v>2.5</v>
      </c>
      <c r="F532">
        <v>8.4</v>
      </c>
      <c r="G532">
        <v>0</v>
      </c>
      <c r="H532">
        <v>-32.903599999999997</v>
      </c>
      <c r="I532" s="4">
        <f t="shared" si="25"/>
        <v>23.31440991666317</v>
      </c>
      <c r="J532" s="4">
        <f t="shared" si="26"/>
        <v>9.8411784932408803</v>
      </c>
      <c r="K532" s="21">
        <v>5.8</v>
      </c>
    </row>
    <row r="533" spans="1:11" x14ac:dyDescent="0.2">
      <c r="A533">
        <v>87480</v>
      </c>
      <c r="B533" s="1">
        <v>30848</v>
      </c>
      <c r="C533" s="2">
        <f t="shared" si="24"/>
        <v>167</v>
      </c>
      <c r="D533">
        <v>11.7</v>
      </c>
      <c r="E533">
        <v>2</v>
      </c>
      <c r="F533">
        <v>8.9</v>
      </c>
      <c r="G533">
        <v>0</v>
      </c>
      <c r="H533">
        <v>-32.903599999999997</v>
      </c>
      <c r="I533" s="4">
        <f t="shared" si="25"/>
        <v>23.354300459651348</v>
      </c>
      <c r="J533" s="4">
        <f t="shared" si="26"/>
        <v>9.8369278601920609</v>
      </c>
      <c r="K533" s="21">
        <v>6</v>
      </c>
    </row>
    <row r="534" spans="1:11" x14ac:dyDescent="0.2">
      <c r="A534">
        <v>87480</v>
      </c>
      <c r="B534" s="1">
        <v>30849</v>
      </c>
      <c r="C534" s="2">
        <f t="shared" si="24"/>
        <v>168</v>
      </c>
      <c r="D534">
        <v>12.5</v>
      </c>
      <c r="E534">
        <v>9.9</v>
      </c>
      <c r="F534">
        <v>11.2</v>
      </c>
      <c r="G534">
        <v>0</v>
      </c>
      <c r="H534">
        <v>-32.903599999999997</v>
      </c>
      <c r="I534" s="4">
        <f t="shared" si="25"/>
        <v>23.387270619386246</v>
      </c>
      <c r="J534" s="4">
        <f t="shared" si="26"/>
        <v>9.8334121960401895</v>
      </c>
      <c r="K534" s="21">
        <v>6.2</v>
      </c>
    </row>
    <row r="535" spans="1:11" x14ac:dyDescent="0.2">
      <c r="A535">
        <v>87480</v>
      </c>
      <c r="B535" s="1">
        <v>30850</v>
      </c>
      <c r="C535" s="2">
        <f t="shared" si="24"/>
        <v>169</v>
      </c>
      <c r="D535">
        <v>13.8</v>
      </c>
      <c r="E535">
        <v>9</v>
      </c>
      <c r="F535">
        <v>11.2</v>
      </c>
      <c r="G535">
        <v>0</v>
      </c>
      <c r="H535">
        <v>-32.903599999999997</v>
      </c>
      <c r="I535" s="4">
        <f t="shared" si="25"/>
        <v>23.413310626097982</v>
      </c>
      <c r="J535" s="4">
        <f t="shared" si="26"/>
        <v>9.8306339354624104</v>
      </c>
      <c r="K535" s="21">
        <v>7</v>
      </c>
    </row>
    <row r="536" spans="1:11" x14ac:dyDescent="0.2">
      <c r="A536">
        <v>87480</v>
      </c>
      <c r="B536" s="1">
        <v>30851</v>
      </c>
      <c r="C536" s="2">
        <f t="shared" si="24"/>
        <v>170</v>
      </c>
      <c r="D536">
        <v>12.3</v>
      </c>
      <c r="E536">
        <v>10.6</v>
      </c>
      <c r="F536">
        <v>11.2</v>
      </c>
      <c r="G536">
        <v>1.3</v>
      </c>
      <c r="H536">
        <v>-32.903599999999997</v>
      </c>
      <c r="I536" s="4">
        <f t="shared" si="25"/>
        <v>23.432412763570579</v>
      </c>
      <c r="J536" s="4">
        <f t="shared" si="26"/>
        <v>9.8285950071493939</v>
      </c>
      <c r="K536" s="21">
        <v>7.2</v>
      </c>
    </row>
    <row r="537" spans="1:11" x14ac:dyDescent="0.2">
      <c r="A537">
        <v>87480</v>
      </c>
      <c r="B537" s="1">
        <v>30852</v>
      </c>
      <c r="C537" s="2">
        <f t="shared" si="24"/>
        <v>171</v>
      </c>
      <c r="D537">
        <v>12.4</v>
      </c>
      <c r="E537">
        <v>10.6</v>
      </c>
      <c r="F537">
        <v>11.7</v>
      </c>
      <c r="G537">
        <v>2.6</v>
      </c>
      <c r="H537">
        <v>-32.903599999999997</v>
      </c>
      <c r="I537" s="4">
        <f t="shared" si="25"/>
        <v>23.444571371428442</v>
      </c>
      <c r="J537" s="4">
        <f t="shared" si="26"/>
        <v>9.8272968291763068</v>
      </c>
      <c r="K537" s="21">
        <v>6.9</v>
      </c>
    </row>
    <row r="538" spans="1:11" x14ac:dyDescent="0.2">
      <c r="A538">
        <v>87480</v>
      </c>
      <c r="B538" s="1">
        <v>30853</v>
      </c>
      <c r="C538" s="2">
        <f t="shared" si="24"/>
        <v>172</v>
      </c>
      <c r="D538">
        <v>12.6</v>
      </c>
      <c r="E538">
        <v>11.2</v>
      </c>
      <c r="F538">
        <v>12.2</v>
      </c>
      <c r="G538">
        <v>2</v>
      </c>
      <c r="H538">
        <v>-32.903599999999997</v>
      </c>
      <c r="I538" s="4">
        <f t="shared" si="25"/>
        <v>23.449782846813658</v>
      </c>
      <c r="J538" s="4">
        <f t="shared" si="26"/>
        <v>9.8267403055900093</v>
      </c>
      <c r="K538" s="21">
        <v>3.1</v>
      </c>
    </row>
    <row r="539" spans="1:11" x14ac:dyDescent="0.2">
      <c r="A539">
        <v>87480</v>
      </c>
      <c r="B539" s="1">
        <v>30854</v>
      </c>
      <c r="C539" s="2">
        <f t="shared" si="24"/>
        <v>173</v>
      </c>
      <c r="D539">
        <v>15.3</v>
      </c>
      <c r="E539">
        <v>11.3</v>
      </c>
      <c r="F539">
        <v>12.8</v>
      </c>
      <c r="G539">
        <v>0.2</v>
      </c>
      <c r="H539">
        <v>-32.903599999999997</v>
      </c>
      <c r="I539" s="4">
        <f t="shared" si="25"/>
        <v>23.448045645453604</v>
      </c>
      <c r="J539" s="4">
        <f t="shared" si="26"/>
        <v>9.8269258242292015</v>
      </c>
      <c r="K539" s="21">
        <v>5.8</v>
      </c>
    </row>
    <row r="540" spans="1:11" x14ac:dyDescent="0.2">
      <c r="A540">
        <v>87480</v>
      </c>
      <c r="B540" s="1">
        <v>30855</v>
      </c>
      <c r="C540" s="2">
        <f t="shared" si="24"/>
        <v>174</v>
      </c>
      <c r="D540">
        <v>11.4</v>
      </c>
      <c r="E540">
        <v>4</v>
      </c>
      <c r="F540">
        <v>7.4</v>
      </c>
      <c r="G540">
        <v>0</v>
      </c>
      <c r="H540">
        <v>-32.903599999999997</v>
      </c>
      <c r="I540" s="4">
        <f t="shared" si="25"/>
        <v>23.439360282118528</v>
      </c>
      <c r="J540" s="4">
        <f t="shared" si="26"/>
        <v>9.8278532557882929</v>
      </c>
      <c r="K540" s="21">
        <v>5.6</v>
      </c>
    </row>
    <row r="541" spans="1:11" x14ac:dyDescent="0.2">
      <c r="A541">
        <v>87480</v>
      </c>
      <c r="B541" s="1">
        <v>30856</v>
      </c>
      <c r="C541" s="2">
        <f t="shared" si="24"/>
        <v>175</v>
      </c>
      <c r="D541">
        <v>11.5</v>
      </c>
      <c r="E541">
        <v>-0.8</v>
      </c>
      <c r="F541">
        <v>5.3</v>
      </c>
      <c r="G541">
        <v>0</v>
      </c>
      <c r="H541">
        <v>-32.903599999999997</v>
      </c>
      <c r="I541" s="4">
        <f t="shared" si="25"/>
        <v>23.423729330469037</v>
      </c>
      <c r="J541" s="4">
        <f t="shared" si="26"/>
        <v>9.8295219541295769</v>
      </c>
      <c r="K541" s="21">
        <v>5.7</v>
      </c>
    </row>
    <row r="542" spans="1:11" x14ac:dyDescent="0.2">
      <c r="A542">
        <v>87480</v>
      </c>
      <c r="B542" s="1">
        <v>30857</v>
      </c>
      <c r="C542" s="2">
        <f t="shared" si="24"/>
        <v>176</v>
      </c>
      <c r="D542">
        <v>14.8</v>
      </c>
      <c r="E542">
        <v>7.2</v>
      </c>
      <c r="F542">
        <v>10.1</v>
      </c>
      <c r="G542">
        <v>0</v>
      </c>
      <c r="H542">
        <v>-32.903599999999997</v>
      </c>
      <c r="I542" s="4">
        <f t="shared" si="25"/>
        <v>23.401157422293444</v>
      </c>
      <c r="J542" s="4">
        <f t="shared" si="26"/>
        <v>9.8319307578421764</v>
      </c>
      <c r="K542" s="21">
        <v>6</v>
      </c>
    </row>
    <row r="543" spans="1:11" x14ac:dyDescent="0.2">
      <c r="A543">
        <v>87480</v>
      </c>
      <c r="B543" s="1">
        <v>30858</v>
      </c>
      <c r="C543" s="2">
        <f t="shared" si="24"/>
        <v>177</v>
      </c>
      <c r="D543">
        <v>9.1</v>
      </c>
      <c r="E543">
        <v>3.3</v>
      </c>
      <c r="F543">
        <v>7.1</v>
      </c>
      <c r="G543">
        <v>0</v>
      </c>
      <c r="H543">
        <v>-32.903599999999997</v>
      </c>
      <c r="I543" s="4">
        <f t="shared" si="25"/>
        <v>23.37165124613529</v>
      </c>
      <c r="J543" s="4">
        <f t="shared" si="26"/>
        <v>9.8350779930400947</v>
      </c>
      <c r="K543" s="21">
        <v>5.6</v>
      </c>
    </row>
    <row r="544" spans="1:11" x14ac:dyDescent="0.2">
      <c r="A544">
        <v>87480</v>
      </c>
      <c r="B544" s="1">
        <v>30859</v>
      </c>
      <c r="C544" s="2">
        <f t="shared" si="24"/>
        <v>178</v>
      </c>
      <c r="D544">
        <v>8.6999999999999993</v>
      </c>
      <c r="E544">
        <v>3.2</v>
      </c>
      <c r="F544">
        <v>5.9</v>
      </c>
      <c r="G544">
        <v>0</v>
      </c>
      <c r="H544">
        <v>-32.903599999999997</v>
      </c>
      <c r="I544" s="4">
        <f t="shared" si="25"/>
        <v>23.335219545311357</v>
      </c>
      <c r="J544" s="4">
        <f t="shared" si="26"/>
        <v>9.8389614773856007</v>
      </c>
      <c r="K544" s="21">
        <v>4.8</v>
      </c>
    </row>
    <row r="545" spans="1:11" x14ac:dyDescent="0.2">
      <c r="A545">
        <v>87480</v>
      </c>
      <c r="B545" s="1">
        <v>30860</v>
      </c>
      <c r="C545" s="2">
        <f t="shared" si="24"/>
        <v>179</v>
      </c>
      <c r="D545">
        <v>10</v>
      </c>
      <c r="E545">
        <v>-4.9000000000000004</v>
      </c>
      <c r="F545">
        <v>1.5</v>
      </c>
      <c r="G545">
        <v>0</v>
      </c>
      <c r="H545">
        <v>-32.903599999999997</v>
      </c>
      <c r="I545" s="4">
        <f t="shared" si="25"/>
        <v>23.291873115320865</v>
      </c>
      <c r="J545" s="4">
        <f t="shared" si="26"/>
        <v>9.8435785253182253</v>
      </c>
      <c r="K545" s="21">
        <v>5.4</v>
      </c>
    </row>
    <row r="546" spans="1:11" x14ac:dyDescent="0.2">
      <c r="A546">
        <v>87480</v>
      </c>
      <c r="B546" s="1">
        <v>30861</v>
      </c>
      <c r="C546" s="2">
        <f t="shared" si="24"/>
        <v>180</v>
      </c>
      <c r="D546">
        <v>12.7</v>
      </c>
      <c r="E546">
        <v>-3</v>
      </c>
      <c r="F546">
        <v>4.4000000000000004</v>
      </c>
      <c r="G546">
        <v>0</v>
      </c>
      <c r="H546">
        <v>-32.903599999999997</v>
      </c>
      <c r="I546" s="4">
        <f t="shared" si="25"/>
        <v>23.241624800646512</v>
      </c>
      <c r="J546" s="4">
        <f t="shared" si="26"/>
        <v>9.8489259544638426</v>
      </c>
      <c r="K546" s="21">
        <v>7.1</v>
      </c>
    </row>
    <row r="547" spans="1:11" x14ac:dyDescent="0.2">
      <c r="A547">
        <v>87480</v>
      </c>
      <c r="B547" s="1">
        <v>30862</v>
      </c>
      <c r="C547" s="2">
        <f t="shared" si="24"/>
        <v>181</v>
      </c>
      <c r="D547">
        <v>15.4</v>
      </c>
      <c r="E547">
        <v>0</v>
      </c>
      <c r="F547">
        <v>7.5</v>
      </c>
      <c r="G547">
        <v>0</v>
      </c>
      <c r="H547">
        <v>-32.903599999999997</v>
      </c>
      <c r="I547" s="4">
        <f t="shared" si="25"/>
        <v>23.184489490948383</v>
      </c>
      <c r="J547" s="4">
        <f t="shared" si="26"/>
        <v>9.8550000931926878</v>
      </c>
      <c r="K547" s="21">
        <v>8.1</v>
      </c>
    </row>
    <row r="548" spans="1:11" x14ac:dyDescent="0.2">
      <c r="A548">
        <v>87480</v>
      </c>
      <c r="B548" s="1">
        <v>30863</v>
      </c>
      <c r="C548" s="2">
        <f t="shared" si="24"/>
        <v>182</v>
      </c>
      <c r="D548">
        <v>18.5</v>
      </c>
      <c r="E548">
        <v>1.8</v>
      </c>
      <c r="F548">
        <v>12.8</v>
      </c>
      <c r="G548">
        <v>0</v>
      </c>
      <c r="H548">
        <v>-32.903599999999997</v>
      </c>
      <c r="I548" s="4">
        <f t="shared" si="25"/>
        <v>23.120484116651824</v>
      </c>
      <c r="J548" s="4">
        <f t="shared" si="26"/>
        <v>9.8617967892898104</v>
      </c>
      <c r="K548" s="21">
        <v>6.5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6"/>
  <sheetViews>
    <sheetView zoomScale="120" zoomScaleNormal="120" workbookViewId="0">
      <pane xSplit="2" ySplit="1" topLeftCell="C79" activePane="bottomRight" state="frozen"/>
      <selection pane="topRight" activeCell="C1" sqref="C1"/>
      <selection pane="bottomLeft" activeCell="A2" sqref="A2"/>
      <selection pane="bottomRight" activeCell="A90" sqref="A90:N97"/>
    </sheetView>
  </sheetViews>
  <sheetFormatPr baseColWidth="10" defaultColWidth="10.6640625" defaultRowHeight="15" x14ac:dyDescent="0.2"/>
  <cols>
    <col min="1" max="1" width="12.33203125" style="11" bestFit="1" customWidth="1"/>
    <col min="2" max="2" width="11.33203125" style="11" bestFit="1" customWidth="1"/>
    <col min="3" max="3" width="16.6640625" style="11" bestFit="1" customWidth="1"/>
    <col min="4" max="4" width="23.6640625" style="11" bestFit="1" customWidth="1"/>
    <col min="5" max="5" width="4.83203125" style="11" bestFit="1" customWidth="1"/>
    <col min="6" max="6" width="5.83203125" style="11" bestFit="1" customWidth="1"/>
    <col min="7" max="7" width="6" style="11" bestFit="1" customWidth="1"/>
    <col min="8" max="8" width="5" style="11" bestFit="1" customWidth="1"/>
    <col min="9" max="9" width="6.33203125" style="11" bestFit="1" customWidth="1"/>
    <col min="10" max="10" width="7.83203125" style="11" bestFit="1" customWidth="1"/>
    <col min="11" max="11" width="6.5" style="11" bestFit="1" customWidth="1"/>
    <col min="12" max="12" width="6.33203125" style="11" bestFit="1" customWidth="1"/>
    <col min="13" max="13" width="6.6640625" style="11" bestFit="1" customWidth="1"/>
    <col min="14" max="14" width="6.1640625" style="11" bestFit="1" customWidth="1"/>
    <col min="15" max="15" width="10.6640625" style="11" customWidth="1"/>
    <col min="16" max="16384" width="10.6640625" style="11"/>
  </cols>
  <sheetData>
    <row r="1" spans="1:14" ht="25" customHeight="1" x14ac:dyDescent="0.2">
      <c r="A1" s="15" t="s">
        <v>94</v>
      </c>
      <c r="B1" s="15" t="s">
        <v>95</v>
      </c>
      <c r="C1" s="15" t="s">
        <v>96</v>
      </c>
      <c r="D1" s="15" t="s">
        <v>97</v>
      </c>
      <c r="E1" s="15" t="s">
        <v>98</v>
      </c>
      <c r="F1" s="15" t="s">
        <v>99</v>
      </c>
      <c r="G1" s="15" t="s">
        <v>100</v>
      </c>
      <c r="H1" s="15" t="s">
        <v>101</v>
      </c>
      <c r="I1" s="15" t="s">
        <v>102</v>
      </c>
      <c r="J1" s="15" t="s">
        <v>103</v>
      </c>
      <c r="K1" s="15" t="s">
        <v>104</v>
      </c>
      <c r="L1" s="15" t="s">
        <v>105</v>
      </c>
      <c r="M1" s="15" t="s">
        <v>106</v>
      </c>
      <c r="N1" s="15" t="s">
        <v>107</v>
      </c>
    </row>
    <row r="2" spans="1:14" x14ac:dyDescent="0.2">
      <c r="A2" s="11" t="s">
        <v>108</v>
      </c>
      <c r="B2" s="11" t="s">
        <v>109</v>
      </c>
      <c r="C2" s="11" t="s">
        <v>110</v>
      </c>
      <c r="D2" s="11" t="s">
        <v>111</v>
      </c>
      <c r="E2" s="14">
        <v>10</v>
      </c>
      <c r="F2" s="13">
        <v>0.6</v>
      </c>
      <c r="G2" s="11">
        <v>81</v>
      </c>
      <c r="H2" s="13">
        <v>0.1</v>
      </c>
      <c r="I2" s="13">
        <v>0.5</v>
      </c>
      <c r="J2" s="11" t="s">
        <v>112</v>
      </c>
      <c r="K2" s="11">
        <v>20</v>
      </c>
      <c r="L2" s="13">
        <v>0.17</v>
      </c>
      <c r="M2" s="13">
        <v>0.31000000000000011</v>
      </c>
      <c r="N2" s="13">
        <v>0.56000000000000005</v>
      </c>
    </row>
    <row r="3" spans="1:14" x14ac:dyDescent="0.2">
      <c r="A3" s="11" t="s">
        <v>108</v>
      </c>
      <c r="J3" s="11" t="s">
        <v>113</v>
      </c>
      <c r="K3" s="11">
        <v>40</v>
      </c>
      <c r="L3" s="13">
        <v>0.22</v>
      </c>
      <c r="M3" s="13">
        <v>0.35</v>
      </c>
      <c r="N3" s="13">
        <v>0.5</v>
      </c>
    </row>
    <row r="4" spans="1:14" x14ac:dyDescent="0.2">
      <c r="A4" s="11" t="s">
        <v>108</v>
      </c>
      <c r="J4" s="11" t="s">
        <v>114</v>
      </c>
      <c r="K4" s="11">
        <v>60</v>
      </c>
      <c r="L4" s="13">
        <v>0.25</v>
      </c>
      <c r="M4" s="13">
        <v>0.37</v>
      </c>
      <c r="N4" s="13">
        <v>0.45</v>
      </c>
    </row>
    <row r="5" spans="1:14" x14ac:dyDescent="0.2">
      <c r="A5" s="11" t="s">
        <v>108</v>
      </c>
      <c r="J5" s="11" t="s">
        <v>115</v>
      </c>
      <c r="K5" s="11">
        <v>80</v>
      </c>
      <c r="L5" s="13">
        <v>0.15</v>
      </c>
      <c r="M5" s="13">
        <v>0.27</v>
      </c>
      <c r="N5" s="13">
        <v>0.41</v>
      </c>
    </row>
    <row r="6" spans="1:14" x14ac:dyDescent="0.2">
      <c r="A6" s="11" t="s">
        <v>108</v>
      </c>
      <c r="B6" s="11" t="s">
        <v>116</v>
      </c>
      <c r="C6" s="11" t="s">
        <v>117</v>
      </c>
      <c r="D6" s="11" t="s">
        <v>118</v>
      </c>
      <c r="E6" s="14">
        <v>10</v>
      </c>
      <c r="F6" s="13">
        <v>0.4</v>
      </c>
      <c r="G6" s="11">
        <v>79</v>
      </c>
      <c r="H6" s="13">
        <v>0.1</v>
      </c>
      <c r="I6" s="13">
        <v>0.5</v>
      </c>
      <c r="J6" s="11" t="s">
        <v>119</v>
      </c>
      <c r="K6" s="11">
        <v>20</v>
      </c>
      <c r="L6" s="13">
        <v>0.15</v>
      </c>
      <c r="M6" s="13">
        <v>0.28999999999999998</v>
      </c>
      <c r="N6" s="13">
        <v>0.54</v>
      </c>
    </row>
    <row r="7" spans="1:14" x14ac:dyDescent="0.2">
      <c r="A7" s="11" t="s">
        <v>108</v>
      </c>
      <c r="J7" s="11" t="s">
        <v>120</v>
      </c>
      <c r="K7" s="11">
        <v>40</v>
      </c>
      <c r="L7" s="13">
        <v>0.17</v>
      </c>
      <c r="M7" s="13">
        <v>0.3</v>
      </c>
      <c r="N7" s="13">
        <v>0.47</v>
      </c>
    </row>
    <row r="8" spans="1:14" x14ac:dyDescent="0.2">
      <c r="A8" s="11" t="s">
        <v>108</v>
      </c>
      <c r="J8" s="11" t="s">
        <v>121</v>
      </c>
      <c r="K8" s="11">
        <v>60</v>
      </c>
      <c r="L8" s="13">
        <v>0.19</v>
      </c>
      <c r="M8" s="13">
        <v>0.31</v>
      </c>
      <c r="N8" s="13">
        <v>0.41</v>
      </c>
    </row>
    <row r="9" spans="1:14" x14ac:dyDescent="0.2">
      <c r="A9" s="11" t="s">
        <v>108</v>
      </c>
      <c r="J9" s="11" t="s">
        <v>122</v>
      </c>
      <c r="K9" s="11">
        <v>90</v>
      </c>
      <c r="L9" s="13">
        <v>0.13</v>
      </c>
      <c r="M9" s="13">
        <v>0.26</v>
      </c>
      <c r="N9" s="13">
        <v>0.43</v>
      </c>
    </row>
    <row r="10" spans="1:14" x14ac:dyDescent="0.2">
      <c r="A10" s="11" t="s">
        <v>108</v>
      </c>
      <c r="J10" s="11" t="s">
        <v>123</v>
      </c>
      <c r="K10" s="11">
        <v>120</v>
      </c>
      <c r="L10" s="13">
        <v>0.12</v>
      </c>
      <c r="M10" s="13">
        <v>0.24</v>
      </c>
      <c r="N10" s="13">
        <v>0.41</v>
      </c>
    </row>
    <row r="11" spans="1:14" x14ac:dyDescent="0.2">
      <c r="A11" s="11" t="s">
        <v>108</v>
      </c>
      <c r="J11" s="11" t="s">
        <v>123</v>
      </c>
      <c r="K11" s="11">
        <v>140</v>
      </c>
      <c r="L11" s="13">
        <v>0.12</v>
      </c>
      <c r="M11" s="13">
        <v>0.24</v>
      </c>
      <c r="N11" s="13">
        <v>0.41</v>
      </c>
    </row>
    <row r="12" spans="1:14" x14ac:dyDescent="0.2">
      <c r="A12" s="11" t="s">
        <v>108</v>
      </c>
      <c r="B12" s="11" t="s">
        <v>124</v>
      </c>
      <c r="C12" s="11" t="s">
        <v>125</v>
      </c>
      <c r="D12" s="11" t="s">
        <v>118</v>
      </c>
      <c r="E12" s="14">
        <v>10</v>
      </c>
      <c r="F12" s="13">
        <v>0.4</v>
      </c>
      <c r="G12" s="11">
        <v>81</v>
      </c>
      <c r="H12" s="13">
        <v>0.1</v>
      </c>
      <c r="I12" s="13">
        <v>0.5</v>
      </c>
      <c r="J12" s="11" t="s">
        <v>119</v>
      </c>
      <c r="K12" s="11">
        <v>20</v>
      </c>
      <c r="L12" s="13">
        <v>0.15</v>
      </c>
      <c r="M12" s="13">
        <v>0.28000000000000003</v>
      </c>
      <c r="N12" s="13">
        <v>0.5</v>
      </c>
    </row>
    <row r="13" spans="1:14" x14ac:dyDescent="0.2">
      <c r="A13" s="11" t="s">
        <v>108</v>
      </c>
      <c r="J13" s="11" t="s">
        <v>126</v>
      </c>
      <c r="K13" s="11">
        <v>40</v>
      </c>
      <c r="L13" s="13">
        <v>0.22</v>
      </c>
      <c r="M13" s="13">
        <v>0.34</v>
      </c>
      <c r="N13" s="13">
        <v>0.47</v>
      </c>
    </row>
    <row r="14" spans="1:14" x14ac:dyDescent="0.2">
      <c r="A14" s="11" t="s">
        <v>108</v>
      </c>
      <c r="J14" s="11" t="s">
        <v>126</v>
      </c>
      <c r="K14" s="11">
        <v>60</v>
      </c>
      <c r="L14" s="13">
        <v>0.22</v>
      </c>
      <c r="M14" s="13">
        <v>0.34</v>
      </c>
      <c r="N14" s="13">
        <v>0.43</v>
      </c>
    </row>
    <row r="15" spans="1:14" x14ac:dyDescent="0.2">
      <c r="A15" s="11" t="s">
        <v>108</v>
      </c>
      <c r="J15" s="11" t="s">
        <v>122</v>
      </c>
      <c r="K15" s="11">
        <v>90</v>
      </c>
      <c r="L15" s="13">
        <v>0.14000000000000001</v>
      </c>
      <c r="M15" s="13">
        <v>0.27</v>
      </c>
      <c r="N15" s="13">
        <v>0.43</v>
      </c>
    </row>
    <row r="16" spans="1:14" x14ac:dyDescent="0.2">
      <c r="A16" s="11" t="s">
        <v>108</v>
      </c>
      <c r="J16" s="11" t="s">
        <v>123</v>
      </c>
      <c r="K16" s="11">
        <v>100</v>
      </c>
      <c r="L16" s="13">
        <v>0.12</v>
      </c>
      <c r="M16" s="13">
        <v>0.25</v>
      </c>
      <c r="N16" s="13">
        <v>0.41</v>
      </c>
    </row>
    <row r="17" spans="1:14" x14ac:dyDescent="0.2">
      <c r="A17" s="11" t="s">
        <v>127</v>
      </c>
      <c r="B17" s="11" t="s">
        <v>128</v>
      </c>
      <c r="C17" s="11" t="s">
        <v>129</v>
      </c>
      <c r="D17" s="11" t="s">
        <v>130</v>
      </c>
      <c r="E17" s="14">
        <v>10</v>
      </c>
      <c r="F17" s="13">
        <v>0.4</v>
      </c>
      <c r="G17" s="11">
        <v>78</v>
      </c>
      <c r="H17" s="13">
        <v>0.1</v>
      </c>
      <c r="I17" s="13">
        <v>0.5</v>
      </c>
      <c r="J17" s="11" t="s">
        <v>131</v>
      </c>
      <c r="K17" s="11">
        <v>20</v>
      </c>
      <c r="L17" s="13">
        <v>0.13</v>
      </c>
      <c r="M17" s="13">
        <v>0.28000000000000003</v>
      </c>
      <c r="N17" s="13">
        <v>0.54</v>
      </c>
    </row>
    <row r="18" spans="1:14" x14ac:dyDescent="0.2">
      <c r="A18" s="11" t="s">
        <v>127</v>
      </c>
      <c r="J18" s="11" t="s">
        <v>132</v>
      </c>
      <c r="K18" s="11">
        <v>40</v>
      </c>
      <c r="L18" s="13">
        <v>0.13</v>
      </c>
      <c r="M18" s="13">
        <v>0.26</v>
      </c>
      <c r="N18" s="13">
        <v>0.47</v>
      </c>
    </row>
    <row r="19" spans="1:14" x14ac:dyDescent="0.2">
      <c r="A19" s="11" t="s">
        <v>127</v>
      </c>
      <c r="J19" s="11" t="s">
        <v>132</v>
      </c>
      <c r="K19" s="11">
        <v>60</v>
      </c>
      <c r="L19" s="13">
        <v>0.13</v>
      </c>
      <c r="M19" s="13">
        <v>0.26</v>
      </c>
      <c r="N19" s="13">
        <v>0.45</v>
      </c>
    </row>
    <row r="20" spans="1:14" x14ac:dyDescent="0.2">
      <c r="A20" s="11" t="s">
        <v>127</v>
      </c>
      <c r="J20" s="11" t="s">
        <v>133</v>
      </c>
      <c r="K20" s="11">
        <v>90</v>
      </c>
      <c r="L20" s="13">
        <v>0.11</v>
      </c>
      <c r="M20" s="13">
        <v>0.24</v>
      </c>
      <c r="N20" s="13">
        <v>0.41</v>
      </c>
    </row>
    <row r="21" spans="1:14" x14ac:dyDescent="0.2">
      <c r="A21" s="11" t="s">
        <v>127</v>
      </c>
      <c r="J21" s="11" t="s">
        <v>133</v>
      </c>
      <c r="K21" s="11">
        <v>100</v>
      </c>
      <c r="L21" s="13">
        <v>0.11</v>
      </c>
      <c r="M21" s="13">
        <v>0.24</v>
      </c>
      <c r="N21" s="13">
        <v>0.41</v>
      </c>
    </row>
    <row r="22" spans="1:14" x14ac:dyDescent="0.2">
      <c r="A22" s="11" t="s">
        <v>127</v>
      </c>
      <c r="B22" s="11" t="s">
        <v>134</v>
      </c>
      <c r="C22" s="11" t="s">
        <v>135</v>
      </c>
      <c r="D22" s="11" t="s">
        <v>130</v>
      </c>
      <c r="E22" s="14">
        <v>10</v>
      </c>
      <c r="F22" s="13">
        <v>0.4</v>
      </c>
      <c r="G22" s="11">
        <v>77</v>
      </c>
      <c r="H22" s="13">
        <v>0.1</v>
      </c>
      <c r="I22" s="13">
        <v>0.5</v>
      </c>
      <c r="J22" s="11" t="s">
        <v>131</v>
      </c>
      <c r="K22" s="11">
        <v>20</v>
      </c>
      <c r="L22" s="13">
        <v>0.13</v>
      </c>
      <c r="M22" s="13">
        <v>0.28000000000000003</v>
      </c>
      <c r="N22" s="13">
        <v>0.54</v>
      </c>
    </row>
    <row r="23" spans="1:14" x14ac:dyDescent="0.2">
      <c r="A23" s="11" t="s">
        <v>127</v>
      </c>
      <c r="J23" s="11" t="s">
        <v>132</v>
      </c>
      <c r="K23" s="11">
        <v>40</v>
      </c>
      <c r="L23" s="13">
        <v>0.13</v>
      </c>
      <c r="M23" s="13">
        <v>0.26</v>
      </c>
      <c r="N23" s="13">
        <v>0.47</v>
      </c>
    </row>
    <row r="24" spans="1:14" x14ac:dyDescent="0.2">
      <c r="A24" s="11" t="s">
        <v>127</v>
      </c>
      <c r="J24" s="11" t="s">
        <v>132</v>
      </c>
      <c r="K24" s="11">
        <v>60</v>
      </c>
      <c r="L24" s="13">
        <v>0.13</v>
      </c>
      <c r="M24" s="13">
        <v>0.26</v>
      </c>
      <c r="N24" s="13">
        <v>0.45</v>
      </c>
    </row>
    <row r="25" spans="1:14" x14ac:dyDescent="0.2">
      <c r="A25" s="11" t="s">
        <v>127</v>
      </c>
      <c r="J25" s="11" t="s">
        <v>133</v>
      </c>
      <c r="K25" s="11">
        <v>90</v>
      </c>
      <c r="L25" s="13">
        <v>0.11</v>
      </c>
      <c r="M25" s="13">
        <v>0.24</v>
      </c>
      <c r="N25" s="13">
        <v>0.41</v>
      </c>
    </row>
    <row r="26" spans="1:14" x14ac:dyDescent="0.2">
      <c r="A26" s="11" t="s">
        <v>127</v>
      </c>
      <c r="J26" s="11" t="s">
        <v>133</v>
      </c>
      <c r="K26" s="11">
        <v>120</v>
      </c>
      <c r="L26" s="13">
        <v>0.11</v>
      </c>
      <c r="M26" s="13">
        <v>0.24</v>
      </c>
      <c r="N26" s="13">
        <v>0.41</v>
      </c>
    </row>
    <row r="27" spans="1:14" x14ac:dyDescent="0.2">
      <c r="A27" s="11" t="s">
        <v>127</v>
      </c>
      <c r="J27" s="11" t="s">
        <v>136</v>
      </c>
      <c r="K27" s="11">
        <v>140</v>
      </c>
      <c r="L27" s="13">
        <v>0.08</v>
      </c>
      <c r="M27" s="13">
        <v>0.2</v>
      </c>
      <c r="N27" s="13">
        <v>0.39</v>
      </c>
    </row>
    <row r="28" spans="1:14" x14ac:dyDescent="0.2">
      <c r="A28" s="11" t="s">
        <v>137</v>
      </c>
      <c r="B28" s="11" t="s">
        <v>138</v>
      </c>
      <c r="C28" s="11" t="s">
        <v>139</v>
      </c>
      <c r="D28" s="11" t="s">
        <v>140</v>
      </c>
      <c r="E28" s="14">
        <v>10</v>
      </c>
      <c r="F28" s="13">
        <v>0.4</v>
      </c>
      <c r="G28" s="11">
        <v>81</v>
      </c>
      <c r="H28" s="13">
        <v>0.08</v>
      </c>
      <c r="I28" s="13">
        <v>0.5</v>
      </c>
      <c r="J28" s="11" t="s">
        <v>131</v>
      </c>
      <c r="K28" s="11">
        <v>20</v>
      </c>
      <c r="L28" s="13">
        <v>0.16</v>
      </c>
      <c r="M28" s="13">
        <v>0.31</v>
      </c>
      <c r="N28" s="13">
        <v>0.52</v>
      </c>
    </row>
    <row r="29" spans="1:14" x14ac:dyDescent="0.2">
      <c r="A29" s="11" t="s">
        <v>137</v>
      </c>
      <c r="J29" s="11" t="s">
        <v>132</v>
      </c>
      <c r="K29" s="11">
        <v>40</v>
      </c>
      <c r="L29" s="13">
        <v>0.26</v>
      </c>
      <c r="M29" s="13">
        <v>0.4</v>
      </c>
      <c r="N29" s="13">
        <v>0.47</v>
      </c>
    </row>
    <row r="30" spans="1:14" x14ac:dyDescent="0.2">
      <c r="A30" s="11" t="s">
        <v>137</v>
      </c>
      <c r="J30" s="11" t="s">
        <v>132</v>
      </c>
      <c r="K30" s="11">
        <v>60</v>
      </c>
      <c r="L30" s="13">
        <v>0.26</v>
      </c>
      <c r="M30" s="13">
        <v>0.39</v>
      </c>
      <c r="N30" s="13">
        <v>0.47</v>
      </c>
    </row>
    <row r="31" spans="1:14" x14ac:dyDescent="0.2">
      <c r="A31" s="11" t="s">
        <v>137</v>
      </c>
      <c r="J31" s="11" t="s">
        <v>132</v>
      </c>
      <c r="K31" s="11">
        <v>90</v>
      </c>
      <c r="L31" s="13">
        <v>0.27</v>
      </c>
      <c r="M31" s="13">
        <v>0.4</v>
      </c>
      <c r="N31" s="13">
        <v>0.45</v>
      </c>
    </row>
    <row r="32" spans="1:14" x14ac:dyDescent="0.2">
      <c r="A32" s="11" t="s">
        <v>137</v>
      </c>
      <c r="J32" s="11" t="s">
        <v>123</v>
      </c>
      <c r="K32" s="11">
        <v>120</v>
      </c>
      <c r="L32" s="13">
        <v>0.24</v>
      </c>
      <c r="M32" s="13">
        <v>0.37</v>
      </c>
      <c r="N32" s="13">
        <v>0.43</v>
      </c>
    </row>
    <row r="33" spans="1:14" x14ac:dyDescent="0.2">
      <c r="A33" s="11" t="s">
        <v>137</v>
      </c>
      <c r="J33" s="11" t="s">
        <v>123</v>
      </c>
      <c r="K33" s="11">
        <v>150</v>
      </c>
      <c r="L33" s="13">
        <v>0.24</v>
      </c>
      <c r="M33" s="13">
        <v>0.37</v>
      </c>
      <c r="N33" s="13">
        <v>0.43</v>
      </c>
    </row>
    <row r="34" spans="1:14" x14ac:dyDescent="0.2">
      <c r="A34" s="11" t="s">
        <v>137</v>
      </c>
      <c r="J34" s="11" t="s">
        <v>123</v>
      </c>
      <c r="K34" s="11">
        <v>180</v>
      </c>
      <c r="L34" s="13">
        <v>0.24</v>
      </c>
      <c r="M34" s="13">
        <v>0.37</v>
      </c>
      <c r="N34" s="13">
        <v>0.43</v>
      </c>
    </row>
    <row r="35" spans="1:14" x14ac:dyDescent="0.2">
      <c r="A35" s="11" t="s">
        <v>137</v>
      </c>
      <c r="B35" s="11" t="s">
        <v>141</v>
      </c>
      <c r="C35" s="11" t="s">
        <v>142</v>
      </c>
      <c r="D35" s="11" t="s">
        <v>143</v>
      </c>
      <c r="E35" s="14">
        <v>11</v>
      </c>
      <c r="F35" s="13">
        <v>0.4</v>
      </c>
      <c r="G35" s="11">
        <v>86</v>
      </c>
      <c r="H35" s="13">
        <v>0.05</v>
      </c>
      <c r="I35" s="13">
        <v>0.7</v>
      </c>
      <c r="J35" s="11" t="s">
        <v>119</v>
      </c>
      <c r="K35" s="11">
        <v>20</v>
      </c>
      <c r="L35" s="13">
        <v>0.18</v>
      </c>
      <c r="M35" s="13">
        <v>0.33</v>
      </c>
      <c r="N35" s="13">
        <v>0.52</v>
      </c>
    </row>
    <row r="36" spans="1:14" x14ac:dyDescent="0.2">
      <c r="A36" s="11" t="s">
        <v>137</v>
      </c>
      <c r="J36" s="11" t="s">
        <v>144</v>
      </c>
      <c r="K36" s="11">
        <v>40</v>
      </c>
      <c r="L36" s="13">
        <v>0.22</v>
      </c>
      <c r="M36" s="13">
        <v>0.36</v>
      </c>
      <c r="N36" s="13">
        <v>0.52</v>
      </c>
    </row>
    <row r="37" spans="1:14" x14ac:dyDescent="0.2">
      <c r="A37" s="11" t="s">
        <v>137</v>
      </c>
      <c r="J37" s="11" t="s">
        <v>144</v>
      </c>
      <c r="K37" s="11">
        <v>60</v>
      </c>
      <c r="L37" s="13">
        <v>0.22</v>
      </c>
      <c r="M37" s="13">
        <v>0.36</v>
      </c>
      <c r="N37" s="13">
        <v>0.5</v>
      </c>
    </row>
    <row r="38" spans="1:14" x14ac:dyDescent="0.2">
      <c r="A38" s="11" t="s">
        <v>137</v>
      </c>
      <c r="J38" s="11" t="s">
        <v>144</v>
      </c>
      <c r="K38" s="11">
        <v>90</v>
      </c>
      <c r="L38" s="13">
        <v>0.24</v>
      </c>
      <c r="M38" s="13">
        <v>0.38</v>
      </c>
      <c r="N38" s="13">
        <v>0.48</v>
      </c>
    </row>
    <row r="39" spans="1:14" x14ac:dyDescent="0.2">
      <c r="A39" s="11" t="s">
        <v>137</v>
      </c>
      <c r="J39" s="11" t="s">
        <v>123</v>
      </c>
      <c r="K39" s="11">
        <v>120</v>
      </c>
      <c r="L39" s="13">
        <v>0.23</v>
      </c>
      <c r="M39" s="13">
        <v>0.37</v>
      </c>
      <c r="N39" s="13">
        <v>0.43</v>
      </c>
    </row>
    <row r="40" spans="1:14" x14ac:dyDescent="0.2">
      <c r="A40" s="11" t="s">
        <v>137</v>
      </c>
      <c r="J40" s="11" t="s">
        <v>123</v>
      </c>
      <c r="K40" s="11">
        <v>150</v>
      </c>
      <c r="L40" s="13">
        <v>0.23</v>
      </c>
      <c r="M40" s="13">
        <v>0.37</v>
      </c>
      <c r="N40" s="13">
        <v>0.43</v>
      </c>
    </row>
    <row r="41" spans="1:14" x14ac:dyDescent="0.2">
      <c r="A41" s="11" t="s">
        <v>137</v>
      </c>
      <c r="J41" s="11" t="s">
        <v>123</v>
      </c>
      <c r="K41" s="11">
        <v>180</v>
      </c>
      <c r="L41" s="13">
        <v>0.23</v>
      </c>
      <c r="M41" s="13">
        <v>0.37</v>
      </c>
      <c r="N41" s="13">
        <v>0.43</v>
      </c>
    </row>
    <row r="42" spans="1:14" x14ac:dyDescent="0.2">
      <c r="A42" s="11" t="s">
        <v>137</v>
      </c>
      <c r="B42" s="11" t="s">
        <v>145</v>
      </c>
      <c r="C42" s="11" t="s">
        <v>146</v>
      </c>
      <c r="D42" s="11" t="s">
        <v>147</v>
      </c>
      <c r="E42" s="14">
        <v>12</v>
      </c>
      <c r="F42" s="13">
        <v>0.4</v>
      </c>
      <c r="G42" s="11">
        <v>88</v>
      </c>
      <c r="H42" s="13">
        <v>0.05</v>
      </c>
      <c r="I42" s="13">
        <v>0.7</v>
      </c>
      <c r="J42" s="11" t="s">
        <v>131</v>
      </c>
      <c r="K42" s="11">
        <v>20</v>
      </c>
      <c r="L42" s="13">
        <v>0.22</v>
      </c>
      <c r="M42" s="13">
        <v>0.37</v>
      </c>
      <c r="N42" s="13">
        <v>0.52</v>
      </c>
    </row>
    <row r="43" spans="1:14" x14ac:dyDescent="0.2">
      <c r="A43" s="11" t="s">
        <v>137</v>
      </c>
      <c r="J43" s="11" t="s">
        <v>132</v>
      </c>
      <c r="K43" s="11">
        <v>40</v>
      </c>
      <c r="L43" s="13">
        <v>0.24</v>
      </c>
      <c r="M43" s="13">
        <v>0.38</v>
      </c>
      <c r="N43" s="13">
        <v>0.5</v>
      </c>
    </row>
    <row r="44" spans="1:14" x14ac:dyDescent="0.2">
      <c r="A44" s="11" t="s">
        <v>137</v>
      </c>
      <c r="J44" s="11" t="s">
        <v>114</v>
      </c>
      <c r="K44" s="11">
        <v>60</v>
      </c>
      <c r="L44" s="13">
        <v>0.26</v>
      </c>
      <c r="M44" s="13">
        <v>0.4</v>
      </c>
      <c r="N44" s="13">
        <v>0.48</v>
      </c>
    </row>
    <row r="45" spans="1:14" x14ac:dyDescent="0.2">
      <c r="A45" s="11" t="s">
        <v>137</v>
      </c>
      <c r="J45" s="11" t="s">
        <v>114</v>
      </c>
      <c r="K45" s="11">
        <v>90</v>
      </c>
      <c r="L45" s="13">
        <v>0.26</v>
      </c>
      <c r="M45" s="13">
        <v>0.4</v>
      </c>
      <c r="N45" s="13">
        <v>0.48</v>
      </c>
    </row>
    <row r="46" spans="1:14" x14ac:dyDescent="0.2">
      <c r="A46" s="11" t="s">
        <v>137</v>
      </c>
      <c r="J46" s="11" t="s">
        <v>122</v>
      </c>
      <c r="K46" s="11">
        <v>120</v>
      </c>
      <c r="L46" s="13">
        <v>0.25</v>
      </c>
      <c r="M46" s="13">
        <v>0.39</v>
      </c>
      <c r="N46" s="13">
        <v>0.45</v>
      </c>
    </row>
    <row r="47" spans="1:14" x14ac:dyDescent="0.2">
      <c r="A47" s="11" t="s">
        <v>137</v>
      </c>
      <c r="J47" s="11" t="s">
        <v>123</v>
      </c>
      <c r="K47" s="11">
        <v>150</v>
      </c>
      <c r="L47" s="13">
        <v>0.25</v>
      </c>
      <c r="M47" s="13">
        <v>0.38</v>
      </c>
      <c r="N47" s="13">
        <v>0.43</v>
      </c>
    </row>
    <row r="48" spans="1:14" x14ac:dyDescent="0.2">
      <c r="A48" s="11" t="s">
        <v>148</v>
      </c>
      <c r="B48" s="11" t="s">
        <v>149</v>
      </c>
      <c r="C48" s="11" t="s">
        <v>150</v>
      </c>
      <c r="D48" s="11" t="s">
        <v>151</v>
      </c>
      <c r="E48" s="14">
        <v>10</v>
      </c>
      <c r="F48" s="13">
        <v>0.4</v>
      </c>
      <c r="G48" s="11">
        <v>77</v>
      </c>
      <c r="H48" s="13">
        <v>0.1</v>
      </c>
      <c r="I48" s="13">
        <v>0.5</v>
      </c>
      <c r="J48" s="11" t="s">
        <v>119</v>
      </c>
      <c r="K48" s="11">
        <v>20</v>
      </c>
      <c r="L48" s="13">
        <v>0.14000000000000001</v>
      </c>
      <c r="M48" s="13">
        <v>0.28000000000000003</v>
      </c>
      <c r="N48" s="13">
        <v>0.5</v>
      </c>
    </row>
    <row r="49" spans="1:14" x14ac:dyDescent="0.2">
      <c r="A49" s="11" t="s">
        <v>148</v>
      </c>
      <c r="J49" s="11" t="s">
        <v>120</v>
      </c>
      <c r="K49" s="11">
        <v>40</v>
      </c>
      <c r="L49" s="13">
        <v>0.15</v>
      </c>
      <c r="M49" s="13">
        <v>0.28000000000000003</v>
      </c>
      <c r="N49" s="13">
        <v>0.45</v>
      </c>
    </row>
    <row r="50" spans="1:14" x14ac:dyDescent="0.2">
      <c r="A50" s="11" t="s">
        <v>148</v>
      </c>
      <c r="J50" s="11" t="s">
        <v>144</v>
      </c>
      <c r="K50" s="11">
        <v>60</v>
      </c>
      <c r="L50" s="13">
        <v>0.19</v>
      </c>
      <c r="M50" s="13">
        <v>0.32</v>
      </c>
      <c r="N50" s="13">
        <v>0.45</v>
      </c>
    </row>
    <row r="51" spans="1:14" x14ac:dyDescent="0.2">
      <c r="A51" s="11" t="s">
        <v>148</v>
      </c>
      <c r="J51" s="11" t="s">
        <v>144</v>
      </c>
      <c r="K51" s="11">
        <v>90</v>
      </c>
      <c r="L51" s="13">
        <v>0.16</v>
      </c>
      <c r="M51" s="13">
        <v>0.28999999999999998</v>
      </c>
      <c r="N51" s="13">
        <v>0.43</v>
      </c>
    </row>
    <row r="52" spans="1:14" x14ac:dyDescent="0.2">
      <c r="A52" s="11" t="s">
        <v>148</v>
      </c>
      <c r="J52" s="11" t="s">
        <v>122</v>
      </c>
      <c r="K52" s="11">
        <v>120</v>
      </c>
      <c r="L52" s="13">
        <v>0.11</v>
      </c>
      <c r="M52" s="13">
        <v>0.24</v>
      </c>
      <c r="N52" s="13">
        <v>0.43</v>
      </c>
    </row>
    <row r="53" spans="1:14" x14ac:dyDescent="0.2">
      <c r="A53" s="11" t="s">
        <v>148</v>
      </c>
      <c r="J53" s="11" t="s">
        <v>133</v>
      </c>
      <c r="K53" s="11">
        <v>150</v>
      </c>
      <c r="L53" s="13">
        <v>0.1</v>
      </c>
      <c r="M53" s="13">
        <v>0.23</v>
      </c>
      <c r="N53" s="13">
        <v>0.43</v>
      </c>
    </row>
    <row r="54" spans="1:14" x14ac:dyDescent="0.2">
      <c r="A54" s="11" t="s">
        <v>148</v>
      </c>
      <c r="J54" s="11" t="s">
        <v>133</v>
      </c>
      <c r="K54" s="11">
        <v>180</v>
      </c>
      <c r="L54" s="13">
        <v>0.1</v>
      </c>
      <c r="M54" s="13">
        <v>0.23</v>
      </c>
      <c r="N54" s="13">
        <v>0.43</v>
      </c>
    </row>
    <row r="55" spans="1:14" x14ac:dyDescent="0.2">
      <c r="A55" s="11" t="s">
        <v>148</v>
      </c>
      <c r="J55" s="11" t="s">
        <v>133</v>
      </c>
      <c r="K55" s="11">
        <v>210</v>
      </c>
      <c r="L55" s="13">
        <v>0.1</v>
      </c>
      <c r="M55" s="13">
        <v>0.23</v>
      </c>
      <c r="N55" s="13">
        <v>0.43</v>
      </c>
    </row>
    <row r="56" spans="1:14" x14ac:dyDescent="0.2">
      <c r="A56" s="11" t="s">
        <v>148</v>
      </c>
      <c r="B56" s="11" t="s">
        <v>152</v>
      </c>
      <c r="C56" s="11" t="s">
        <v>153</v>
      </c>
      <c r="D56" s="11" t="s">
        <v>154</v>
      </c>
      <c r="E56" s="14">
        <v>8</v>
      </c>
      <c r="F56" s="13">
        <v>0.8</v>
      </c>
      <c r="G56" s="11">
        <v>72</v>
      </c>
      <c r="H56" s="13">
        <v>0.1</v>
      </c>
      <c r="I56" s="13">
        <v>0.3</v>
      </c>
      <c r="J56" s="11" t="s">
        <v>155</v>
      </c>
      <c r="K56" s="11">
        <v>20</v>
      </c>
      <c r="L56" s="13">
        <v>0.05</v>
      </c>
      <c r="M56" s="13">
        <v>0.14000000000000001</v>
      </c>
      <c r="N56" s="13">
        <v>0.41</v>
      </c>
    </row>
    <row r="57" spans="1:14" x14ac:dyDescent="0.2">
      <c r="A57" s="11" t="s">
        <v>148</v>
      </c>
      <c r="J57" s="11" t="s">
        <v>155</v>
      </c>
      <c r="K57" s="11">
        <v>40</v>
      </c>
      <c r="L57" s="13">
        <v>0.05</v>
      </c>
      <c r="M57" s="13">
        <v>0.14000000000000001</v>
      </c>
      <c r="N57" s="13">
        <v>0.39</v>
      </c>
    </row>
    <row r="58" spans="1:14" x14ac:dyDescent="0.2">
      <c r="A58" s="11" t="s">
        <v>148</v>
      </c>
      <c r="J58" s="11" t="s">
        <v>156</v>
      </c>
      <c r="K58" s="11">
        <v>60</v>
      </c>
      <c r="L58" s="13">
        <v>0.05</v>
      </c>
      <c r="M58" s="13">
        <v>0.13</v>
      </c>
      <c r="N58" s="13">
        <v>0.38</v>
      </c>
    </row>
    <row r="59" spans="1:14" x14ac:dyDescent="0.2">
      <c r="A59" s="11" t="s">
        <v>148</v>
      </c>
      <c r="J59" s="11" t="s">
        <v>123</v>
      </c>
      <c r="K59" s="11">
        <v>90</v>
      </c>
      <c r="L59" s="13">
        <v>0.04</v>
      </c>
      <c r="M59" s="13">
        <v>0.12</v>
      </c>
      <c r="N59" s="13">
        <v>0.38</v>
      </c>
    </row>
    <row r="60" spans="1:14" x14ac:dyDescent="0.2">
      <c r="A60" s="11" t="s">
        <v>148</v>
      </c>
      <c r="J60" s="11" t="s">
        <v>123</v>
      </c>
      <c r="K60" s="11">
        <v>120</v>
      </c>
      <c r="L60" s="13">
        <v>0.04</v>
      </c>
      <c r="M60" s="13">
        <v>0.12</v>
      </c>
      <c r="N60" s="13">
        <v>0.38</v>
      </c>
    </row>
    <row r="61" spans="1:14" x14ac:dyDescent="0.2">
      <c r="A61" s="11" t="s">
        <v>148</v>
      </c>
      <c r="J61" s="11" t="s">
        <v>123</v>
      </c>
      <c r="K61" s="11">
        <v>150</v>
      </c>
      <c r="L61" s="13">
        <v>0.04</v>
      </c>
      <c r="M61" s="13">
        <v>0.12</v>
      </c>
      <c r="N61" s="13">
        <v>0.38</v>
      </c>
    </row>
    <row r="62" spans="1:14" x14ac:dyDescent="0.2">
      <c r="A62" s="11" t="s">
        <v>148</v>
      </c>
      <c r="J62" s="11" t="s">
        <v>123</v>
      </c>
      <c r="K62" s="11">
        <v>180</v>
      </c>
      <c r="L62" s="13">
        <v>0.04</v>
      </c>
      <c r="M62" s="13">
        <v>0.12</v>
      </c>
      <c r="N62" s="13">
        <v>0.38</v>
      </c>
    </row>
    <row r="63" spans="1:14" x14ac:dyDescent="0.2">
      <c r="A63" s="11" t="s">
        <v>148</v>
      </c>
      <c r="J63" s="11" t="s">
        <v>123</v>
      </c>
      <c r="K63" s="11">
        <v>210</v>
      </c>
      <c r="L63" s="13">
        <v>0.04</v>
      </c>
      <c r="M63" s="13">
        <v>0.12</v>
      </c>
      <c r="N63" s="13">
        <v>0.38</v>
      </c>
    </row>
    <row r="64" spans="1:14" x14ac:dyDescent="0.2">
      <c r="A64" s="11" t="s">
        <v>148</v>
      </c>
      <c r="B64" s="11" t="s">
        <v>157</v>
      </c>
      <c r="C64" s="11" t="s">
        <v>158</v>
      </c>
      <c r="D64" s="11" t="s">
        <v>159</v>
      </c>
      <c r="E64" s="14">
        <v>20</v>
      </c>
      <c r="F64" s="13">
        <v>0.2</v>
      </c>
      <c r="G64" s="11">
        <v>81</v>
      </c>
      <c r="H64" s="13">
        <v>0.1</v>
      </c>
      <c r="I64" s="13">
        <v>0.5</v>
      </c>
      <c r="J64" s="11" t="s">
        <v>155</v>
      </c>
      <c r="K64" s="11">
        <v>20</v>
      </c>
      <c r="L64" s="13">
        <v>0.14000000000000001</v>
      </c>
      <c r="M64" s="13">
        <v>0.27</v>
      </c>
      <c r="N64" s="13">
        <v>0.48</v>
      </c>
    </row>
    <row r="65" spans="1:14" x14ac:dyDescent="0.2">
      <c r="A65" s="11" t="s">
        <v>148</v>
      </c>
      <c r="J65" s="11" t="s">
        <v>156</v>
      </c>
      <c r="K65" s="11">
        <v>40</v>
      </c>
      <c r="L65" s="13">
        <v>0.13</v>
      </c>
      <c r="M65" s="13">
        <v>0.25</v>
      </c>
      <c r="N65" s="13">
        <v>0.41</v>
      </c>
    </row>
    <row r="66" spans="1:14" x14ac:dyDescent="0.2">
      <c r="A66" s="11" t="s">
        <v>148</v>
      </c>
      <c r="J66" s="11" t="s">
        <v>156</v>
      </c>
      <c r="K66" s="11">
        <v>60</v>
      </c>
      <c r="L66" s="13">
        <v>0.13</v>
      </c>
      <c r="M66" s="13">
        <v>0.25</v>
      </c>
      <c r="N66" s="13">
        <v>0.39</v>
      </c>
    </row>
    <row r="67" spans="1:14" x14ac:dyDescent="0.2">
      <c r="A67" s="11" t="s">
        <v>148</v>
      </c>
      <c r="J67" s="11" t="s">
        <v>144</v>
      </c>
      <c r="K67" s="11">
        <v>90</v>
      </c>
      <c r="L67" s="13">
        <v>0.15</v>
      </c>
      <c r="M67" s="13">
        <v>0.27</v>
      </c>
      <c r="N67" s="13">
        <v>0.39</v>
      </c>
    </row>
    <row r="68" spans="1:14" x14ac:dyDescent="0.2">
      <c r="A68" s="11" t="s">
        <v>148</v>
      </c>
      <c r="J68" s="11" t="s">
        <v>122</v>
      </c>
      <c r="K68" s="11">
        <v>120</v>
      </c>
      <c r="L68" s="13">
        <v>0.15</v>
      </c>
      <c r="M68" s="13">
        <v>0.27</v>
      </c>
      <c r="N68" s="13">
        <v>0.39</v>
      </c>
    </row>
    <row r="69" spans="1:14" x14ac:dyDescent="0.2">
      <c r="A69" s="11" t="s">
        <v>160</v>
      </c>
      <c r="B69" s="11" t="s">
        <v>161</v>
      </c>
      <c r="C69" s="11" t="s">
        <v>162</v>
      </c>
      <c r="D69" s="11" t="s">
        <v>163</v>
      </c>
      <c r="E69" s="14">
        <v>9</v>
      </c>
      <c r="F69" s="13">
        <v>0.6</v>
      </c>
      <c r="G69" s="11">
        <v>73</v>
      </c>
      <c r="H69" s="13">
        <v>0.1</v>
      </c>
      <c r="I69" s="13">
        <v>0.5</v>
      </c>
      <c r="J69" s="11" t="s">
        <v>131</v>
      </c>
      <c r="K69" s="11">
        <v>20</v>
      </c>
      <c r="L69" s="13">
        <v>0.1</v>
      </c>
      <c r="M69" s="13">
        <v>0.23</v>
      </c>
      <c r="N69" s="13">
        <v>0.47</v>
      </c>
    </row>
    <row r="70" spans="1:14" x14ac:dyDescent="0.2">
      <c r="A70" s="11" t="s">
        <v>160</v>
      </c>
      <c r="J70" s="11" t="s">
        <v>132</v>
      </c>
      <c r="K70" s="11">
        <v>40</v>
      </c>
      <c r="L70" s="13">
        <v>0.11</v>
      </c>
      <c r="M70" s="13">
        <v>0.23</v>
      </c>
      <c r="N70" s="13">
        <v>0.41</v>
      </c>
    </row>
    <row r="71" spans="1:14" x14ac:dyDescent="0.2">
      <c r="A71" s="11" t="s">
        <v>160</v>
      </c>
      <c r="J71" s="11" t="s">
        <v>122</v>
      </c>
      <c r="K71" s="11">
        <v>60</v>
      </c>
      <c r="L71" s="13">
        <v>0.09</v>
      </c>
      <c r="M71" s="13">
        <v>0.21</v>
      </c>
      <c r="N71" s="13">
        <v>0.39</v>
      </c>
    </row>
    <row r="72" spans="1:14" x14ac:dyDescent="0.2">
      <c r="A72" s="11" t="s">
        <v>160</v>
      </c>
      <c r="J72" s="11" t="s">
        <v>123</v>
      </c>
      <c r="K72" s="11">
        <v>90</v>
      </c>
      <c r="L72" s="13">
        <v>0.08</v>
      </c>
      <c r="M72" s="13">
        <v>0.2</v>
      </c>
      <c r="N72" s="13">
        <v>0.38</v>
      </c>
    </row>
    <row r="73" spans="1:14" x14ac:dyDescent="0.2">
      <c r="A73" s="11" t="s">
        <v>160</v>
      </c>
      <c r="J73" s="11" t="s">
        <v>123</v>
      </c>
      <c r="K73" s="11">
        <v>120</v>
      </c>
      <c r="L73" s="13">
        <v>0.08</v>
      </c>
      <c r="M73" s="13">
        <v>0.2</v>
      </c>
      <c r="N73" s="13">
        <v>0.38</v>
      </c>
    </row>
    <row r="74" spans="1:14" x14ac:dyDescent="0.2">
      <c r="A74" s="11" t="s">
        <v>160</v>
      </c>
      <c r="J74" s="11" t="s">
        <v>123</v>
      </c>
      <c r="K74" s="11">
        <v>150</v>
      </c>
      <c r="L74" s="13">
        <v>0.08</v>
      </c>
      <c r="M74" s="13">
        <v>0.2</v>
      </c>
      <c r="N74" s="13">
        <v>0.38</v>
      </c>
    </row>
    <row r="75" spans="1:14" x14ac:dyDescent="0.2">
      <c r="A75" s="11" t="s">
        <v>160</v>
      </c>
      <c r="J75" s="11" t="s">
        <v>123</v>
      </c>
      <c r="K75" s="11">
        <v>180</v>
      </c>
      <c r="L75" s="13">
        <v>0.08</v>
      </c>
      <c r="M75" s="13">
        <v>0.2</v>
      </c>
      <c r="N75" s="13">
        <v>0.38</v>
      </c>
    </row>
    <row r="76" spans="1:14" x14ac:dyDescent="0.2">
      <c r="A76" s="11" t="s">
        <v>160</v>
      </c>
      <c r="J76" s="11" t="s">
        <v>123</v>
      </c>
      <c r="K76" s="11">
        <v>210</v>
      </c>
      <c r="L76" s="13">
        <v>0.08</v>
      </c>
      <c r="M76" s="13">
        <v>0.2</v>
      </c>
      <c r="N76" s="13">
        <v>0.38</v>
      </c>
    </row>
    <row r="77" spans="1:14" x14ac:dyDescent="0.2">
      <c r="A77" s="11" t="s">
        <v>160</v>
      </c>
      <c r="B77" s="11" t="s">
        <v>164</v>
      </c>
      <c r="C77" s="11" t="s">
        <v>160</v>
      </c>
      <c r="D77" s="11" t="s">
        <v>165</v>
      </c>
      <c r="E77" s="14">
        <v>9</v>
      </c>
      <c r="F77" s="13">
        <v>0.6</v>
      </c>
      <c r="G77" s="11">
        <v>73</v>
      </c>
      <c r="H77" s="13">
        <v>0.1</v>
      </c>
      <c r="I77" s="13">
        <v>0.5</v>
      </c>
      <c r="J77" s="11" t="s">
        <v>119</v>
      </c>
      <c r="K77" s="11">
        <v>20</v>
      </c>
      <c r="L77" s="13">
        <v>0.1</v>
      </c>
      <c r="M77" s="13">
        <v>0.23</v>
      </c>
      <c r="N77" s="13">
        <v>0.43</v>
      </c>
    </row>
    <row r="78" spans="1:14" x14ac:dyDescent="0.2">
      <c r="A78" s="11" t="s">
        <v>160</v>
      </c>
      <c r="J78" s="11" t="s">
        <v>156</v>
      </c>
      <c r="K78" s="11">
        <v>40</v>
      </c>
      <c r="L78" s="13">
        <v>0.09</v>
      </c>
      <c r="M78" s="13">
        <v>0.21</v>
      </c>
      <c r="N78" s="13">
        <v>0.41</v>
      </c>
    </row>
    <row r="79" spans="1:14" x14ac:dyDescent="0.2">
      <c r="A79" s="11" t="s">
        <v>160</v>
      </c>
      <c r="J79" s="11" t="s">
        <v>156</v>
      </c>
      <c r="K79" s="11">
        <v>60</v>
      </c>
      <c r="L79" s="13">
        <v>0.09</v>
      </c>
      <c r="M79" s="13">
        <v>0.21</v>
      </c>
      <c r="N79" s="13">
        <v>0.39</v>
      </c>
    </row>
    <row r="80" spans="1:14" x14ac:dyDescent="0.2">
      <c r="A80" s="11" t="s">
        <v>160</v>
      </c>
      <c r="J80" s="11" t="s">
        <v>123</v>
      </c>
      <c r="K80" s="11">
        <v>90</v>
      </c>
      <c r="L80" s="13">
        <v>0.09</v>
      </c>
      <c r="M80" s="13">
        <v>0.21</v>
      </c>
      <c r="N80" s="13">
        <v>0.38</v>
      </c>
    </row>
    <row r="81" spans="1:14" x14ac:dyDescent="0.2">
      <c r="A81" s="11" t="s">
        <v>160</v>
      </c>
      <c r="J81" s="11" t="s">
        <v>123</v>
      </c>
      <c r="K81" s="11">
        <v>120</v>
      </c>
      <c r="L81" s="13">
        <v>0.09</v>
      </c>
      <c r="M81" s="13">
        <v>0.21</v>
      </c>
      <c r="N81" s="13">
        <v>0.38</v>
      </c>
    </row>
    <row r="82" spans="1:14" x14ac:dyDescent="0.2">
      <c r="A82" s="11" t="s">
        <v>160</v>
      </c>
      <c r="J82" s="11" t="s">
        <v>123</v>
      </c>
      <c r="K82" s="11">
        <v>150</v>
      </c>
      <c r="L82" s="13">
        <v>0.09</v>
      </c>
      <c r="M82" s="13">
        <v>0.21</v>
      </c>
      <c r="N82" s="13">
        <v>0.38</v>
      </c>
    </row>
    <row r="83" spans="1:14" x14ac:dyDescent="0.2">
      <c r="A83" s="11" t="s">
        <v>160</v>
      </c>
      <c r="J83" s="11" t="s">
        <v>123</v>
      </c>
      <c r="K83" s="11">
        <v>180</v>
      </c>
      <c r="L83" s="13">
        <v>0.09</v>
      </c>
      <c r="M83" s="13">
        <v>0.21</v>
      </c>
      <c r="N83" s="13">
        <v>0.38</v>
      </c>
    </row>
    <row r="84" spans="1:14" x14ac:dyDescent="0.2">
      <c r="A84" s="11" t="s">
        <v>160</v>
      </c>
      <c r="J84" s="11" t="s">
        <v>123</v>
      </c>
      <c r="K84" s="11">
        <v>210</v>
      </c>
      <c r="L84" s="13">
        <v>0.09</v>
      </c>
      <c r="M84" s="13">
        <v>0.21</v>
      </c>
      <c r="N84" s="13">
        <v>0.38</v>
      </c>
    </row>
    <row r="85" spans="1:14" x14ac:dyDescent="0.2">
      <c r="A85" s="11" t="s">
        <v>160</v>
      </c>
      <c r="B85" s="11" t="s">
        <v>166</v>
      </c>
      <c r="C85" s="11" t="s">
        <v>167</v>
      </c>
      <c r="D85" s="11" t="s">
        <v>168</v>
      </c>
      <c r="E85" s="14">
        <v>20</v>
      </c>
      <c r="F85" s="13">
        <v>0.2</v>
      </c>
      <c r="G85" s="11">
        <v>81</v>
      </c>
      <c r="H85" s="13">
        <v>0.08</v>
      </c>
      <c r="I85" s="13">
        <v>0.5</v>
      </c>
      <c r="J85" s="11" t="s">
        <v>131</v>
      </c>
      <c r="K85" s="11">
        <v>20</v>
      </c>
      <c r="L85" s="13">
        <v>0.09</v>
      </c>
      <c r="M85" s="13">
        <v>0.22</v>
      </c>
      <c r="N85" s="13">
        <v>0.45</v>
      </c>
    </row>
    <row r="86" spans="1:14" x14ac:dyDescent="0.2">
      <c r="A86" s="11" t="s">
        <v>160</v>
      </c>
      <c r="J86" s="11" t="s">
        <v>169</v>
      </c>
      <c r="K86" s="11">
        <v>60</v>
      </c>
      <c r="L86" s="13">
        <v>0.12</v>
      </c>
      <c r="M86" s="13">
        <v>0.24</v>
      </c>
      <c r="N86" s="13">
        <v>0.39</v>
      </c>
    </row>
    <row r="87" spans="1:14" x14ac:dyDescent="0.2">
      <c r="A87" s="11" t="s">
        <v>160</v>
      </c>
      <c r="J87" s="11" t="s">
        <v>122</v>
      </c>
      <c r="K87" s="11">
        <v>90</v>
      </c>
      <c r="L87" s="13">
        <v>0.09</v>
      </c>
      <c r="M87" s="13">
        <v>0.21</v>
      </c>
      <c r="N87" s="13">
        <v>0.38</v>
      </c>
    </row>
    <row r="88" spans="1:14" x14ac:dyDescent="0.2">
      <c r="A88" s="11" t="s">
        <v>160</v>
      </c>
      <c r="J88" s="11" t="s">
        <v>123</v>
      </c>
      <c r="K88" s="11">
        <v>120</v>
      </c>
      <c r="L88" s="13">
        <v>0.08</v>
      </c>
      <c r="M88" s="13">
        <v>0.19</v>
      </c>
      <c r="N88" s="13">
        <v>0.36</v>
      </c>
    </row>
    <row r="89" spans="1:14" x14ac:dyDescent="0.2">
      <c r="A89" s="11" t="s">
        <v>160</v>
      </c>
      <c r="J89" s="11" t="s">
        <v>123</v>
      </c>
      <c r="K89" s="11">
        <v>150</v>
      </c>
      <c r="L89" s="13">
        <v>0.08</v>
      </c>
      <c r="M89" s="13">
        <v>0.19</v>
      </c>
      <c r="N89" s="13">
        <v>0.36</v>
      </c>
    </row>
    <row r="90" spans="1:14" x14ac:dyDescent="0.2">
      <c r="A90" s="11" t="s">
        <v>170</v>
      </c>
      <c r="B90" s="11" t="s">
        <v>171</v>
      </c>
      <c r="C90" s="11" t="s">
        <v>172</v>
      </c>
      <c r="D90" s="11" t="s">
        <v>173</v>
      </c>
      <c r="E90" s="14">
        <v>10</v>
      </c>
      <c r="F90" s="13">
        <v>0.6</v>
      </c>
      <c r="G90" s="11">
        <v>79</v>
      </c>
      <c r="H90" s="13">
        <v>0.1</v>
      </c>
      <c r="I90" s="13">
        <v>0.5</v>
      </c>
      <c r="J90" s="11" t="s">
        <v>112</v>
      </c>
      <c r="K90" s="11">
        <v>20</v>
      </c>
      <c r="L90" s="13">
        <v>0.12</v>
      </c>
      <c r="M90" s="13">
        <v>0.27</v>
      </c>
      <c r="N90" s="13">
        <v>0.5</v>
      </c>
    </row>
    <row r="91" spans="1:14" x14ac:dyDescent="0.2">
      <c r="A91" s="11" t="s">
        <v>170</v>
      </c>
      <c r="J91" s="11" t="s">
        <v>174</v>
      </c>
      <c r="K91" s="11">
        <v>40</v>
      </c>
      <c r="L91" s="13">
        <v>0.18</v>
      </c>
      <c r="M91" s="13">
        <v>0.32</v>
      </c>
      <c r="N91" s="13">
        <v>0.47</v>
      </c>
    </row>
    <row r="92" spans="1:14" x14ac:dyDescent="0.2">
      <c r="A92" s="11" t="s">
        <v>170</v>
      </c>
      <c r="J92" s="11" t="s">
        <v>175</v>
      </c>
      <c r="K92" s="11">
        <v>60</v>
      </c>
      <c r="L92" s="13">
        <v>0.24</v>
      </c>
      <c r="M92" s="13">
        <v>0.38</v>
      </c>
      <c r="N92" s="13">
        <v>0.47</v>
      </c>
    </row>
    <row r="93" spans="1:14" x14ac:dyDescent="0.2">
      <c r="A93" s="11" t="s">
        <v>170</v>
      </c>
      <c r="J93" s="11" t="s">
        <v>176</v>
      </c>
      <c r="K93" s="11">
        <v>90</v>
      </c>
      <c r="L93" s="13">
        <v>0.21</v>
      </c>
      <c r="M93" s="13">
        <v>0.35</v>
      </c>
      <c r="N93" s="13">
        <v>0.45</v>
      </c>
    </row>
    <row r="94" spans="1:14" x14ac:dyDescent="0.2">
      <c r="A94" s="11" t="s">
        <v>170</v>
      </c>
      <c r="J94" s="11" t="s">
        <v>122</v>
      </c>
      <c r="K94" s="11">
        <v>120</v>
      </c>
      <c r="L94" s="13">
        <v>0.17</v>
      </c>
      <c r="M94" s="13">
        <v>0.31000000000000011</v>
      </c>
      <c r="N94" s="13">
        <v>0.45</v>
      </c>
    </row>
    <row r="95" spans="1:14" x14ac:dyDescent="0.2">
      <c r="A95" s="11" t="s">
        <v>170</v>
      </c>
      <c r="J95" s="11" t="s">
        <v>123</v>
      </c>
      <c r="K95" s="11">
        <v>150</v>
      </c>
      <c r="L95" s="13">
        <v>0.13</v>
      </c>
      <c r="M95" s="13">
        <v>0.27</v>
      </c>
      <c r="N95" s="13">
        <v>0.45</v>
      </c>
    </row>
    <row r="96" spans="1:14" x14ac:dyDescent="0.2">
      <c r="A96" s="11" t="s">
        <v>170</v>
      </c>
      <c r="J96" s="11" t="s">
        <v>123</v>
      </c>
      <c r="K96" s="11">
        <v>180</v>
      </c>
      <c r="L96" s="13">
        <v>0.13</v>
      </c>
      <c r="M96" s="13">
        <v>0.27</v>
      </c>
      <c r="N96" s="13">
        <v>0.45</v>
      </c>
    </row>
    <row r="97" spans="1:14" x14ac:dyDescent="0.2">
      <c r="A97" s="11" t="s">
        <v>170</v>
      </c>
      <c r="J97" s="11" t="s">
        <v>123</v>
      </c>
      <c r="K97" s="11">
        <v>210</v>
      </c>
      <c r="L97" s="13">
        <v>0.13</v>
      </c>
      <c r="M97" s="13">
        <v>0.27</v>
      </c>
      <c r="N97" s="13">
        <v>0.45</v>
      </c>
    </row>
    <row r="98" spans="1:14" x14ac:dyDescent="0.2">
      <c r="A98" s="11" t="s">
        <v>170</v>
      </c>
      <c r="B98" s="11" t="s">
        <v>177</v>
      </c>
      <c r="C98" s="11" t="s">
        <v>178</v>
      </c>
      <c r="D98" s="11" t="s">
        <v>179</v>
      </c>
      <c r="E98" s="14">
        <v>10</v>
      </c>
      <c r="F98" s="13">
        <v>0.6</v>
      </c>
      <c r="G98" s="11">
        <v>76</v>
      </c>
      <c r="H98" s="13">
        <v>0.1</v>
      </c>
      <c r="I98" s="13">
        <v>0.5</v>
      </c>
      <c r="J98" s="11" t="s">
        <v>131</v>
      </c>
      <c r="K98" s="11">
        <v>20</v>
      </c>
      <c r="L98" s="13">
        <v>0.14000000000000001</v>
      </c>
      <c r="M98" s="13">
        <v>0.28999999999999998</v>
      </c>
      <c r="N98" s="13">
        <v>0.52</v>
      </c>
    </row>
    <row r="99" spans="1:14" x14ac:dyDescent="0.2">
      <c r="A99" s="11" t="s">
        <v>170</v>
      </c>
      <c r="J99" s="11" t="s">
        <v>174</v>
      </c>
      <c r="K99" s="11">
        <v>40</v>
      </c>
      <c r="L99" s="13">
        <v>0.17</v>
      </c>
      <c r="M99" s="13">
        <v>0.31000000000000011</v>
      </c>
      <c r="N99" s="13">
        <v>0.48</v>
      </c>
    </row>
    <row r="100" spans="1:14" x14ac:dyDescent="0.2">
      <c r="A100" s="11" t="s">
        <v>170</v>
      </c>
      <c r="J100" s="11" t="s">
        <v>180</v>
      </c>
      <c r="K100" s="11">
        <v>60</v>
      </c>
      <c r="L100" s="13">
        <v>0.15</v>
      </c>
      <c r="M100" s="13">
        <v>0.28999999999999998</v>
      </c>
      <c r="N100" s="13">
        <v>0.47</v>
      </c>
    </row>
    <row r="101" spans="1:14" x14ac:dyDescent="0.2">
      <c r="A101" s="11" t="s">
        <v>170</v>
      </c>
      <c r="J101" s="11" t="s">
        <v>122</v>
      </c>
      <c r="K101" s="11">
        <v>90</v>
      </c>
      <c r="L101" s="13">
        <v>0.14000000000000001</v>
      </c>
      <c r="M101" s="13">
        <v>0.28000000000000003</v>
      </c>
      <c r="N101" s="13">
        <v>0.47</v>
      </c>
    </row>
    <row r="102" spans="1:14" x14ac:dyDescent="0.2">
      <c r="A102" s="11" t="s">
        <v>170</v>
      </c>
      <c r="J102" s="11" t="s">
        <v>133</v>
      </c>
      <c r="K102" s="11">
        <v>120</v>
      </c>
      <c r="L102" s="13">
        <v>0.12</v>
      </c>
      <c r="M102" s="13">
        <v>0.26</v>
      </c>
      <c r="N102" s="13">
        <v>0.47</v>
      </c>
    </row>
    <row r="103" spans="1:14" x14ac:dyDescent="0.2">
      <c r="A103" s="11" t="s">
        <v>170</v>
      </c>
      <c r="J103" s="11" t="s">
        <v>181</v>
      </c>
      <c r="K103" s="11">
        <v>180</v>
      </c>
      <c r="L103" s="13">
        <v>0.12</v>
      </c>
      <c r="M103" s="13">
        <v>0.26</v>
      </c>
      <c r="N103" s="13">
        <v>0.45</v>
      </c>
    </row>
    <row r="104" spans="1:14" x14ac:dyDescent="0.2">
      <c r="A104" s="11" t="s">
        <v>170</v>
      </c>
      <c r="J104" s="11" t="s">
        <v>181</v>
      </c>
      <c r="K104" s="11">
        <v>210</v>
      </c>
      <c r="L104" s="13">
        <v>0.12</v>
      </c>
      <c r="M104" s="13">
        <v>0.26</v>
      </c>
      <c r="N104" s="13">
        <v>0.45</v>
      </c>
    </row>
    <row r="105" spans="1:14" x14ac:dyDescent="0.2">
      <c r="A105" s="11" t="s">
        <v>170</v>
      </c>
      <c r="B105" s="11" t="s">
        <v>182</v>
      </c>
      <c r="C105" s="11" t="s">
        <v>183</v>
      </c>
      <c r="D105" s="11" t="s">
        <v>184</v>
      </c>
      <c r="E105" s="14">
        <v>8</v>
      </c>
      <c r="F105" s="13">
        <v>0.6</v>
      </c>
      <c r="G105" s="11">
        <v>77</v>
      </c>
      <c r="H105" s="13">
        <v>0.1</v>
      </c>
      <c r="I105" s="13">
        <v>0.5</v>
      </c>
      <c r="J105" s="11" t="s">
        <v>112</v>
      </c>
      <c r="K105" s="11">
        <v>20</v>
      </c>
      <c r="L105" s="13">
        <v>0.15</v>
      </c>
      <c r="M105" s="13">
        <v>0.3</v>
      </c>
      <c r="N105" s="13">
        <v>0.52</v>
      </c>
    </row>
    <row r="106" spans="1:14" x14ac:dyDescent="0.2">
      <c r="A106" s="11" t="s">
        <v>170</v>
      </c>
      <c r="J106" s="11" t="s">
        <v>174</v>
      </c>
      <c r="K106" s="11">
        <v>40</v>
      </c>
      <c r="L106" s="13">
        <v>0.19</v>
      </c>
      <c r="M106" s="13">
        <v>0.33</v>
      </c>
      <c r="N106" s="13">
        <v>0.47</v>
      </c>
    </row>
    <row r="107" spans="1:14" x14ac:dyDescent="0.2">
      <c r="A107" s="11" t="s">
        <v>170</v>
      </c>
      <c r="J107" s="11" t="s">
        <v>175</v>
      </c>
      <c r="K107" s="11">
        <v>60</v>
      </c>
      <c r="L107" s="13">
        <v>0.18</v>
      </c>
      <c r="M107" s="13">
        <v>0.32</v>
      </c>
      <c r="N107" s="13">
        <v>0.45</v>
      </c>
    </row>
    <row r="108" spans="1:14" x14ac:dyDescent="0.2">
      <c r="A108" s="11" t="s">
        <v>170</v>
      </c>
      <c r="J108" s="11" t="s">
        <v>122</v>
      </c>
      <c r="K108" s="11">
        <v>90</v>
      </c>
      <c r="L108" s="13">
        <v>0.15</v>
      </c>
      <c r="M108" s="13">
        <v>0.28999999999999998</v>
      </c>
      <c r="N108" s="13">
        <v>0.45</v>
      </c>
    </row>
    <row r="109" spans="1:14" x14ac:dyDescent="0.2">
      <c r="A109" s="11" t="s">
        <v>170</v>
      </c>
      <c r="J109" s="11" t="s">
        <v>133</v>
      </c>
      <c r="K109" s="11">
        <v>120</v>
      </c>
      <c r="L109" s="13">
        <v>0.14000000000000001</v>
      </c>
      <c r="M109" s="13">
        <v>0.28000000000000003</v>
      </c>
      <c r="N109" s="13">
        <v>0.45</v>
      </c>
    </row>
    <row r="110" spans="1:14" x14ac:dyDescent="0.2">
      <c r="A110" s="11" t="s">
        <v>170</v>
      </c>
      <c r="J110" s="11" t="s">
        <v>181</v>
      </c>
      <c r="K110" s="11">
        <v>180</v>
      </c>
      <c r="L110" s="13">
        <v>0.11</v>
      </c>
      <c r="M110" s="13">
        <v>0.25</v>
      </c>
      <c r="N110" s="13">
        <v>0.47</v>
      </c>
    </row>
    <row r="111" spans="1:14" x14ac:dyDescent="0.2">
      <c r="A111" s="11" t="s">
        <v>170</v>
      </c>
      <c r="J111" s="11" t="s">
        <v>181</v>
      </c>
      <c r="K111" s="11">
        <v>210</v>
      </c>
      <c r="L111" s="13">
        <v>0.11</v>
      </c>
      <c r="M111" s="13">
        <v>0.25</v>
      </c>
      <c r="N111" s="13">
        <v>0.47</v>
      </c>
    </row>
    <row r="112" spans="1:14" x14ac:dyDescent="0.2">
      <c r="A112" s="11" t="s">
        <v>185</v>
      </c>
      <c r="B112" s="11" t="s">
        <v>186</v>
      </c>
      <c r="C112" s="11" t="s">
        <v>187</v>
      </c>
      <c r="D112" s="11" t="s">
        <v>188</v>
      </c>
      <c r="E112" s="14">
        <v>11</v>
      </c>
      <c r="F112" s="13">
        <v>0.4</v>
      </c>
      <c r="G112" s="11">
        <v>79</v>
      </c>
      <c r="H112" s="13">
        <v>0.08</v>
      </c>
      <c r="I112" s="13">
        <v>0.5</v>
      </c>
      <c r="J112" s="11" t="s">
        <v>155</v>
      </c>
      <c r="K112" s="11">
        <v>20</v>
      </c>
      <c r="L112" s="13">
        <v>0.08</v>
      </c>
      <c r="M112" s="13">
        <v>0.21</v>
      </c>
      <c r="N112" s="13">
        <v>0.45</v>
      </c>
    </row>
    <row r="113" spans="1:14" x14ac:dyDescent="0.2">
      <c r="A113" s="11" t="s">
        <v>185</v>
      </c>
      <c r="J113" s="11" t="s">
        <v>155</v>
      </c>
      <c r="K113" s="11">
        <v>40</v>
      </c>
      <c r="L113" s="13">
        <v>0.08</v>
      </c>
      <c r="M113" s="13">
        <v>0.21</v>
      </c>
      <c r="N113" s="13">
        <v>0.45</v>
      </c>
    </row>
    <row r="114" spans="1:14" x14ac:dyDescent="0.2">
      <c r="A114" s="11" t="s">
        <v>185</v>
      </c>
      <c r="J114" s="11" t="s">
        <v>155</v>
      </c>
      <c r="K114" s="11">
        <v>60</v>
      </c>
      <c r="L114" s="13">
        <v>0.08</v>
      </c>
      <c r="M114" s="13">
        <v>0.21</v>
      </c>
      <c r="N114" s="13">
        <v>0.45</v>
      </c>
    </row>
    <row r="115" spans="1:14" x14ac:dyDescent="0.2">
      <c r="A115" s="11" t="s">
        <v>185</v>
      </c>
      <c r="J115" s="11" t="s">
        <v>156</v>
      </c>
      <c r="K115" s="11">
        <v>90</v>
      </c>
      <c r="L115" s="13">
        <v>7.0000000000000007E-2</v>
      </c>
      <c r="M115" s="13">
        <v>0.19</v>
      </c>
      <c r="N115" s="13">
        <v>0.38</v>
      </c>
    </row>
    <row r="116" spans="1:14" x14ac:dyDescent="0.2">
      <c r="A116" s="11" t="s">
        <v>185</v>
      </c>
      <c r="J116" s="11" t="s">
        <v>144</v>
      </c>
      <c r="K116" s="11">
        <v>120</v>
      </c>
      <c r="L116" s="13">
        <v>0.11</v>
      </c>
      <c r="M116" s="13">
        <v>0.23</v>
      </c>
      <c r="N116" s="13">
        <v>0.38</v>
      </c>
    </row>
    <row r="117" spans="1:14" x14ac:dyDescent="0.2">
      <c r="A117" s="11" t="s">
        <v>185</v>
      </c>
      <c r="J117" s="11" t="s">
        <v>123</v>
      </c>
      <c r="K117" s="11">
        <v>150</v>
      </c>
      <c r="L117" s="13">
        <v>0.12</v>
      </c>
      <c r="M117" s="13">
        <v>0.24</v>
      </c>
      <c r="N117" s="13">
        <v>0.38</v>
      </c>
    </row>
    <row r="118" spans="1:14" x14ac:dyDescent="0.2">
      <c r="A118" s="11" t="s">
        <v>185</v>
      </c>
      <c r="B118" s="11" t="s">
        <v>189</v>
      </c>
      <c r="C118" s="11" t="s">
        <v>190</v>
      </c>
      <c r="D118" s="11" t="s">
        <v>159</v>
      </c>
      <c r="E118" s="14">
        <v>9</v>
      </c>
      <c r="F118" s="13">
        <v>0.4</v>
      </c>
      <c r="G118" s="11">
        <v>77</v>
      </c>
      <c r="H118" s="13">
        <v>0.1</v>
      </c>
      <c r="I118" s="13">
        <v>0.5</v>
      </c>
      <c r="J118" s="11" t="s">
        <v>119</v>
      </c>
      <c r="K118" s="11">
        <v>20</v>
      </c>
      <c r="L118" s="13">
        <v>0.1</v>
      </c>
      <c r="M118" s="13">
        <v>0.23</v>
      </c>
      <c r="N118" s="13">
        <v>0.47</v>
      </c>
    </row>
    <row r="119" spans="1:14" x14ac:dyDescent="0.2">
      <c r="A119" s="11" t="s">
        <v>185</v>
      </c>
      <c r="J119" s="11" t="s">
        <v>131</v>
      </c>
      <c r="K119" s="11">
        <v>40</v>
      </c>
      <c r="L119" s="13">
        <v>0.11</v>
      </c>
      <c r="M119" s="13">
        <v>0.24</v>
      </c>
      <c r="N119" s="13">
        <v>0.45</v>
      </c>
    </row>
    <row r="120" spans="1:14" x14ac:dyDescent="0.2">
      <c r="A120" s="11" t="s">
        <v>185</v>
      </c>
      <c r="J120" s="11" t="s">
        <v>156</v>
      </c>
      <c r="K120" s="11">
        <v>60</v>
      </c>
      <c r="L120" s="13">
        <v>0.1</v>
      </c>
      <c r="M120" s="13">
        <v>0.22</v>
      </c>
      <c r="N120" s="13">
        <v>0.39</v>
      </c>
    </row>
    <row r="121" spans="1:14" x14ac:dyDescent="0.2">
      <c r="A121" s="11" t="s">
        <v>185</v>
      </c>
      <c r="J121" s="11" t="s">
        <v>132</v>
      </c>
      <c r="K121" s="11">
        <v>90</v>
      </c>
      <c r="L121" s="13">
        <v>0.17</v>
      </c>
      <c r="M121" s="13">
        <v>0.28999999999999998</v>
      </c>
      <c r="N121" s="13">
        <v>0.41</v>
      </c>
    </row>
    <row r="122" spans="1:14" x14ac:dyDescent="0.2">
      <c r="A122" s="11" t="s">
        <v>185</v>
      </c>
      <c r="J122" s="11" t="s">
        <v>122</v>
      </c>
      <c r="K122" s="11">
        <v>120</v>
      </c>
      <c r="L122" s="13">
        <v>0.15</v>
      </c>
      <c r="M122" s="13">
        <v>0.27</v>
      </c>
      <c r="N122" s="13">
        <v>0.39</v>
      </c>
    </row>
    <row r="123" spans="1:14" x14ac:dyDescent="0.2">
      <c r="A123" s="11" t="s">
        <v>185</v>
      </c>
      <c r="J123" s="11" t="s">
        <v>106</v>
      </c>
      <c r="K123" s="11">
        <v>150</v>
      </c>
      <c r="L123" s="13">
        <v>0.13</v>
      </c>
      <c r="M123" s="13">
        <v>0.25</v>
      </c>
      <c r="N123" s="13">
        <v>0.39</v>
      </c>
    </row>
    <row r="124" spans="1:14" x14ac:dyDescent="0.2">
      <c r="A124" s="11" t="s">
        <v>185</v>
      </c>
      <c r="J124" s="11" t="s">
        <v>106</v>
      </c>
      <c r="K124" s="11">
        <v>180</v>
      </c>
      <c r="L124" s="13">
        <v>0.13</v>
      </c>
      <c r="M124" s="13">
        <v>0.25</v>
      </c>
      <c r="N124" s="13">
        <v>0.39</v>
      </c>
    </row>
    <row r="125" spans="1:14" x14ac:dyDescent="0.2">
      <c r="A125" s="11" t="s">
        <v>185</v>
      </c>
      <c r="J125" s="11" t="s">
        <v>106</v>
      </c>
      <c r="K125" s="11">
        <v>210</v>
      </c>
      <c r="L125" s="13">
        <v>0.13</v>
      </c>
      <c r="M125" s="13">
        <v>0.25</v>
      </c>
      <c r="N125" s="13">
        <v>0.39</v>
      </c>
    </row>
    <row r="126" spans="1:14" x14ac:dyDescent="0.2">
      <c r="A126" s="11" t="s">
        <v>185</v>
      </c>
      <c r="B126" s="11" t="s">
        <v>191</v>
      </c>
      <c r="C126" s="11" t="s">
        <v>192</v>
      </c>
      <c r="D126" s="11" t="s">
        <v>193</v>
      </c>
      <c r="E126" s="14">
        <v>10</v>
      </c>
      <c r="F126" s="13">
        <v>0.6</v>
      </c>
      <c r="G126" s="11">
        <v>76</v>
      </c>
      <c r="H126" s="13">
        <v>0.1</v>
      </c>
      <c r="I126" s="13">
        <v>0.5</v>
      </c>
      <c r="J126" s="11" t="s">
        <v>155</v>
      </c>
      <c r="K126" s="11">
        <v>20</v>
      </c>
      <c r="L126" s="13">
        <v>0.14000000000000001</v>
      </c>
      <c r="M126" s="13">
        <v>0.27</v>
      </c>
      <c r="N126" s="13">
        <v>0.5</v>
      </c>
    </row>
    <row r="127" spans="1:14" x14ac:dyDescent="0.2">
      <c r="A127" s="11" t="s">
        <v>185</v>
      </c>
      <c r="J127" s="11" t="s">
        <v>120</v>
      </c>
      <c r="K127" s="11">
        <v>40</v>
      </c>
      <c r="L127" s="13">
        <v>0.15</v>
      </c>
      <c r="M127" s="13">
        <v>0.28000000000000003</v>
      </c>
      <c r="N127" s="13">
        <v>0.47</v>
      </c>
    </row>
    <row r="128" spans="1:14" x14ac:dyDescent="0.2">
      <c r="A128" s="11" t="s">
        <v>185</v>
      </c>
      <c r="J128" s="11" t="s">
        <v>132</v>
      </c>
      <c r="K128" s="11">
        <v>60</v>
      </c>
      <c r="L128" s="13">
        <v>0.16</v>
      </c>
      <c r="M128" s="13">
        <v>0.28000000000000003</v>
      </c>
      <c r="N128" s="13">
        <v>0.43</v>
      </c>
    </row>
    <row r="129" spans="1:14" x14ac:dyDescent="0.2">
      <c r="A129" s="11" t="s">
        <v>185</v>
      </c>
      <c r="J129" s="11" t="s">
        <v>122</v>
      </c>
      <c r="K129" s="11">
        <v>90</v>
      </c>
      <c r="L129" s="13">
        <v>0.14000000000000001</v>
      </c>
      <c r="M129" s="13">
        <v>0.26</v>
      </c>
      <c r="N129" s="13">
        <v>0.41</v>
      </c>
    </row>
    <row r="130" spans="1:14" x14ac:dyDescent="0.2">
      <c r="A130" s="11" t="s">
        <v>185</v>
      </c>
      <c r="J130" s="11" t="s">
        <v>123</v>
      </c>
      <c r="K130" s="11">
        <v>120</v>
      </c>
      <c r="L130" s="13">
        <v>0.12</v>
      </c>
      <c r="M130" s="13">
        <v>0.24</v>
      </c>
      <c r="N130" s="13">
        <v>0.39</v>
      </c>
    </row>
    <row r="131" spans="1:14" x14ac:dyDescent="0.2">
      <c r="A131" s="11" t="s">
        <v>185</v>
      </c>
      <c r="J131" s="11" t="s">
        <v>123</v>
      </c>
      <c r="K131" s="11">
        <v>150</v>
      </c>
      <c r="L131" s="13">
        <v>0.12</v>
      </c>
      <c r="M131" s="13">
        <v>0.24</v>
      </c>
      <c r="N131" s="13">
        <v>0.39</v>
      </c>
    </row>
    <row r="132" spans="1:14" x14ac:dyDescent="0.2">
      <c r="A132" s="11" t="s">
        <v>185</v>
      </c>
      <c r="J132" s="11" t="s">
        <v>123</v>
      </c>
      <c r="K132" s="11">
        <v>180</v>
      </c>
      <c r="L132" s="13">
        <v>0.12</v>
      </c>
      <c r="M132" s="13">
        <v>0.24</v>
      </c>
      <c r="N132" s="13">
        <v>0.39</v>
      </c>
    </row>
    <row r="133" spans="1:14" x14ac:dyDescent="0.2">
      <c r="A133" s="11" t="s">
        <v>185</v>
      </c>
      <c r="J133" s="11" t="s">
        <v>123</v>
      </c>
      <c r="K133" s="11">
        <v>210</v>
      </c>
      <c r="L133" s="13">
        <v>0.12</v>
      </c>
      <c r="M133" s="13">
        <v>0.24</v>
      </c>
      <c r="N133" s="13">
        <v>0.39</v>
      </c>
    </row>
    <row r="134" spans="1:14" x14ac:dyDescent="0.2">
      <c r="A134" s="11" t="s">
        <v>194</v>
      </c>
      <c r="B134" s="11" t="s">
        <v>195</v>
      </c>
      <c r="C134" s="11" t="s">
        <v>196</v>
      </c>
      <c r="D134" s="11" t="s">
        <v>197</v>
      </c>
      <c r="E134" s="14">
        <v>10</v>
      </c>
      <c r="F134" s="13">
        <v>0.4</v>
      </c>
      <c r="G134" s="11">
        <v>81</v>
      </c>
      <c r="H134" s="13">
        <v>0.08</v>
      </c>
      <c r="I134" s="13">
        <v>0.5</v>
      </c>
      <c r="J134" s="11" t="s">
        <v>112</v>
      </c>
      <c r="K134" s="11">
        <v>20</v>
      </c>
      <c r="L134" s="13">
        <v>0.16</v>
      </c>
      <c r="M134" s="13">
        <v>0.31</v>
      </c>
      <c r="N134" s="13">
        <v>0.5</v>
      </c>
    </row>
    <row r="135" spans="1:14" x14ac:dyDescent="0.2">
      <c r="A135" s="11" t="s">
        <v>194</v>
      </c>
      <c r="J135" s="11" t="s">
        <v>174</v>
      </c>
      <c r="K135" s="11">
        <v>40</v>
      </c>
      <c r="L135" s="13">
        <v>0.22</v>
      </c>
      <c r="M135" s="13">
        <v>0.36</v>
      </c>
      <c r="N135" s="13">
        <v>0.47</v>
      </c>
    </row>
    <row r="136" spans="1:14" x14ac:dyDescent="0.2">
      <c r="A136" s="11" t="s">
        <v>194</v>
      </c>
      <c r="J136" s="11" t="s">
        <v>175</v>
      </c>
      <c r="K136" s="11">
        <v>60</v>
      </c>
      <c r="L136" s="13">
        <v>0.19</v>
      </c>
      <c r="M136" s="13">
        <v>0.33</v>
      </c>
      <c r="N136" s="13">
        <v>0.47</v>
      </c>
    </row>
    <row r="137" spans="1:14" x14ac:dyDescent="0.2">
      <c r="A137" s="11" t="s">
        <v>194</v>
      </c>
      <c r="J137" s="11" t="s">
        <v>198</v>
      </c>
      <c r="K137" s="11">
        <v>90</v>
      </c>
      <c r="L137" s="13">
        <v>0.17</v>
      </c>
      <c r="M137" s="13">
        <v>0.31000000000000011</v>
      </c>
      <c r="N137" s="13">
        <v>0.45</v>
      </c>
    </row>
    <row r="138" spans="1:14" x14ac:dyDescent="0.2">
      <c r="A138" s="11" t="s">
        <v>194</v>
      </c>
      <c r="J138" s="11" t="s">
        <v>199</v>
      </c>
      <c r="K138" s="11">
        <v>120</v>
      </c>
      <c r="L138" s="13">
        <v>0.16</v>
      </c>
      <c r="M138" s="13">
        <v>0.3</v>
      </c>
      <c r="N138" s="13">
        <v>0.45</v>
      </c>
    </row>
    <row r="139" spans="1:14" x14ac:dyDescent="0.2">
      <c r="A139" s="11" t="s">
        <v>194</v>
      </c>
      <c r="J139" s="11" t="s">
        <v>200</v>
      </c>
      <c r="K139" s="11">
        <v>150</v>
      </c>
      <c r="L139" s="13">
        <v>0.15</v>
      </c>
      <c r="M139" s="13">
        <v>0.28999999999999998</v>
      </c>
      <c r="N139" s="13">
        <v>0.45</v>
      </c>
    </row>
    <row r="140" spans="1:14" x14ac:dyDescent="0.2">
      <c r="A140" s="11" t="s">
        <v>194</v>
      </c>
      <c r="J140" s="11" t="s">
        <v>181</v>
      </c>
      <c r="K140" s="11">
        <v>180</v>
      </c>
      <c r="L140" s="13">
        <v>0.15</v>
      </c>
      <c r="M140" s="13">
        <v>0.28999999999999998</v>
      </c>
      <c r="N140" s="13">
        <v>0.45</v>
      </c>
    </row>
    <row r="141" spans="1:14" x14ac:dyDescent="0.2">
      <c r="A141" s="11" t="s">
        <v>194</v>
      </c>
      <c r="B141" s="11" t="s">
        <v>201</v>
      </c>
      <c r="C141" s="11" t="s">
        <v>202</v>
      </c>
      <c r="D141" s="11" t="s">
        <v>197</v>
      </c>
      <c r="E141" s="14">
        <v>10</v>
      </c>
      <c r="F141" s="13">
        <v>0.4</v>
      </c>
      <c r="G141" s="11">
        <v>85</v>
      </c>
      <c r="H141" s="13">
        <v>0.1</v>
      </c>
      <c r="I141" s="13">
        <v>0.5</v>
      </c>
      <c r="J141" s="11" t="s">
        <v>112</v>
      </c>
      <c r="K141" s="11">
        <v>20</v>
      </c>
      <c r="L141" s="13">
        <v>0.16</v>
      </c>
      <c r="M141" s="13">
        <v>0.31</v>
      </c>
      <c r="N141" s="13">
        <v>0.5</v>
      </c>
    </row>
    <row r="142" spans="1:14" x14ac:dyDescent="0.2">
      <c r="A142" s="11" t="s">
        <v>194</v>
      </c>
      <c r="J142" s="11" t="s">
        <v>174</v>
      </c>
      <c r="K142" s="11">
        <v>40</v>
      </c>
      <c r="L142" s="13">
        <v>0.22</v>
      </c>
      <c r="M142" s="13">
        <v>0.36</v>
      </c>
      <c r="N142" s="13">
        <v>0.47</v>
      </c>
    </row>
    <row r="143" spans="1:14" x14ac:dyDescent="0.2">
      <c r="A143" s="11" t="s">
        <v>194</v>
      </c>
      <c r="J143" s="11" t="s">
        <v>175</v>
      </c>
      <c r="K143" s="11">
        <v>60</v>
      </c>
      <c r="L143" s="13">
        <v>0.19</v>
      </c>
      <c r="M143" s="13">
        <v>0.33</v>
      </c>
      <c r="N143" s="13">
        <v>0.47</v>
      </c>
    </row>
    <row r="144" spans="1:14" x14ac:dyDescent="0.2">
      <c r="A144" s="11" t="s">
        <v>194</v>
      </c>
      <c r="J144" s="11" t="s">
        <v>198</v>
      </c>
      <c r="K144" s="11">
        <v>90</v>
      </c>
      <c r="L144" s="13">
        <v>0.17</v>
      </c>
      <c r="M144" s="13">
        <v>0.31000000000000011</v>
      </c>
      <c r="N144" s="13">
        <v>0.45</v>
      </c>
    </row>
    <row r="145" spans="1:14" x14ac:dyDescent="0.2">
      <c r="A145" s="11" t="s">
        <v>194</v>
      </c>
      <c r="J145" s="11" t="s">
        <v>199</v>
      </c>
      <c r="K145" s="11">
        <v>120</v>
      </c>
      <c r="L145" s="13">
        <v>0.16</v>
      </c>
      <c r="M145" s="13">
        <v>0.3</v>
      </c>
      <c r="N145" s="13">
        <v>0.45</v>
      </c>
    </row>
    <row r="146" spans="1:14" x14ac:dyDescent="0.2">
      <c r="A146" s="11" t="s">
        <v>194</v>
      </c>
      <c r="B146" s="11" t="s">
        <v>203</v>
      </c>
      <c r="C146" s="11" t="s">
        <v>204</v>
      </c>
      <c r="D146" s="11" t="s">
        <v>205</v>
      </c>
      <c r="E146" s="14">
        <v>10</v>
      </c>
      <c r="F146" s="13">
        <v>0.4</v>
      </c>
      <c r="G146" s="11">
        <v>79</v>
      </c>
      <c r="H146" s="13">
        <v>0.1</v>
      </c>
      <c r="I146" s="13">
        <v>0.5</v>
      </c>
      <c r="J146" s="11" t="s">
        <v>112</v>
      </c>
      <c r="K146" s="11">
        <v>20</v>
      </c>
      <c r="L146" s="13">
        <v>0.13</v>
      </c>
      <c r="M146" s="13">
        <v>0.28999999999999998</v>
      </c>
      <c r="N146" s="13">
        <v>0.56000000000000005</v>
      </c>
    </row>
    <row r="147" spans="1:14" x14ac:dyDescent="0.2">
      <c r="A147" s="11" t="s">
        <v>194</v>
      </c>
      <c r="J147" s="11" t="s">
        <v>206</v>
      </c>
      <c r="K147" s="11">
        <v>40</v>
      </c>
      <c r="L147" s="13">
        <v>0.12</v>
      </c>
      <c r="M147" s="13">
        <v>0.27</v>
      </c>
      <c r="N147" s="13">
        <v>0.5</v>
      </c>
    </row>
    <row r="148" spans="1:14" x14ac:dyDescent="0.2">
      <c r="A148" s="11" t="s">
        <v>194</v>
      </c>
      <c r="J148" s="11" t="s">
        <v>169</v>
      </c>
      <c r="K148" s="11">
        <v>60</v>
      </c>
      <c r="L148" s="13">
        <v>0.17</v>
      </c>
      <c r="M148" s="13">
        <v>0.31000000000000011</v>
      </c>
      <c r="N148" s="13">
        <v>0.47</v>
      </c>
    </row>
    <row r="149" spans="1:14" x14ac:dyDescent="0.2">
      <c r="A149" s="11" t="s">
        <v>194</v>
      </c>
      <c r="J149" s="11" t="s">
        <v>122</v>
      </c>
      <c r="K149" s="11">
        <v>90</v>
      </c>
      <c r="L149" s="13">
        <v>0.2</v>
      </c>
      <c r="M149" s="13">
        <v>0.35</v>
      </c>
      <c r="N149" s="13">
        <v>0.45</v>
      </c>
    </row>
    <row r="150" spans="1:14" x14ac:dyDescent="0.2">
      <c r="A150" s="11" t="s">
        <v>194</v>
      </c>
      <c r="J150" s="11" t="s">
        <v>133</v>
      </c>
      <c r="K150" s="11">
        <v>120</v>
      </c>
      <c r="L150" s="13">
        <v>0.14000000000000001</v>
      </c>
      <c r="M150" s="13">
        <v>0.28999999999999998</v>
      </c>
      <c r="N150" s="13">
        <v>0.45</v>
      </c>
    </row>
    <row r="151" spans="1:14" x14ac:dyDescent="0.2">
      <c r="A151" s="11" t="s">
        <v>194</v>
      </c>
      <c r="J151" s="11" t="s">
        <v>181</v>
      </c>
      <c r="K151" s="11">
        <v>150</v>
      </c>
      <c r="L151" s="13">
        <v>0.14000000000000001</v>
      </c>
      <c r="M151" s="13">
        <v>0.28999999999999998</v>
      </c>
      <c r="N151" s="13">
        <v>0.45</v>
      </c>
    </row>
    <row r="152" spans="1:14" x14ac:dyDescent="0.2">
      <c r="A152" s="11" t="s">
        <v>194</v>
      </c>
      <c r="J152" s="11" t="s">
        <v>207</v>
      </c>
      <c r="K152" s="11">
        <v>180</v>
      </c>
      <c r="L152" s="13">
        <v>0.14000000000000001</v>
      </c>
      <c r="M152" s="13">
        <v>0.28999999999999998</v>
      </c>
      <c r="N152" s="13">
        <v>0.45</v>
      </c>
    </row>
    <row r="153" spans="1:14" x14ac:dyDescent="0.2">
      <c r="A153" s="11" t="s">
        <v>194</v>
      </c>
      <c r="J153" s="11" t="s">
        <v>207</v>
      </c>
      <c r="K153" s="11">
        <v>210</v>
      </c>
      <c r="L153" s="13">
        <v>0.14000000000000001</v>
      </c>
      <c r="M153" s="13">
        <v>0.28999999999999998</v>
      </c>
      <c r="N153" s="13">
        <v>0.45</v>
      </c>
    </row>
    <row r="154" spans="1:14" x14ac:dyDescent="0.2">
      <c r="A154" s="11" t="s">
        <v>208</v>
      </c>
      <c r="B154" s="11" t="s">
        <v>209</v>
      </c>
      <c r="C154" s="11" t="s">
        <v>210</v>
      </c>
      <c r="D154" s="11" t="s">
        <v>211</v>
      </c>
      <c r="E154" s="14">
        <v>9</v>
      </c>
      <c r="F154" s="13">
        <v>0.8</v>
      </c>
      <c r="G154" s="11">
        <v>72</v>
      </c>
      <c r="H154" s="13">
        <v>0.1</v>
      </c>
      <c r="I154" s="13">
        <v>0.5</v>
      </c>
      <c r="J154" s="11" t="s">
        <v>155</v>
      </c>
      <c r="K154" s="11">
        <v>20</v>
      </c>
      <c r="L154" s="13">
        <v>0.09</v>
      </c>
      <c r="M154" s="13">
        <v>0.2</v>
      </c>
      <c r="N154" s="13">
        <v>0.41</v>
      </c>
    </row>
    <row r="155" spans="1:14" x14ac:dyDescent="0.2">
      <c r="A155" s="11" t="s">
        <v>208</v>
      </c>
      <c r="J155" s="11" t="s">
        <v>155</v>
      </c>
      <c r="K155" s="11">
        <v>40</v>
      </c>
      <c r="L155" s="13">
        <v>0.1</v>
      </c>
      <c r="M155" s="13">
        <v>0.21</v>
      </c>
      <c r="N155" s="13">
        <v>0.41</v>
      </c>
    </row>
    <row r="156" spans="1:14" x14ac:dyDescent="0.2">
      <c r="A156" s="11" t="s">
        <v>208</v>
      </c>
      <c r="J156" s="11" t="s">
        <v>156</v>
      </c>
      <c r="K156" s="11">
        <v>60</v>
      </c>
      <c r="L156" s="13">
        <v>0.09</v>
      </c>
      <c r="M156" s="13">
        <v>0.19</v>
      </c>
      <c r="N156" s="13">
        <v>0.38</v>
      </c>
    </row>
    <row r="157" spans="1:14" x14ac:dyDescent="0.2">
      <c r="A157" s="11" t="s">
        <v>208</v>
      </c>
      <c r="J157" s="11" t="s">
        <v>156</v>
      </c>
      <c r="K157" s="11">
        <v>90</v>
      </c>
      <c r="L157" s="13">
        <v>0.08</v>
      </c>
      <c r="M157" s="13">
        <v>0.18</v>
      </c>
      <c r="N157" s="13">
        <v>0.38</v>
      </c>
    </row>
    <row r="158" spans="1:14" x14ac:dyDescent="0.2">
      <c r="A158" s="11" t="s">
        <v>208</v>
      </c>
      <c r="J158" s="11" t="s">
        <v>123</v>
      </c>
      <c r="K158" s="11">
        <v>120</v>
      </c>
      <c r="L158" s="13">
        <v>0.06</v>
      </c>
      <c r="M158" s="13">
        <v>0.15</v>
      </c>
      <c r="N158" s="13">
        <v>0.36</v>
      </c>
    </row>
    <row r="159" spans="1:14" x14ac:dyDescent="0.2">
      <c r="A159" s="11" t="s">
        <v>208</v>
      </c>
      <c r="J159" s="11" t="s">
        <v>123</v>
      </c>
      <c r="K159" s="11">
        <v>150</v>
      </c>
      <c r="L159" s="13">
        <v>0.06</v>
      </c>
      <c r="M159" s="13">
        <v>0.16</v>
      </c>
      <c r="N159" s="13">
        <v>0.36</v>
      </c>
    </row>
    <row r="160" spans="1:14" x14ac:dyDescent="0.2">
      <c r="A160" s="11" t="s">
        <v>208</v>
      </c>
      <c r="J160" s="11" t="s">
        <v>123</v>
      </c>
      <c r="K160" s="11">
        <v>180</v>
      </c>
      <c r="L160" s="13">
        <v>0.04</v>
      </c>
      <c r="M160" s="13">
        <v>0.11</v>
      </c>
      <c r="N160" s="13">
        <v>0.36</v>
      </c>
    </row>
    <row r="161" spans="1:14" x14ac:dyDescent="0.2">
      <c r="A161" s="11" t="s">
        <v>208</v>
      </c>
      <c r="J161" s="11" t="s">
        <v>123</v>
      </c>
      <c r="K161" s="11">
        <v>210</v>
      </c>
      <c r="L161" s="13">
        <v>0.04</v>
      </c>
      <c r="M161" s="13">
        <v>0.11</v>
      </c>
      <c r="N161" s="13">
        <v>0.36</v>
      </c>
    </row>
    <row r="162" spans="1:14" x14ac:dyDescent="0.2">
      <c r="A162" s="11" t="s">
        <v>208</v>
      </c>
      <c r="B162" s="11" t="s">
        <v>212</v>
      </c>
      <c r="C162" s="11" t="s">
        <v>213</v>
      </c>
      <c r="D162" s="11" t="s">
        <v>211</v>
      </c>
      <c r="E162" s="14">
        <v>9</v>
      </c>
      <c r="F162" s="13">
        <v>0.6</v>
      </c>
      <c r="G162" s="11">
        <v>72</v>
      </c>
      <c r="H162" s="13">
        <v>0.1</v>
      </c>
      <c r="I162" s="13">
        <v>0.5</v>
      </c>
      <c r="J162" s="11" t="s">
        <v>155</v>
      </c>
      <c r="K162" s="11">
        <v>20</v>
      </c>
      <c r="L162" s="13">
        <v>0.09</v>
      </c>
      <c r="M162" s="13">
        <v>0.21</v>
      </c>
      <c r="N162" s="13">
        <v>0.43</v>
      </c>
    </row>
    <row r="163" spans="1:14" x14ac:dyDescent="0.2">
      <c r="A163" s="11" t="s">
        <v>208</v>
      </c>
      <c r="J163" s="11" t="s">
        <v>156</v>
      </c>
      <c r="K163" s="11">
        <v>40</v>
      </c>
      <c r="L163" s="13">
        <v>0.08</v>
      </c>
      <c r="M163" s="13">
        <v>0.2</v>
      </c>
      <c r="N163" s="13">
        <v>0.38</v>
      </c>
    </row>
    <row r="164" spans="1:14" x14ac:dyDescent="0.2">
      <c r="A164" s="11" t="s">
        <v>208</v>
      </c>
      <c r="J164" s="11" t="s">
        <v>156</v>
      </c>
      <c r="K164" s="11">
        <v>60</v>
      </c>
      <c r="L164" s="13">
        <v>0.08</v>
      </c>
      <c r="M164" s="13">
        <v>0.19</v>
      </c>
      <c r="N164" s="13">
        <v>0.36</v>
      </c>
    </row>
    <row r="165" spans="1:14" x14ac:dyDescent="0.2">
      <c r="A165" s="11" t="s">
        <v>208</v>
      </c>
      <c r="J165" s="11" t="s">
        <v>123</v>
      </c>
      <c r="K165" s="11">
        <v>90</v>
      </c>
      <c r="L165" s="13">
        <v>0.08</v>
      </c>
      <c r="M165" s="13">
        <v>0.19</v>
      </c>
      <c r="N165" s="13">
        <v>0.36</v>
      </c>
    </row>
    <row r="166" spans="1:14" x14ac:dyDescent="0.2">
      <c r="A166" s="11" t="s">
        <v>208</v>
      </c>
      <c r="J166" s="11" t="s">
        <v>123</v>
      </c>
      <c r="K166" s="11">
        <v>120</v>
      </c>
      <c r="L166" s="13">
        <v>0.08</v>
      </c>
      <c r="M166" s="13">
        <v>0.19</v>
      </c>
      <c r="N166" s="13">
        <v>0.36</v>
      </c>
    </row>
    <row r="167" spans="1:14" x14ac:dyDescent="0.2">
      <c r="A167" s="11" t="s">
        <v>208</v>
      </c>
      <c r="J167" s="11" t="s">
        <v>123</v>
      </c>
      <c r="K167" s="11">
        <v>150</v>
      </c>
      <c r="L167" s="13">
        <v>0.08</v>
      </c>
      <c r="M167" s="13">
        <v>0.19</v>
      </c>
      <c r="N167" s="13">
        <v>0.36</v>
      </c>
    </row>
    <row r="168" spans="1:14" x14ac:dyDescent="0.2">
      <c r="A168" s="11" t="s">
        <v>208</v>
      </c>
      <c r="J168" s="11" t="s">
        <v>123</v>
      </c>
      <c r="K168" s="11">
        <v>180</v>
      </c>
      <c r="L168" s="13">
        <v>0.08</v>
      </c>
      <c r="M168" s="13">
        <v>0.19</v>
      </c>
      <c r="N168" s="13">
        <v>0.36</v>
      </c>
    </row>
    <row r="169" spans="1:14" x14ac:dyDescent="0.2">
      <c r="A169" s="11" t="s">
        <v>208</v>
      </c>
      <c r="J169" s="11" t="s">
        <v>123</v>
      </c>
      <c r="K169" s="11">
        <v>210</v>
      </c>
      <c r="L169" s="13">
        <v>0.08</v>
      </c>
      <c r="M169" s="13">
        <v>0.19</v>
      </c>
      <c r="N169" s="13">
        <v>0.36</v>
      </c>
    </row>
    <row r="170" spans="1:14" x14ac:dyDescent="0.2">
      <c r="A170" s="11" t="s">
        <v>208</v>
      </c>
      <c r="B170" s="11" t="s">
        <v>214</v>
      </c>
      <c r="C170" s="11" t="s">
        <v>190</v>
      </c>
      <c r="D170" s="11" t="s">
        <v>159</v>
      </c>
      <c r="E170" s="14">
        <v>9</v>
      </c>
      <c r="F170" s="13">
        <v>0.4</v>
      </c>
      <c r="G170" s="11">
        <v>79</v>
      </c>
      <c r="H170" s="13">
        <v>0.1</v>
      </c>
      <c r="I170" s="13">
        <v>0.5</v>
      </c>
      <c r="J170" s="11" t="s">
        <v>119</v>
      </c>
      <c r="K170" s="11">
        <v>20</v>
      </c>
      <c r="L170" s="13">
        <v>0.1</v>
      </c>
      <c r="M170" s="13">
        <v>0.23</v>
      </c>
      <c r="N170" s="13">
        <v>0.47</v>
      </c>
    </row>
    <row r="171" spans="1:14" x14ac:dyDescent="0.2">
      <c r="A171" s="11" t="s">
        <v>208</v>
      </c>
      <c r="J171" s="11" t="s">
        <v>131</v>
      </c>
      <c r="K171" s="11">
        <v>40</v>
      </c>
      <c r="L171" s="13">
        <v>0.11</v>
      </c>
      <c r="M171" s="13">
        <v>0.24</v>
      </c>
      <c r="N171" s="13">
        <v>0.45</v>
      </c>
    </row>
    <row r="172" spans="1:14" x14ac:dyDescent="0.2">
      <c r="A172" s="11" t="s">
        <v>208</v>
      </c>
      <c r="J172" s="11" t="s">
        <v>156</v>
      </c>
      <c r="K172" s="11">
        <v>60</v>
      </c>
      <c r="L172" s="13">
        <v>0.1</v>
      </c>
      <c r="M172" s="13">
        <v>0.22</v>
      </c>
      <c r="N172" s="13">
        <v>0.39</v>
      </c>
    </row>
    <row r="173" spans="1:14" x14ac:dyDescent="0.2">
      <c r="A173" s="11" t="s">
        <v>208</v>
      </c>
      <c r="J173" s="11" t="s">
        <v>132</v>
      </c>
      <c r="K173" s="11">
        <v>90</v>
      </c>
      <c r="L173" s="13">
        <v>0.17</v>
      </c>
      <c r="M173" s="13">
        <v>0.28999999999999998</v>
      </c>
      <c r="N173" s="13">
        <v>0.41</v>
      </c>
    </row>
    <row r="174" spans="1:14" x14ac:dyDescent="0.2">
      <c r="A174" s="11" t="s">
        <v>208</v>
      </c>
      <c r="J174" s="11" t="s">
        <v>122</v>
      </c>
      <c r="K174" s="11">
        <v>120</v>
      </c>
      <c r="L174" s="13">
        <v>0.15</v>
      </c>
      <c r="M174" s="13">
        <v>0.27</v>
      </c>
      <c r="N174" s="13">
        <v>0.39</v>
      </c>
    </row>
    <row r="175" spans="1:14" x14ac:dyDescent="0.2">
      <c r="A175" s="11" t="s">
        <v>208</v>
      </c>
      <c r="J175" s="11" t="s">
        <v>106</v>
      </c>
      <c r="K175" s="11">
        <v>150</v>
      </c>
      <c r="L175" s="13">
        <v>0.13</v>
      </c>
      <c r="M175" s="13">
        <v>0.25</v>
      </c>
      <c r="N175" s="13">
        <v>0.39</v>
      </c>
    </row>
    <row r="176" spans="1:14" x14ac:dyDescent="0.2">
      <c r="A176" s="11" t="s">
        <v>208</v>
      </c>
      <c r="J176" s="11" t="s">
        <v>106</v>
      </c>
      <c r="K176" s="11">
        <v>180</v>
      </c>
      <c r="L176" s="13">
        <v>0.13</v>
      </c>
      <c r="M176" s="13">
        <v>0.25</v>
      </c>
      <c r="N176" s="13">
        <v>0.39</v>
      </c>
    </row>
    <row r="177" spans="1:14" x14ac:dyDescent="0.2">
      <c r="A177" s="11" t="s">
        <v>208</v>
      </c>
      <c r="J177" s="11" t="s">
        <v>106</v>
      </c>
      <c r="K177" s="11">
        <v>210</v>
      </c>
      <c r="L177" s="13">
        <v>0.13</v>
      </c>
      <c r="M177" s="13">
        <v>0.25</v>
      </c>
      <c r="N177" s="13">
        <v>0.39</v>
      </c>
    </row>
    <row r="178" spans="1:14" x14ac:dyDescent="0.2">
      <c r="A178" s="11" t="s">
        <v>215</v>
      </c>
      <c r="B178" s="11" t="s">
        <v>216</v>
      </c>
      <c r="C178" s="11" t="s">
        <v>217</v>
      </c>
      <c r="D178" s="11" t="s">
        <v>218</v>
      </c>
      <c r="E178" s="14">
        <v>8</v>
      </c>
      <c r="F178" s="13">
        <v>0.8</v>
      </c>
      <c r="G178" s="11">
        <v>73</v>
      </c>
      <c r="H178" s="13">
        <v>0.1</v>
      </c>
      <c r="I178" s="13">
        <v>0.5</v>
      </c>
      <c r="J178" s="11" t="s">
        <v>155</v>
      </c>
      <c r="K178" s="11">
        <v>20</v>
      </c>
      <c r="L178" s="13">
        <v>0.11</v>
      </c>
      <c r="M178" s="13">
        <v>0.26</v>
      </c>
      <c r="N178" s="13">
        <v>0.5</v>
      </c>
    </row>
    <row r="179" spans="1:14" x14ac:dyDescent="0.2">
      <c r="A179" s="11" t="s">
        <v>215</v>
      </c>
      <c r="J179" s="11" t="s">
        <v>156</v>
      </c>
      <c r="K179" s="11">
        <v>40</v>
      </c>
      <c r="L179" s="13">
        <v>0.09</v>
      </c>
      <c r="M179" s="13">
        <v>0.24</v>
      </c>
      <c r="N179" s="13">
        <v>0.48</v>
      </c>
    </row>
    <row r="180" spans="1:14" x14ac:dyDescent="0.2">
      <c r="A180" s="11" t="s">
        <v>215</v>
      </c>
      <c r="J180" s="11" t="s">
        <v>133</v>
      </c>
      <c r="K180" s="11">
        <v>60</v>
      </c>
      <c r="L180" s="13">
        <v>0.08</v>
      </c>
      <c r="M180" s="13">
        <v>0.23</v>
      </c>
      <c r="N180" s="13">
        <v>0.47</v>
      </c>
    </row>
    <row r="181" spans="1:14" x14ac:dyDescent="0.2">
      <c r="A181" s="11" t="s">
        <v>215</v>
      </c>
      <c r="J181" s="11" t="s">
        <v>133</v>
      </c>
      <c r="K181" s="11">
        <v>90</v>
      </c>
      <c r="L181" s="13">
        <v>0.08</v>
      </c>
      <c r="M181" s="13">
        <v>0.23</v>
      </c>
      <c r="N181" s="13">
        <v>0.47</v>
      </c>
    </row>
    <row r="182" spans="1:14" x14ac:dyDescent="0.2">
      <c r="A182" s="11" t="s">
        <v>215</v>
      </c>
      <c r="J182" s="11" t="s">
        <v>181</v>
      </c>
      <c r="K182" s="11">
        <v>120</v>
      </c>
      <c r="L182" s="13">
        <v>0.08</v>
      </c>
      <c r="M182" s="13">
        <v>0.22</v>
      </c>
      <c r="N182" s="13">
        <v>0.47</v>
      </c>
    </row>
    <row r="183" spans="1:14" x14ac:dyDescent="0.2">
      <c r="A183" s="11" t="s">
        <v>215</v>
      </c>
      <c r="J183" s="11" t="s">
        <v>207</v>
      </c>
      <c r="K183" s="11">
        <v>150</v>
      </c>
      <c r="L183" s="13">
        <v>0.08</v>
      </c>
      <c r="M183" s="13">
        <v>0.22</v>
      </c>
      <c r="N183" s="13">
        <v>0.47</v>
      </c>
    </row>
    <row r="184" spans="1:14" x14ac:dyDescent="0.2">
      <c r="A184" s="11" t="s">
        <v>215</v>
      </c>
      <c r="J184" s="11" t="s">
        <v>219</v>
      </c>
      <c r="K184" s="11">
        <v>180</v>
      </c>
      <c r="L184" s="13">
        <v>0.08</v>
      </c>
      <c r="M184" s="13">
        <v>0.22</v>
      </c>
      <c r="N184" s="13">
        <v>0.47</v>
      </c>
    </row>
    <row r="185" spans="1:14" x14ac:dyDescent="0.2">
      <c r="A185" s="11" t="s">
        <v>215</v>
      </c>
      <c r="J185" s="11" t="s">
        <v>219</v>
      </c>
      <c r="K185" s="11">
        <v>210</v>
      </c>
      <c r="L185" s="13">
        <v>0.08</v>
      </c>
      <c r="M185" s="13">
        <v>0.22</v>
      </c>
      <c r="N185" s="13">
        <v>0.47</v>
      </c>
    </row>
    <row r="186" spans="1:14" x14ac:dyDescent="0.2">
      <c r="A186" s="11" t="s">
        <v>215</v>
      </c>
      <c r="B186" s="11" t="s">
        <v>220</v>
      </c>
      <c r="C186" s="11" t="s">
        <v>221</v>
      </c>
      <c r="D186" s="11" t="s">
        <v>222</v>
      </c>
      <c r="E186" s="14">
        <v>8</v>
      </c>
      <c r="F186" s="13">
        <v>0.6</v>
      </c>
      <c r="G186" s="11">
        <v>74</v>
      </c>
      <c r="H186" s="13">
        <v>0.1</v>
      </c>
      <c r="I186" s="13">
        <v>0.5</v>
      </c>
      <c r="J186" s="11" t="s">
        <v>112</v>
      </c>
      <c r="K186" s="11">
        <v>20</v>
      </c>
      <c r="L186" s="13">
        <v>0.1</v>
      </c>
      <c r="M186" s="13">
        <v>0.24</v>
      </c>
      <c r="N186" s="13">
        <v>0.5</v>
      </c>
    </row>
    <row r="187" spans="1:14" x14ac:dyDescent="0.2">
      <c r="A187" s="11" t="s">
        <v>215</v>
      </c>
      <c r="J187" s="11" t="s">
        <v>223</v>
      </c>
      <c r="K187" s="11">
        <v>40</v>
      </c>
      <c r="L187" s="13">
        <v>0.1</v>
      </c>
      <c r="M187" s="13">
        <v>0.24</v>
      </c>
      <c r="N187" s="13">
        <v>0.47</v>
      </c>
    </row>
    <row r="188" spans="1:14" x14ac:dyDescent="0.2">
      <c r="A188" s="11" t="s">
        <v>215</v>
      </c>
      <c r="J188" s="11" t="s">
        <v>115</v>
      </c>
      <c r="K188" s="11">
        <v>60</v>
      </c>
      <c r="L188" s="13">
        <v>0.08</v>
      </c>
      <c r="M188" s="13">
        <v>0.22</v>
      </c>
      <c r="N188" s="13">
        <v>0.45</v>
      </c>
    </row>
    <row r="189" spans="1:14" x14ac:dyDescent="0.2">
      <c r="A189" s="11" t="s">
        <v>215</v>
      </c>
      <c r="J189" s="11" t="s">
        <v>133</v>
      </c>
      <c r="K189" s="11">
        <v>90</v>
      </c>
      <c r="L189" s="13">
        <v>0.08</v>
      </c>
      <c r="M189" s="13">
        <v>0.22</v>
      </c>
      <c r="N189" s="13">
        <v>0.44</v>
      </c>
    </row>
    <row r="190" spans="1:14" x14ac:dyDescent="0.2">
      <c r="A190" s="11" t="s">
        <v>215</v>
      </c>
      <c r="J190" s="11" t="s">
        <v>133</v>
      </c>
      <c r="K190" s="11">
        <v>120</v>
      </c>
      <c r="L190" s="13">
        <v>0.08</v>
      </c>
      <c r="M190" s="13">
        <v>0.21</v>
      </c>
      <c r="N190" s="13">
        <v>0.43</v>
      </c>
    </row>
    <row r="191" spans="1:14" x14ac:dyDescent="0.2">
      <c r="A191" s="11" t="s">
        <v>215</v>
      </c>
      <c r="J191" s="11" t="s">
        <v>181</v>
      </c>
      <c r="K191" s="11">
        <v>150</v>
      </c>
      <c r="L191" s="13">
        <v>0.08</v>
      </c>
      <c r="M191" s="13">
        <v>0.21</v>
      </c>
      <c r="N191" s="13">
        <v>0.43</v>
      </c>
    </row>
    <row r="192" spans="1:14" x14ac:dyDescent="0.2">
      <c r="A192" s="11" t="s">
        <v>215</v>
      </c>
      <c r="J192" s="11" t="s">
        <v>207</v>
      </c>
      <c r="K192" s="11">
        <v>180</v>
      </c>
      <c r="L192" s="13">
        <v>0.08</v>
      </c>
      <c r="M192" s="13">
        <v>0.21</v>
      </c>
      <c r="N192" s="13">
        <v>0.43</v>
      </c>
    </row>
    <row r="193" spans="1:14" x14ac:dyDescent="0.2">
      <c r="A193" s="11" t="s">
        <v>215</v>
      </c>
      <c r="J193" s="11" t="s">
        <v>207</v>
      </c>
      <c r="K193" s="11">
        <v>210</v>
      </c>
      <c r="L193" s="13">
        <v>0.08</v>
      </c>
      <c r="M193" s="13">
        <v>0.21</v>
      </c>
      <c r="N193" s="13">
        <v>0.43</v>
      </c>
    </row>
    <row r="194" spans="1:14" x14ac:dyDescent="0.2">
      <c r="A194" s="11" t="s">
        <v>224</v>
      </c>
      <c r="B194" s="11" t="s">
        <v>225</v>
      </c>
      <c r="C194" s="11" t="s">
        <v>226</v>
      </c>
      <c r="D194" s="11" t="s">
        <v>227</v>
      </c>
      <c r="E194" s="14">
        <v>20</v>
      </c>
      <c r="F194" s="13">
        <v>0.2</v>
      </c>
      <c r="G194" s="11">
        <v>86</v>
      </c>
      <c r="H194" s="13">
        <v>0.05</v>
      </c>
      <c r="I194" s="13">
        <v>0.7</v>
      </c>
      <c r="J194" s="11" t="s">
        <v>112</v>
      </c>
      <c r="K194" s="11">
        <v>20</v>
      </c>
      <c r="L194" s="13">
        <v>0.18</v>
      </c>
      <c r="M194" s="13">
        <v>0.33</v>
      </c>
      <c r="N194" s="13">
        <v>0.5</v>
      </c>
    </row>
    <row r="195" spans="1:14" x14ac:dyDescent="0.2">
      <c r="A195" s="11" t="s">
        <v>224</v>
      </c>
      <c r="J195" s="11" t="s">
        <v>228</v>
      </c>
      <c r="K195" s="11">
        <v>40</v>
      </c>
      <c r="L195" s="13">
        <v>0.23</v>
      </c>
      <c r="M195" s="13">
        <v>0.37</v>
      </c>
      <c r="N195" s="13">
        <v>0.47</v>
      </c>
    </row>
    <row r="196" spans="1:14" x14ac:dyDescent="0.2">
      <c r="A196" s="11" t="s">
        <v>224</v>
      </c>
      <c r="J196" s="11" t="s">
        <v>180</v>
      </c>
      <c r="K196" s="11">
        <v>60</v>
      </c>
      <c r="L196" s="13">
        <v>0.26</v>
      </c>
      <c r="M196" s="13">
        <v>0.4</v>
      </c>
      <c r="N196" s="13">
        <v>0.45</v>
      </c>
    </row>
    <row r="197" spans="1:14" x14ac:dyDescent="0.2">
      <c r="A197" s="11" t="s">
        <v>224</v>
      </c>
      <c r="J197" s="11" t="s">
        <v>180</v>
      </c>
      <c r="K197" s="11">
        <v>90</v>
      </c>
      <c r="L197" s="13">
        <v>0.26</v>
      </c>
      <c r="M197" s="13">
        <v>0.4</v>
      </c>
      <c r="N197" s="13">
        <v>0.45</v>
      </c>
    </row>
    <row r="198" spans="1:14" x14ac:dyDescent="0.2">
      <c r="A198" s="11" t="s">
        <v>224</v>
      </c>
      <c r="J198" s="11" t="s">
        <v>122</v>
      </c>
      <c r="K198" s="11">
        <v>120</v>
      </c>
      <c r="L198" s="13">
        <v>0.24</v>
      </c>
      <c r="M198" s="13">
        <v>0.38</v>
      </c>
      <c r="N198" s="13">
        <v>0.45</v>
      </c>
    </row>
    <row r="199" spans="1:14" x14ac:dyDescent="0.2">
      <c r="A199" s="11" t="s">
        <v>224</v>
      </c>
      <c r="J199" s="11" t="s">
        <v>123</v>
      </c>
      <c r="K199" s="11">
        <v>150</v>
      </c>
      <c r="L199" s="13">
        <v>0.21</v>
      </c>
      <c r="M199" s="13">
        <v>0.35</v>
      </c>
      <c r="N199" s="13">
        <v>0.45</v>
      </c>
    </row>
    <row r="200" spans="1:14" x14ac:dyDescent="0.2">
      <c r="A200" s="11" t="s">
        <v>224</v>
      </c>
      <c r="B200" s="11" t="s">
        <v>229</v>
      </c>
      <c r="C200" s="11" t="s">
        <v>224</v>
      </c>
      <c r="D200" s="11" t="s">
        <v>230</v>
      </c>
      <c r="E200" s="14">
        <v>10</v>
      </c>
      <c r="F200" s="13">
        <v>0.4</v>
      </c>
      <c r="G200" s="11">
        <v>83</v>
      </c>
      <c r="H200" s="13">
        <v>0.08</v>
      </c>
      <c r="I200" s="13">
        <v>0.5</v>
      </c>
      <c r="J200" s="11" t="s">
        <v>155</v>
      </c>
      <c r="K200" s="11">
        <v>20</v>
      </c>
      <c r="L200" s="13">
        <v>0.14000000000000001</v>
      </c>
      <c r="M200" s="13">
        <v>0.28000000000000003</v>
      </c>
      <c r="N200" s="13">
        <v>0.5</v>
      </c>
    </row>
    <row r="201" spans="1:14" x14ac:dyDescent="0.2">
      <c r="A201" s="11" t="s">
        <v>224</v>
      </c>
      <c r="J201" s="11" t="s">
        <v>231</v>
      </c>
      <c r="K201" s="11">
        <v>40</v>
      </c>
      <c r="L201" s="13">
        <v>0.21</v>
      </c>
      <c r="M201" s="13">
        <v>0.34</v>
      </c>
      <c r="N201" s="13">
        <v>0.48</v>
      </c>
    </row>
    <row r="202" spans="1:14" x14ac:dyDescent="0.2">
      <c r="A202" s="11" t="s">
        <v>224</v>
      </c>
      <c r="J202" s="11" t="s">
        <v>232</v>
      </c>
      <c r="K202" s="11">
        <v>60</v>
      </c>
      <c r="L202" s="13">
        <v>0.21</v>
      </c>
      <c r="M202" s="13">
        <v>0.34</v>
      </c>
      <c r="N202" s="13">
        <v>0.47</v>
      </c>
    </row>
    <row r="203" spans="1:14" x14ac:dyDescent="0.2">
      <c r="A203" s="11" t="s">
        <v>224</v>
      </c>
      <c r="J203" s="11" t="s">
        <v>233</v>
      </c>
      <c r="K203" s="11">
        <v>90</v>
      </c>
      <c r="L203" s="13">
        <v>0.22</v>
      </c>
      <c r="M203" s="13">
        <v>0.35</v>
      </c>
      <c r="N203" s="13">
        <v>0.47</v>
      </c>
    </row>
    <row r="204" spans="1:14" x14ac:dyDescent="0.2">
      <c r="A204" s="11" t="s">
        <v>224</v>
      </c>
      <c r="J204" s="11" t="s">
        <v>233</v>
      </c>
      <c r="K204" s="11">
        <v>120</v>
      </c>
      <c r="L204" s="13">
        <v>0.22</v>
      </c>
      <c r="M204" s="13">
        <v>0.35</v>
      </c>
      <c r="N204" s="13">
        <v>0.47</v>
      </c>
    </row>
    <row r="205" spans="1:14" x14ac:dyDescent="0.2">
      <c r="A205" s="11" t="s">
        <v>224</v>
      </c>
      <c r="J205" s="11" t="s">
        <v>234</v>
      </c>
      <c r="K205" s="11">
        <v>150</v>
      </c>
      <c r="L205" s="13">
        <v>0.17</v>
      </c>
      <c r="M205" s="13">
        <v>0.31000000000000011</v>
      </c>
      <c r="N205" s="13">
        <v>0.47</v>
      </c>
    </row>
    <row r="206" spans="1:14" x14ac:dyDescent="0.2">
      <c r="A206" s="11" t="s">
        <v>224</v>
      </c>
      <c r="J206" s="11" t="s">
        <v>235</v>
      </c>
      <c r="K206" s="11">
        <v>180</v>
      </c>
      <c r="L206" s="13">
        <v>0.18</v>
      </c>
      <c r="M206" s="13">
        <v>0.31</v>
      </c>
      <c r="N206" s="13">
        <v>0.47</v>
      </c>
    </row>
    <row r="207" spans="1:14" x14ac:dyDescent="0.2">
      <c r="A207" s="11" t="s">
        <v>236</v>
      </c>
      <c r="B207" s="11" t="s">
        <v>237</v>
      </c>
      <c r="C207" s="11" t="s">
        <v>238</v>
      </c>
      <c r="D207" s="11" t="s">
        <v>239</v>
      </c>
      <c r="E207" s="14">
        <v>9</v>
      </c>
      <c r="F207" s="13">
        <v>0.6</v>
      </c>
      <c r="G207" s="11">
        <v>73</v>
      </c>
      <c r="H207" s="13">
        <v>0.1</v>
      </c>
      <c r="I207" s="13">
        <v>0.5</v>
      </c>
      <c r="J207" s="11" t="s">
        <v>155</v>
      </c>
      <c r="K207" s="11">
        <v>20</v>
      </c>
      <c r="L207" s="13">
        <v>0.08</v>
      </c>
      <c r="M207" s="13">
        <v>0.2</v>
      </c>
      <c r="N207" s="13">
        <v>0.41</v>
      </c>
    </row>
    <row r="208" spans="1:14" x14ac:dyDescent="0.2">
      <c r="A208" s="11" t="s">
        <v>236</v>
      </c>
      <c r="J208" s="11" t="s">
        <v>156</v>
      </c>
      <c r="K208" s="11">
        <v>40</v>
      </c>
      <c r="L208" s="13">
        <v>0.06</v>
      </c>
      <c r="M208" s="13">
        <v>0.16</v>
      </c>
      <c r="N208" s="13">
        <v>0.36</v>
      </c>
    </row>
    <row r="209" spans="1:14" x14ac:dyDescent="0.2">
      <c r="A209" s="11" t="s">
        <v>236</v>
      </c>
      <c r="J209" s="11" t="s">
        <v>156</v>
      </c>
      <c r="K209" s="11">
        <v>60</v>
      </c>
      <c r="L209" s="13">
        <v>0.06</v>
      </c>
      <c r="M209" s="13">
        <v>0.16</v>
      </c>
      <c r="N209" s="13">
        <v>0.36</v>
      </c>
    </row>
    <row r="210" spans="1:14" x14ac:dyDescent="0.2">
      <c r="A210" s="11" t="s">
        <v>236</v>
      </c>
      <c r="J210" s="11" t="s">
        <v>123</v>
      </c>
      <c r="K210" s="11">
        <v>90</v>
      </c>
      <c r="L210" s="13">
        <v>0.06</v>
      </c>
      <c r="M210" s="13">
        <v>0.16</v>
      </c>
      <c r="N210" s="13">
        <v>0.34</v>
      </c>
    </row>
    <row r="211" spans="1:14" x14ac:dyDescent="0.2">
      <c r="A211" s="11" t="s">
        <v>236</v>
      </c>
      <c r="J211" s="11" t="s">
        <v>123</v>
      </c>
      <c r="K211" s="11">
        <v>120</v>
      </c>
      <c r="L211" s="13">
        <v>0.06</v>
      </c>
      <c r="M211" s="13">
        <v>0.16</v>
      </c>
      <c r="N211" s="13">
        <v>0.34</v>
      </c>
    </row>
    <row r="212" spans="1:14" x14ac:dyDescent="0.2">
      <c r="A212" s="11" t="s">
        <v>236</v>
      </c>
      <c r="J212" s="11" t="s">
        <v>123</v>
      </c>
      <c r="K212" s="11">
        <v>150</v>
      </c>
      <c r="L212" s="13">
        <v>0.06</v>
      </c>
      <c r="M212" s="13">
        <v>0.16</v>
      </c>
      <c r="N212" s="13">
        <v>0.34</v>
      </c>
    </row>
    <row r="213" spans="1:14" x14ac:dyDescent="0.2">
      <c r="A213" s="11" t="s">
        <v>236</v>
      </c>
      <c r="J213" s="11" t="s">
        <v>123</v>
      </c>
      <c r="K213" s="11">
        <v>180</v>
      </c>
      <c r="L213" s="13">
        <v>0.06</v>
      </c>
      <c r="M213" s="13">
        <v>0.16</v>
      </c>
      <c r="N213" s="13">
        <v>0.34</v>
      </c>
    </row>
    <row r="214" spans="1:14" x14ac:dyDescent="0.2">
      <c r="A214" s="11" t="s">
        <v>236</v>
      </c>
      <c r="J214" s="11" t="s">
        <v>123</v>
      </c>
      <c r="K214" s="11">
        <v>210</v>
      </c>
      <c r="L214" s="13">
        <v>0.06</v>
      </c>
      <c r="M214" s="13">
        <v>0.16</v>
      </c>
      <c r="N214" s="13">
        <v>0.34</v>
      </c>
    </row>
    <row r="215" spans="1:14" x14ac:dyDescent="0.2">
      <c r="A215" s="11" t="s">
        <v>236</v>
      </c>
      <c r="B215" s="11" t="s">
        <v>240</v>
      </c>
      <c r="C215" s="11" t="s">
        <v>221</v>
      </c>
      <c r="D215" s="11" t="s">
        <v>222</v>
      </c>
      <c r="E215" s="14">
        <v>8</v>
      </c>
      <c r="F215" s="13">
        <v>0.6</v>
      </c>
      <c r="G215" s="11">
        <v>74</v>
      </c>
      <c r="H215" s="13">
        <v>0.1</v>
      </c>
      <c r="I215" s="13">
        <v>0.5</v>
      </c>
      <c r="J215" s="11" t="s">
        <v>112</v>
      </c>
      <c r="K215" s="11">
        <v>20</v>
      </c>
      <c r="L215" s="13">
        <v>0.1</v>
      </c>
      <c r="M215" s="13">
        <v>0.24</v>
      </c>
      <c r="N215" s="13">
        <v>0.5</v>
      </c>
    </row>
    <row r="216" spans="1:14" x14ac:dyDescent="0.2">
      <c r="A216" s="11" t="s">
        <v>236</v>
      </c>
      <c r="J216" s="11" t="s">
        <v>223</v>
      </c>
      <c r="K216" s="11">
        <v>40</v>
      </c>
      <c r="L216" s="13">
        <v>0.1</v>
      </c>
      <c r="M216" s="13">
        <v>0.24</v>
      </c>
      <c r="N216" s="13">
        <v>0.47</v>
      </c>
    </row>
    <row r="217" spans="1:14" x14ac:dyDescent="0.2">
      <c r="A217" s="11" t="s">
        <v>236</v>
      </c>
      <c r="J217" s="11" t="s">
        <v>115</v>
      </c>
      <c r="K217" s="11">
        <v>60</v>
      </c>
      <c r="L217" s="13">
        <v>0.08</v>
      </c>
      <c r="M217" s="13">
        <v>0.22</v>
      </c>
      <c r="N217" s="13">
        <v>0.45</v>
      </c>
    </row>
    <row r="218" spans="1:14" x14ac:dyDescent="0.2">
      <c r="A218" s="11" t="s">
        <v>236</v>
      </c>
      <c r="J218" s="11" t="s">
        <v>133</v>
      </c>
      <c r="K218" s="11">
        <v>90</v>
      </c>
      <c r="L218" s="13">
        <v>0.08</v>
      </c>
      <c r="M218" s="13">
        <v>0.22</v>
      </c>
      <c r="N218" s="13">
        <v>0.44</v>
      </c>
    </row>
    <row r="219" spans="1:14" x14ac:dyDescent="0.2">
      <c r="A219" s="11" t="s">
        <v>236</v>
      </c>
      <c r="J219" s="11" t="s">
        <v>133</v>
      </c>
      <c r="K219" s="11">
        <v>120</v>
      </c>
      <c r="L219" s="13">
        <v>0.08</v>
      </c>
      <c r="M219" s="13">
        <v>0.21</v>
      </c>
      <c r="N219" s="13">
        <v>0.43</v>
      </c>
    </row>
    <row r="220" spans="1:14" x14ac:dyDescent="0.2">
      <c r="A220" s="11" t="s">
        <v>236</v>
      </c>
      <c r="J220" s="11" t="s">
        <v>181</v>
      </c>
      <c r="K220" s="11">
        <v>150</v>
      </c>
      <c r="L220" s="13">
        <v>0.08</v>
      </c>
      <c r="M220" s="13">
        <v>0.21</v>
      </c>
      <c r="N220" s="13">
        <v>0.43</v>
      </c>
    </row>
    <row r="221" spans="1:14" x14ac:dyDescent="0.2">
      <c r="A221" s="11" t="s">
        <v>236</v>
      </c>
      <c r="J221" s="11" t="s">
        <v>207</v>
      </c>
      <c r="K221" s="11">
        <v>180</v>
      </c>
      <c r="L221" s="13">
        <v>0.08</v>
      </c>
      <c r="M221" s="13">
        <v>0.21</v>
      </c>
      <c r="N221" s="13">
        <v>0.43</v>
      </c>
    </row>
    <row r="222" spans="1:14" x14ac:dyDescent="0.2">
      <c r="A222" s="11" t="s">
        <v>236</v>
      </c>
      <c r="J222" s="11" t="s">
        <v>207</v>
      </c>
      <c r="K222" s="11">
        <v>210</v>
      </c>
      <c r="L222" s="13">
        <v>0.08</v>
      </c>
      <c r="M222" s="13">
        <v>0.21</v>
      </c>
      <c r="N222" s="13">
        <v>0.43</v>
      </c>
    </row>
    <row r="223" spans="1:14" x14ac:dyDescent="0.2">
      <c r="A223" s="11" t="s">
        <v>236</v>
      </c>
      <c r="B223" s="11" t="s">
        <v>241</v>
      </c>
      <c r="C223" s="11" t="s">
        <v>242</v>
      </c>
      <c r="D223" s="11" t="s">
        <v>243</v>
      </c>
      <c r="E223" s="14">
        <v>6</v>
      </c>
      <c r="F223" s="13">
        <v>0.8</v>
      </c>
      <c r="G223" s="11">
        <v>73</v>
      </c>
      <c r="H223" s="13">
        <v>0.1</v>
      </c>
      <c r="I223" s="13">
        <v>0.5</v>
      </c>
      <c r="J223" s="11" t="s">
        <v>119</v>
      </c>
      <c r="K223" s="11">
        <v>20</v>
      </c>
      <c r="L223" s="13">
        <v>0.12</v>
      </c>
      <c r="M223" s="13">
        <v>0.26</v>
      </c>
      <c r="N223" s="13">
        <v>0.5</v>
      </c>
    </row>
    <row r="224" spans="1:14" x14ac:dyDescent="0.2">
      <c r="A224" s="11" t="s">
        <v>236</v>
      </c>
      <c r="J224" s="11" t="s">
        <v>155</v>
      </c>
      <c r="K224" s="11">
        <v>40</v>
      </c>
      <c r="L224" s="13">
        <v>0.13</v>
      </c>
      <c r="M224" s="13">
        <v>0.27</v>
      </c>
      <c r="N224" s="13">
        <v>0.5</v>
      </c>
    </row>
    <row r="225" spans="1:14" x14ac:dyDescent="0.2">
      <c r="A225" s="11" t="s">
        <v>236</v>
      </c>
      <c r="J225" s="11" t="s">
        <v>156</v>
      </c>
      <c r="K225" s="11">
        <v>60</v>
      </c>
      <c r="L225" s="13">
        <v>0.11</v>
      </c>
      <c r="M225" s="13">
        <v>0.24</v>
      </c>
      <c r="N225" s="13">
        <v>0.45</v>
      </c>
    </row>
    <row r="226" spans="1:14" x14ac:dyDescent="0.2">
      <c r="A226" s="11" t="s">
        <v>236</v>
      </c>
      <c r="J226" s="11" t="s">
        <v>133</v>
      </c>
      <c r="K226" s="11">
        <v>90</v>
      </c>
      <c r="L226" s="13">
        <v>0.1</v>
      </c>
      <c r="M226" s="13">
        <v>0.23</v>
      </c>
      <c r="N226" s="13">
        <v>0.43</v>
      </c>
    </row>
    <row r="227" spans="1:14" x14ac:dyDescent="0.2">
      <c r="A227" s="11" t="s">
        <v>236</v>
      </c>
      <c r="J227" s="11" t="s">
        <v>181</v>
      </c>
      <c r="K227" s="11">
        <v>120</v>
      </c>
      <c r="L227" s="13">
        <v>0.1</v>
      </c>
      <c r="M227" s="13">
        <v>0.23</v>
      </c>
      <c r="N227" s="13">
        <v>0.43</v>
      </c>
    </row>
    <row r="228" spans="1:14" x14ac:dyDescent="0.2">
      <c r="A228" s="11" t="s">
        <v>236</v>
      </c>
      <c r="J228" s="11" t="s">
        <v>181</v>
      </c>
      <c r="K228" s="11">
        <v>150</v>
      </c>
      <c r="L228" s="13">
        <v>0.1</v>
      </c>
      <c r="M228" s="13">
        <v>0.23</v>
      </c>
      <c r="N228" s="13">
        <v>0.43</v>
      </c>
    </row>
    <row r="229" spans="1:14" x14ac:dyDescent="0.2">
      <c r="A229" s="11" t="s">
        <v>236</v>
      </c>
      <c r="J229" s="11" t="s">
        <v>207</v>
      </c>
      <c r="K229" s="11">
        <v>180</v>
      </c>
      <c r="L229" s="13">
        <v>0.1</v>
      </c>
      <c r="M229" s="13">
        <v>0.23</v>
      </c>
      <c r="N229" s="13">
        <v>0.43</v>
      </c>
    </row>
    <row r="230" spans="1:14" x14ac:dyDescent="0.2">
      <c r="A230" s="11" t="s">
        <v>236</v>
      </c>
      <c r="J230" s="11" t="s">
        <v>207</v>
      </c>
      <c r="K230" s="11">
        <v>210</v>
      </c>
      <c r="L230" s="13">
        <v>0.1</v>
      </c>
      <c r="M230" s="13">
        <v>0.23</v>
      </c>
      <c r="N230" s="13">
        <v>0.43</v>
      </c>
    </row>
    <row r="231" spans="1:14" x14ac:dyDescent="0.2">
      <c r="A231" s="11" t="s">
        <v>244</v>
      </c>
      <c r="B231" s="11" t="s">
        <v>245</v>
      </c>
      <c r="C231" s="11" t="s">
        <v>246</v>
      </c>
      <c r="D231" s="11" t="s">
        <v>111</v>
      </c>
      <c r="E231" s="14">
        <v>10</v>
      </c>
      <c r="F231" s="13">
        <v>0.6</v>
      </c>
      <c r="G231" s="11">
        <v>81</v>
      </c>
      <c r="H231" s="13">
        <v>0.1</v>
      </c>
      <c r="I231" s="13">
        <v>0.5</v>
      </c>
      <c r="J231" s="11" t="s">
        <v>112</v>
      </c>
      <c r="K231" s="11">
        <v>20</v>
      </c>
      <c r="L231" s="13">
        <v>0.17</v>
      </c>
      <c r="M231" s="13">
        <v>0.31000000000000011</v>
      </c>
      <c r="N231" s="13">
        <v>0.56000000000000005</v>
      </c>
    </row>
    <row r="232" spans="1:14" x14ac:dyDescent="0.2">
      <c r="A232" s="11" t="s">
        <v>244</v>
      </c>
      <c r="J232" s="11" t="s">
        <v>113</v>
      </c>
      <c r="K232" s="11">
        <v>40</v>
      </c>
      <c r="L232" s="13">
        <v>0.22</v>
      </c>
      <c r="M232" s="13">
        <v>0.35</v>
      </c>
      <c r="N232" s="13">
        <v>0.5</v>
      </c>
    </row>
    <row r="233" spans="1:14" x14ac:dyDescent="0.2">
      <c r="A233" s="11" t="s">
        <v>244</v>
      </c>
      <c r="J233" s="11" t="s">
        <v>114</v>
      </c>
      <c r="K233" s="11">
        <v>60</v>
      </c>
      <c r="L233" s="13">
        <v>0.25</v>
      </c>
      <c r="M233" s="13">
        <v>0.37</v>
      </c>
      <c r="N233" s="13">
        <v>0.45</v>
      </c>
    </row>
    <row r="234" spans="1:14" x14ac:dyDescent="0.2">
      <c r="A234" s="11" t="s">
        <v>244</v>
      </c>
      <c r="J234" s="11" t="s">
        <v>115</v>
      </c>
      <c r="K234" s="11">
        <v>80</v>
      </c>
      <c r="L234" s="13">
        <v>0.15</v>
      </c>
      <c r="M234" s="13">
        <v>0.27</v>
      </c>
      <c r="N234" s="13">
        <v>0.41</v>
      </c>
    </row>
    <row r="235" spans="1:14" x14ac:dyDescent="0.2">
      <c r="A235" s="11" t="s">
        <v>244</v>
      </c>
      <c r="B235" s="11" t="s">
        <v>247</v>
      </c>
      <c r="C235" s="11" t="s">
        <v>248</v>
      </c>
      <c r="D235" s="11" t="s">
        <v>151</v>
      </c>
      <c r="E235" s="14">
        <v>10</v>
      </c>
      <c r="F235" s="13">
        <v>0.6</v>
      </c>
      <c r="G235" s="11">
        <v>79</v>
      </c>
      <c r="H235" s="13">
        <v>0.1</v>
      </c>
      <c r="I235" s="13">
        <v>0.5</v>
      </c>
      <c r="J235" s="11" t="s">
        <v>131</v>
      </c>
      <c r="K235" s="11">
        <v>20</v>
      </c>
      <c r="L235" s="13">
        <v>0.17</v>
      </c>
      <c r="M235" s="13">
        <v>0.32</v>
      </c>
      <c r="N235" s="13">
        <v>0.54</v>
      </c>
    </row>
    <row r="236" spans="1:14" x14ac:dyDescent="0.2">
      <c r="A236" s="11" t="s">
        <v>244</v>
      </c>
      <c r="J236" s="11" t="s">
        <v>120</v>
      </c>
      <c r="K236" s="11">
        <v>40</v>
      </c>
      <c r="L236" s="13">
        <v>0.21</v>
      </c>
      <c r="M236" s="13">
        <v>0.35</v>
      </c>
      <c r="N236" s="13">
        <v>0.5</v>
      </c>
    </row>
    <row r="237" spans="1:14" x14ac:dyDescent="0.2">
      <c r="A237" s="11" t="s">
        <v>244</v>
      </c>
      <c r="J237" s="11" t="s">
        <v>144</v>
      </c>
      <c r="K237" s="11">
        <v>60</v>
      </c>
      <c r="L237" s="13">
        <v>0.23</v>
      </c>
      <c r="M237" s="13">
        <v>0.36</v>
      </c>
      <c r="N237" s="13">
        <v>0.47</v>
      </c>
    </row>
    <row r="238" spans="1:14" x14ac:dyDescent="0.2">
      <c r="A238" s="11" t="s">
        <v>244</v>
      </c>
      <c r="J238" s="11" t="s">
        <v>144</v>
      </c>
      <c r="K238" s="11">
        <v>90</v>
      </c>
      <c r="L238" s="13">
        <v>0.23</v>
      </c>
      <c r="M238" s="13">
        <v>0.36</v>
      </c>
      <c r="N238" s="13">
        <v>0.45</v>
      </c>
    </row>
    <row r="239" spans="1:14" x14ac:dyDescent="0.2">
      <c r="A239" s="11" t="s">
        <v>244</v>
      </c>
      <c r="J239" s="11" t="s">
        <v>122</v>
      </c>
      <c r="K239" s="11">
        <v>120</v>
      </c>
      <c r="L239" s="13">
        <v>0.17</v>
      </c>
      <c r="M239" s="13">
        <v>0.3</v>
      </c>
      <c r="N239" s="13">
        <v>0.43</v>
      </c>
    </row>
    <row r="240" spans="1:14" x14ac:dyDescent="0.2">
      <c r="A240" s="11" t="s">
        <v>244</v>
      </c>
      <c r="J240" s="11" t="s">
        <v>123</v>
      </c>
      <c r="K240" s="11">
        <v>150</v>
      </c>
      <c r="L240" s="13">
        <v>0.14000000000000001</v>
      </c>
      <c r="M240" s="13">
        <v>0.27</v>
      </c>
      <c r="N240" s="13">
        <v>0.41</v>
      </c>
    </row>
    <row r="241" spans="1:14" x14ac:dyDescent="0.2">
      <c r="A241" s="11" t="s">
        <v>244</v>
      </c>
      <c r="B241" s="11" t="s">
        <v>249</v>
      </c>
      <c r="C241" s="11" t="s">
        <v>250</v>
      </c>
      <c r="D241" s="11" t="s">
        <v>151</v>
      </c>
      <c r="E241" s="14">
        <v>10</v>
      </c>
      <c r="F241" s="13">
        <v>0.6</v>
      </c>
      <c r="G241" s="11">
        <v>81</v>
      </c>
      <c r="H241" s="13">
        <v>0.1</v>
      </c>
      <c r="I241" s="13">
        <v>0.5</v>
      </c>
      <c r="J241" s="11" t="s">
        <v>131</v>
      </c>
      <c r="K241" s="11">
        <v>20</v>
      </c>
      <c r="L241" s="13">
        <v>0.17</v>
      </c>
      <c r="M241" s="13">
        <v>0.32</v>
      </c>
      <c r="N241" s="13">
        <v>0.54</v>
      </c>
    </row>
    <row r="242" spans="1:14" x14ac:dyDescent="0.2">
      <c r="A242" s="11" t="s">
        <v>244</v>
      </c>
      <c r="J242" s="11" t="s">
        <v>120</v>
      </c>
      <c r="K242" s="11">
        <v>40</v>
      </c>
      <c r="L242" s="13">
        <v>0.21</v>
      </c>
      <c r="M242" s="13">
        <v>0.35</v>
      </c>
      <c r="N242" s="13">
        <v>0.5</v>
      </c>
    </row>
    <row r="243" spans="1:14" x14ac:dyDescent="0.2">
      <c r="A243" s="11" t="s">
        <v>244</v>
      </c>
      <c r="J243" s="11" t="s">
        <v>144</v>
      </c>
      <c r="K243" s="11">
        <v>60</v>
      </c>
      <c r="L243" s="13">
        <v>0.23</v>
      </c>
      <c r="M243" s="13">
        <v>0.36</v>
      </c>
      <c r="N243" s="13">
        <v>0.47</v>
      </c>
    </row>
    <row r="244" spans="1:14" x14ac:dyDescent="0.2">
      <c r="A244" s="11" t="s">
        <v>244</v>
      </c>
      <c r="J244" s="11" t="s">
        <v>144</v>
      </c>
      <c r="K244" s="11">
        <v>90</v>
      </c>
      <c r="L244" s="13">
        <v>0.23</v>
      </c>
      <c r="M244" s="13">
        <v>0.36</v>
      </c>
      <c r="N244" s="13">
        <v>0.45</v>
      </c>
    </row>
    <row r="245" spans="1:14" x14ac:dyDescent="0.2">
      <c r="A245" s="11" t="s">
        <v>244</v>
      </c>
      <c r="J245" s="11" t="s">
        <v>122</v>
      </c>
      <c r="K245" s="11">
        <v>120</v>
      </c>
      <c r="L245" s="13">
        <v>0.17</v>
      </c>
      <c r="M245" s="13">
        <v>0.3</v>
      </c>
      <c r="N245" s="13">
        <v>0.43</v>
      </c>
    </row>
    <row r="246" spans="1:14" x14ac:dyDescent="0.2">
      <c r="A246" s="11" t="s">
        <v>251</v>
      </c>
      <c r="B246" s="11" t="s">
        <v>252</v>
      </c>
      <c r="C246" s="11" t="s">
        <v>253</v>
      </c>
      <c r="D246" s="11" t="s">
        <v>118</v>
      </c>
      <c r="E246" s="14">
        <v>10</v>
      </c>
      <c r="F246" s="13">
        <v>0.4</v>
      </c>
      <c r="G246" s="11">
        <v>81</v>
      </c>
      <c r="H246" s="13">
        <v>0.1</v>
      </c>
      <c r="I246" s="13">
        <v>0.5</v>
      </c>
      <c r="J246" s="11" t="s">
        <v>119</v>
      </c>
      <c r="K246" s="11">
        <v>20</v>
      </c>
      <c r="L246" s="13">
        <v>0.15</v>
      </c>
      <c r="M246" s="13">
        <v>0.28999999999999998</v>
      </c>
      <c r="N246" s="13">
        <v>0.54</v>
      </c>
    </row>
    <row r="247" spans="1:14" x14ac:dyDescent="0.2">
      <c r="A247" s="11" t="s">
        <v>251</v>
      </c>
      <c r="J247" s="11" t="s">
        <v>120</v>
      </c>
      <c r="K247" s="11">
        <v>40</v>
      </c>
      <c r="L247" s="13">
        <v>0.17</v>
      </c>
      <c r="M247" s="13">
        <v>0.3</v>
      </c>
      <c r="N247" s="13">
        <v>0.47</v>
      </c>
    </row>
    <row r="248" spans="1:14" x14ac:dyDescent="0.2">
      <c r="A248" s="11" t="s">
        <v>251</v>
      </c>
      <c r="J248" s="11" t="s">
        <v>121</v>
      </c>
      <c r="K248" s="11">
        <v>60</v>
      </c>
      <c r="L248" s="13">
        <v>0.19</v>
      </c>
      <c r="M248" s="13">
        <v>0.31</v>
      </c>
      <c r="N248" s="13">
        <v>0.41</v>
      </c>
    </row>
    <row r="249" spans="1:14" x14ac:dyDescent="0.2">
      <c r="A249" s="11" t="s">
        <v>251</v>
      </c>
      <c r="J249" s="11" t="s">
        <v>122</v>
      </c>
      <c r="K249" s="11">
        <v>90</v>
      </c>
      <c r="L249" s="13">
        <v>0.13</v>
      </c>
      <c r="M249" s="13">
        <v>0.26</v>
      </c>
      <c r="N249" s="13">
        <v>0.43</v>
      </c>
    </row>
    <row r="250" spans="1:14" x14ac:dyDescent="0.2">
      <c r="A250" s="11" t="s">
        <v>251</v>
      </c>
      <c r="J250" s="11" t="s">
        <v>123</v>
      </c>
      <c r="K250" s="11">
        <v>120</v>
      </c>
      <c r="L250" s="13">
        <v>0.12</v>
      </c>
      <c r="M250" s="13">
        <v>0.24</v>
      </c>
      <c r="N250" s="13">
        <v>0.41</v>
      </c>
    </row>
    <row r="251" spans="1:14" x14ac:dyDescent="0.2">
      <c r="A251" s="11" t="s">
        <v>251</v>
      </c>
      <c r="B251" s="11" t="s">
        <v>254</v>
      </c>
      <c r="C251" s="11" t="s">
        <v>117</v>
      </c>
      <c r="D251" s="11" t="s">
        <v>118</v>
      </c>
      <c r="E251" s="14">
        <v>10</v>
      </c>
      <c r="F251" s="13">
        <v>0.4</v>
      </c>
      <c r="G251" s="11">
        <v>79</v>
      </c>
      <c r="H251" s="13">
        <v>0.1</v>
      </c>
      <c r="I251" s="13">
        <v>0.5</v>
      </c>
      <c r="J251" s="11" t="s">
        <v>119</v>
      </c>
      <c r="K251" s="11">
        <v>20</v>
      </c>
      <c r="L251" s="13">
        <v>0.15</v>
      </c>
      <c r="M251" s="13">
        <v>0.28999999999999998</v>
      </c>
      <c r="N251" s="13">
        <v>0.54</v>
      </c>
    </row>
    <row r="252" spans="1:14" x14ac:dyDescent="0.2">
      <c r="A252" s="11" t="s">
        <v>251</v>
      </c>
      <c r="J252" s="11" t="s">
        <v>120</v>
      </c>
      <c r="K252" s="11">
        <v>40</v>
      </c>
      <c r="L252" s="13">
        <v>0.17</v>
      </c>
      <c r="M252" s="13">
        <v>0.3</v>
      </c>
      <c r="N252" s="13">
        <v>0.47</v>
      </c>
    </row>
    <row r="253" spans="1:14" x14ac:dyDescent="0.2">
      <c r="A253" s="11" t="s">
        <v>251</v>
      </c>
      <c r="J253" s="11" t="s">
        <v>121</v>
      </c>
      <c r="K253" s="11">
        <v>60</v>
      </c>
      <c r="L253" s="13">
        <v>0.19</v>
      </c>
      <c r="M253" s="13">
        <v>0.31</v>
      </c>
      <c r="N253" s="13">
        <v>0.41</v>
      </c>
    </row>
    <row r="254" spans="1:14" x14ac:dyDescent="0.2">
      <c r="A254" s="11" t="s">
        <v>251</v>
      </c>
      <c r="J254" s="11" t="s">
        <v>122</v>
      </c>
      <c r="K254" s="11">
        <v>90</v>
      </c>
      <c r="L254" s="13">
        <v>0.13</v>
      </c>
      <c r="M254" s="13">
        <v>0.26</v>
      </c>
      <c r="N254" s="13">
        <v>0.43</v>
      </c>
    </row>
    <row r="255" spans="1:14" x14ac:dyDescent="0.2">
      <c r="A255" s="11" t="s">
        <v>251</v>
      </c>
      <c r="J255" s="11" t="s">
        <v>123</v>
      </c>
      <c r="K255" s="11">
        <v>120</v>
      </c>
      <c r="L255" s="13">
        <v>0.12</v>
      </c>
      <c r="M255" s="13">
        <v>0.24</v>
      </c>
      <c r="N255" s="13">
        <v>0.41</v>
      </c>
    </row>
    <row r="256" spans="1:14" x14ac:dyDescent="0.2">
      <c r="A256" s="11" t="s">
        <v>251</v>
      </c>
      <c r="J256" s="11" t="s">
        <v>123</v>
      </c>
      <c r="K256" s="11">
        <v>140</v>
      </c>
      <c r="L256" s="13">
        <v>0.12</v>
      </c>
      <c r="M256" s="13">
        <v>0.24</v>
      </c>
      <c r="N256" s="13">
        <v>0.41</v>
      </c>
    </row>
    <row r="257" spans="1:14" x14ac:dyDescent="0.2">
      <c r="A257" s="11" t="s">
        <v>251</v>
      </c>
      <c r="B257" s="11" t="s">
        <v>255</v>
      </c>
      <c r="C257" s="11" t="s">
        <v>125</v>
      </c>
      <c r="D257" s="11" t="s">
        <v>118</v>
      </c>
      <c r="E257" s="14">
        <v>10</v>
      </c>
      <c r="F257" s="13">
        <v>0.4</v>
      </c>
      <c r="G257" s="11">
        <v>81</v>
      </c>
      <c r="H257" s="13">
        <v>0.1</v>
      </c>
      <c r="I257" s="13">
        <v>0.5</v>
      </c>
      <c r="J257" s="11" t="s">
        <v>119</v>
      </c>
      <c r="K257" s="11">
        <v>20</v>
      </c>
      <c r="L257" s="13">
        <v>0.15</v>
      </c>
      <c r="M257" s="13">
        <v>0.28000000000000003</v>
      </c>
      <c r="N257" s="13">
        <v>0.5</v>
      </c>
    </row>
    <row r="258" spans="1:14" x14ac:dyDescent="0.2">
      <c r="A258" s="11" t="s">
        <v>251</v>
      </c>
      <c r="J258" s="11" t="s">
        <v>126</v>
      </c>
      <c r="K258" s="11">
        <v>40</v>
      </c>
      <c r="L258" s="13">
        <v>0.22</v>
      </c>
      <c r="M258" s="13">
        <v>0.34</v>
      </c>
      <c r="N258" s="13">
        <v>0.47</v>
      </c>
    </row>
    <row r="259" spans="1:14" x14ac:dyDescent="0.2">
      <c r="A259" s="11" t="s">
        <v>251</v>
      </c>
      <c r="J259" s="11" t="s">
        <v>126</v>
      </c>
      <c r="K259" s="11">
        <v>60</v>
      </c>
      <c r="L259" s="13">
        <v>0.22</v>
      </c>
      <c r="M259" s="13">
        <v>0.34</v>
      </c>
      <c r="N259" s="13">
        <v>0.43</v>
      </c>
    </row>
    <row r="260" spans="1:14" x14ac:dyDescent="0.2">
      <c r="A260" s="11" t="s">
        <v>251</v>
      </c>
      <c r="J260" s="11" t="s">
        <v>122</v>
      </c>
      <c r="K260" s="11">
        <v>90</v>
      </c>
      <c r="L260" s="13">
        <v>0.14000000000000001</v>
      </c>
      <c r="M260" s="13">
        <v>0.27</v>
      </c>
      <c r="N260" s="13">
        <v>0.43</v>
      </c>
    </row>
    <row r="261" spans="1:14" x14ac:dyDescent="0.2">
      <c r="A261" s="11" t="s">
        <v>251</v>
      </c>
      <c r="J261" s="11" t="s">
        <v>123</v>
      </c>
      <c r="K261" s="11">
        <v>100</v>
      </c>
      <c r="L261" s="13">
        <v>0.12</v>
      </c>
      <c r="M261" s="13">
        <v>0.25</v>
      </c>
      <c r="N261" s="13">
        <v>0.41</v>
      </c>
    </row>
    <row r="262" spans="1:14" x14ac:dyDescent="0.2">
      <c r="A262" s="11" t="s">
        <v>256</v>
      </c>
      <c r="B262" s="11" t="s">
        <v>257</v>
      </c>
      <c r="C262" s="11" t="s">
        <v>258</v>
      </c>
      <c r="D262" s="11" t="s">
        <v>259</v>
      </c>
      <c r="E262" s="14">
        <v>10</v>
      </c>
      <c r="F262" s="13">
        <v>0.4</v>
      </c>
      <c r="G262" s="11">
        <v>86</v>
      </c>
      <c r="H262" s="13">
        <v>0.05</v>
      </c>
      <c r="I262" s="13">
        <v>0.7</v>
      </c>
      <c r="J262" s="11" t="s">
        <v>155</v>
      </c>
      <c r="K262" s="11">
        <v>20</v>
      </c>
      <c r="L262" s="13">
        <v>0.17</v>
      </c>
      <c r="M262" s="13">
        <v>0.32</v>
      </c>
      <c r="N262" s="13">
        <v>0.54</v>
      </c>
    </row>
    <row r="263" spans="1:14" x14ac:dyDescent="0.2">
      <c r="A263" s="11" t="s">
        <v>256</v>
      </c>
      <c r="J263" s="11" t="s">
        <v>144</v>
      </c>
      <c r="K263" s="11">
        <v>40</v>
      </c>
      <c r="L263" s="13">
        <v>0.25</v>
      </c>
      <c r="M263" s="13">
        <v>0.39</v>
      </c>
      <c r="N263" s="13">
        <v>0.54</v>
      </c>
    </row>
    <row r="264" spans="1:14" x14ac:dyDescent="0.2">
      <c r="A264" s="11" t="s">
        <v>256</v>
      </c>
      <c r="J264" s="11" t="s">
        <v>260</v>
      </c>
      <c r="K264" s="11">
        <v>60</v>
      </c>
      <c r="L264" s="13">
        <v>0.28999999999999998</v>
      </c>
      <c r="M264" s="13">
        <v>0.42</v>
      </c>
      <c r="N264" s="13">
        <v>0.48</v>
      </c>
    </row>
    <row r="265" spans="1:14" x14ac:dyDescent="0.2">
      <c r="A265" s="11" t="s">
        <v>256</v>
      </c>
      <c r="J265" s="11" t="s">
        <v>261</v>
      </c>
      <c r="K265" s="11">
        <v>90</v>
      </c>
      <c r="L265" s="13">
        <v>0.28000000000000003</v>
      </c>
      <c r="M265" s="13">
        <v>0.41</v>
      </c>
      <c r="N265" s="13">
        <v>0.47</v>
      </c>
    </row>
    <row r="266" spans="1:14" x14ac:dyDescent="0.2">
      <c r="A266" s="11" t="s">
        <v>256</v>
      </c>
      <c r="J266" s="11" t="s">
        <v>262</v>
      </c>
      <c r="K266" s="11">
        <v>120</v>
      </c>
      <c r="L266" s="13">
        <v>0.24</v>
      </c>
      <c r="M266" s="13">
        <v>0.37</v>
      </c>
      <c r="N266" s="13">
        <v>0.45</v>
      </c>
    </row>
    <row r="267" spans="1:14" x14ac:dyDescent="0.2">
      <c r="A267" s="11" t="s">
        <v>256</v>
      </c>
      <c r="J267" s="11" t="s">
        <v>262</v>
      </c>
      <c r="K267" s="11">
        <v>150</v>
      </c>
      <c r="L267" s="13">
        <v>0.26</v>
      </c>
      <c r="M267" s="13">
        <v>0.39</v>
      </c>
      <c r="N267" s="13">
        <v>0.45</v>
      </c>
    </row>
    <row r="268" spans="1:14" x14ac:dyDescent="0.2">
      <c r="A268" s="11" t="s">
        <v>256</v>
      </c>
      <c r="J268" s="11" t="s">
        <v>262</v>
      </c>
      <c r="K268" s="11">
        <v>180</v>
      </c>
      <c r="L268" s="13">
        <v>0.26</v>
      </c>
      <c r="M268" s="13">
        <v>0.39</v>
      </c>
      <c r="N268" s="13">
        <v>0.45</v>
      </c>
    </row>
    <row r="269" spans="1:14" x14ac:dyDescent="0.2">
      <c r="A269" s="11" t="s">
        <v>256</v>
      </c>
      <c r="B269" s="11" t="s">
        <v>263</v>
      </c>
      <c r="C269" s="11" t="s">
        <v>264</v>
      </c>
      <c r="D269" s="11" t="s">
        <v>265</v>
      </c>
      <c r="E269" s="14">
        <v>20</v>
      </c>
      <c r="F269" s="13">
        <v>0.2</v>
      </c>
      <c r="G269" s="11">
        <v>86</v>
      </c>
      <c r="H269" s="13">
        <v>0.05</v>
      </c>
      <c r="I269" s="13">
        <v>0.7</v>
      </c>
      <c r="J269" s="11" t="s">
        <v>155</v>
      </c>
      <c r="K269" s="11">
        <v>20</v>
      </c>
      <c r="L269" s="13">
        <v>0.26</v>
      </c>
      <c r="M269" s="13">
        <v>0.4</v>
      </c>
      <c r="N269" s="13">
        <v>0.48</v>
      </c>
    </row>
    <row r="270" spans="1:14" x14ac:dyDescent="0.2">
      <c r="A270" s="11" t="s">
        <v>256</v>
      </c>
      <c r="J270" s="11" t="s">
        <v>266</v>
      </c>
      <c r="K270" s="11">
        <v>40</v>
      </c>
      <c r="L270" s="13">
        <v>0.32</v>
      </c>
      <c r="M270" s="13">
        <v>0.45</v>
      </c>
      <c r="N270" s="13">
        <v>0.55000000000000004</v>
      </c>
    </row>
    <row r="271" spans="1:14" x14ac:dyDescent="0.2">
      <c r="A271" s="11" t="s">
        <v>256</v>
      </c>
      <c r="J271" s="11" t="s">
        <v>266</v>
      </c>
      <c r="K271" s="11">
        <v>60</v>
      </c>
      <c r="L271" s="13">
        <v>0.34</v>
      </c>
      <c r="M271" s="13">
        <v>0.47</v>
      </c>
      <c r="N271" s="13">
        <v>0.55000000000000004</v>
      </c>
    </row>
    <row r="272" spans="1:14" x14ac:dyDescent="0.2">
      <c r="A272" s="11" t="s">
        <v>256</v>
      </c>
      <c r="J272" s="11" t="s">
        <v>267</v>
      </c>
      <c r="K272" s="11">
        <v>90</v>
      </c>
      <c r="L272" s="13">
        <v>0.35</v>
      </c>
      <c r="M272" s="13">
        <v>0.47</v>
      </c>
      <c r="N272" s="13">
        <v>0.55000000000000004</v>
      </c>
    </row>
    <row r="273" spans="1:14" x14ac:dyDescent="0.2">
      <c r="A273" s="11" t="s">
        <v>256</v>
      </c>
      <c r="J273" s="11" t="s">
        <v>262</v>
      </c>
      <c r="K273" s="11">
        <v>120</v>
      </c>
      <c r="L273" s="13">
        <v>0.37</v>
      </c>
      <c r="M273" s="13">
        <v>0.49</v>
      </c>
      <c r="N273" s="13">
        <v>0.55000000000000004</v>
      </c>
    </row>
    <row r="274" spans="1:14" x14ac:dyDescent="0.2">
      <c r="A274" s="11" t="s">
        <v>256</v>
      </c>
      <c r="J274" s="11" t="s">
        <v>262</v>
      </c>
      <c r="K274" s="11">
        <v>150</v>
      </c>
      <c r="L274" s="13">
        <v>0.37</v>
      </c>
      <c r="M274" s="13">
        <v>0.49</v>
      </c>
      <c r="N274" s="13">
        <v>0.55000000000000004</v>
      </c>
    </row>
    <row r="275" spans="1:14" x14ac:dyDescent="0.2">
      <c r="A275" s="11" t="s">
        <v>268</v>
      </c>
      <c r="B275" s="11" t="s">
        <v>269</v>
      </c>
      <c r="C275" s="11" t="s">
        <v>270</v>
      </c>
      <c r="D275" s="11" t="s">
        <v>271</v>
      </c>
      <c r="E275" s="14">
        <v>8</v>
      </c>
      <c r="F275" s="13">
        <v>0.6</v>
      </c>
      <c r="G275" s="11">
        <v>73</v>
      </c>
      <c r="H275" s="13">
        <v>0.1</v>
      </c>
      <c r="I275" s="13">
        <v>0.3</v>
      </c>
      <c r="J275" s="11" t="s">
        <v>155</v>
      </c>
      <c r="K275" s="11">
        <v>20</v>
      </c>
      <c r="L275" s="13">
        <v>0.05</v>
      </c>
      <c r="M275" s="13">
        <v>0.15</v>
      </c>
      <c r="N275" s="13">
        <v>0.4</v>
      </c>
    </row>
    <row r="276" spans="1:14" x14ac:dyDescent="0.2">
      <c r="A276" s="11" t="s">
        <v>268</v>
      </c>
      <c r="J276" s="11" t="s">
        <v>156</v>
      </c>
      <c r="K276" s="11">
        <v>40</v>
      </c>
      <c r="L276" s="13">
        <v>0.05</v>
      </c>
      <c r="M276" s="13">
        <v>0.14000000000000001</v>
      </c>
      <c r="N276" s="13">
        <v>0.39</v>
      </c>
    </row>
    <row r="277" spans="1:14" x14ac:dyDescent="0.2">
      <c r="A277" s="11" t="s">
        <v>268</v>
      </c>
      <c r="J277" s="11" t="s">
        <v>123</v>
      </c>
      <c r="K277" s="11">
        <v>60</v>
      </c>
      <c r="L277" s="13">
        <v>0.05</v>
      </c>
      <c r="M277" s="13">
        <v>0.14000000000000001</v>
      </c>
      <c r="N277" s="13">
        <v>0.38</v>
      </c>
    </row>
    <row r="278" spans="1:14" x14ac:dyDescent="0.2">
      <c r="A278" s="11" t="s">
        <v>268</v>
      </c>
      <c r="J278" s="11" t="s">
        <v>123</v>
      </c>
      <c r="K278" s="11">
        <v>90</v>
      </c>
      <c r="L278" s="13">
        <v>0.05</v>
      </c>
      <c r="M278" s="13">
        <v>0.14000000000000001</v>
      </c>
      <c r="N278" s="13">
        <v>0.38</v>
      </c>
    </row>
    <row r="279" spans="1:14" x14ac:dyDescent="0.2">
      <c r="A279" s="11" t="s">
        <v>268</v>
      </c>
      <c r="J279" s="11" t="s">
        <v>123</v>
      </c>
      <c r="K279" s="11">
        <v>120</v>
      </c>
      <c r="L279" s="13">
        <v>0.05</v>
      </c>
      <c r="M279" s="13">
        <v>0.14000000000000001</v>
      </c>
      <c r="N279" s="13">
        <v>0.38</v>
      </c>
    </row>
    <row r="280" spans="1:14" x14ac:dyDescent="0.2">
      <c r="A280" s="11" t="s">
        <v>268</v>
      </c>
      <c r="J280" s="11" t="s">
        <v>123</v>
      </c>
      <c r="K280" s="11">
        <v>150</v>
      </c>
      <c r="L280" s="13">
        <v>0.05</v>
      </c>
      <c r="M280" s="13">
        <v>0.14000000000000001</v>
      </c>
      <c r="N280" s="13">
        <v>0.38</v>
      </c>
    </row>
    <row r="281" spans="1:14" x14ac:dyDescent="0.2">
      <c r="A281" s="11" t="s">
        <v>268</v>
      </c>
      <c r="J281" s="11" t="s">
        <v>123</v>
      </c>
      <c r="K281" s="11">
        <v>180</v>
      </c>
      <c r="L281" s="13">
        <v>0.05</v>
      </c>
      <c r="M281" s="13">
        <v>0.14000000000000001</v>
      </c>
      <c r="N281" s="13">
        <v>0.38</v>
      </c>
    </row>
    <row r="282" spans="1:14" x14ac:dyDescent="0.2">
      <c r="A282" s="11" t="s">
        <v>268</v>
      </c>
      <c r="J282" s="11" t="s">
        <v>123</v>
      </c>
      <c r="K282" s="11">
        <v>210</v>
      </c>
      <c r="L282" s="13">
        <v>0.05</v>
      </c>
      <c r="M282" s="13">
        <v>0.14000000000000001</v>
      </c>
      <c r="N282" s="13">
        <v>0.38</v>
      </c>
    </row>
    <row r="283" spans="1:14" x14ac:dyDescent="0.2">
      <c r="A283" s="11" t="s">
        <v>268</v>
      </c>
      <c r="B283" s="11" t="s">
        <v>272</v>
      </c>
      <c r="C283" s="11" t="s">
        <v>273</v>
      </c>
      <c r="D283" s="11" t="s">
        <v>274</v>
      </c>
      <c r="E283" s="14">
        <v>6</v>
      </c>
      <c r="F283" s="13">
        <v>0.8</v>
      </c>
      <c r="G283" s="11">
        <v>71</v>
      </c>
      <c r="H283" s="13">
        <v>0.1</v>
      </c>
      <c r="I283" s="13">
        <v>0.3</v>
      </c>
      <c r="J283" s="11" t="s">
        <v>155</v>
      </c>
      <c r="K283" s="11">
        <v>20</v>
      </c>
      <c r="L283" s="13">
        <v>0.05</v>
      </c>
      <c r="M283" s="13">
        <v>0.13</v>
      </c>
      <c r="N283" s="13">
        <v>0.39</v>
      </c>
    </row>
    <row r="284" spans="1:14" x14ac:dyDescent="0.2">
      <c r="A284" s="11" t="s">
        <v>268</v>
      </c>
      <c r="J284" s="11" t="s">
        <v>156</v>
      </c>
      <c r="K284" s="11">
        <v>40</v>
      </c>
      <c r="L284" s="13">
        <v>0.04</v>
      </c>
      <c r="M284" s="13">
        <v>0.12</v>
      </c>
      <c r="N284" s="13">
        <v>0.38</v>
      </c>
    </row>
    <row r="285" spans="1:14" x14ac:dyDescent="0.2">
      <c r="A285" s="11" t="s">
        <v>268</v>
      </c>
      <c r="J285" s="11" t="s">
        <v>123</v>
      </c>
      <c r="K285" s="11">
        <v>60</v>
      </c>
      <c r="L285" s="13">
        <v>0.04</v>
      </c>
      <c r="M285" s="13">
        <v>0.11</v>
      </c>
      <c r="N285" s="13">
        <v>0.36</v>
      </c>
    </row>
    <row r="286" spans="1:14" x14ac:dyDescent="0.2">
      <c r="A286" s="11" t="s">
        <v>268</v>
      </c>
      <c r="J286" s="11" t="s">
        <v>123</v>
      </c>
      <c r="K286" s="11">
        <v>90</v>
      </c>
      <c r="L286" s="13">
        <v>0.04</v>
      </c>
      <c r="M286" s="13">
        <v>0.11</v>
      </c>
      <c r="N286" s="13">
        <v>0.36</v>
      </c>
    </row>
    <row r="287" spans="1:14" x14ac:dyDescent="0.2">
      <c r="A287" s="11" t="s">
        <v>268</v>
      </c>
      <c r="J287" s="11" t="s">
        <v>123</v>
      </c>
      <c r="K287" s="11">
        <v>120</v>
      </c>
      <c r="L287" s="13">
        <v>0.04</v>
      </c>
      <c r="M287" s="13">
        <v>0.11</v>
      </c>
      <c r="N287" s="13">
        <v>0.36</v>
      </c>
    </row>
    <row r="288" spans="1:14" x14ac:dyDescent="0.2">
      <c r="A288" s="11" t="s">
        <v>268</v>
      </c>
      <c r="J288" s="11" t="s">
        <v>123</v>
      </c>
      <c r="K288" s="11">
        <v>150</v>
      </c>
      <c r="L288" s="13">
        <v>0.04</v>
      </c>
      <c r="M288" s="13">
        <v>0.11</v>
      </c>
      <c r="N288" s="13">
        <v>0.36</v>
      </c>
    </row>
    <row r="289" spans="1:14" x14ac:dyDescent="0.2">
      <c r="A289" s="11" t="s">
        <v>268</v>
      </c>
      <c r="J289" s="11" t="s">
        <v>123</v>
      </c>
      <c r="K289" s="11">
        <v>180</v>
      </c>
      <c r="L289" s="13">
        <v>0.04</v>
      </c>
      <c r="M289" s="13">
        <v>0.11</v>
      </c>
      <c r="N289" s="13">
        <v>0.36</v>
      </c>
    </row>
    <row r="290" spans="1:14" x14ac:dyDescent="0.2">
      <c r="A290" s="11" t="s">
        <v>268</v>
      </c>
      <c r="J290" s="11" t="s">
        <v>123</v>
      </c>
      <c r="K290" s="11">
        <v>210</v>
      </c>
      <c r="L290" s="13">
        <v>0.04</v>
      </c>
      <c r="M290" s="13">
        <v>0.11</v>
      </c>
      <c r="N290" s="13">
        <v>0.36</v>
      </c>
    </row>
    <row r="291" spans="1:14" x14ac:dyDescent="0.2">
      <c r="A291" s="11" t="s">
        <v>268</v>
      </c>
      <c r="B291" s="11" t="s">
        <v>275</v>
      </c>
      <c r="C291" s="11" t="s">
        <v>276</v>
      </c>
      <c r="D291" s="11" t="s">
        <v>239</v>
      </c>
      <c r="E291" s="14">
        <v>10</v>
      </c>
      <c r="F291" s="13">
        <v>0.4</v>
      </c>
      <c r="G291" s="11">
        <v>74</v>
      </c>
      <c r="H291" s="13">
        <v>0.1</v>
      </c>
      <c r="I291" s="13">
        <v>0.5</v>
      </c>
      <c r="J291" s="11" t="s">
        <v>155</v>
      </c>
      <c r="K291" s="11">
        <v>20</v>
      </c>
      <c r="L291" s="13">
        <v>0.06</v>
      </c>
      <c r="M291" s="13">
        <v>0.18</v>
      </c>
      <c r="N291" s="13">
        <v>0.39</v>
      </c>
    </row>
    <row r="292" spans="1:14" x14ac:dyDescent="0.2">
      <c r="A292" s="11" t="s">
        <v>268</v>
      </c>
      <c r="J292" s="11" t="s">
        <v>156</v>
      </c>
      <c r="K292" s="11">
        <v>40</v>
      </c>
      <c r="L292" s="13">
        <v>0.09</v>
      </c>
      <c r="M292" s="13">
        <v>0.21</v>
      </c>
      <c r="N292" s="13">
        <v>0.39</v>
      </c>
    </row>
    <row r="293" spans="1:14" x14ac:dyDescent="0.2">
      <c r="A293" s="11" t="s">
        <v>268</v>
      </c>
      <c r="J293" s="11" t="s">
        <v>123</v>
      </c>
      <c r="K293" s="11">
        <v>60</v>
      </c>
      <c r="L293" s="13">
        <v>0.09</v>
      </c>
      <c r="M293" s="13">
        <v>0.21</v>
      </c>
      <c r="N293" s="13">
        <v>0.39</v>
      </c>
    </row>
    <row r="294" spans="1:14" x14ac:dyDescent="0.2">
      <c r="A294" s="11" t="s">
        <v>268</v>
      </c>
      <c r="J294" s="11" t="s">
        <v>123</v>
      </c>
      <c r="K294" s="11">
        <v>90</v>
      </c>
      <c r="L294" s="13">
        <v>0.09</v>
      </c>
      <c r="M294" s="13">
        <v>0.21</v>
      </c>
      <c r="N294" s="13">
        <v>0.39</v>
      </c>
    </row>
    <row r="295" spans="1:14" x14ac:dyDescent="0.2">
      <c r="A295" s="11" t="s">
        <v>268</v>
      </c>
      <c r="J295" s="11" t="s">
        <v>123</v>
      </c>
      <c r="K295" s="11">
        <v>120</v>
      </c>
      <c r="L295" s="13">
        <v>0.09</v>
      </c>
      <c r="M295" s="13">
        <v>0.19</v>
      </c>
      <c r="N295" s="13">
        <v>0.38</v>
      </c>
    </row>
    <row r="296" spans="1:14" x14ac:dyDescent="0.2">
      <c r="A296" s="11" t="s">
        <v>268</v>
      </c>
      <c r="J296" s="11" t="s">
        <v>123</v>
      </c>
      <c r="K296" s="11">
        <v>150</v>
      </c>
      <c r="L296" s="13">
        <v>0.09</v>
      </c>
      <c r="M296" s="13">
        <v>0.19</v>
      </c>
      <c r="N296" s="13">
        <v>0.38</v>
      </c>
    </row>
    <row r="297" spans="1:14" x14ac:dyDescent="0.2">
      <c r="A297" s="11" t="s">
        <v>268</v>
      </c>
      <c r="J297" s="11" t="s">
        <v>123</v>
      </c>
      <c r="K297" s="11">
        <v>180</v>
      </c>
      <c r="L297" s="13">
        <v>0.09</v>
      </c>
      <c r="M297" s="13">
        <v>0.19</v>
      </c>
      <c r="N297" s="13">
        <v>0.38</v>
      </c>
    </row>
    <row r="298" spans="1:14" x14ac:dyDescent="0.2">
      <c r="A298" s="11" t="s">
        <v>268</v>
      </c>
      <c r="J298" s="11" t="s">
        <v>123</v>
      </c>
      <c r="K298" s="11">
        <v>210</v>
      </c>
      <c r="L298" s="13">
        <v>0.09</v>
      </c>
      <c r="M298" s="13">
        <v>0.19</v>
      </c>
      <c r="N298" s="13">
        <v>0.38</v>
      </c>
    </row>
    <row r="299" spans="1:14" x14ac:dyDescent="0.2">
      <c r="E299" s="14"/>
      <c r="F299" s="13"/>
      <c r="H299" s="13"/>
      <c r="I299" s="13"/>
      <c r="L299" s="12"/>
      <c r="M299" s="12"/>
      <c r="N299" s="12"/>
    </row>
    <row r="300" spans="1:14" x14ac:dyDescent="0.2">
      <c r="L300" s="12"/>
      <c r="M300" s="12"/>
      <c r="N300" s="12"/>
    </row>
    <row r="301" spans="1:14" x14ac:dyDescent="0.2">
      <c r="L301" s="12"/>
      <c r="M301" s="12"/>
      <c r="N301" s="12"/>
    </row>
    <row r="302" spans="1:14" x14ac:dyDescent="0.2">
      <c r="L302" s="12"/>
      <c r="M302" s="12"/>
      <c r="N302" s="12"/>
    </row>
    <row r="303" spans="1:14" x14ac:dyDescent="0.2">
      <c r="L303" s="12"/>
      <c r="M303" s="12"/>
      <c r="N303" s="12"/>
    </row>
    <row r="304" spans="1:14" x14ac:dyDescent="0.2">
      <c r="L304" s="12"/>
      <c r="M304" s="12"/>
      <c r="N304" s="12"/>
    </row>
    <row r="305" spans="12:14" x14ac:dyDescent="0.2">
      <c r="L305" s="12"/>
      <c r="M305" s="12"/>
      <c r="N305" s="12"/>
    </row>
    <row r="306" spans="12:14" x14ac:dyDescent="0.2">
      <c r="L306" s="12"/>
      <c r="M306" s="12"/>
      <c r="N306" s="12"/>
    </row>
  </sheetData>
  <autoFilter ref="A1:N313" xr:uid="{00000000-0009-0000-0000-000001000000}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topLeftCell="A23" zoomScaleNormal="100" workbookViewId="0">
      <selection activeCell="B37" sqref="B37"/>
    </sheetView>
  </sheetViews>
  <sheetFormatPr baseColWidth="10" defaultColWidth="11" defaultRowHeight="16" x14ac:dyDescent="0.2"/>
  <cols>
    <col min="2" max="2" width="18.5" bestFit="1" customWidth="1"/>
    <col min="3" max="3" width="12.5" bestFit="1" customWidth="1"/>
    <col min="6" max="6" width="76.33203125" bestFit="1" customWidth="1"/>
  </cols>
  <sheetData>
    <row r="1" spans="1:6" x14ac:dyDescent="0.2">
      <c r="A1" t="s">
        <v>22</v>
      </c>
      <c r="B1" t="s">
        <v>24</v>
      </c>
      <c r="C1" t="s">
        <v>277</v>
      </c>
      <c r="D1" t="s">
        <v>278</v>
      </c>
      <c r="E1" t="s">
        <v>279</v>
      </c>
    </row>
    <row r="2" spans="1:6" x14ac:dyDescent="0.2">
      <c r="A2" t="s">
        <v>280</v>
      </c>
      <c r="C2" t="s">
        <v>23</v>
      </c>
      <c r="D2">
        <v>0</v>
      </c>
      <c r="E2" t="s">
        <v>281</v>
      </c>
      <c r="F2" s="5" t="s">
        <v>282</v>
      </c>
    </row>
    <row r="3" spans="1:6" x14ac:dyDescent="0.2">
      <c r="A3" t="s">
        <v>280</v>
      </c>
      <c r="C3" t="s">
        <v>30</v>
      </c>
      <c r="D3">
        <v>150</v>
      </c>
      <c r="E3" t="s">
        <v>281</v>
      </c>
      <c r="F3" s="5" t="s">
        <v>283</v>
      </c>
    </row>
    <row r="4" spans="1:6" x14ac:dyDescent="0.2">
      <c r="A4" t="s">
        <v>280</v>
      </c>
      <c r="C4" t="s">
        <v>33</v>
      </c>
      <c r="D4">
        <v>300</v>
      </c>
      <c r="E4" t="s">
        <v>281</v>
      </c>
      <c r="F4" s="5" t="s">
        <v>284</v>
      </c>
    </row>
    <row r="5" spans="1:6" x14ac:dyDescent="0.2">
      <c r="A5" t="s">
        <v>280</v>
      </c>
      <c r="C5" t="s">
        <v>36</v>
      </c>
      <c r="D5">
        <v>1000</v>
      </c>
      <c r="E5" t="s">
        <v>281</v>
      </c>
      <c r="F5" s="5" t="s">
        <v>285</v>
      </c>
    </row>
    <row r="6" spans="1:6" x14ac:dyDescent="0.2">
      <c r="A6" t="s">
        <v>280</v>
      </c>
      <c r="C6" t="s">
        <v>286</v>
      </c>
      <c r="D6">
        <v>400</v>
      </c>
      <c r="E6" t="s">
        <v>281</v>
      </c>
      <c r="F6" s="5" t="s">
        <v>287</v>
      </c>
    </row>
    <row r="7" spans="1:6" x14ac:dyDescent="0.2">
      <c r="A7" t="s">
        <v>280</v>
      </c>
      <c r="B7" t="s">
        <v>288</v>
      </c>
      <c r="C7" t="s">
        <v>289</v>
      </c>
      <c r="D7">
        <v>0.7</v>
      </c>
      <c r="F7" s="5" t="s">
        <v>290</v>
      </c>
    </row>
    <row r="8" spans="1:6" x14ac:dyDescent="0.2">
      <c r="A8" t="s">
        <v>280</v>
      </c>
      <c r="B8" t="s">
        <v>291</v>
      </c>
      <c r="C8" t="s">
        <v>289</v>
      </c>
      <c r="D8">
        <v>0.85</v>
      </c>
      <c r="F8" s="5" t="s">
        <v>290</v>
      </c>
    </row>
    <row r="9" spans="1:6" x14ac:dyDescent="0.2">
      <c r="A9" t="s">
        <v>280</v>
      </c>
      <c r="C9" t="s">
        <v>292</v>
      </c>
      <c r="D9">
        <v>100</v>
      </c>
      <c r="E9" t="s">
        <v>281</v>
      </c>
      <c r="F9" s="5" t="s">
        <v>293</v>
      </c>
    </row>
    <row r="10" spans="1:6" x14ac:dyDescent="0.2">
      <c r="A10" t="s">
        <v>280</v>
      </c>
      <c r="C10" t="s">
        <v>294</v>
      </c>
      <c r="D10">
        <v>700</v>
      </c>
      <c r="E10" t="s">
        <v>281</v>
      </c>
      <c r="F10" s="5" t="s">
        <v>295</v>
      </c>
    </row>
    <row r="11" spans="1:6" x14ac:dyDescent="0.2">
      <c r="A11" t="s">
        <v>280</v>
      </c>
      <c r="C11" t="s">
        <v>296</v>
      </c>
      <c r="D11">
        <v>800</v>
      </c>
      <c r="E11" t="s">
        <v>281</v>
      </c>
      <c r="F11" s="5" t="s">
        <v>297</v>
      </c>
    </row>
    <row r="12" spans="1:6" x14ac:dyDescent="0.2">
      <c r="A12" t="s">
        <v>280</v>
      </c>
      <c r="C12" t="s">
        <v>298</v>
      </c>
      <c r="D12">
        <v>400</v>
      </c>
      <c r="E12" t="s">
        <v>281</v>
      </c>
      <c r="F12" s="5" t="s">
        <v>299</v>
      </c>
    </row>
    <row r="13" spans="1:6" x14ac:dyDescent="0.2">
      <c r="A13" t="s">
        <v>300</v>
      </c>
      <c r="C13" t="s">
        <v>23</v>
      </c>
      <c r="D13">
        <v>10</v>
      </c>
      <c r="E13" t="s">
        <v>281</v>
      </c>
      <c r="F13" s="5" t="s">
        <v>301</v>
      </c>
    </row>
    <row r="14" spans="1:6" x14ac:dyDescent="0.2">
      <c r="A14" t="s">
        <v>300</v>
      </c>
      <c r="C14" t="s">
        <v>30</v>
      </c>
      <c r="D14">
        <v>80</v>
      </c>
      <c r="E14" t="s">
        <v>281</v>
      </c>
      <c r="F14" s="5" t="s">
        <v>283</v>
      </c>
    </row>
    <row r="15" spans="1:6" x14ac:dyDescent="0.2">
      <c r="A15" t="s">
        <v>300</v>
      </c>
      <c r="C15" t="s">
        <v>25</v>
      </c>
      <c r="D15">
        <v>8</v>
      </c>
      <c r="E15" t="s">
        <v>281</v>
      </c>
      <c r="F15" s="5" t="s">
        <v>302</v>
      </c>
    </row>
    <row r="16" spans="1:6" x14ac:dyDescent="0.2">
      <c r="A16" t="s">
        <v>300</v>
      </c>
      <c r="C16" t="s">
        <v>33</v>
      </c>
      <c r="D16">
        <v>120</v>
      </c>
      <c r="E16" t="s">
        <v>281</v>
      </c>
      <c r="F16" s="5" t="s">
        <v>284</v>
      </c>
    </row>
    <row r="17" spans="1:8" x14ac:dyDescent="0.2">
      <c r="A17" t="s">
        <v>300</v>
      </c>
      <c r="C17" t="s">
        <v>36</v>
      </c>
      <c r="D17">
        <v>560</v>
      </c>
      <c r="E17" t="s">
        <v>281</v>
      </c>
      <c r="F17" s="5" t="s">
        <v>285</v>
      </c>
    </row>
    <row r="18" spans="1:8" x14ac:dyDescent="0.2">
      <c r="A18" t="s">
        <v>300</v>
      </c>
      <c r="B18" t="s">
        <v>303</v>
      </c>
      <c r="C18" t="s">
        <v>304</v>
      </c>
      <c r="D18">
        <v>950</v>
      </c>
      <c r="E18" t="s">
        <v>281</v>
      </c>
      <c r="F18" s="5" t="s">
        <v>305</v>
      </c>
      <c r="G18" s="3"/>
      <c r="H18" s="3"/>
    </row>
    <row r="19" spans="1:8" x14ac:dyDescent="0.2">
      <c r="A19" t="s">
        <v>300</v>
      </c>
      <c r="B19" t="s">
        <v>306</v>
      </c>
      <c r="C19" t="s">
        <v>304</v>
      </c>
      <c r="D19">
        <v>1050</v>
      </c>
      <c r="E19" t="s">
        <v>281</v>
      </c>
      <c r="F19" s="5" t="s">
        <v>305</v>
      </c>
      <c r="G19" s="3"/>
      <c r="H19" s="3"/>
    </row>
    <row r="20" spans="1:8" x14ac:dyDescent="0.2">
      <c r="A20" t="s">
        <v>300</v>
      </c>
      <c r="B20" t="s">
        <v>307</v>
      </c>
      <c r="C20" t="s">
        <v>304</v>
      </c>
      <c r="D20">
        <v>1150</v>
      </c>
      <c r="E20" t="s">
        <v>281</v>
      </c>
      <c r="F20" s="5" t="s">
        <v>305</v>
      </c>
      <c r="G20" s="3"/>
      <c r="H20" s="3"/>
    </row>
    <row r="21" spans="1:8" x14ac:dyDescent="0.2">
      <c r="A21" t="s">
        <v>300</v>
      </c>
      <c r="B21" t="s">
        <v>303</v>
      </c>
      <c r="C21" t="s">
        <v>308</v>
      </c>
      <c r="D21">
        <v>500</v>
      </c>
      <c r="E21" t="s">
        <v>281</v>
      </c>
      <c r="F21" s="5" t="s">
        <v>309</v>
      </c>
      <c r="G21" s="3"/>
      <c r="H21" s="3"/>
    </row>
    <row r="22" spans="1:8" x14ac:dyDescent="0.2">
      <c r="A22" t="s">
        <v>300</v>
      </c>
      <c r="B22" t="s">
        <v>306</v>
      </c>
      <c r="C22" t="s">
        <v>308</v>
      </c>
      <c r="D22">
        <v>600</v>
      </c>
      <c r="E22" t="s">
        <v>281</v>
      </c>
      <c r="F22" s="5" t="s">
        <v>309</v>
      </c>
      <c r="G22" s="3"/>
      <c r="H22" s="3"/>
    </row>
    <row r="23" spans="1:8" x14ac:dyDescent="0.2">
      <c r="A23" t="s">
        <v>300</v>
      </c>
      <c r="B23" t="s">
        <v>307</v>
      </c>
      <c r="C23" t="s">
        <v>308</v>
      </c>
      <c r="D23">
        <v>700</v>
      </c>
      <c r="E23" t="s">
        <v>281</v>
      </c>
      <c r="F23" s="5" t="s">
        <v>309</v>
      </c>
      <c r="G23" s="3"/>
      <c r="H23" s="3"/>
    </row>
    <row r="24" spans="1:8" x14ac:dyDescent="0.2">
      <c r="A24" t="s">
        <v>300</v>
      </c>
      <c r="B24" t="s">
        <v>303</v>
      </c>
      <c r="C24" t="s">
        <v>310</v>
      </c>
      <c r="D24">
        <v>1050</v>
      </c>
      <c r="E24" t="s">
        <v>281</v>
      </c>
      <c r="F24" s="5" t="s">
        <v>311</v>
      </c>
    </row>
    <row r="25" spans="1:8" x14ac:dyDescent="0.2">
      <c r="A25" t="s">
        <v>300</v>
      </c>
      <c r="B25" t="s">
        <v>306</v>
      </c>
      <c r="C25" t="s">
        <v>310</v>
      </c>
      <c r="D25">
        <v>1150</v>
      </c>
      <c r="E25" t="s">
        <v>281</v>
      </c>
      <c r="F25" s="5" t="s">
        <v>311</v>
      </c>
    </row>
    <row r="26" spans="1:8" x14ac:dyDescent="0.2">
      <c r="A26" t="s">
        <v>300</v>
      </c>
      <c r="B26" t="s">
        <v>307</v>
      </c>
      <c r="C26" t="s">
        <v>310</v>
      </c>
      <c r="D26">
        <v>1250</v>
      </c>
      <c r="E26" t="s">
        <v>281</v>
      </c>
      <c r="F26" s="5" t="s">
        <v>311</v>
      </c>
    </row>
    <row r="27" spans="1:8" x14ac:dyDescent="0.2">
      <c r="A27" t="s">
        <v>300</v>
      </c>
      <c r="B27" t="s">
        <v>303</v>
      </c>
      <c r="C27" t="s">
        <v>312</v>
      </c>
      <c r="D27">
        <v>550</v>
      </c>
      <c r="E27" t="s">
        <v>281</v>
      </c>
      <c r="F27" s="5" t="s">
        <v>313</v>
      </c>
    </row>
    <row r="28" spans="1:8" x14ac:dyDescent="0.2">
      <c r="A28" t="s">
        <v>300</v>
      </c>
      <c r="B28" t="s">
        <v>306</v>
      </c>
      <c r="C28" t="s">
        <v>312</v>
      </c>
      <c r="D28">
        <v>650</v>
      </c>
      <c r="E28" t="s">
        <v>281</v>
      </c>
      <c r="F28" s="5" t="s">
        <v>313</v>
      </c>
    </row>
    <row r="29" spans="1:8" x14ac:dyDescent="0.2">
      <c r="A29" t="s">
        <v>300</v>
      </c>
      <c r="B29" t="s">
        <v>307</v>
      </c>
      <c r="C29" t="s">
        <v>312</v>
      </c>
      <c r="D29">
        <v>700</v>
      </c>
      <c r="E29" t="s">
        <v>281</v>
      </c>
      <c r="F29" s="5" t="s">
        <v>313</v>
      </c>
    </row>
    <row r="30" spans="1:8" x14ac:dyDescent="0.2">
      <c r="A30" t="s">
        <v>314</v>
      </c>
      <c r="C30" t="s">
        <v>23</v>
      </c>
      <c r="D30">
        <v>10</v>
      </c>
      <c r="E30" t="s">
        <v>281</v>
      </c>
      <c r="F30" s="5" t="s">
        <v>282</v>
      </c>
    </row>
    <row r="31" spans="1:8" x14ac:dyDescent="0.2">
      <c r="A31" t="s">
        <v>314</v>
      </c>
      <c r="C31" t="s">
        <v>27</v>
      </c>
      <c r="D31">
        <v>27</v>
      </c>
      <c r="E31" t="s">
        <v>281</v>
      </c>
      <c r="F31" s="5" t="s">
        <v>315</v>
      </c>
    </row>
    <row r="32" spans="1:8" x14ac:dyDescent="0.2">
      <c r="A32" t="s">
        <v>314</v>
      </c>
      <c r="C32" t="s">
        <v>30</v>
      </c>
      <c r="D32">
        <v>100</v>
      </c>
      <c r="E32" t="s">
        <v>281</v>
      </c>
      <c r="F32" s="5" t="s">
        <v>283</v>
      </c>
    </row>
    <row r="33" spans="1:6" x14ac:dyDescent="0.2">
      <c r="A33" t="s">
        <v>314</v>
      </c>
      <c r="C33" t="s">
        <v>25</v>
      </c>
      <c r="D33">
        <v>7</v>
      </c>
      <c r="E33" t="s">
        <v>281</v>
      </c>
      <c r="F33" s="5" t="s">
        <v>302</v>
      </c>
    </row>
    <row r="34" spans="1:6" x14ac:dyDescent="0.2">
      <c r="A34" t="s">
        <v>314</v>
      </c>
      <c r="C34" t="s">
        <v>33</v>
      </c>
      <c r="D34">
        <v>180</v>
      </c>
      <c r="E34" t="s">
        <v>281</v>
      </c>
      <c r="F34" s="5" t="s">
        <v>284</v>
      </c>
    </row>
    <row r="35" spans="1:6" x14ac:dyDescent="0.2">
      <c r="A35" t="s">
        <v>314</v>
      </c>
      <c r="C35" t="s">
        <v>36</v>
      </c>
      <c r="D35">
        <v>840</v>
      </c>
      <c r="E35" t="s">
        <v>281</v>
      </c>
      <c r="F35" s="5" t="s">
        <v>285</v>
      </c>
    </row>
    <row r="36" spans="1:6" x14ac:dyDescent="0.2">
      <c r="A36" t="s">
        <v>314</v>
      </c>
      <c r="B36" t="s">
        <v>316</v>
      </c>
      <c r="C36" t="s">
        <v>317</v>
      </c>
      <c r="D36">
        <v>13.5</v>
      </c>
      <c r="E36" t="s">
        <v>318</v>
      </c>
      <c r="F36" s="5" t="s">
        <v>319</v>
      </c>
    </row>
    <row r="37" spans="1:6" x14ac:dyDescent="0.2">
      <c r="A37" t="s">
        <v>314</v>
      </c>
      <c r="B37" t="s">
        <v>320</v>
      </c>
      <c r="C37" t="s">
        <v>317</v>
      </c>
      <c r="D37">
        <v>13</v>
      </c>
      <c r="E37" t="s">
        <v>318</v>
      </c>
      <c r="F37" s="5" t="s">
        <v>319</v>
      </c>
    </row>
    <row r="38" spans="1:6" x14ac:dyDescent="0.2">
      <c r="A38" t="s">
        <v>314</v>
      </c>
      <c r="B38" t="s">
        <v>321</v>
      </c>
      <c r="C38" t="s">
        <v>317</v>
      </c>
      <c r="D38">
        <v>12.5</v>
      </c>
      <c r="E38" t="s">
        <v>318</v>
      </c>
      <c r="F38" s="5" t="s">
        <v>319</v>
      </c>
    </row>
    <row r="39" spans="1:6" x14ac:dyDescent="0.2">
      <c r="A39" t="s">
        <v>314</v>
      </c>
      <c r="C39" t="s">
        <v>322</v>
      </c>
      <c r="D39">
        <v>400</v>
      </c>
      <c r="E39" t="s">
        <v>281</v>
      </c>
      <c r="F39" s="5" t="s">
        <v>323</v>
      </c>
    </row>
    <row r="40" spans="1:6" x14ac:dyDescent="0.2">
      <c r="A40" t="s">
        <v>314</v>
      </c>
      <c r="B40" t="s">
        <v>316</v>
      </c>
      <c r="C40" t="s">
        <v>324</v>
      </c>
      <c r="D40">
        <v>13</v>
      </c>
      <c r="E40" t="s">
        <v>318</v>
      </c>
      <c r="F40" s="5" t="s">
        <v>325</v>
      </c>
    </row>
    <row r="41" spans="1:6" x14ac:dyDescent="0.2">
      <c r="A41" t="s">
        <v>314</v>
      </c>
      <c r="B41" t="s">
        <v>320</v>
      </c>
      <c r="C41" t="s">
        <v>324</v>
      </c>
      <c r="D41">
        <v>12.5</v>
      </c>
      <c r="E41" t="s">
        <v>318</v>
      </c>
      <c r="F41" s="5" t="s">
        <v>325</v>
      </c>
    </row>
    <row r="42" spans="1:6" x14ac:dyDescent="0.2">
      <c r="A42" t="s">
        <v>314</v>
      </c>
      <c r="B42" t="s">
        <v>321</v>
      </c>
      <c r="C42" t="s">
        <v>324</v>
      </c>
      <c r="D42">
        <v>12</v>
      </c>
      <c r="E42" t="s">
        <v>318</v>
      </c>
      <c r="F42" s="5" t="s">
        <v>325</v>
      </c>
    </row>
    <row r="43" spans="1:6" x14ac:dyDescent="0.2">
      <c r="A43" t="s">
        <v>314</v>
      </c>
      <c r="C43" t="s">
        <v>326</v>
      </c>
      <c r="D43">
        <v>300</v>
      </c>
      <c r="E43" t="s">
        <v>281</v>
      </c>
      <c r="F43" s="5" t="s">
        <v>327</v>
      </c>
    </row>
    <row r="44" spans="1:6" x14ac:dyDescent="0.2">
      <c r="A44" t="s">
        <v>314</v>
      </c>
      <c r="C44" t="s">
        <v>328</v>
      </c>
      <c r="D44">
        <v>800</v>
      </c>
      <c r="E44" t="s">
        <v>281</v>
      </c>
      <c r="F44" s="5" t="s">
        <v>329</v>
      </c>
    </row>
    <row r="45" spans="1:6" x14ac:dyDescent="0.2">
      <c r="A45" t="s">
        <v>314</v>
      </c>
      <c r="C45" t="s">
        <v>330</v>
      </c>
      <c r="D45">
        <v>120</v>
      </c>
      <c r="E45" t="s">
        <v>281</v>
      </c>
      <c r="F45" s="5" t="s">
        <v>331</v>
      </c>
    </row>
    <row r="46" spans="1:6" x14ac:dyDescent="0.2">
      <c r="A46" t="s">
        <v>314</v>
      </c>
      <c r="C46" t="s">
        <v>332</v>
      </c>
      <c r="D46">
        <v>200</v>
      </c>
      <c r="E46" t="s">
        <v>281</v>
      </c>
      <c r="F46" s="5" t="s">
        <v>333</v>
      </c>
    </row>
    <row r="47" spans="1:6" x14ac:dyDescent="0.2">
      <c r="A47" t="s">
        <v>280</v>
      </c>
      <c r="C47" t="s">
        <v>334</v>
      </c>
      <c r="D47">
        <v>0.2</v>
      </c>
      <c r="E47" t="s">
        <v>335</v>
      </c>
      <c r="F47" s="5" t="s">
        <v>336</v>
      </c>
    </row>
    <row r="48" spans="1:6" x14ac:dyDescent="0.2">
      <c r="A48" t="s">
        <v>300</v>
      </c>
      <c r="C48" t="s">
        <v>334</v>
      </c>
      <c r="D48">
        <v>0.2</v>
      </c>
      <c r="E48" t="s">
        <v>335</v>
      </c>
      <c r="F48" s="5" t="s">
        <v>336</v>
      </c>
    </row>
    <row r="49" spans="1:6" x14ac:dyDescent="0.2">
      <c r="A49" t="s">
        <v>314</v>
      </c>
      <c r="C49" t="s">
        <v>334</v>
      </c>
      <c r="D49">
        <v>0.2</v>
      </c>
      <c r="E49" t="s">
        <v>335</v>
      </c>
      <c r="F49" s="5" t="s">
        <v>336</v>
      </c>
    </row>
    <row r="50" spans="1:6" x14ac:dyDescent="0.2">
      <c r="A50" t="s">
        <v>280</v>
      </c>
      <c r="C50" t="s">
        <v>337</v>
      </c>
      <c r="D50">
        <v>0.13</v>
      </c>
      <c r="E50" t="s">
        <v>338</v>
      </c>
      <c r="F50" s="5" t="s">
        <v>339</v>
      </c>
    </row>
    <row r="51" spans="1:6" x14ac:dyDescent="0.2">
      <c r="A51" t="s">
        <v>300</v>
      </c>
      <c r="C51" t="s">
        <v>337</v>
      </c>
      <c r="D51">
        <v>0.2</v>
      </c>
      <c r="E51" t="s">
        <v>338</v>
      </c>
      <c r="F51" s="5" t="s">
        <v>339</v>
      </c>
    </row>
    <row r="52" spans="1:6" x14ac:dyDescent="0.2">
      <c r="A52" t="s">
        <v>314</v>
      </c>
      <c r="C52" t="s">
        <v>337</v>
      </c>
      <c r="D52">
        <v>0.2</v>
      </c>
      <c r="E52" t="s">
        <v>338</v>
      </c>
      <c r="F52" s="5" t="s">
        <v>339</v>
      </c>
    </row>
    <row r="53" spans="1:6" x14ac:dyDescent="0.2">
      <c r="A53" t="s">
        <v>280</v>
      </c>
      <c r="C53" t="s">
        <v>78</v>
      </c>
      <c r="D53">
        <v>0</v>
      </c>
      <c r="E53" t="s">
        <v>281</v>
      </c>
      <c r="F53" s="5" t="s">
        <v>340</v>
      </c>
    </row>
    <row r="54" spans="1:6" x14ac:dyDescent="0.2">
      <c r="A54" t="s">
        <v>300</v>
      </c>
      <c r="C54" t="s">
        <v>78</v>
      </c>
      <c r="D54">
        <v>8</v>
      </c>
      <c r="E54" t="s">
        <v>281</v>
      </c>
      <c r="F54" s="5" t="s">
        <v>340</v>
      </c>
    </row>
    <row r="55" spans="1:6" x14ac:dyDescent="0.2">
      <c r="A55" t="s">
        <v>314</v>
      </c>
      <c r="C55" t="s">
        <v>78</v>
      </c>
      <c r="D55">
        <v>8</v>
      </c>
      <c r="E55" t="s">
        <v>281</v>
      </c>
      <c r="F55" s="5" t="s">
        <v>340</v>
      </c>
    </row>
    <row r="56" spans="1:6" x14ac:dyDescent="0.2">
      <c r="A56" t="s">
        <v>280</v>
      </c>
      <c r="C56" t="s">
        <v>81</v>
      </c>
      <c r="D56">
        <v>0.15</v>
      </c>
    </row>
    <row r="57" spans="1:6" x14ac:dyDescent="0.2">
      <c r="A57" t="s">
        <v>280</v>
      </c>
      <c r="C57" t="s">
        <v>82</v>
      </c>
      <c r="D57">
        <v>1.1000000000000001</v>
      </c>
    </row>
    <row r="58" spans="1:6" x14ac:dyDescent="0.2">
      <c r="A58" t="s">
        <v>300</v>
      </c>
      <c r="C58" t="s">
        <v>81</v>
      </c>
      <c r="D58">
        <v>0.15</v>
      </c>
    </row>
    <row r="59" spans="1:6" x14ac:dyDescent="0.2">
      <c r="A59" t="s">
        <v>300</v>
      </c>
      <c r="C59" t="s">
        <v>82</v>
      </c>
      <c r="D59">
        <v>1.1000000000000001</v>
      </c>
    </row>
    <row r="60" spans="1:6" x14ac:dyDescent="0.2">
      <c r="A60" t="s">
        <v>314</v>
      </c>
      <c r="C60" t="s">
        <v>81</v>
      </c>
      <c r="D60">
        <v>0.15</v>
      </c>
    </row>
    <row r="61" spans="1:6" x14ac:dyDescent="0.2">
      <c r="A61" t="s">
        <v>314</v>
      </c>
      <c r="C61" t="s">
        <v>82</v>
      </c>
      <c r="D61">
        <v>1.1000000000000001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="110" zoomScaleNormal="110" workbookViewId="0">
      <selection activeCell="B7" sqref="B7"/>
    </sheetView>
  </sheetViews>
  <sheetFormatPr baseColWidth="10" defaultColWidth="11" defaultRowHeight="16" x14ac:dyDescent="0.2"/>
  <cols>
    <col min="2" max="2" width="14.6640625" bestFit="1" customWidth="1"/>
  </cols>
  <sheetData>
    <row r="1" spans="1:8" x14ac:dyDescent="0.2">
      <c r="A1" t="s">
        <v>0</v>
      </c>
      <c r="B1" t="s">
        <v>1</v>
      </c>
      <c r="C1" t="s">
        <v>341</v>
      </c>
      <c r="F1" s="20" t="s">
        <v>342</v>
      </c>
      <c r="G1" s="20" t="s">
        <v>85</v>
      </c>
      <c r="H1" s="20" t="s">
        <v>343</v>
      </c>
    </row>
    <row r="2" spans="1:8" x14ac:dyDescent="0.2">
      <c r="A2" t="s">
        <v>85</v>
      </c>
      <c r="B2">
        <v>87480</v>
      </c>
      <c r="C2" s="20"/>
      <c r="F2" s="20" t="s">
        <v>155</v>
      </c>
      <c r="G2" s="20" t="s">
        <v>155</v>
      </c>
      <c r="H2" s="20" t="s">
        <v>155</v>
      </c>
    </row>
    <row r="3" spans="1:8" x14ac:dyDescent="0.2">
      <c r="A3" t="s">
        <v>343</v>
      </c>
      <c r="C3" s="20"/>
      <c r="F3" s="20" t="s">
        <v>155</v>
      </c>
      <c r="G3" s="20" t="s">
        <v>155</v>
      </c>
      <c r="H3" s="20" t="s">
        <v>344</v>
      </c>
    </row>
    <row r="4" spans="1:8" x14ac:dyDescent="0.2">
      <c r="A4" t="s">
        <v>22</v>
      </c>
      <c r="B4" t="s">
        <v>280</v>
      </c>
      <c r="C4" s="20"/>
      <c r="F4" s="20" t="s">
        <v>155</v>
      </c>
      <c r="G4" s="20" t="s">
        <v>155</v>
      </c>
      <c r="H4" s="20" t="s">
        <v>123</v>
      </c>
    </row>
    <row r="5" spans="1:8" x14ac:dyDescent="0.2">
      <c r="A5" t="s">
        <v>24</v>
      </c>
      <c r="B5" t="s">
        <v>291</v>
      </c>
      <c r="C5" s="20"/>
    </row>
    <row r="6" spans="1:8" x14ac:dyDescent="0.2">
      <c r="A6" t="s">
        <v>26</v>
      </c>
      <c r="B6">
        <v>150</v>
      </c>
      <c r="C6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14"/>
  <sheetViews>
    <sheetView tabSelected="1" topLeftCell="B1" zoomScaleNormal="100" workbookViewId="0">
      <selection activeCell="Q12" sqref="Q12"/>
    </sheetView>
  </sheetViews>
  <sheetFormatPr baseColWidth="10" defaultColWidth="11" defaultRowHeight="16" x14ac:dyDescent="0.2"/>
  <cols>
    <col min="1" max="1" width="11.83203125" bestFit="1" customWidth="1"/>
    <col min="2" max="2" width="14.6640625" bestFit="1" customWidth="1"/>
    <col min="3" max="3" width="26.6640625" bestFit="1" customWidth="1"/>
    <col min="5" max="5" width="22.1640625" customWidth="1"/>
    <col min="23" max="23" width="20.1640625" bestFit="1" customWidth="1"/>
    <col min="24" max="24" width="21" bestFit="1" customWidth="1"/>
    <col min="25" max="25" width="12.1640625" bestFit="1" customWidth="1"/>
  </cols>
  <sheetData>
    <row r="1" spans="1:25" x14ac:dyDescent="0.2">
      <c r="A1" t="s">
        <v>0</v>
      </c>
      <c r="B1" t="s">
        <v>1</v>
      </c>
      <c r="E1" s="22" t="s">
        <v>2</v>
      </c>
      <c r="F1" s="22" t="s">
        <v>3</v>
      </c>
      <c r="H1" s="22" t="s">
        <v>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9</v>
      </c>
      <c r="N1" s="22" t="s">
        <v>10</v>
      </c>
      <c r="O1" s="22" t="s">
        <v>11</v>
      </c>
      <c r="P1" s="22" t="s">
        <v>12</v>
      </c>
      <c r="Q1" s="22" t="s">
        <v>13</v>
      </c>
      <c r="R1" s="22" t="s">
        <v>14</v>
      </c>
      <c r="S1" s="22" t="s">
        <v>15</v>
      </c>
      <c r="T1" s="22" t="s">
        <v>16</v>
      </c>
      <c r="U1" s="22" t="s">
        <v>17</v>
      </c>
      <c r="V1" s="22" t="s">
        <v>18</v>
      </c>
      <c r="W1" s="23" t="s">
        <v>19</v>
      </c>
      <c r="X1" s="23" t="s">
        <v>20</v>
      </c>
      <c r="Y1" s="23" t="s">
        <v>21</v>
      </c>
    </row>
    <row r="2" spans="1:25" x14ac:dyDescent="0.2">
      <c r="A2" t="s">
        <v>22</v>
      </c>
      <c r="B2" t="str">
        <f>'condiciones iniciales'!B4</f>
        <v>trigo</v>
      </c>
      <c r="E2" t="s">
        <v>23</v>
      </c>
      <c r="F2">
        <f>SUMIFS(cultivo!$D:$D,cultivo!$A:$A,$B$2,cultivo!$C:$C,"Tb_a")</f>
        <v>0</v>
      </c>
      <c r="H2">
        <v>0</v>
      </c>
      <c r="I2">
        <f t="shared" ref="I2:I65" si="0">$F$26+H2</f>
        <v>151</v>
      </c>
      <c r="J2">
        <f>IFERROR(INDEX(clima!$C:$C,$I2),"")</f>
        <v>150</v>
      </c>
      <c r="K2">
        <f>IFERROR(INDEX(clima!$F:$F,$I2),"")</f>
        <v>6.9</v>
      </c>
      <c r="L2">
        <f>IFERROR(INDEX(clima!$J:$J,$I2),"")</f>
        <v>10.005328703529235</v>
      </c>
      <c r="M2">
        <f t="shared" ref="M2:M65" si="1">IF($K2="","",MAX(0,(IF($B$2="soja",MIN($K2,$F$4),$K2))-$F$2))</f>
        <v>6.9</v>
      </c>
      <c r="N2">
        <f>M2</f>
        <v>6.9</v>
      </c>
      <c r="O2">
        <f t="shared" ref="O2:O65" si="2">IF($K2="","",IF($I2&lt;$F$27,0,MAX(0,(IF($B$2="soja",MIN($K2,$F$4),$K2))-$F$3)))</f>
        <v>0</v>
      </c>
      <c r="P2">
        <f>O2</f>
        <v>0</v>
      </c>
      <c r="Q2">
        <f t="shared" ref="Q2:Q65" si="3">IF($K2="","",IF($I2&lt;$F$27,0,IF($B$2="trigo",MAX(0,$K2-$F$2)*MAX(0,(1-(((20-MIN(20,$L2))^2)*(0.01*$F$8)))),IF($B$2="maiz",MAX(0,$K2-$F$3),IF($B$2="soja",MAX(0,MIN($K2,$F$4)-$F$3)*MIN(1,MAX(0,1-MAX(0,($L2-$F$17))*0.3)),0)))))</f>
        <v>0</v>
      </c>
      <c r="R2">
        <f>Q2</f>
        <v>0</v>
      </c>
      <c r="S2">
        <f t="shared" ref="S2:S65" si="4">IF($K2="","",IF($I2&lt;$F$28,0,IF($B$2="trigo",MAX(0,$K2),IF($B$2="soja",MAX(0,MIN($K2,$F$4)-$F$3)*MIN(1,MAX(0,1-MAX(0,($L2-$F$19))*0.3)),0))))</f>
        <v>0</v>
      </c>
      <c r="T2">
        <f>S2</f>
        <v>0</v>
      </c>
      <c r="U2">
        <f t="shared" ref="U2:U65" si="5">IF($K2="","",IF(OR($I2&lt;$F$27,$I2&gt;$F$42),0,MAX(0,$K2-$F$37)))</f>
        <v>0</v>
      </c>
      <c r="V2">
        <f>U2</f>
        <v>0</v>
      </c>
      <c r="W2">
        <f t="shared" ref="W2:W65" si="6">H2</f>
        <v>0</v>
      </c>
      <c r="X2">
        <f t="shared" ref="X2:X65" si="7">IF($I2="","",IF($I2&lt;$F$27,$F$38,IF($I2&lt;=$F$42,$F$38+($F$39*$V2)/100,$F$38+($F$39*INDEX($V:$V,$F$42))/100)))</f>
        <v>0.2</v>
      </c>
      <c r="Y2">
        <f t="shared" ref="Y2:Y65" si="8">IF($I2="","",IF($I2&lt;$F$27,0,IF($P2&lt;=$F$6,$F$40,IF($P2&gt;=$F$7,$F$41,$F$40+($F$41-$F$40)*($P2-$F$6)/($F$7-$F$6)))))</f>
        <v>0</v>
      </c>
    </row>
    <row r="3" spans="1:25" x14ac:dyDescent="0.2">
      <c r="A3" t="s">
        <v>24</v>
      </c>
      <c r="B3" t="str">
        <f>'condiciones iniciales'!B5</f>
        <v>intermedio-largo</v>
      </c>
      <c r="E3" t="s">
        <v>25</v>
      </c>
      <c r="F3">
        <f>IF($B$2="trigo",F2,SUMIFS(cultivo!$D:$D,cultivo!$A:$A,$B$2,cultivo!$C:$C,"Tb_b"))</f>
        <v>0</v>
      </c>
      <c r="H3">
        <f t="shared" ref="H3:H66" si="9">H2+1</f>
        <v>1</v>
      </c>
      <c r="I3">
        <f t="shared" si="0"/>
        <v>152</v>
      </c>
      <c r="J3">
        <f>IFERROR(INDEX(clima!$C:$C,$I3),"")</f>
        <v>151</v>
      </c>
      <c r="K3">
        <f>IFERROR(INDEX(clima!$F:$F,$I3),"")</f>
        <v>8.1999999999999993</v>
      </c>
      <c r="L3">
        <f>IFERROR(INDEX(clima!$J:$J,$I3),"")</f>
        <v>9.9900276075128343</v>
      </c>
      <c r="M3">
        <f t="shared" si="1"/>
        <v>8.1999999999999993</v>
      </c>
      <c r="N3">
        <f t="shared" ref="N3:N66" si="10">IF(M3="",N2,N2+M3)</f>
        <v>15.1</v>
      </c>
      <c r="O3">
        <f t="shared" si="2"/>
        <v>0</v>
      </c>
      <c r="P3">
        <f t="shared" ref="P3:P66" si="11">IF(O3="",P2,P2+O3)</f>
        <v>0</v>
      </c>
      <c r="Q3">
        <f t="shared" si="3"/>
        <v>0</v>
      </c>
      <c r="R3">
        <f t="shared" ref="R3:R66" si="12">IF(Q3="",R2,R2+Q3)</f>
        <v>0</v>
      </c>
      <c r="S3">
        <f t="shared" si="4"/>
        <v>0</v>
      </c>
      <c r="T3">
        <f t="shared" ref="T3:T66" si="13">IF(S3="",T2,T2+S3)</f>
        <v>0</v>
      </c>
      <c r="U3">
        <f t="shared" si="5"/>
        <v>0</v>
      </c>
      <c r="V3">
        <f t="shared" ref="V3:V66" si="14">IF(U3="",V2,V2+U3)</f>
        <v>0</v>
      </c>
      <c r="W3">
        <f t="shared" si="6"/>
        <v>1</v>
      </c>
      <c r="X3">
        <f t="shared" si="7"/>
        <v>0.2</v>
      </c>
      <c r="Y3">
        <f t="shared" si="8"/>
        <v>0</v>
      </c>
    </row>
    <row r="4" spans="1:25" x14ac:dyDescent="0.2">
      <c r="A4" s="18" t="s">
        <v>26</v>
      </c>
      <c r="B4" s="18">
        <f>'condiciones iniciales'!B6</f>
        <v>150</v>
      </c>
      <c r="E4" t="s">
        <v>27</v>
      </c>
      <c r="F4" t="str">
        <f>IF($B$2="soja",SUMIFS(cultivo!$D:$D,cultivo!$A:$A,$B$2,cultivo!$C:$C,"To_a"),"")</f>
        <v/>
      </c>
      <c r="H4">
        <f t="shared" si="9"/>
        <v>2</v>
      </c>
      <c r="I4">
        <f t="shared" si="0"/>
        <v>153</v>
      </c>
      <c r="J4">
        <f>IFERROR(INDEX(clima!$C:$C,$I4),"")</f>
        <v>152</v>
      </c>
      <c r="K4">
        <f>IFERROR(INDEX(clima!$F:$F,$I4),"")</f>
        <v>7.5</v>
      </c>
      <c r="L4">
        <f>IFERROR(INDEX(clima!$J:$J,$I4),"")</f>
        <v>9.9753616522262352</v>
      </c>
      <c r="M4">
        <f t="shared" si="1"/>
        <v>7.5</v>
      </c>
      <c r="N4">
        <f t="shared" si="10"/>
        <v>22.6</v>
      </c>
      <c r="O4">
        <f t="shared" si="2"/>
        <v>0</v>
      </c>
      <c r="P4">
        <f t="shared" si="11"/>
        <v>0</v>
      </c>
      <c r="Q4">
        <f t="shared" si="3"/>
        <v>0</v>
      </c>
      <c r="R4">
        <f t="shared" si="12"/>
        <v>0</v>
      </c>
      <c r="S4">
        <f t="shared" si="4"/>
        <v>0</v>
      </c>
      <c r="T4">
        <f t="shared" si="13"/>
        <v>0</v>
      </c>
      <c r="U4">
        <f t="shared" si="5"/>
        <v>0</v>
      </c>
      <c r="V4">
        <f t="shared" si="14"/>
        <v>0</v>
      </c>
      <c r="W4">
        <f t="shared" si="6"/>
        <v>2</v>
      </c>
      <c r="X4">
        <f t="shared" si="7"/>
        <v>0.2</v>
      </c>
      <c r="Y4">
        <f t="shared" si="8"/>
        <v>0</v>
      </c>
    </row>
    <row r="5" spans="1:25" x14ac:dyDescent="0.2">
      <c r="A5" s="18" t="s">
        <v>28</v>
      </c>
      <c r="B5" s="19">
        <f>IFERROR(IF(($F$26+COUNTIFS($I$2:$I$501,"&gt;="&amp;$F$26,$N$2:$N$501,"&lt;"&amp;$F$5))&gt;548,"Datos insuficientes",INDEX(clima!$C:$C,$F$26+COUNTIFS($I$2:$I$501,"&gt;="&amp;$F$26,$N$2:$N$501,"&lt;"&amp;$F$5))),"Sin datos")</f>
        <v>169</v>
      </c>
      <c r="C5" s="5" t="s">
        <v>29</v>
      </c>
      <c r="E5" t="s">
        <v>30</v>
      </c>
      <c r="F5">
        <f>SUMIFS(cultivo!$D:$D,cultivo!$A:$A,$B$2,cultivo!$C:$C,"UT_S-E")</f>
        <v>150</v>
      </c>
      <c r="H5">
        <f t="shared" si="9"/>
        <v>3</v>
      </c>
      <c r="I5">
        <f t="shared" si="0"/>
        <v>154</v>
      </c>
      <c r="J5">
        <f>IFERROR(INDEX(clima!$C:$C,$I5),"")</f>
        <v>153</v>
      </c>
      <c r="K5">
        <f>IFERROR(INDEX(clima!$F:$F,$I5),"")</f>
        <v>7.6</v>
      </c>
      <c r="L5">
        <f>IFERROR(INDEX(clima!$J:$J,$I5),"")</f>
        <v>9.9613398924368681</v>
      </c>
      <c r="M5">
        <f t="shared" si="1"/>
        <v>7.6</v>
      </c>
      <c r="N5">
        <f t="shared" si="10"/>
        <v>30.200000000000003</v>
      </c>
      <c r="O5">
        <f t="shared" si="2"/>
        <v>0</v>
      </c>
      <c r="P5">
        <f t="shared" si="11"/>
        <v>0</v>
      </c>
      <c r="Q5">
        <f t="shared" si="3"/>
        <v>0</v>
      </c>
      <c r="R5">
        <f t="shared" si="12"/>
        <v>0</v>
      </c>
      <c r="S5">
        <f t="shared" si="4"/>
        <v>0</v>
      </c>
      <c r="T5">
        <f t="shared" si="13"/>
        <v>0</v>
      </c>
      <c r="U5">
        <f t="shared" si="5"/>
        <v>0</v>
      </c>
      <c r="V5">
        <f t="shared" si="14"/>
        <v>0</v>
      </c>
      <c r="W5">
        <f t="shared" si="6"/>
        <v>3</v>
      </c>
      <c r="X5">
        <f t="shared" si="7"/>
        <v>0.2</v>
      </c>
      <c r="Y5">
        <f t="shared" si="8"/>
        <v>0</v>
      </c>
    </row>
    <row r="6" spans="1:25" x14ac:dyDescent="0.2">
      <c r="A6" s="18" t="s">
        <v>31</v>
      </c>
      <c r="B6" s="19">
        <f>IFERROR(IF(($F$27+COUNTIFS($I$2:$I$501,"&gt;="&amp;$F$27,$P$2:$P$501,"&lt;"&amp;$F$6))&gt;548,"Datos insuficientes",INDEX(clima!$C:$C,$F$27+COUNTIFS($I$2:$I$501,"&gt;="&amp;$F$27,$P$2:$P$501,"&lt;"&amp;$F$6))),"Sin datos")</f>
        <v>203</v>
      </c>
      <c r="C6" s="5" t="s">
        <v>32</v>
      </c>
      <c r="E6" t="s">
        <v>33</v>
      </c>
      <c r="F6">
        <f>SUMIFS(cultivo!$D:$D,cultivo!$A:$A,$B$2,cultivo!$C:$C,"UT_E-fKcbIni")</f>
        <v>300</v>
      </c>
      <c r="H6">
        <f t="shared" si="9"/>
        <v>4</v>
      </c>
      <c r="I6">
        <f t="shared" si="0"/>
        <v>155</v>
      </c>
      <c r="J6">
        <f>IFERROR(INDEX(clima!$C:$C,$I6),"")</f>
        <v>154</v>
      </c>
      <c r="K6">
        <f>IFERROR(INDEX(clima!$F:$F,$I6),"")</f>
        <v>6.2</v>
      </c>
      <c r="L6">
        <f>IFERROR(INDEX(clima!$J:$J,$I6),"")</f>
        <v>9.9479710830185741</v>
      </c>
      <c r="M6">
        <f t="shared" si="1"/>
        <v>6.2</v>
      </c>
      <c r="N6">
        <f t="shared" si="10"/>
        <v>36.400000000000006</v>
      </c>
      <c r="O6">
        <f t="shared" si="2"/>
        <v>0</v>
      </c>
      <c r="P6">
        <f t="shared" si="11"/>
        <v>0</v>
      </c>
      <c r="Q6">
        <f t="shared" si="3"/>
        <v>0</v>
      </c>
      <c r="R6">
        <f t="shared" si="12"/>
        <v>0</v>
      </c>
      <c r="S6">
        <f t="shared" si="4"/>
        <v>0</v>
      </c>
      <c r="T6">
        <f t="shared" si="13"/>
        <v>0</v>
      </c>
      <c r="U6">
        <f t="shared" si="5"/>
        <v>0</v>
      </c>
      <c r="V6">
        <f t="shared" si="14"/>
        <v>0</v>
      </c>
      <c r="W6">
        <f t="shared" si="6"/>
        <v>4</v>
      </c>
      <c r="X6">
        <f t="shared" si="7"/>
        <v>0.2</v>
      </c>
      <c r="Y6">
        <f t="shared" si="8"/>
        <v>0</v>
      </c>
    </row>
    <row r="7" spans="1:25" x14ac:dyDescent="0.2">
      <c r="A7" s="18" t="s">
        <v>34</v>
      </c>
      <c r="B7" s="19">
        <f>IFERROR(IF(($F$27+COUNTIFS($I$2:$I$501,"&gt;="&amp;$F$27,$P$2:$P$501,"&lt;"&amp;$F$7))&gt;548,"Datos insuficientes",INDEX(clima!$C:$C,$F$27+COUNTIFS($I$2:$I$501,"&gt;="&amp;$F$27,$P$2:$P$501,"&lt;"&amp;$F$7))),"Sin datos")</f>
        <v>267</v>
      </c>
      <c r="C7" s="5" t="s">
        <v>35</v>
      </c>
      <c r="E7" t="s">
        <v>36</v>
      </c>
      <c r="F7">
        <f>SUMIFS(cultivo!$D:$D,cultivo!$A:$A,$B$2,cultivo!$C:$C,"UT_E-iKcbMax")</f>
        <v>1000</v>
      </c>
      <c r="H7">
        <f t="shared" si="9"/>
        <v>5</v>
      </c>
      <c r="I7">
        <f t="shared" si="0"/>
        <v>156</v>
      </c>
      <c r="J7">
        <f>IFERROR(INDEX(clima!$C:$C,$I7),"")</f>
        <v>155</v>
      </c>
      <c r="K7">
        <f>IFERROR(INDEX(clima!$F:$F,$I7),"")</f>
        <v>4.3</v>
      </c>
      <c r="L7">
        <f>IFERROR(INDEX(clima!$J:$J,$I7),"")</f>
        <v>9.9352636610801781</v>
      </c>
      <c r="M7">
        <f t="shared" si="1"/>
        <v>4.3</v>
      </c>
      <c r="N7">
        <f t="shared" si="10"/>
        <v>40.700000000000003</v>
      </c>
      <c r="O7">
        <f t="shared" si="2"/>
        <v>0</v>
      </c>
      <c r="P7">
        <f t="shared" si="11"/>
        <v>0</v>
      </c>
      <c r="Q7">
        <f t="shared" si="3"/>
        <v>0</v>
      </c>
      <c r="R7">
        <f t="shared" si="12"/>
        <v>0</v>
      </c>
      <c r="S7">
        <f t="shared" si="4"/>
        <v>0</v>
      </c>
      <c r="T7">
        <f t="shared" si="13"/>
        <v>0</v>
      </c>
      <c r="U7">
        <f t="shared" si="5"/>
        <v>0</v>
      </c>
      <c r="V7">
        <f t="shared" si="14"/>
        <v>0</v>
      </c>
      <c r="W7">
        <f t="shared" si="6"/>
        <v>5</v>
      </c>
      <c r="X7">
        <f t="shared" si="7"/>
        <v>0.2</v>
      </c>
      <c r="Y7">
        <f t="shared" si="8"/>
        <v>0</v>
      </c>
    </row>
    <row r="8" spans="1:25" x14ac:dyDescent="0.2">
      <c r="A8" t="s">
        <v>37</v>
      </c>
      <c r="B8" s="10">
        <f>IF($B$2&lt;&gt;"trigo","",IFERROR(IF($F$28&gt;548,"Datos insuficientes",INDEX(clima!$C:$C,$F$28)),"Sin datos"))</f>
        <v>281</v>
      </c>
      <c r="C8" s="5" t="s">
        <v>38</v>
      </c>
      <c r="E8" t="s">
        <v>39</v>
      </c>
      <c r="F8">
        <f>IF($B$2="trigo",SUMIFS(cultivo!$D:$D,cultivo!$A:$A,"trigo",cultivo!$B:$B,$B$3,cultivo!$C:$C,"RCF"),"")</f>
        <v>0.85</v>
      </c>
      <c r="H8">
        <f t="shared" si="9"/>
        <v>6</v>
      </c>
      <c r="I8">
        <f t="shared" si="0"/>
        <v>157</v>
      </c>
      <c r="J8">
        <f>IFERROR(INDEX(clima!$C:$C,$I8),"")</f>
        <v>156</v>
      </c>
      <c r="K8">
        <f>IFERROR(INDEX(clima!$F:$F,$I8),"")</f>
        <v>4</v>
      </c>
      <c r="L8">
        <f>IFERROR(INDEX(clima!$J:$J,$I8),"")</f>
        <v>9.9232257284478305</v>
      </c>
      <c r="M8">
        <f t="shared" si="1"/>
        <v>4</v>
      </c>
      <c r="N8">
        <f t="shared" si="10"/>
        <v>44.7</v>
      </c>
      <c r="O8">
        <f t="shared" si="2"/>
        <v>0</v>
      </c>
      <c r="P8">
        <f t="shared" si="11"/>
        <v>0</v>
      </c>
      <c r="Q8">
        <f t="shared" si="3"/>
        <v>0</v>
      </c>
      <c r="R8">
        <f t="shared" si="12"/>
        <v>0</v>
      </c>
      <c r="S8">
        <f t="shared" si="4"/>
        <v>0</v>
      </c>
      <c r="T8">
        <f t="shared" si="13"/>
        <v>0</v>
      </c>
      <c r="U8">
        <f t="shared" si="5"/>
        <v>0</v>
      </c>
      <c r="V8">
        <f t="shared" si="14"/>
        <v>0</v>
      </c>
      <c r="W8">
        <f t="shared" si="6"/>
        <v>6</v>
      </c>
      <c r="X8">
        <f t="shared" si="7"/>
        <v>0.2</v>
      </c>
      <c r="Y8">
        <f t="shared" si="8"/>
        <v>0</v>
      </c>
    </row>
    <row r="9" spans="1:25" x14ac:dyDescent="0.2">
      <c r="A9" t="s">
        <v>40</v>
      </c>
      <c r="B9" s="10" t="str">
        <f>IF($B$2&lt;&gt;"soja","",IFERROR(IF($F$28&gt;548,"Datos insuficientes",INDEX(clima!$C:$C,$F$28)),"Sin datos"))</f>
        <v/>
      </c>
      <c r="C9" s="5" t="s">
        <v>41</v>
      </c>
      <c r="E9" t="s">
        <v>42</v>
      </c>
      <c r="F9">
        <f>IF($B$2="trigo",SUMIFS(cultivo!$D:$D,cultivo!$A:$A,"trigo",cultivo!$C:$C,"UT_E-ET"),"")</f>
        <v>400</v>
      </c>
      <c r="H9">
        <f t="shared" si="9"/>
        <v>7</v>
      </c>
      <c r="I9">
        <f t="shared" si="0"/>
        <v>158</v>
      </c>
      <c r="J9">
        <f>IFERROR(INDEX(clima!$C:$C,$I9),"")</f>
        <v>157</v>
      </c>
      <c r="K9">
        <f>IFERROR(INDEX(clima!$F:$F,$I9),"")</f>
        <v>7</v>
      </c>
      <c r="L9">
        <f>IFERROR(INDEX(clima!$J:$J,$I9),"")</f>
        <v>9.9118650345721147</v>
      </c>
      <c r="M9">
        <f t="shared" si="1"/>
        <v>7</v>
      </c>
      <c r="N9">
        <f t="shared" si="10"/>
        <v>51.7</v>
      </c>
      <c r="O9">
        <f t="shared" si="2"/>
        <v>0</v>
      </c>
      <c r="P9">
        <f t="shared" si="11"/>
        <v>0</v>
      </c>
      <c r="Q9">
        <f t="shared" si="3"/>
        <v>0</v>
      </c>
      <c r="R9">
        <f t="shared" si="12"/>
        <v>0</v>
      </c>
      <c r="S9">
        <f t="shared" si="4"/>
        <v>0</v>
      </c>
      <c r="T9">
        <f t="shared" si="13"/>
        <v>0</v>
      </c>
      <c r="U9">
        <f t="shared" si="5"/>
        <v>0</v>
      </c>
      <c r="V9">
        <f t="shared" si="14"/>
        <v>0</v>
      </c>
      <c r="W9">
        <f t="shared" si="6"/>
        <v>7</v>
      </c>
      <c r="X9">
        <f t="shared" si="7"/>
        <v>0.2</v>
      </c>
      <c r="Y9">
        <f t="shared" si="8"/>
        <v>0</v>
      </c>
    </row>
    <row r="10" spans="1:25" x14ac:dyDescent="0.2">
      <c r="A10" t="s">
        <v>43</v>
      </c>
      <c r="B10" s="10" t="str">
        <f>IF($B$2&lt;&gt;"maiz","",IFERROR(IF($F$28&gt;548,"Datos insuficientes",INDEX(clima!$C:$C,$F$28)),"Sin datos"))</f>
        <v/>
      </c>
      <c r="C10" s="5" t="s">
        <v>44</v>
      </c>
      <c r="E10" t="s">
        <v>45</v>
      </c>
      <c r="F10">
        <f>IF($B$2="trigo",SUMIFS(cultivo!$D:$D,cultivo!$A:$A,"trigo",cultivo!$C:$C,"UT_ET-iPC"),"")</f>
        <v>100</v>
      </c>
      <c r="H10">
        <f t="shared" si="9"/>
        <v>8</v>
      </c>
      <c r="I10">
        <f t="shared" si="0"/>
        <v>159</v>
      </c>
      <c r="J10">
        <f>IFERROR(INDEX(clima!$C:$C,$I10),"")</f>
        <v>158</v>
      </c>
      <c r="K10">
        <f>IFERROR(INDEX(clima!$F:$F,$I10),"")</f>
        <v>7.1</v>
      </c>
      <c r="L10">
        <f>IFERROR(INDEX(clima!$J:$J,$I10),"")</f>
        <v>9.9011889599307317</v>
      </c>
      <c r="M10">
        <f t="shared" si="1"/>
        <v>7.1</v>
      </c>
      <c r="N10">
        <f t="shared" si="10"/>
        <v>58.800000000000004</v>
      </c>
      <c r="O10">
        <f t="shared" si="2"/>
        <v>0</v>
      </c>
      <c r="P10">
        <f t="shared" si="11"/>
        <v>0</v>
      </c>
      <c r="Q10">
        <f t="shared" si="3"/>
        <v>0</v>
      </c>
      <c r="R10">
        <f t="shared" si="12"/>
        <v>0</v>
      </c>
      <c r="S10">
        <f t="shared" si="4"/>
        <v>0</v>
      </c>
      <c r="T10">
        <f t="shared" si="13"/>
        <v>0</v>
      </c>
      <c r="U10">
        <f t="shared" si="5"/>
        <v>0</v>
      </c>
      <c r="V10">
        <f t="shared" si="14"/>
        <v>0</v>
      </c>
      <c r="W10">
        <f t="shared" si="6"/>
        <v>8</v>
      </c>
      <c r="X10">
        <f t="shared" si="7"/>
        <v>0.2</v>
      </c>
      <c r="Y10">
        <f t="shared" si="8"/>
        <v>0</v>
      </c>
    </row>
    <row r="11" spans="1:25" x14ac:dyDescent="0.2">
      <c r="A11" t="s">
        <v>46</v>
      </c>
      <c r="B11" s="10" t="str">
        <f>IF($B$2&lt;&gt;"soja","",IFERROR(IF(($F$28+COUNTIFS($I$2:$I$501,"&gt;="&amp;$F$28,$T$2:$T$501,"&lt;"&amp;$F$20))&gt;548,"Datos insuficientes",INDEX(clima!$C:$C,$F$28+COUNTIFS($I$2:$I$501,"&gt;="&amp;$F$28,$T$2:$T$501,"&lt;"&amp;$F$20))),"Sin datos"))</f>
        <v/>
      </c>
      <c r="C11" s="5" t="s">
        <v>47</v>
      </c>
      <c r="E11" t="s">
        <v>48</v>
      </c>
      <c r="F11">
        <f>IF($B$2="trigo",SUMIFS(cultivo!$D:$D,cultivo!$A:$A,"trigo",cultivo!$C:$C,"UT_ET-fPC"),"")</f>
        <v>800</v>
      </c>
      <c r="H11">
        <f t="shared" si="9"/>
        <v>9</v>
      </c>
      <c r="I11">
        <f t="shared" si="0"/>
        <v>160</v>
      </c>
      <c r="J11">
        <f>IFERROR(INDEX(clima!$C:$C,$I11),"")</f>
        <v>159</v>
      </c>
      <c r="K11">
        <f>IFERROR(INDEX(clima!$F:$F,$I11),"")</f>
        <v>7.1</v>
      </c>
      <c r="L11">
        <f>IFERROR(INDEX(clima!$J:$J,$I11),"")</f>
        <v>9.8912044999968813</v>
      </c>
      <c r="M11">
        <f t="shared" si="1"/>
        <v>7.1</v>
      </c>
      <c r="N11">
        <f t="shared" si="10"/>
        <v>65.900000000000006</v>
      </c>
      <c r="O11">
        <f t="shared" si="2"/>
        <v>0</v>
      </c>
      <c r="P11">
        <f t="shared" si="11"/>
        <v>0</v>
      </c>
      <c r="Q11">
        <f t="shared" si="3"/>
        <v>0</v>
      </c>
      <c r="R11">
        <f t="shared" si="12"/>
        <v>0</v>
      </c>
      <c r="S11">
        <f t="shared" si="4"/>
        <v>0</v>
      </c>
      <c r="T11">
        <f t="shared" si="13"/>
        <v>0</v>
      </c>
      <c r="U11">
        <f t="shared" si="5"/>
        <v>0</v>
      </c>
      <c r="V11">
        <f t="shared" si="14"/>
        <v>0</v>
      </c>
      <c r="W11">
        <f t="shared" si="6"/>
        <v>9</v>
      </c>
      <c r="X11">
        <f t="shared" si="7"/>
        <v>0.2</v>
      </c>
      <c r="Y11">
        <f t="shared" si="8"/>
        <v>0</v>
      </c>
    </row>
    <row r="12" spans="1:25" x14ac:dyDescent="0.2">
      <c r="A12" s="18" t="s">
        <v>49</v>
      </c>
      <c r="B12" s="19">
        <f>IFERROR(IF($B$2="trigo",IF(($F$28+COUNTIFS($I$2:$I$501,"&gt;="&amp;$F$28,$T$2:$T$501,"&lt;"&amp;$F$10))&gt;548,"Datos insuficientes",INDEX(clima!$C:$C,$F$28+COUNTIFS($I$2:$I$501,"&gt;="&amp;$F$28,$T$2:$T$501,"&lt;"&amp;$F$10))),IF($B$2="maiz",IF(($F$27+COUNTIFS($I$2:$I$501,"&gt;="&amp;$F$27,$P$2:$P$501,"&lt;"&amp;$F$14))&gt;548,"Datos insuficientes",INDEX(clima!$C:$C,$F$27+COUNTIFS($I$2:$I$501,"&gt;="&amp;$F$27,$P$2:$P$501,"&lt;"&amp;$F$14))),IF($B$2="soja",IF(($F$28+COUNTIFS($I$2:$I$501,"&gt;="&amp;$F$28,$T$2:$T$501,"&lt;"&amp;$F$22))&gt;548,"Datos insuficientes",INDEX(clima!$C:$C,$F$28+COUNTIFS($I$2:$I$501,"&gt;="&amp;$F$28,$T$2:$T$501,"&lt;"&amp;$F$22))),""))),"Sin datos")</f>
        <v>286</v>
      </c>
      <c r="C12" s="5" t="s">
        <v>50</v>
      </c>
      <c r="E12" t="s">
        <v>51</v>
      </c>
      <c r="F12">
        <f>IF($B$2="trigo",SUMIFS(cultivo!$D:$D,cultivo!$A:$A,"trigo",cultivo!$C:$C,"UT_fPC-MF"),"")</f>
        <v>400</v>
      </c>
      <c r="H12">
        <f t="shared" si="9"/>
        <v>10</v>
      </c>
      <c r="I12">
        <f t="shared" si="0"/>
        <v>161</v>
      </c>
      <c r="J12">
        <f>IFERROR(INDEX(clima!$C:$C,$I12),"")</f>
        <v>160</v>
      </c>
      <c r="K12">
        <f>IFERROR(INDEX(clima!$F:$F,$I12),"")</f>
        <v>7.6</v>
      </c>
      <c r="L12">
        <f>IFERROR(INDEX(clima!$J:$J,$I12),"")</f>
        <v>9.881918249842343</v>
      </c>
      <c r="M12">
        <f t="shared" si="1"/>
        <v>7.6</v>
      </c>
      <c r="N12">
        <f t="shared" si="10"/>
        <v>73.5</v>
      </c>
      <c r="O12">
        <f t="shared" si="2"/>
        <v>0</v>
      </c>
      <c r="P12">
        <f t="shared" si="11"/>
        <v>0</v>
      </c>
      <c r="Q12">
        <f t="shared" si="3"/>
        <v>0</v>
      </c>
      <c r="R12">
        <f t="shared" si="12"/>
        <v>0</v>
      </c>
      <c r="S12">
        <f t="shared" si="4"/>
        <v>0</v>
      </c>
      <c r="T12">
        <f t="shared" si="13"/>
        <v>0</v>
      </c>
      <c r="U12">
        <f t="shared" si="5"/>
        <v>0</v>
      </c>
      <c r="V12">
        <f t="shared" si="14"/>
        <v>0</v>
      </c>
      <c r="W12">
        <f t="shared" si="6"/>
        <v>10</v>
      </c>
      <c r="X12">
        <f t="shared" si="7"/>
        <v>0.2</v>
      </c>
      <c r="Y12">
        <f t="shared" si="8"/>
        <v>0</v>
      </c>
    </row>
    <row r="13" spans="1:25" x14ac:dyDescent="0.2">
      <c r="A13" s="18" t="s">
        <v>52</v>
      </c>
      <c r="B13" s="19">
        <f>IFERROR(IF($B$2="trigo",IF(($F$28+COUNTIFS($I$2:$I$501,"&gt;="&amp;$F$28,$T$2:$T$501,"&lt;"&amp;$F$11))&gt;548,"Datos insuficientes",INDEX(clima!$C:$C,$F$28+COUNTIFS($I$2:$I$501,"&gt;="&amp;$F$28,$T$2:$T$501,"&lt;"&amp;$F$11))),IF($B$2="maiz",IF(($F$27+COUNTIFS($I$2:$I$501,"&gt;="&amp;$F$27,$P$2:$P$501,"&lt;"&amp;$F$15))&gt;548,"Datos insuficientes",INDEX(clima!$C:$C,$F$27+COUNTIFS($I$2:$I$501,"&gt;="&amp;$F$27,$P$2:$P$501,"&lt;"&amp;$F$15))),IF($B$2="soja",IF(($F$28+COUNTIFS($I$2:$I$501,"&gt;="&amp;$F$28,$T$2:$T$501,"&lt;"&amp;($F$20+$F$23)))&gt;548,"Datos insuficientes",INDEX(clima!$C:$C,$F$28+COUNTIFS($I$2:$I$501,"&gt;="&amp;$F$28,$T$2:$T$501,"&lt;"&amp;($F$20+$F$23)))),""))),"Sin datos")</f>
        <v>322</v>
      </c>
      <c r="C13" s="5" t="s">
        <v>53</v>
      </c>
      <c r="E13" t="s">
        <v>54</v>
      </c>
      <c r="F13" t="str">
        <f>IF($B$2="maiz",SUMIFS(cultivo!$D:$D,cultivo!$A:$A,"maiz",cultivo!$B:$B,$B$3,cultivo!$C:$C,"UT_E-R2"),"")</f>
        <v/>
      </c>
      <c r="H13">
        <f t="shared" si="9"/>
        <v>11</v>
      </c>
      <c r="I13">
        <f t="shared" si="0"/>
        <v>162</v>
      </c>
      <c r="J13">
        <f>IFERROR(INDEX(clima!$C:$C,$I13),"")</f>
        <v>161</v>
      </c>
      <c r="K13">
        <f>IFERROR(INDEX(clima!$F:$F,$I13),"")</f>
        <v>4.5</v>
      </c>
      <c r="L13">
        <f>IFERROR(INDEX(clima!$J:$J,$I13),"")</f>
        <v>9.8733363894427484</v>
      </c>
      <c r="M13">
        <f t="shared" si="1"/>
        <v>4.5</v>
      </c>
      <c r="N13">
        <f t="shared" si="10"/>
        <v>78</v>
      </c>
      <c r="O13">
        <f t="shared" si="2"/>
        <v>0</v>
      </c>
      <c r="P13">
        <f t="shared" si="11"/>
        <v>0</v>
      </c>
      <c r="Q13">
        <f t="shared" si="3"/>
        <v>0</v>
      </c>
      <c r="R13">
        <f t="shared" si="12"/>
        <v>0</v>
      </c>
      <c r="S13">
        <f t="shared" si="4"/>
        <v>0</v>
      </c>
      <c r="T13">
        <f t="shared" si="13"/>
        <v>0</v>
      </c>
      <c r="U13">
        <f t="shared" si="5"/>
        <v>0</v>
      </c>
      <c r="V13">
        <f t="shared" si="14"/>
        <v>0</v>
      </c>
      <c r="W13">
        <f t="shared" si="6"/>
        <v>11</v>
      </c>
      <c r="X13">
        <f t="shared" si="7"/>
        <v>0.2</v>
      </c>
      <c r="Y13">
        <f t="shared" si="8"/>
        <v>0</v>
      </c>
    </row>
    <row r="14" spans="1:25" x14ac:dyDescent="0.2">
      <c r="A14" t="s">
        <v>55</v>
      </c>
      <c r="B14" s="10">
        <f>IFERROR(IF($B$2="trigo",IF(($F$28+COUNTIFS($I$2:$I$501,"&gt;="&amp;$F$28,$T$2:$T$501,"&lt;"&amp;($F$11+$F$12)))&gt;548,"Datos insuficientes",INDEX(clima!$C:$C,$F$28+COUNTIFS($I$2:$I$501,"&gt;="&amp;$F$28,$T$2:$T$501,"&lt;"&amp;($F$11+$F$12)))),IF($B$2="maiz",IF(($F$27+COUNTIFS($I$2:$I$501,"&gt;="&amp;$F$27,$P$2:$P$501,"&lt;"&amp;($F$13+$F$16)))&gt;548,"Datos insuficientes",INDEX(clima!$C:$C,$F$27+COUNTIFS($I$2:$I$501,"&gt;="&amp;$F$27,$P$2:$P$501,"&lt;"&amp;($F$13+$F$16)))),IF($B$2="soja",IF(($F$28+COUNTIFS($I$2:$I$501,"&gt;="&amp;$F$28,$T$2:$T$501,"&lt;"&amp;($F$20+$F$21)))&gt;548,"Datos insuficientes",INDEX(clima!$C:$C,$F$28+COUNTIFS($I$2:$I$501,"&gt;="&amp;$F$28,$T$2:$T$501,"&lt;"&amp;($F$20+$F$21)))),""))),"Sin datos")</f>
        <v>340</v>
      </c>
      <c r="C14" s="5" t="s">
        <v>56</v>
      </c>
      <c r="E14" t="s">
        <v>57</v>
      </c>
      <c r="F14" t="str">
        <f>IF($B$2="maiz",SUMIFS(cultivo!$D:$D,cultivo!$A:$A,"maiz",cultivo!$B:$B,$B$3,cultivo!$C:$C,"UT_E-iPC"),"")</f>
        <v/>
      </c>
      <c r="H14">
        <f t="shared" si="9"/>
        <v>12</v>
      </c>
      <c r="I14">
        <f t="shared" si="0"/>
        <v>163</v>
      </c>
      <c r="J14">
        <f>IFERROR(INDEX(clima!$C:$C,$I14),"")</f>
        <v>162</v>
      </c>
      <c r="K14">
        <f>IFERROR(INDEX(clima!$F:$F,$I14),"")</f>
        <v>6.7</v>
      </c>
      <c r="L14">
        <f>IFERROR(INDEX(clima!$J:$J,$I14),"")</f>
        <v>9.8654646697503487</v>
      </c>
      <c r="M14">
        <f t="shared" si="1"/>
        <v>6.7</v>
      </c>
      <c r="N14">
        <f t="shared" si="10"/>
        <v>84.7</v>
      </c>
      <c r="O14">
        <f t="shared" si="2"/>
        <v>0</v>
      </c>
      <c r="P14">
        <f t="shared" si="11"/>
        <v>0</v>
      </c>
      <c r="Q14">
        <f t="shared" si="3"/>
        <v>0</v>
      </c>
      <c r="R14">
        <f t="shared" si="12"/>
        <v>0</v>
      </c>
      <c r="S14">
        <f t="shared" si="4"/>
        <v>0</v>
      </c>
      <c r="T14">
        <f t="shared" si="13"/>
        <v>0</v>
      </c>
      <c r="U14">
        <f t="shared" si="5"/>
        <v>0</v>
      </c>
      <c r="V14">
        <f t="shared" si="14"/>
        <v>0</v>
      </c>
      <c r="W14">
        <f t="shared" si="6"/>
        <v>12</v>
      </c>
      <c r="X14">
        <f t="shared" si="7"/>
        <v>0.2</v>
      </c>
      <c r="Y14">
        <f t="shared" si="8"/>
        <v>0</v>
      </c>
    </row>
    <row r="15" spans="1:25" x14ac:dyDescent="0.2">
      <c r="A15" t="s">
        <v>58</v>
      </c>
      <c r="B15">
        <f>IF($B$2&lt;&gt;"trigo","",IFERROR(IF(($F$28+COUNTIFS($I$2:$I$501,"&gt;="&amp;$F$28,$T$2:$T$501,"&lt;"&amp;$F$43))&gt;548,"Datos insuficientes",INDEX(clima!$C:$C,$F$28+COUNTIFS($I$2:$I$501,"&gt;="&amp;$F$28,$T$2:$T$501,"&lt;"&amp;$F$43))),"Sin datos"))</f>
        <v>317</v>
      </c>
      <c r="C15" t="s">
        <v>59</v>
      </c>
      <c r="E15" t="s">
        <v>60</v>
      </c>
      <c r="F15" t="str">
        <f>IF($B$2="maiz",SUMIFS(cultivo!$D:$D,cultivo!$A:$A,"maiz",cultivo!$B:$B,$B$3,cultivo!$C:$C,"UT_E-fPC"),"")</f>
        <v/>
      </c>
      <c r="H15">
        <f t="shared" si="9"/>
        <v>13</v>
      </c>
      <c r="I15">
        <f t="shared" si="0"/>
        <v>164</v>
      </c>
      <c r="J15">
        <f>IFERROR(INDEX(clima!$C:$C,$I15),"")</f>
        <v>163</v>
      </c>
      <c r="K15">
        <f>IFERROR(INDEX(clima!$F:$F,$I15),"")</f>
        <v>7.3</v>
      </c>
      <c r="L15">
        <f>IFERROR(INDEX(clima!$J:$J,$I15),"")</f>
        <v>9.8583083995972665</v>
      </c>
      <c r="M15">
        <f t="shared" si="1"/>
        <v>7.3</v>
      </c>
      <c r="N15">
        <f t="shared" si="10"/>
        <v>92</v>
      </c>
      <c r="O15">
        <f t="shared" si="2"/>
        <v>0</v>
      </c>
      <c r="P15">
        <f t="shared" si="11"/>
        <v>0</v>
      </c>
      <c r="Q15">
        <f t="shared" si="3"/>
        <v>0</v>
      </c>
      <c r="R15">
        <f t="shared" si="12"/>
        <v>0</v>
      </c>
      <c r="S15">
        <f t="shared" si="4"/>
        <v>0</v>
      </c>
      <c r="T15">
        <f t="shared" si="13"/>
        <v>0</v>
      </c>
      <c r="U15">
        <f t="shared" si="5"/>
        <v>0</v>
      </c>
      <c r="V15">
        <f t="shared" si="14"/>
        <v>0</v>
      </c>
      <c r="W15">
        <f t="shared" si="6"/>
        <v>13</v>
      </c>
      <c r="X15">
        <f t="shared" si="7"/>
        <v>0.2</v>
      </c>
      <c r="Y15">
        <f t="shared" si="8"/>
        <v>0</v>
      </c>
    </row>
    <row r="16" spans="1:25" x14ac:dyDescent="0.2">
      <c r="E16" t="s">
        <v>61</v>
      </c>
      <c r="F16" t="str">
        <f>IF($B$2="maiz",SUMIFS(cultivo!$D:$D,cultivo!$A:$A,"maiz",cultivo!$B:$B,$B$3,cultivo!$C:$C,"UT_R2-MF"),"")</f>
        <v/>
      </c>
      <c r="H16">
        <f t="shared" si="9"/>
        <v>14</v>
      </c>
      <c r="I16">
        <f t="shared" si="0"/>
        <v>165</v>
      </c>
      <c r="J16">
        <f>IFERROR(INDEX(clima!$C:$C,$I16),"")</f>
        <v>164</v>
      </c>
      <c r="K16">
        <f>IFERROR(INDEX(clima!$F:$F,$I16),"")</f>
        <v>8.6</v>
      </c>
      <c r="L16">
        <f>IFERROR(INDEX(clima!$J:$J,$I16),"")</f>
        <v>9.851872433489115</v>
      </c>
      <c r="M16">
        <f t="shared" si="1"/>
        <v>8.6</v>
      </c>
      <c r="N16">
        <f t="shared" si="10"/>
        <v>100.6</v>
      </c>
      <c r="O16">
        <f t="shared" si="2"/>
        <v>0</v>
      </c>
      <c r="P16">
        <f t="shared" si="11"/>
        <v>0</v>
      </c>
      <c r="Q16">
        <f t="shared" si="3"/>
        <v>0</v>
      </c>
      <c r="R16">
        <f t="shared" si="12"/>
        <v>0</v>
      </c>
      <c r="S16">
        <f t="shared" si="4"/>
        <v>0</v>
      </c>
      <c r="T16">
        <f t="shared" si="13"/>
        <v>0</v>
      </c>
      <c r="U16">
        <f t="shared" si="5"/>
        <v>0</v>
      </c>
      <c r="V16">
        <f t="shared" si="14"/>
        <v>0</v>
      </c>
      <c r="W16">
        <f t="shared" si="6"/>
        <v>14</v>
      </c>
      <c r="X16">
        <f t="shared" si="7"/>
        <v>0.2</v>
      </c>
      <c r="Y16">
        <f t="shared" si="8"/>
        <v>0</v>
      </c>
    </row>
    <row r="17" spans="5:25" x14ac:dyDescent="0.2">
      <c r="E17" t="s">
        <v>62</v>
      </c>
      <c r="F17" t="str">
        <f>IF($B$2="soja",SUMIFS(cultivo!$D:$D,cultivo!$A:$A,"soja",cultivo!$B:$B,$B$3,cultivo!$C:$C,"FpU_E-R1"),"")</f>
        <v/>
      </c>
      <c r="H17">
        <f t="shared" si="9"/>
        <v>15</v>
      </c>
      <c r="I17">
        <f t="shared" si="0"/>
        <v>166</v>
      </c>
      <c r="J17">
        <f>IFERROR(INDEX(clima!$C:$C,$I17),"")</f>
        <v>165</v>
      </c>
      <c r="K17">
        <f>IFERROR(INDEX(clima!$F:$F,$I17),"")</f>
        <v>7.9</v>
      </c>
      <c r="L17">
        <f>IFERROR(INDEX(clima!$J:$J,$I17),"")</f>
        <v>9.8461611603456127</v>
      </c>
      <c r="M17">
        <f t="shared" si="1"/>
        <v>7.9</v>
      </c>
      <c r="N17">
        <f t="shared" si="10"/>
        <v>108.5</v>
      </c>
      <c r="O17">
        <f t="shared" si="2"/>
        <v>0</v>
      </c>
      <c r="P17">
        <f t="shared" si="11"/>
        <v>0</v>
      </c>
      <c r="Q17">
        <f t="shared" si="3"/>
        <v>0</v>
      </c>
      <c r="R17">
        <f t="shared" si="12"/>
        <v>0</v>
      </c>
      <c r="S17">
        <f t="shared" si="4"/>
        <v>0</v>
      </c>
      <c r="T17">
        <f t="shared" si="13"/>
        <v>0</v>
      </c>
      <c r="U17">
        <f t="shared" si="5"/>
        <v>0</v>
      </c>
      <c r="V17">
        <f t="shared" si="14"/>
        <v>0</v>
      </c>
      <c r="W17">
        <f t="shared" si="6"/>
        <v>15</v>
      </c>
      <c r="X17">
        <f t="shared" si="7"/>
        <v>0.2</v>
      </c>
      <c r="Y17">
        <f t="shared" si="8"/>
        <v>0</v>
      </c>
    </row>
    <row r="18" spans="5:25" x14ac:dyDescent="0.2">
      <c r="E18" t="s">
        <v>63</v>
      </c>
      <c r="F18" t="str">
        <f>IF($B$2="soja",SUMIFS(cultivo!$D:$D,cultivo!$A:$A,"soja",cultivo!$C:$C,"UT_E-R1"),"")</f>
        <v/>
      </c>
      <c r="H18">
        <f t="shared" si="9"/>
        <v>16</v>
      </c>
      <c r="I18">
        <f t="shared" si="0"/>
        <v>167</v>
      </c>
      <c r="J18">
        <f>IFERROR(INDEX(clima!$C:$C,$I18),"")</f>
        <v>166</v>
      </c>
      <c r="K18">
        <f>IFERROR(INDEX(clima!$F:$F,$I18),"")</f>
        <v>6.1</v>
      </c>
      <c r="L18">
        <f>IFERROR(INDEX(clima!$J:$J,$I18),"")</f>
        <v>9.8411784932408803</v>
      </c>
      <c r="M18">
        <f t="shared" si="1"/>
        <v>6.1</v>
      </c>
      <c r="N18">
        <f t="shared" si="10"/>
        <v>114.6</v>
      </c>
      <c r="O18">
        <f t="shared" si="2"/>
        <v>0</v>
      </c>
      <c r="P18">
        <f t="shared" si="11"/>
        <v>0</v>
      </c>
      <c r="Q18">
        <f t="shared" si="3"/>
        <v>0</v>
      </c>
      <c r="R18">
        <f t="shared" si="12"/>
        <v>0</v>
      </c>
      <c r="S18">
        <f t="shared" si="4"/>
        <v>0</v>
      </c>
      <c r="T18">
        <f t="shared" si="13"/>
        <v>0</v>
      </c>
      <c r="U18">
        <f t="shared" si="5"/>
        <v>0</v>
      </c>
      <c r="V18">
        <f t="shared" si="14"/>
        <v>0</v>
      </c>
      <c r="W18">
        <f t="shared" si="6"/>
        <v>16</v>
      </c>
      <c r="X18">
        <f t="shared" si="7"/>
        <v>0.2</v>
      </c>
      <c r="Y18">
        <f t="shared" si="8"/>
        <v>0</v>
      </c>
    </row>
    <row r="19" spans="5:25" x14ac:dyDescent="0.2">
      <c r="E19" t="s">
        <v>64</v>
      </c>
      <c r="F19" t="str">
        <f>IF($B$2="soja",SUMIFS(cultivo!$D:$D,cultivo!$A:$A,"soja",cultivo!$B:$B,$B$3,cultivo!$C:$C,"FpU_R1-MF"),"")</f>
        <v/>
      </c>
      <c r="H19">
        <f t="shared" si="9"/>
        <v>17</v>
      </c>
      <c r="I19">
        <f t="shared" si="0"/>
        <v>168</v>
      </c>
      <c r="J19">
        <f>IFERROR(INDEX(clima!$C:$C,$I19),"")</f>
        <v>167</v>
      </c>
      <c r="K19">
        <f>IFERROR(INDEX(clima!$F:$F,$I19),"")</f>
        <v>10.5</v>
      </c>
      <c r="L19">
        <f>IFERROR(INDEX(clima!$J:$J,$I19),"")</f>
        <v>9.8369278601920609</v>
      </c>
      <c r="M19">
        <f t="shared" si="1"/>
        <v>10.5</v>
      </c>
      <c r="N19">
        <f t="shared" si="10"/>
        <v>125.1</v>
      </c>
      <c r="O19">
        <f t="shared" si="2"/>
        <v>0</v>
      </c>
      <c r="P19">
        <f t="shared" si="11"/>
        <v>0</v>
      </c>
      <c r="Q19">
        <f t="shared" si="3"/>
        <v>0</v>
      </c>
      <c r="R19">
        <f t="shared" si="12"/>
        <v>0</v>
      </c>
      <c r="S19">
        <f t="shared" si="4"/>
        <v>0</v>
      </c>
      <c r="T19">
        <f t="shared" si="13"/>
        <v>0</v>
      </c>
      <c r="U19">
        <f t="shared" si="5"/>
        <v>0</v>
      </c>
      <c r="V19">
        <f t="shared" si="14"/>
        <v>0</v>
      </c>
      <c r="W19">
        <f t="shared" si="6"/>
        <v>17</v>
      </c>
      <c r="X19">
        <f t="shared" si="7"/>
        <v>0.2</v>
      </c>
      <c r="Y19">
        <f t="shared" si="8"/>
        <v>0</v>
      </c>
    </row>
    <row r="20" spans="5:25" x14ac:dyDescent="0.2">
      <c r="E20" t="s">
        <v>65</v>
      </c>
      <c r="F20" t="str">
        <f>IF($B$2="soja",SUMIFS(cultivo!$D:$D,cultivo!$A:$A,"soja",cultivo!$C:$C,"UT-R1-R5"),"")</f>
        <v/>
      </c>
      <c r="H20">
        <f t="shared" si="9"/>
        <v>18</v>
      </c>
      <c r="I20">
        <f t="shared" si="0"/>
        <v>169</v>
      </c>
      <c r="J20">
        <f>IFERROR(INDEX(clima!$C:$C,$I20),"")</f>
        <v>168</v>
      </c>
      <c r="K20">
        <f>IFERROR(INDEX(clima!$F:$F,$I20),"")</f>
        <v>14.1</v>
      </c>
      <c r="L20">
        <f>IFERROR(INDEX(clima!$J:$J,$I20),"")</f>
        <v>9.8334121960401895</v>
      </c>
      <c r="M20">
        <f t="shared" si="1"/>
        <v>14.1</v>
      </c>
      <c r="N20">
        <f t="shared" si="10"/>
        <v>139.19999999999999</v>
      </c>
      <c r="O20">
        <f t="shared" si="2"/>
        <v>0</v>
      </c>
      <c r="P20">
        <f t="shared" si="11"/>
        <v>0</v>
      </c>
      <c r="Q20">
        <f t="shared" si="3"/>
        <v>0</v>
      </c>
      <c r="R20">
        <f t="shared" si="12"/>
        <v>0</v>
      </c>
      <c r="S20">
        <f t="shared" si="4"/>
        <v>0</v>
      </c>
      <c r="T20">
        <f t="shared" si="13"/>
        <v>0</v>
      </c>
      <c r="U20">
        <f t="shared" si="5"/>
        <v>0</v>
      </c>
      <c r="V20">
        <f t="shared" si="14"/>
        <v>0</v>
      </c>
      <c r="W20">
        <f t="shared" si="6"/>
        <v>18</v>
      </c>
      <c r="X20">
        <f t="shared" si="7"/>
        <v>0.2</v>
      </c>
      <c r="Y20">
        <f t="shared" si="8"/>
        <v>0</v>
      </c>
    </row>
    <row r="21" spans="5:25" x14ac:dyDescent="0.2">
      <c r="E21" t="s">
        <v>66</v>
      </c>
      <c r="F21" t="str">
        <f>IF($B$2="soja",SUMIFS(cultivo!$D:$D,cultivo!$A:$A,"soja",cultivo!$C:$C,"UT-R5-MF"),"")</f>
        <v/>
      </c>
      <c r="H21">
        <f t="shared" si="9"/>
        <v>19</v>
      </c>
      <c r="I21">
        <f t="shared" si="0"/>
        <v>170</v>
      </c>
      <c r="J21">
        <f>IFERROR(INDEX(clima!$C:$C,$I21),"")</f>
        <v>169</v>
      </c>
      <c r="K21">
        <f>IFERROR(INDEX(clima!$F:$F,$I21),"")</f>
        <v>16.3</v>
      </c>
      <c r="L21">
        <f>IFERROR(INDEX(clima!$J:$J,$I21),"")</f>
        <v>9.8306339354624104</v>
      </c>
      <c r="M21">
        <f t="shared" si="1"/>
        <v>16.3</v>
      </c>
      <c r="N21">
        <f t="shared" si="10"/>
        <v>155.5</v>
      </c>
      <c r="O21">
        <f t="shared" si="2"/>
        <v>16.3</v>
      </c>
      <c r="P21">
        <f t="shared" si="11"/>
        <v>16.3</v>
      </c>
      <c r="Q21">
        <f t="shared" si="3"/>
        <v>1.9717123472844991</v>
      </c>
      <c r="R21">
        <f t="shared" si="12"/>
        <v>1.9717123472844991</v>
      </c>
      <c r="S21">
        <f t="shared" si="4"/>
        <v>0</v>
      </c>
      <c r="T21">
        <f t="shared" si="13"/>
        <v>0</v>
      </c>
      <c r="U21">
        <f t="shared" si="5"/>
        <v>16.3</v>
      </c>
      <c r="V21">
        <f t="shared" si="14"/>
        <v>16.3</v>
      </c>
      <c r="W21">
        <f t="shared" si="6"/>
        <v>19</v>
      </c>
      <c r="X21">
        <f t="shared" si="7"/>
        <v>0.22119</v>
      </c>
      <c r="Y21">
        <f t="shared" si="8"/>
        <v>0.15</v>
      </c>
    </row>
    <row r="22" spans="5:25" x14ac:dyDescent="0.2">
      <c r="E22" t="s">
        <v>67</v>
      </c>
      <c r="F22" t="str">
        <f>IF($B$2="soja",SUMIFS(cultivo!$D:$D,cultivo!$A:$A,"soja",cultivo!$C:$C,"UT_R1-iPC"),"")</f>
        <v/>
      </c>
      <c r="H22">
        <f t="shared" si="9"/>
        <v>20</v>
      </c>
      <c r="I22">
        <f t="shared" si="0"/>
        <v>171</v>
      </c>
      <c r="J22">
        <f>IFERROR(INDEX(clima!$C:$C,$I22),"")</f>
        <v>170</v>
      </c>
      <c r="K22">
        <f>IFERROR(INDEX(clima!$F:$F,$I22),"")</f>
        <v>14.1</v>
      </c>
      <c r="L22">
        <f>IFERROR(INDEX(clima!$J:$J,$I22),"")</f>
        <v>9.8285950071493939</v>
      </c>
      <c r="M22">
        <f t="shared" si="1"/>
        <v>14.1</v>
      </c>
      <c r="N22">
        <f t="shared" si="10"/>
        <v>169.6</v>
      </c>
      <c r="O22">
        <f t="shared" si="2"/>
        <v>14.1</v>
      </c>
      <c r="P22">
        <f t="shared" si="11"/>
        <v>30.4</v>
      </c>
      <c r="Q22">
        <f t="shared" si="3"/>
        <v>1.7006210784989391</v>
      </c>
      <c r="R22">
        <f t="shared" si="12"/>
        <v>3.6723334257834379</v>
      </c>
      <c r="S22">
        <f t="shared" si="4"/>
        <v>0</v>
      </c>
      <c r="T22">
        <f t="shared" si="13"/>
        <v>0</v>
      </c>
      <c r="U22">
        <f t="shared" si="5"/>
        <v>14.1</v>
      </c>
      <c r="V22">
        <f t="shared" si="14"/>
        <v>30.4</v>
      </c>
      <c r="W22">
        <f t="shared" si="6"/>
        <v>20</v>
      </c>
      <c r="X22">
        <f t="shared" si="7"/>
        <v>0.23952000000000001</v>
      </c>
      <c r="Y22">
        <f t="shared" si="8"/>
        <v>0.15</v>
      </c>
    </row>
    <row r="23" spans="5:25" x14ac:dyDescent="0.2">
      <c r="E23" t="s">
        <v>68</v>
      </c>
      <c r="F23" t="str">
        <f>IF($B$2="soja",SUMIFS(cultivo!$D:$D,cultivo!$A:$A,"soja",cultivo!$C:$C,"UT_R5-fPC"),"")</f>
        <v/>
      </c>
      <c r="H23">
        <f t="shared" si="9"/>
        <v>21</v>
      </c>
      <c r="I23">
        <f t="shared" si="0"/>
        <v>172</v>
      </c>
      <c r="J23">
        <f>IFERROR(INDEX(clima!$C:$C,$I23),"")</f>
        <v>171</v>
      </c>
      <c r="K23">
        <f>IFERROR(INDEX(clima!$F:$F,$I23),"")</f>
        <v>13.8</v>
      </c>
      <c r="L23">
        <f>IFERROR(INDEX(clima!$J:$J,$I23),"")</f>
        <v>9.8272968291763068</v>
      </c>
      <c r="M23">
        <f t="shared" si="1"/>
        <v>13.8</v>
      </c>
      <c r="N23">
        <f t="shared" si="10"/>
        <v>183.4</v>
      </c>
      <c r="O23">
        <f t="shared" si="2"/>
        <v>13.8</v>
      </c>
      <c r="P23">
        <f t="shared" si="11"/>
        <v>44.2</v>
      </c>
      <c r="Q23">
        <f t="shared" si="3"/>
        <v>1.6613397262621821</v>
      </c>
      <c r="R23">
        <f t="shared" si="12"/>
        <v>5.3336731520456198</v>
      </c>
      <c r="S23">
        <f t="shared" si="4"/>
        <v>0</v>
      </c>
      <c r="T23">
        <f t="shared" si="13"/>
        <v>0</v>
      </c>
      <c r="U23">
        <f t="shared" si="5"/>
        <v>13.8</v>
      </c>
      <c r="V23">
        <f t="shared" si="14"/>
        <v>44.2</v>
      </c>
      <c r="W23">
        <f t="shared" si="6"/>
        <v>21</v>
      </c>
      <c r="X23">
        <f t="shared" si="7"/>
        <v>0.25746000000000002</v>
      </c>
      <c r="Y23">
        <f t="shared" si="8"/>
        <v>0.15</v>
      </c>
    </row>
    <row r="24" spans="5:25" x14ac:dyDescent="0.2">
      <c r="H24">
        <f t="shared" si="9"/>
        <v>22</v>
      </c>
      <c r="I24">
        <f t="shared" si="0"/>
        <v>173</v>
      </c>
      <c r="J24">
        <f>IFERROR(INDEX(clima!$C:$C,$I24),"")</f>
        <v>172</v>
      </c>
      <c r="K24">
        <f>IFERROR(INDEX(clima!$F:$F,$I24),"")</f>
        <v>13</v>
      </c>
      <c r="L24">
        <f>IFERROR(INDEX(clima!$J:$J,$I24),"")</f>
        <v>9.8267403055900093</v>
      </c>
      <c r="M24">
        <f t="shared" si="1"/>
        <v>13</v>
      </c>
      <c r="N24">
        <f t="shared" si="10"/>
        <v>196.4</v>
      </c>
      <c r="O24">
        <f t="shared" si="2"/>
        <v>13</v>
      </c>
      <c r="P24">
        <f t="shared" si="11"/>
        <v>57.2</v>
      </c>
      <c r="Q24">
        <f t="shared" si="3"/>
        <v>1.5637789845052907</v>
      </c>
      <c r="R24">
        <f t="shared" si="12"/>
        <v>6.8974521365509105</v>
      </c>
      <c r="S24">
        <f t="shared" si="4"/>
        <v>0</v>
      </c>
      <c r="T24">
        <f t="shared" si="13"/>
        <v>0</v>
      </c>
      <c r="U24">
        <f t="shared" si="5"/>
        <v>13</v>
      </c>
      <c r="V24">
        <f t="shared" si="14"/>
        <v>57.2</v>
      </c>
      <c r="W24">
        <f t="shared" si="6"/>
        <v>22</v>
      </c>
      <c r="X24">
        <f t="shared" si="7"/>
        <v>0.27436000000000005</v>
      </c>
      <c r="Y24">
        <f t="shared" si="8"/>
        <v>0.15</v>
      </c>
    </row>
    <row r="25" spans="5:25" x14ac:dyDescent="0.2">
      <c r="H25">
        <f t="shared" si="9"/>
        <v>23</v>
      </c>
      <c r="I25">
        <f t="shared" si="0"/>
        <v>174</v>
      </c>
      <c r="J25">
        <f>IFERROR(INDEX(clima!$C:$C,$I25),"")</f>
        <v>173</v>
      </c>
      <c r="K25">
        <f>IFERROR(INDEX(clima!$F:$F,$I25),"")</f>
        <v>11.5</v>
      </c>
      <c r="L25">
        <f>IFERROR(INDEX(clima!$J:$J,$I25),"")</f>
        <v>9.8269258242292015</v>
      </c>
      <c r="M25">
        <f t="shared" si="1"/>
        <v>11.5</v>
      </c>
      <c r="N25">
        <f t="shared" si="10"/>
        <v>207.9</v>
      </c>
      <c r="O25">
        <f t="shared" si="2"/>
        <v>11.5</v>
      </c>
      <c r="P25">
        <f t="shared" si="11"/>
        <v>68.7</v>
      </c>
      <c r="Q25">
        <f t="shared" si="3"/>
        <v>1.3837119173444314</v>
      </c>
      <c r="R25">
        <f t="shared" si="12"/>
        <v>8.2811640538953419</v>
      </c>
      <c r="S25">
        <f t="shared" si="4"/>
        <v>0</v>
      </c>
      <c r="T25">
        <f t="shared" si="13"/>
        <v>0</v>
      </c>
      <c r="U25">
        <f t="shared" si="5"/>
        <v>11.5</v>
      </c>
      <c r="V25">
        <f t="shared" si="14"/>
        <v>68.7</v>
      </c>
      <c r="W25">
        <f t="shared" si="6"/>
        <v>23</v>
      </c>
      <c r="X25">
        <f t="shared" si="7"/>
        <v>0.28931000000000001</v>
      </c>
      <c r="Y25">
        <f t="shared" si="8"/>
        <v>0.15</v>
      </c>
    </row>
    <row r="26" spans="5:25" x14ac:dyDescent="0.2">
      <c r="E26" t="s">
        <v>69</v>
      </c>
      <c r="F26">
        <f>MATCH($B$4,clima!$C$2:$C$548,0)+1</f>
        <v>151</v>
      </c>
      <c r="H26">
        <f t="shared" si="9"/>
        <v>24</v>
      </c>
      <c r="I26">
        <f t="shared" si="0"/>
        <v>175</v>
      </c>
      <c r="J26">
        <f>IFERROR(INDEX(clima!$C:$C,$I26),"")</f>
        <v>174</v>
      </c>
      <c r="K26">
        <f>IFERROR(INDEX(clima!$F:$F,$I26),"")</f>
        <v>6.9</v>
      </c>
      <c r="L26">
        <f>IFERROR(INDEX(clima!$J:$J,$I26),"")</f>
        <v>9.8278532557882929</v>
      </c>
      <c r="M26">
        <f t="shared" si="1"/>
        <v>6.9</v>
      </c>
      <c r="N26">
        <f t="shared" si="10"/>
        <v>214.8</v>
      </c>
      <c r="O26">
        <f t="shared" si="2"/>
        <v>6.9</v>
      </c>
      <c r="P26">
        <f t="shared" si="11"/>
        <v>75.600000000000009</v>
      </c>
      <c r="Q26">
        <f t="shared" si="3"/>
        <v>0.83133380552418779</v>
      </c>
      <c r="R26">
        <f t="shared" si="12"/>
        <v>9.1124978594195305</v>
      </c>
      <c r="S26">
        <f t="shared" si="4"/>
        <v>0</v>
      </c>
      <c r="T26">
        <f t="shared" si="13"/>
        <v>0</v>
      </c>
      <c r="U26">
        <f t="shared" si="5"/>
        <v>6.9</v>
      </c>
      <c r="V26">
        <f t="shared" si="14"/>
        <v>75.600000000000009</v>
      </c>
      <c r="W26">
        <f t="shared" si="6"/>
        <v>24</v>
      </c>
      <c r="X26">
        <f t="shared" si="7"/>
        <v>0.29827999999999999</v>
      </c>
      <c r="Y26">
        <f t="shared" si="8"/>
        <v>0.15</v>
      </c>
    </row>
    <row r="27" spans="5:25" x14ac:dyDescent="0.2">
      <c r="E27" t="s">
        <v>70</v>
      </c>
      <c r="F27">
        <f>$F$26+COUNTIFS($I$2:$I$501,"&gt;="&amp;$F$26,$N$2:$N$501,"&lt;"&amp;$F$5)</f>
        <v>170</v>
      </c>
      <c r="H27">
        <f t="shared" si="9"/>
        <v>25</v>
      </c>
      <c r="I27">
        <f t="shared" si="0"/>
        <v>176</v>
      </c>
      <c r="J27">
        <f>IFERROR(INDEX(clima!$C:$C,$I27),"")</f>
        <v>175</v>
      </c>
      <c r="K27">
        <f>IFERROR(INDEX(clima!$F:$F,$I27),"")</f>
        <v>5.3</v>
      </c>
      <c r="L27">
        <f>IFERROR(INDEX(clima!$J:$J,$I27),"")</f>
        <v>9.8295219541295769</v>
      </c>
      <c r="M27">
        <f t="shared" si="1"/>
        <v>5.3</v>
      </c>
      <c r="N27">
        <f t="shared" si="10"/>
        <v>220.10000000000002</v>
      </c>
      <c r="O27">
        <f t="shared" si="2"/>
        <v>5.3</v>
      </c>
      <c r="P27">
        <f t="shared" si="11"/>
        <v>80.900000000000006</v>
      </c>
      <c r="Q27">
        <f t="shared" si="3"/>
        <v>0.64009000314697106</v>
      </c>
      <c r="R27">
        <f t="shared" si="12"/>
        <v>9.7525878625665019</v>
      </c>
      <c r="S27">
        <f t="shared" si="4"/>
        <v>0</v>
      </c>
      <c r="T27">
        <f t="shared" si="13"/>
        <v>0</v>
      </c>
      <c r="U27">
        <f t="shared" si="5"/>
        <v>5.3</v>
      </c>
      <c r="V27">
        <f t="shared" si="14"/>
        <v>80.900000000000006</v>
      </c>
      <c r="W27">
        <f t="shared" si="6"/>
        <v>25</v>
      </c>
      <c r="X27">
        <f t="shared" si="7"/>
        <v>0.30517000000000005</v>
      </c>
      <c r="Y27">
        <f t="shared" si="8"/>
        <v>0.15</v>
      </c>
    </row>
    <row r="28" spans="5:25" x14ac:dyDescent="0.2">
      <c r="E28" t="s">
        <v>71</v>
      </c>
      <c r="F28">
        <f>$F$27+COUNTIFS($I$2:$I$501,"&gt;="&amp;$F$27,$R$2:$R$501,"&lt;"&amp;IF($B$2="trigo",$F$9,IF($B$2="soja",$F$18,$F$13)))</f>
        <v>282</v>
      </c>
      <c r="H28">
        <f t="shared" si="9"/>
        <v>26</v>
      </c>
      <c r="I28">
        <f t="shared" si="0"/>
        <v>177</v>
      </c>
      <c r="J28">
        <f>IFERROR(INDEX(clima!$C:$C,$I28),"")</f>
        <v>176</v>
      </c>
      <c r="K28">
        <f>IFERROR(INDEX(clima!$F:$F,$I28),"")</f>
        <v>6.8</v>
      </c>
      <c r="L28">
        <f>IFERROR(INDEX(clima!$J:$J,$I28),"")</f>
        <v>9.8319307578421764</v>
      </c>
      <c r="M28">
        <f t="shared" si="1"/>
        <v>6.8</v>
      </c>
      <c r="N28">
        <f t="shared" si="10"/>
        <v>226.90000000000003</v>
      </c>
      <c r="O28">
        <f t="shared" si="2"/>
        <v>6.8</v>
      </c>
      <c r="P28">
        <f t="shared" si="11"/>
        <v>87.7</v>
      </c>
      <c r="Q28">
        <f t="shared" si="3"/>
        <v>0.82407926385033536</v>
      </c>
      <c r="R28">
        <f t="shared" si="12"/>
        <v>10.576667126416837</v>
      </c>
      <c r="S28">
        <f t="shared" si="4"/>
        <v>0</v>
      </c>
      <c r="T28">
        <f t="shared" si="13"/>
        <v>0</v>
      </c>
      <c r="U28">
        <f t="shared" si="5"/>
        <v>6.8</v>
      </c>
      <c r="V28">
        <f t="shared" si="14"/>
        <v>87.7</v>
      </c>
      <c r="W28">
        <f t="shared" si="6"/>
        <v>26</v>
      </c>
      <c r="X28">
        <f t="shared" si="7"/>
        <v>0.31401000000000001</v>
      </c>
      <c r="Y28">
        <f t="shared" si="8"/>
        <v>0.15</v>
      </c>
    </row>
    <row r="29" spans="5:25" x14ac:dyDescent="0.2">
      <c r="H29">
        <f t="shared" si="9"/>
        <v>27</v>
      </c>
      <c r="I29">
        <f t="shared" si="0"/>
        <v>178</v>
      </c>
      <c r="J29">
        <f>IFERROR(INDEX(clima!$C:$C,$I29),"")</f>
        <v>177</v>
      </c>
      <c r="K29">
        <f>IFERROR(INDEX(clima!$F:$F,$I29),"")</f>
        <v>6.5</v>
      </c>
      <c r="L29">
        <f>IFERROR(INDEX(clima!$J:$J,$I29),"")</f>
        <v>9.8350779930400947</v>
      </c>
      <c r="M29">
        <f t="shared" si="1"/>
        <v>6.5</v>
      </c>
      <c r="N29">
        <f t="shared" si="10"/>
        <v>233.40000000000003</v>
      </c>
      <c r="O29">
        <f t="shared" si="2"/>
        <v>6.5</v>
      </c>
      <c r="P29">
        <f t="shared" si="11"/>
        <v>94.2</v>
      </c>
      <c r="Q29">
        <f t="shared" si="3"/>
        <v>0.79125842273132618</v>
      </c>
      <c r="R29">
        <f t="shared" si="12"/>
        <v>11.367925549148163</v>
      </c>
      <c r="S29">
        <f t="shared" si="4"/>
        <v>0</v>
      </c>
      <c r="T29">
        <f t="shared" si="13"/>
        <v>0</v>
      </c>
      <c r="U29">
        <f t="shared" si="5"/>
        <v>6.5</v>
      </c>
      <c r="V29">
        <f t="shared" si="14"/>
        <v>94.2</v>
      </c>
      <c r="W29">
        <f t="shared" si="6"/>
        <v>27</v>
      </c>
      <c r="X29">
        <f t="shared" si="7"/>
        <v>0.32246000000000002</v>
      </c>
      <c r="Y29">
        <f t="shared" si="8"/>
        <v>0.15</v>
      </c>
    </row>
    <row r="30" spans="5:25" x14ac:dyDescent="0.2">
      <c r="E30" s="8" t="s">
        <v>72</v>
      </c>
      <c r="H30">
        <f t="shared" si="9"/>
        <v>28</v>
      </c>
      <c r="I30">
        <f t="shared" si="0"/>
        <v>179</v>
      </c>
      <c r="J30">
        <f>IFERROR(INDEX(clima!$C:$C,$I30),"")</f>
        <v>178</v>
      </c>
      <c r="K30">
        <f>IFERROR(INDEX(clima!$F:$F,$I30),"")</f>
        <v>7</v>
      </c>
      <c r="L30">
        <f>IFERROR(INDEX(clima!$J:$J,$I30),"")</f>
        <v>9.8389614773856007</v>
      </c>
      <c r="M30">
        <f t="shared" si="1"/>
        <v>7</v>
      </c>
      <c r="N30">
        <f t="shared" si="10"/>
        <v>240.40000000000003</v>
      </c>
      <c r="O30">
        <f t="shared" si="2"/>
        <v>7</v>
      </c>
      <c r="P30">
        <f t="shared" si="11"/>
        <v>101.2</v>
      </c>
      <c r="Q30">
        <f t="shared" si="3"/>
        <v>0.85682112044579717</v>
      </c>
      <c r="R30">
        <f t="shared" si="12"/>
        <v>12.22474666959396</v>
      </c>
      <c r="S30">
        <f t="shared" si="4"/>
        <v>0</v>
      </c>
      <c r="T30">
        <f t="shared" si="13"/>
        <v>0</v>
      </c>
      <c r="U30">
        <f t="shared" si="5"/>
        <v>7</v>
      </c>
      <c r="V30">
        <f t="shared" si="14"/>
        <v>101.2</v>
      </c>
      <c r="W30">
        <f t="shared" si="6"/>
        <v>28</v>
      </c>
      <c r="X30">
        <f t="shared" si="7"/>
        <v>0.33156000000000002</v>
      </c>
      <c r="Y30">
        <f t="shared" si="8"/>
        <v>0.15</v>
      </c>
    </row>
    <row r="31" spans="5:25" x14ac:dyDescent="0.2">
      <c r="E31" s="9" t="s">
        <v>73</v>
      </c>
      <c r="H31">
        <f t="shared" si="9"/>
        <v>29</v>
      </c>
      <c r="I31">
        <f t="shared" si="0"/>
        <v>180</v>
      </c>
      <c r="J31">
        <f>IFERROR(INDEX(clima!$C:$C,$I31),"")</f>
        <v>179</v>
      </c>
      <c r="K31">
        <f>IFERROR(INDEX(clima!$F:$F,$I31),"")</f>
        <v>6.8</v>
      </c>
      <c r="L31">
        <f>IFERROR(INDEX(clima!$J:$J,$I31),"")</f>
        <v>9.8435785253182253</v>
      </c>
      <c r="M31">
        <f t="shared" si="1"/>
        <v>6.8</v>
      </c>
      <c r="N31">
        <f t="shared" si="10"/>
        <v>247.20000000000005</v>
      </c>
      <c r="O31">
        <f t="shared" si="2"/>
        <v>6.8</v>
      </c>
      <c r="P31">
        <f t="shared" si="11"/>
        <v>108</v>
      </c>
      <c r="Q31">
        <f t="shared" si="3"/>
        <v>0.83776254349440205</v>
      </c>
      <c r="R31">
        <f t="shared" si="12"/>
        <v>13.062509213088362</v>
      </c>
      <c r="S31">
        <f t="shared" si="4"/>
        <v>0</v>
      </c>
      <c r="T31">
        <f t="shared" si="13"/>
        <v>0</v>
      </c>
      <c r="U31">
        <f t="shared" si="5"/>
        <v>6.8</v>
      </c>
      <c r="V31">
        <f t="shared" si="14"/>
        <v>108</v>
      </c>
      <c r="W31">
        <f t="shared" si="6"/>
        <v>29</v>
      </c>
      <c r="X31">
        <f t="shared" si="7"/>
        <v>0.34040000000000004</v>
      </c>
      <c r="Y31">
        <f t="shared" si="8"/>
        <v>0.15</v>
      </c>
    </row>
    <row r="32" spans="5:25" x14ac:dyDescent="0.2">
      <c r="E32" s="9" t="s">
        <v>74</v>
      </c>
      <c r="H32">
        <f t="shared" si="9"/>
        <v>30</v>
      </c>
      <c r="I32">
        <f t="shared" si="0"/>
        <v>181</v>
      </c>
      <c r="J32">
        <f>IFERROR(INDEX(clima!$C:$C,$I32),"")</f>
        <v>180</v>
      </c>
      <c r="K32">
        <f>IFERROR(INDEX(clima!$F:$F,$I32),"")</f>
        <v>6.3</v>
      </c>
      <c r="L32">
        <f>IFERROR(INDEX(clima!$J:$J,$I32),"")</f>
        <v>9.8489259544638426</v>
      </c>
      <c r="M32">
        <f t="shared" si="1"/>
        <v>6.3</v>
      </c>
      <c r="N32">
        <f t="shared" si="10"/>
        <v>253.50000000000006</v>
      </c>
      <c r="O32">
        <f t="shared" si="2"/>
        <v>6.3</v>
      </c>
      <c r="P32">
        <f t="shared" si="11"/>
        <v>114.3</v>
      </c>
      <c r="Q32">
        <f t="shared" si="3"/>
        <v>0.78197750591535897</v>
      </c>
      <c r="R32">
        <f t="shared" si="12"/>
        <v>13.84448671900372</v>
      </c>
      <c r="S32">
        <f t="shared" si="4"/>
        <v>0</v>
      </c>
      <c r="T32">
        <f t="shared" si="13"/>
        <v>0</v>
      </c>
      <c r="U32">
        <f t="shared" si="5"/>
        <v>6.3</v>
      </c>
      <c r="V32">
        <f t="shared" si="14"/>
        <v>114.3</v>
      </c>
      <c r="W32">
        <f t="shared" si="6"/>
        <v>30</v>
      </c>
      <c r="X32">
        <f t="shared" si="7"/>
        <v>0.34859000000000001</v>
      </c>
      <c r="Y32">
        <f t="shared" si="8"/>
        <v>0.15</v>
      </c>
    </row>
    <row r="33" spans="5:25" x14ac:dyDescent="0.2">
      <c r="E33" s="9" t="s">
        <v>75</v>
      </c>
      <c r="H33">
        <f t="shared" si="9"/>
        <v>31</v>
      </c>
      <c r="I33">
        <f t="shared" si="0"/>
        <v>182</v>
      </c>
      <c r="J33">
        <f>IFERROR(INDEX(clima!$C:$C,$I33),"")</f>
        <v>181</v>
      </c>
      <c r="K33">
        <f>IFERROR(INDEX(clima!$F:$F,$I33),"")</f>
        <v>8.3000000000000007</v>
      </c>
      <c r="L33">
        <f>IFERROR(INDEX(clima!$J:$J,$I33),"")</f>
        <v>9.8550000931926878</v>
      </c>
      <c r="M33">
        <f t="shared" si="1"/>
        <v>8.3000000000000007</v>
      </c>
      <c r="N33">
        <f t="shared" si="10"/>
        <v>261.80000000000007</v>
      </c>
      <c r="O33">
        <f t="shared" si="2"/>
        <v>8.3000000000000007</v>
      </c>
      <c r="P33">
        <f t="shared" si="11"/>
        <v>122.6</v>
      </c>
      <c r="Q33">
        <f t="shared" si="3"/>
        <v>1.0389218196515571</v>
      </c>
      <c r="R33">
        <f t="shared" si="12"/>
        <v>14.883408538655278</v>
      </c>
      <c r="S33">
        <f t="shared" si="4"/>
        <v>0</v>
      </c>
      <c r="T33">
        <f t="shared" si="13"/>
        <v>0</v>
      </c>
      <c r="U33">
        <f t="shared" si="5"/>
        <v>8.3000000000000007</v>
      </c>
      <c r="V33">
        <f t="shared" si="14"/>
        <v>122.6</v>
      </c>
      <c r="W33">
        <f t="shared" si="6"/>
        <v>31</v>
      </c>
      <c r="X33">
        <f t="shared" si="7"/>
        <v>0.35938000000000003</v>
      </c>
      <c r="Y33">
        <f t="shared" si="8"/>
        <v>0.15</v>
      </c>
    </row>
    <row r="34" spans="5:25" x14ac:dyDescent="0.2">
      <c r="E34" s="9" t="s">
        <v>76</v>
      </c>
      <c r="H34">
        <f t="shared" si="9"/>
        <v>32</v>
      </c>
      <c r="I34">
        <f t="shared" si="0"/>
        <v>183</v>
      </c>
      <c r="J34">
        <f>IFERROR(INDEX(clima!$C:$C,$I34),"")</f>
        <v>182</v>
      </c>
      <c r="K34">
        <f>IFERROR(INDEX(clima!$F:$F,$I34),"")</f>
        <v>8.4</v>
      </c>
      <c r="L34">
        <f>IFERROR(INDEX(clima!$J:$J,$I34),"")</f>
        <v>9.8617967892898104</v>
      </c>
      <c r="M34">
        <f t="shared" si="1"/>
        <v>8.4</v>
      </c>
      <c r="N34">
        <f t="shared" si="10"/>
        <v>270.20000000000005</v>
      </c>
      <c r="O34">
        <f t="shared" si="2"/>
        <v>8.4</v>
      </c>
      <c r="P34">
        <f t="shared" si="11"/>
        <v>131</v>
      </c>
      <c r="Q34">
        <f t="shared" si="3"/>
        <v>1.0612820660058755</v>
      </c>
      <c r="R34">
        <f t="shared" si="12"/>
        <v>15.944690604661153</v>
      </c>
      <c r="S34">
        <f t="shared" si="4"/>
        <v>0</v>
      </c>
      <c r="T34">
        <f t="shared" si="13"/>
        <v>0</v>
      </c>
      <c r="U34">
        <f t="shared" si="5"/>
        <v>8.4</v>
      </c>
      <c r="V34">
        <f t="shared" si="14"/>
        <v>131</v>
      </c>
      <c r="W34">
        <f t="shared" si="6"/>
        <v>32</v>
      </c>
      <c r="X34">
        <f t="shared" si="7"/>
        <v>0.37030000000000002</v>
      </c>
      <c r="Y34">
        <f t="shared" si="8"/>
        <v>0.15</v>
      </c>
    </row>
    <row r="35" spans="5:25" x14ac:dyDescent="0.2">
      <c r="E35" s="87" t="s">
        <v>77</v>
      </c>
      <c r="H35">
        <f t="shared" si="9"/>
        <v>33</v>
      </c>
      <c r="I35">
        <f t="shared" si="0"/>
        <v>184</v>
      </c>
      <c r="J35">
        <f>IFERROR(INDEX(clima!$C:$C,$I35),"")</f>
        <v>183</v>
      </c>
      <c r="K35">
        <f>IFERROR(INDEX(clima!$F:$F,$I35),"")</f>
        <v>13.2</v>
      </c>
      <c r="L35">
        <f>IFERROR(INDEX(clima!$J:$J,$I35),"")</f>
        <v>9.8693114196964178</v>
      </c>
      <c r="M35">
        <f t="shared" si="1"/>
        <v>13.2</v>
      </c>
      <c r="N35">
        <f t="shared" si="10"/>
        <v>283.40000000000003</v>
      </c>
      <c r="O35">
        <f t="shared" si="2"/>
        <v>13.2</v>
      </c>
      <c r="P35">
        <f t="shared" si="11"/>
        <v>144.19999999999999</v>
      </c>
      <c r="Q35">
        <f t="shared" si="3"/>
        <v>1.6848185053353184</v>
      </c>
      <c r="R35">
        <f t="shared" si="12"/>
        <v>17.629509109996469</v>
      </c>
      <c r="S35">
        <f t="shared" si="4"/>
        <v>0</v>
      </c>
      <c r="T35">
        <f t="shared" si="13"/>
        <v>0</v>
      </c>
      <c r="U35">
        <f t="shared" si="5"/>
        <v>13.2</v>
      </c>
      <c r="V35">
        <f t="shared" si="14"/>
        <v>144.19999999999999</v>
      </c>
      <c r="W35">
        <f t="shared" si="6"/>
        <v>33</v>
      </c>
      <c r="X35">
        <f t="shared" si="7"/>
        <v>0.38746000000000003</v>
      </c>
      <c r="Y35">
        <f t="shared" si="8"/>
        <v>0.15</v>
      </c>
    </row>
    <row r="36" spans="5:25" x14ac:dyDescent="0.2">
      <c r="H36">
        <f t="shared" si="9"/>
        <v>34</v>
      </c>
      <c r="I36">
        <f t="shared" si="0"/>
        <v>185</v>
      </c>
      <c r="J36">
        <f>IFERROR(INDEX(clima!$C:$C,$I36),"")</f>
        <v>184</v>
      </c>
      <c r="K36">
        <f>IFERROR(INDEX(clima!$F:$F,$I36),"")</f>
        <v>8.6</v>
      </c>
      <c r="L36">
        <f>IFERROR(INDEX(clima!$J:$J,$I36),"")</f>
        <v>9.8775389012757451</v>
      </c>
      <c r="M36">
        <f t="shared" si="1"/>
        <v>8.6</v>
      </c>
      <c r="N36">
        <f t="shared" si="10"/>
        <v>292.00000000000006</v>
      </c>
      <c r="O36">
        <f t="shared" si="2"/>
        <v>8.6</v>
      </c>
      <c r="P36">
        <f t="shared" si="11"/>
        <v>152.79999999999998</v>
      </c>
      <c r="Q36">
        <f t="shared" si="3"/>
        <v>1.1098656133819134</v>
      </c>
      <c r="R36">
        <f t="shared" si="12"/>
        <v>18.739374723378383</v>
      </c>
      <c r="S36">
        <f t="shared" si="4"/>
        <v>0</v>
      </c>
      <c r="T36">
        <f t="shared" si="13"/>
        <v>0</v>
      </c>
      <c r="U36">
        <f t="shared" si="5"/>
        <v>8.6</v>
      </c>
      <c r="V36">
        <f t="shared" si="14"/>
        <v>152.79999999999998</v>
      </c>
      <c r="W36">
        <f t="shared" si="6"/>
        <v>34</v>
      </c>
      <c r="X36">
        <f t="shared" si="7"/>
        <v>0.39863999999999999</v>
      </c>
      <c r="Y36">
        <f t="shared" si="8"/>
        <v>0.15</v>
      </c>
    </row>
    <row r="37" spans="5:25" x14ac:dyDescent="0.2">
      <c r="E37" t="s">
        <v>78</v>
      </c>
      <c r="F37">
        <f>SUMIFS(cultivo!$D:$D,cultivo!$A:$A,$B$2,cultivo!$C:$C,"Tb_c")</f>
        <v>0</v>
      </c>
      <c r="H37">
        <f t="shared" si="9"/>
        <v>35</v>
      </c>
      <c r="I37">
        <f t="shared" si="0"/>
        <v>186</v>
      </c>
      <c r="J37">
        <f>IFERROR(INDEX(clima!$C:$C,$I37),"")</f>
        <v>185</v>
      </c>
      <c r="K37">
        <f>IFERROR(INDEX(clima!$F:$F,$I37),"")</f>
        <v>13.3</v>
      </c>
      <c r="L37">
        <f>IFERROR(INDEX(clima!$J:$J,$I37),"")</f>
        <v>9.8864737025527916</v>
      </c>
      <c r="M37">
        <f t="shared" si="1"/>
        <v>13.3</v>
      </c>
      <c r="N37">
        <f t="shared" si="10"/>
        <v>305.30000000000007</v>
      </c>
      <c r="O37">
        <f t="shared" si="2"/>
        <v>13.3</v>
      </c>
      <c r="P37">
        <f t="shared" si="11"/>
        <v>166.1</v>
      </c>
      <c r="Q37">
        <f t="shared" si="3"/>
        <v>1.7368600281768851</v>
      </c>
      <c r="R37">
        <f t="shared" si="12"/>
        <v>20.476234751555268</v>
      </c>
      <c r="S37">
        <f t="shared" si="4"/>
        <v>0</v>
      </c>
      <c r="T37">
        <f t="shared" si="13"/>
        <v>0</v>
      </c>
      <c r="U37">
        <f t="shared" si="5"/>
        <v>13.3</v>
      </c>
      <c r="V37">
        <f t="shared" si="14"/>
        <v>166.1</v>
      </c>
      <c r="W37">
        <f t="shared" si="6"/>
        <v>35</v>
      </c>
      <c r="X37">
        <f t="shared" si="7"/>
        <v>0.41593000000000002</v>
      </c>
      <c r="Y37">
        <f t="shared" si="8"/>
        <v>0.15</v>
      </c>
    </row>
    <row r="38" spans="5:25" x14ac:dyDescent="0.2">
      <c r="E38" t="s">
        <v>79</v>
      </c>
      <c r="F38">
        <f>SUMIFS(cultivo!$D:$D,cultivo!$A:$A,$B$2,cultivo!$C:$C,"PR_S-E")</f>
        <v>0.2</v>
      </c>
      <c r="H38">
        <f t="shared" si="9"/>
        <v>36</v>
      </c>
      <c r="I38">
        <f t="shared" si="0"/>
        <v>187</v>
      </c>
      <c r="J38">
        <f>IFERROR(INDEX(clima!$C:$C,$I38),"")</f>
        <v>186</v>
      </c>
      <c r="K38">
        <f>IFERROR(INDEX(clima!$F:$F,$I38),"")</f>
        <v>12.6</v>
      </c>
      <c r="L38">
        <f>IFERROR(INDEX(clima!$J:$J,$I38),"")</f>
        <v>9.896109856373176</v>
      </c>
      <c r="M38">
        <f t="shared" si="1"/>
        <v>12.6</v>
      </c>
      <c r="N38">
        <f t="shared" si="10"/>
        <v>317.90000000000009</v>
      </c>
      <c r="O38">
        <f t="shared" si="2"/>
        <v>12.6</v>
      </c>
      <c r="P38">
        <f t="shared" si="11"/>
        <v>178.7</v>
      </c>
      <c r="Q38">
        <f t="shared" si="3"/>
        <v>1.6663113647072687</v>
      </c>
      <c r="R38">
        <f t="shared" si="12"/>
        <v>22.142546116262537</v>
      </c>
      <c r="S38">
        <f t="shared" si="4"/>
        <v>0</v>
      </c>
      <c r="T38">
        <f t="shared" si="13"/>
        <v>0</v>
      </c>
      <c r="U38">
        <f t="shared" si="5"/>
        <v>12.6</v>
      </c>
      <c r="V38">
        <f t="shared" si="14"/>
        <v>178.7</v>
      </c>
      <c r="W38">
        <f t="shared" si="6"/>
        <v>36</v>
      </c>
      <c r="X38">
        <f t="shared" si="7"/>
        <v>0.43230999999999997</v>
      </c>
      <c r="Y38">
        <f t="shared" si="8"/>
        <v>0.15</v>
      </c>
    </row>
    <row r="39" spans="5:25" x14ac:dyDescent="0.2">
      <c r="E39" t="s">
        <v>80</v>
      </c>
      <c r="F39">
        <f>SUMIFS(cultivo!$D:$D,cultivo!$A:$A,$B$2,cultivo!$C:$C,"PR")</f>
        <v>0.13</v>
      </c>
      <c r="H39">
        <f t="shared" si="9"/>
        <v>37</v>
      </c>
      <c r="I39">
        <f t="shared" si="0"/>
        <v>188</v>
      </c>
      <c r="J39">
        <f>IFERROR(INDEX(clima!$C:$C,$I39),"")</f>
        <v>187</v>
      </c>
      <c r="K39">
        <f>IFERROR(INDEX(clima!$F:$F,$I39),"")</f>
        <v>10.1</v>
      </c>
      <c r="L39">
        <f>IFERROR(INDEX(clima!$J:$J,$I39),"")</f>
        <v>9.906440973422816</v>
      </c>
      <c r="M39">
        <f t="shared" si="1"/>
        <v>10.1</v>
      </c>
      <c r="N39">
        <f t="shared" si="10"/>
        <v>328.00000000000011</v>
      </c>
      <c r="O39">
        <f t="shared" si="2"/>
        <v>10.1</v>
      </c>
      <c r="P39">
        <f t="shared" si="11"/>
        <v>188.79999999999998</v>
      </c>
      <c r="Q39">
        <f t="shared" si="3"/>
        <v>1.3536076812956428</v>
      </c>
      <c r="R39">
        <f t="shared" si="12"/>
        <v>23.496153797558179</v>
      </c>
      <c r="S39">
        <f t="shared" si="4"/>
        <v>0</v>
      </c>
      <c r="T39">
        <f t="shared" si="13"/>
        <v>0</v>
      </c>
      <c r="U39">
        <f t="shared" si="5"/>
        <v>10.1</v>
      </c>
      <c r="V39">
        <f t="shared" si="14"/>
        <v>188.79999999999998</v>
      </c>
      <c r="W39">
        <f t="shared" si="6"/>
        <v>37</v>
      </c>
      <c r="X39">
        <f t="shared" si="7"/>
        <v>0.44543999999999995</v>
      </c>
      <c r="Y39">
        <f t="shared" si="8"/>
        <v>0.15</v>
      </c>
    </row>
    <row r="40" spans="5:25" x14ac:dyDescent="0.2">
      <c r="E40" t="s">
        <v>81</v>
      </c>
      <c r="F40">
        <f>SUMIFS(cultivo!$D:$D,cultivo!$A:$A,$B$2,cultivo!$C:$C,"KcbIni")</f>
        <v>0.15</v>
      </c>
      <c r="H40">
        <f t="shared" si="9"/>
        <v>38</v>
      </c>
      <c r="I40">
        <f t="shared" si="0"/>
        <v>189</v>
      </c>
      <c r="J40">
        <f>IFERROR(INDEX(clima!$C:$C,$I40),"")</f>
        <v>188</v>
      </c>
      <c r="K40">
        <f>IFERROR(INDEX(clima!$F:$F,$I40),"")</f>
        <v>12.6</v>
      </c>
      <c r="L40">
        <f>IFERROR(INDEX(clima!$J:$J,$I40),"")</f>
        <v>9.9174602565469314</v>
      </c>
      <c r="M40">
        <f t="shared" si="1"/>
        <v>12.6</v>
      </c>
      <c r="N40">
        <f t="shared" si="10"/>
        <v>340.60000000000014</v>
      </c>
      <c r="O40">
        <f t="shared" si="2"/>
        <v>12.6</v>
      </c>
      <c r="P40">
        <f t="shared" si="11"/>
        <v>201.39999999999998</v>
      </c>
      <c r="Q40">
        <f t="shared" si="3"/>
        <v>1.7124702176529258</v>
      </c>
      <c r="R40">
        <f t="shared" si="12"/>
        <v>25.208624015211104</v>
      </c>
      <c r="S40">
        <f t="shared" si="4"/>
        <v>0</v>
      </c>
      <c r="T40">
        <f t="shared" si="13"/>
        <v>0</v>
      </c>
      <c r="U40">
        <f t="shared" si="5"/>
        <v>12.6</v>
      </c>
      <c r="V40">
        <f t="shared" si="14"/>
        <v>201.39999999999998</v>
      </c>
      <c r="W40">
        <f t="shared" si="6"/>
        <v>38</v>
      </c>
      <c r="X40">
        <f t="shared" si="7"/>
        <v>0.46182000000000001</v>
      </c>
      <c r="Y40">
        <f t="shared" si="8"/>
        <v>0.15</v>
      </c>
    </row>
    <row r="41" spans="5:25" x14ac:dyDescent="0.2">
      <c r="E41" t="s">
        <v>82</v>
      </c>
      <c r="F41">
        <f>SUMIFS(cultivo!$D:$D,cultivo!$A:$A,$B$2,cultivo!$C:$C,"KcbMax")</f>
        <v>1.1000000000000001</v>
      </c>
      <c r="H41">
        <f t="shared" si="9"/>
        <v>39</v>
      </c>
      <c r="I41">
        <f t="shared" si="0"/>
        <v>190</v>
      </c>
      <c r="J41">
        <f>IFERROR(INDEX(clima!$C:$C,$I41),"")</f>
        <v>189</v>
      </c>
      <c r="K41">
        <f>IFERROR(INDEX(clima!$F:$F,$I41),"")</f>
        <v>8</v>
      </c>
      <c r="L41">
        <f>IFERROR(INDEX(clima!$J:$J,$I41),"")</f>
        <v>9.9291605158041918</v>
      </c>
      <c r="M41">
        <f t="shared" si="1"/>
        <v>8</v>
      </c>
      <c r="N41">
        <f t="shared" si="10"/>
        <v>348.60000000000014</v>
      </c>
      <c r="O41">
        <f t="shared" si="2"/>
        <v>8</v>
      </c>
      <c r="P41">
        <f t="shared" si="11"/>
        <v>209.39999999999998</v>
      </c>
      <c r="Q41">
        <f t="shared" si="3"/>
        <v>1.1033170616822643</v>
      </c>
      <c r="R41">
        <f t="shared" si="12"/>
        <v>26.311941076893369</v>
      </c>
      <c r="S41">
        <f t="shared" si="4"/>
        <v>0</v>
      </c>
      <c r="T41">
        <f t="shared" si="13"/>
        <v>0</v>
      </c>
      <c r="U41">
        <f t="shared" si="5"/>
        <v>8</v>
      </c>
      <c r="V41">
        <f t="shared" si="14"/>
        <v>209.39999999999998</v>
      </c>
      <c r="W41">
        <f t="shared" si="6"/>
        <v>39</v>
      </c>
      <c r="X41">
        <f t="shared" si="7"/>
        <v>0.47221999999999997</v>
      </c>
      <c r="Y41">
        <f t="shared" si="8"/>
        <v>0.15</v>
      </c>
    </row>
    <row r="42" spans="5:25" x14ac:dyDescent="0.2">
      <c r="E42" t="s">
        <v>83</v>
      </c>
      <c r="F42">
        <f>IF($B$2="trigo",$F$28+COUNTIFS($I$2:$I$501,"&gt;="&amp;$F$28,$T$2:$T$501,"&lt;"&amp;$F$43),IF($B$2="maiz",$F$28,IF($B$2="soja",$F$28+COUNTIFS($I$2:$I$501,"&gt;="&amp;$F$28,$T$2:$T$501,"&lt;"&amp;$F$20),"")))</f>
        <v>318</v>
      </c>
      <c r="H42">
        <f t="shared" si="9"/>
        <v>40</v>
      </c>
      <c r="I42">
        <f t="shared" si="0"/>
        <v>191</v>
      </c>
      <c r="J42">
        <f>IFERROR(INDEX(clima!$C:$C,$I42),"")</f>
        <v>190</v>
      </c>
      <c r="K42">
        <f>IFERROR(INDEX(clima!$F:$F,$I42),"")</f>
        <v>7.3</v>
      </c>
      <c r="L42">
        <f>IFERROR(INDEX(clima!$J:$J,$I42),"")</f>
        <v>9.9415341841895124</v>
      </c>
      <c r="M42">
        <f t="shared" si="1"/>
        <v>7.3</v>
      </c>
      <c r="N42">
        <f t="shared" si="10"/>
        <v>355.90000000000015</v>
      </c>
      <c r="O42">
        <f t="shared" si="2"/>
        <v>7.3</v>
      </c>
      <c r="P42">
        <f t="shared" si="11"/>
        <v>216.7</v>
      </c>
      <c r="Q42">
        <f t="shared" si="3"/>
        <v>1.0222318200662635</v>
      </c>
      <c r="R42">
        <f t="shared" si="12"/>
        <v>27.334172896959632</v>
      </c>
      <c r="S42">
        <f t="shared" si="4"/>
        <v>0</v>
      </c>
      <c r="T42">
        <f t="shared" si="13"/>
        <v>0</v>
      </c>
      <c r="U42">
        <f t="shared" si="5"/>
        <v>7.3</v>
      </c>
      <c r="V42">
        <f t="shared" si="14"/>
        <v>216.7</v>
      </c>
      <c r="W42">
        <f t="shared" si="6"/>
        <v>40</v>
      </c>
      <c r="X42">
        <f t="shared" si="7"/>
        <v>0.48171000000000003</v>
      </c>
      <c r="Y42">
        <f t="shared" si="8"/>
        <v>0.15</v>
      </c>
    </row>
    <row r="43" spans="5:25" x14ac:dyDescent="0.2">
      <c r="E43" t="s">
        <v>84</v>
      </c>
      <c r="F43">
        <f>IF($B$2="trigo",SUMIFS(cultivo!$D:$D,cultivo!$A:$A,"trigo",cultivo!$C:$C,"UT_ET-Z71"),"")</f>
        <v>700</v>
      </c>
      <c r="H43">
        <f t="shared" si="9"/>
        <v>41</v>
      </c>
      <c r="I43">
        <f t="shared" si="0"/>
        <v>192</v>
      </c>
      <c r="J43">
        <f>IFERROR(INDEX(clima!$C:$C,$I43),"")</f>
        <v>191</v>
      </c>
      <c r="K43">
        <f>IFERROR(INDEX(clima!$F:$F,$I43),"")</f>
        <v>5.9</v>
      </c>
      <c r="L43">
        <f>IFERROR(INDEX(clima!$J:$J,$I43),"")</f>
        <v>9.9545733339572333</v>
      </c>
      <c r="M43">
        <f t="shared" si="1"/>
        <v>5.9</v>
      </c>
      <c r="N43">
        <f t="shared" si="10"/>
        <v>361.80000000000013</v>
      </c>
      <c r="O43">
        <f t="shared" si="2"/>
        <v>5.9</v>
      </c>
      <c r="P43">
        <f t="shared" si="11"/>
        <v>222.6</v>
      </c>
      <c r="Q43">
        <f t="shared" si="3"/>
        <v>0.83933356532241843</v>
      </c>
      <c r="R43">
        <f t="shared" si="12"/>
        <v>28.173506462282052</v>
      </c>
      <c r="S43">
        <f t="shared" si="4"/>
        <v>0</v>
      </c>
      <c r="T43">
        <f t="shared" si="13"/>
        <v>0</v>
      </c>
      <c r="U43">
        <f t="shared" si="5"/>
        <v>5.9</v>
      </c>
      <c r="V43">
        <f t="shared" si="14"/>
        <v>222.6</v>
      </c>
      <c r="W43">
        <f t="shared" si="6"/>
        <v>41</v>
      </c>
      <c r="X43">
        <f t="shared" si="7"/>
        <v>0.48937999999999998</v>
      </c>
      <c r="Y43">
        <f t="shared" si="8"/>
        <v>0.15</v>
      </c>
    </row>
    <row r="44" spans="5:25" x14ac:dyDescent="0.2">
      <c r="H44">
        <f t="shared" si="9"/>
        <v>42</v>
      </c>
      <c r="I44">
        <f t="shared" si="0"/>
        <v>193</v>
      </c>
      <c r="J44">
        <f>IFERROR(INDEX(clima!$C:$C,$I44),"")</f>
        <v>192</v>
      </c>
      <c r="K44">
        <f>IFERROR(INDEX(clima!$F:$F,$I44),"")</f>
        <v>5.8</v>
      </c>
      <c r="L44">
        <f>IFERROR(INDEX(clima!$J:$J,$I44),"")</f>
        <v>9.9682696934750403</v>
      </c>
      <c r="M44">
        <f t="shared" si="1"/>
        <v>5.8</v>
      </c>
      <c r="N44">
        <f t="shared" si="10"/>
        <v>367.60000000000014</v>
      </c>
      <c r="O44">
        <f t="shared" si="2"/>
        <v>5.8</v>
      </c>
      <c r="P44">
        <f t="shared" si="11"/>
        <v>228.4</v>
      </c>
      <c r="Q44">
        <f t="shared" si="3"/>
        <v>0.83866428191742692</v>
      </c>
      <c r="R44">
        <f t="shared" si="12"/>
        <v>29.01217074419948</v>
      </c>
      <c r="S44">
        <f t="shared" si="4"/>
        <v>0</v>
      </c>
      <c r="T44">
        <f t="shared" si="13"/>
        <v>0</v>
      </c>
      <c r="U44">
        <f t="shared" si="5"/>
        <v>5.8</v>
      </c>
      <c r="V44">
        <f t="shared" si="14"/>
        <v>228.4</v>
      </c>
      <c r="W44">
        <f t="shared" si="6"/>
        <v>42</v>
      </c>
      <c r="X44">
        <f t="shared" si="7"/>
        <v>0.49692000000000003</v>
      </c>
      <c r="Y44">
        <f t="shared" si="8"/>
        <v>0.15</v>
      </c>
    </row>
    <row r="45" spans="5:25" x14ac:dyDescent="0.2">
      <c r="H45">
        <f t="shared" si="9"/>
        <v>43</v>
      </c>
      <c r="I45">
        <f t="shared" si="0"/>
        <v>194</v>
      </c>
      <c r="J45">
        <f>IFERROR(INDEX(clima!$C:$C,$I45),"")</f>
        <v>193</v>
      </c>
      <c r="K45">
        <f>IFERROR(INDEX(clima!$F:$F,$I45),"")</f>
        <v>5.7</v>
      </c>
      <c r="L45">
        <f>IFERROR(INDEX(clima!$J:$J,$I45),"")</f>
        <v>9.9826146645381257</v>
      </c>
      <c r="M45">
        <f t="shared" si="1"/>
        <v>5.7</v>
      </c>
      <c r="N45">
        <f t="shared" si="10"/>
        <v>373.30000000000013</v>
      </c>
      <c r="O45">
        <f t="shared" si="2"/>
        <v>5.7</v>
      </c>
      <c r="P45">
        <f t="shared" si="11"/>
        <v>234.1</v>
      </c>
      <c r="Q45">
        <f t="shared" si="3"/>
        <v>0.83813896593031612</v>
      </c>
      <c r="R45">
        <f t="shared" si="12"/>
        <v>29.850309710129796</v>
      </c>
      <c r="S45">
        <f t="shared" si="4"/>
        <v>0</v>
      </c>
      <c r="T45">
        <f t="shared" si="13"/>
        <v>0</v>
      </c>
      <c r="U45">
        <f t="shared" si="5"/>
        <v>5.7</v>
      </c>
      <c r="V45">
        <f t="shared" si="14"/>
        <v>234.1</v>
      </c>
      <c r="W45">
        <f t="shared" si="6"/>
        <v>43</v>
      </c>
      <c r="X45">
        <f t="shared" si="7"/>
        <v>0.50432999999999995</v>
      </c>
      <c r="Y45">
        <f t="shared" si="8"/>
        <v>0.15</v>
      </c>
    </row>
    <row r="46" spans="5:25" x14ac:dyDescent="0.2">
      <c r="H46">
        <f t="shared" si="9"/>
        <v>44</v>
      </c>
      <c r="I46">
        <f t="shared" si="0"/>
        <v>195</v>
      </c>
      <c r="J46">
        <f>IFERROR(INDEX(clima!$C:$C,$I46),"")</f>
        <v>194</v>
      </c>
      <c r="K46">
        <f>IFERROR(INDEX(clima!$F:$F,$I46),"")</f>
        <v>9.6999999999999993</v>
      </c>
      <c r="L46">
        <f>IFERROR(INDEX(clima!$J:$J,$I46),"")</f>
        <v>9.9975993400725844</v>
      </c>
      <c r="M46">
        <f t="shared" si="1"/>
        <v>9.6999999999999993</v>
      </c>
      <c r="N46">
        <f t="shared" si="10"/>
        <v>383.00000000000011</v>
      </c>
      <c r="O46">
        <f t="shared" si="2"/>
        <v>9.6999999999999993</v>
      </c>
      <c r="P46">
        <f t="shared" si="11"/>
        <v>243.79999999999998</v>
      </c>
      <c r="Q46">
        <f t="shared" si="3"/>
        <v>1.4510408366064829</v>
      </c>
      <c r="R46">
        <f t="shared" si="12"/>
        <v>31.30135054673628</v>
      </c>
      <c r="S46">
        <f t="shared" si="4"/>
        <v>0</v>
      </c>
      <c r="T46">
        <f t="shared" si="13"/>
        <v>0</v>
      </c>
      <c r="U46">
        <f t="shared" si="5"/>
        <v>9.6999999999999993</v>
      </c>
      <c r="V46">
        <f t="shared" si="14"/>
        <v>243.79999999999998</v>
      </c>
      <c r="W46">
        <f t="shared" si="6"/>
        <v>44</v>
      </c>
      <c r="X46">
        <f t="shared" si="7"/>
        <v>0.51693999999999996</v>
      </c>
      <c r="Y46">
        <f t="shared" si="8"/>
        <v>0.15</v>
      </c>
    </row>
    <row r="47" spans="5:25" x14ac:dyDescent="0.2">
      <c r="H47">
        <f t="shared" si="9"/>
        <v>45</v>
      </c>
      <c r="I47">
        <f t="shared" si="0"/>
        <v>196</v>
      </c>
      <c r="J47">
        <f>IFERROR(INDEX(clima!$C:$C,$I47),"")</f>
        <v>195</v>
      </c>
      <c r="K47">
        <f>IFERROR(INDEX(clima!$F:$F,$I47),"")</f>
        <v>11.4</v>
      </c>
      <c r="L47">
        <f>IFERROR(INDEX(clima!$J:$J,$I47),"")</f>
        <v>10.013214522157138</v>
      </c>
      <c r="M47">
        <f t="shared" si="1"/>
        <v>11.4</v>
      </c>
      <c r="N47">
        <f t="shared" si="10"/>
        <v>394.40000000000009</v>
      </c>
      <c r="O47">
        <f t="shared" si="2"/>
        <v>11.4</v>
      </c>
      <c r="P47">
        <f t="shared" si="11"/>
        <v>255.2</v>
      </c>
      <c r="Q47">
        <f t="shared" si="3"/>
        <v>1.7355928229140971</v>
      </c>
      <c r="R47">
        <f t="shared" si="12"/>
        <v>33.03694336965038</v>
      </c>
      <c r="S47">
        <f t="shared" si="4"/>
        <v>0</v>
      </c>
      <c r="T47">
        <f t="shared" si="13"/>
        <v>0</v>
      </c>
      <c r="U47">
        <f t="shared" si="5"/>
        <v>11.4</v>
      </c>
      <c r="V47">
        <f t="shared" si="14"/>
        <v>255.2</v>
      </c>
      <c r="W47">
        <f t="shared" si="6"/>
        <v>45</v>
      </c>
      <c r="X47">
        <f t="shared" si="7"/>
        <v>0.53176000000000001</v>
      </c>
      <c r="Y47">
        <f t="shared" si="8"/>
        <v>0.15</v>
      </c>
    </row>
    <row r="48" spans="5:25" x14ac:dyDescent="0.2">
      <c r="H48">
        <f t="shared" si="9"/>
        <v>46</v>
      </c>
      <c r="I48">
        <f t="shared" si="0"/>
        <v>197</v>
      </c>
      <c r="J48">
        <f>IFERROR(INDEX(clima!$C:$C,$I48),"")</f>
        <v>196</v>
      </c>
      <c r="K48">
        <f>IFERROR(INDEX(clima!$F:$F,$I48),"")</f>
        <v>8.3000000000000007</v>
      </c>
      <c r="L48">
        <f>IFERROR(INDEX(clima!$J:$J,$I48),"")</f>
        <v>10.029450740292596</v>
      </c>
      <c r="M48">
        <f t="shared" si="1"/>
        <v>8.3000000000000007</v>
      </c>
      <c r="N48">
        <f t="shared" si="10"/>
        <v>402.7000000000001</v>
      </c>
      <c r="O48">
        <f t="shared" si="2"/>
        <v>8.3000000000000007</v>
      </c>
      <c r="P48">
        <f t="shared" si="11"/>
        <v>263.5</v>
      </c>
      <c r="Q48">
        <f t="shared" si="3"/>
        <v>1.28649380328523</v>
      </c>
      <c r="R48">
        <f t="shared" si="12"/>
        <v>34.323437172935613</v>
      </c>
      <c r="S48">
        <f t="shared" si="4"/>
        <v>0</v>
      </c>
      <c r="T48">
        <f t="shared" si="13"/>
        <v>0</v>
      </c>
      <c r="U48">
        <f t="shared" si="5"/>
        <v>8.3000000000000007</v>
      </c>
      <c r="V48">
        <f t="shared" si="14"/>
        <v>263.5</v>
      </c>
      <c r="W48">
        <f t="shared" si="6"/>
        <v>46</v>
      </c>
      <c r="X48">
        <f t="shared" si="7"/>
        <v>0.54255000000000009</v>
      </c>
      <c r="Y48">
        <f t="shared" si="8"/>
        <v>0.15</v>
      </c>
    </row>
    <row r="49" spans="8:25" x14ac:dyDescent="0.2">
      <c r="H49">
        <f t="shared" si="9"/>
        <v>47</v>
      </c>
      <c r="I49">
        <f t="shared" si="0"/>
        <v>198</v>
      </c>
      <c r="J49">
        <f>IFERROR(INDEX(clima!$C:$C,$I49),"")</f>
        <v>197</v>
      </c>
      <c r="K49">
        <f>IFERROR(INDEX(clima!$F:$F,$I49),"")</f>
        <v>5.2</v>
      </c>
      <c r="L49">
        <f>IFERROR(INDEX(clima!$J:$J,$I49),"")</f>
        <v>10.046298269849352</v>
      </c>
      <c r="M49">
        <f t="shared" si="1"/>
        <v>5.2</v>
      </c>
      <c r="N49">
        <f t="shared" si="10"/>
        <v>407.90000000000009</v>
      </c>
      <c r="O49">
        <f t="shared" si="2"/>
        <v>5.2</v>
      </c>
      <c r="P49">
        <f t="shared" si="11"/>
        <v>268.7</v>
      </c>
      <c r="Q49">
        <f t="shared" si="3"/>
        <v>0.82083292653006301</v>
      </c>
      <c r="R49">
        <f t="shared" si="12"/>
        <v>35.144270099465679</v>
      </c>
      <c r="S49">
        <f t="shared" si="4"/>
        <v>0</v>
      </c>
      <c r="T49">
        <f t="shared" si="13"/>
        <v>0</v>
      </c>
      <c r="U49">
        <f t="shared" si="5"/>
        <v>5.2</v>
      </c>
      <c r="V49">
        <f t="shared" si="14"/>
        <v>268.7</v>
      </c>
      <c r="W49">
        <f t="shared" si="6"/>
        <v>47</v>
      </c>
      <c r="X49">
        <f t="shared" si="7"/>
        <v>0.54930999999999996</v>
      </c>
      <c r="Y49">
        <f t="shared" si="8"/>
        <v>0.15</v>
      </c>
    </row>
    <row r="50" spans="8:25" x14ac:dyDescent="0.2">
      <c r="H50">
        <f t="shared" si="9"/>
        <v>48</v>
      </c>
      <c r="I50">
        <f t="shared" si="0"/>
        <v>199</v>
      </c>
      <c r="J50">
        <f>IFERROR(INDEX(clima!$C:$C,$I50),"")</f>
        <v>198</v>
      </c>
      <c r="K50">
        <f>IFERROR(INDEX(clima!$F:$F,$I50),"")</f>
        <v>4.4000000000000004</v>
      </c>
      <c r="L50">
        <f>IFERROR(INDEX(clima!$J:$J,$I50),"")</f>
        <v>10.063747150624376</v>
      </c>
      <c r="M50">
        <f t="shared" si="1"/>
        <v>4.4000000000000004</v>
      </c>
      <c r="N50">
        <f t="shared" si="10"/>
        <v>412.30000000000007</v>
      </c>
      <c r="O50">
        <f t="shared" si="2"/>
        <v>4.4000000000000004</v>
      </c>
      <c r="P50">
        <f t="shared" si="11"/>
        <v>273.09999999999997</v>
      </c>
      <c r="Q50">
        <f t="shared" si="3"/>
        <v>0.70753088631647743</v>
      </c>
      <c r="R50">
        <f t="shared" si="12"/>
        <v>35.851800985782155</v>
      </c>
      <c r="S50">
        <f t="shared" si="4"/>
        <v>0</v>
      </c>
      <c r="T50">
        <f t="shared" si="13"/>
        <v>0</v>
      </c>
      <c r="U50">
        <f t="shared" si="5"/>
        <v>4.4000000000000004</v>
      </c>
      <c r="V50">
        <f t="shared" si="14"/>
        <v>273.09999999999997</v>
      </c>
      <c r="W50">
        <f t="shared" si="6"/>
        <v>48</v>
      </c>
      <c r="X50">
        <f t="shared" si="7"/>
        <v>0.55503000000000002</v>
      </c>
      <c r="Y50">
        <f t="shared" si="8"/>
        <v>0.15</v>
      </c>
    </row>
    <row r="51" spans="8:25" x14ac:dyDescent="0.2">
      <c r="H51">
        <f t="shared" si="9"/>
        <v>49</v>
      </c>
      <c r="I51">
        <f t="shared" si="0"/>
        <v>200</v>
      </c>
      <c r="J51">
        <f>IFERROR(INDEX(clima!$C:$C,$I51),"")</f>
        <v>199</v>
      </c>
      <c r="K51">
        <f>IFERROR(INDEX(clima!$F:$F,$I51),"")</f>
        <v>5.4</v>
      </c>
      <c r="L51">
        <f>IFERROR(INDEX(clima!$J:$J,$I51),"")</f>
        <v>10.081787205440778</v>
      </c>
      <c r="M51">
        <f t="shared" si="1"/>
        <v>5.4</v>
      </c>
      <c r="N51">
        <f t="shared" si="10"/>
        <v>417.70000000000005</v>
      </c>
      <c r="O51">
        <f t="shared" si="2"/>
        <v>5.4</v>
      </c>
      <c r="P51">
        <f t="shared" si="11"/>
        <v>278.49999999999994</v>
      </c>
      <c r="Q51">
        <f t="shared" si="3"/>
        <v>0.88477362274853621</v>
      </c>
      <c r="R51">
        <f t="shared" si="12"/>
        <v>36.736574608530688</v>
      </c>
      <c r="S51">
        <f t="shared" si="4"/>
        <v>0</v>
      </c>
      <c r="T51">
        <f t="shared" si="13"/>
        <v>0</v>
      </c>
      <c r="U51">
        <f t="shared" si="5"/>
        <v>5.4</v>
      </c>
      <c r="V51">
        <f t="shared" si="14"/>
        <v>278.49999999999994</v>
      </c>
      <c r="W51">
        <f t="shared" si="6"/>
        <v>49</v>
      </c>
      <c r="X51">
        <f t="shared" si="7"/>
        <v>0.56204999999999994</v>
      </c>
      <c r="Y51">
        <f t="shared" si="8"/>
        <v>0.15</v>
      </c>
    </row>
    <row r="52" spans="8:25" x14ac:dyDescent="0.2">
      <c r="H52">
        <f t="shared" si="9"/>
        <v>50</v>
      </c>
      <c r="I52">
        <f t="shared" si="0"/>
        <v>201</v>
      </c>
      <c r="J52">
        <f>IFERROR(INDEX(clima!$C:$C,$I52),"")</f>
        <v>200</v>
      </c>
      <c r="K52">
        <f>IFERROR(INDEX(clima!$F:$F,$I52),"")</f>
        <v>6.8</v>
      </c>
      <c r="L52">
        <f>IFERROR(INDEX(clima!$J:$J,$I52),"")</f>
        <v>10.100408058724827</v>
      </c>
      <c r="M52">
        <f t="shared" si="1"/>
        <v>6.8</v>
      </c>
      <c r="N52">
        <f t="shared" si="10"/>
        <v>424.50000000000006</v>
      </c>
      <c r="O52">
        <f t="shared" si="2"/>
        <v>6.8</v>
      </c>
      <c r="P52">
        <f t="shared" si="11"/>
        <v>285.29999999999995</v>
      </c>
      <c r="Q52">
        <f t="shared" si="3"/>
        <v>1.1354889891026516</v>
      </c>
      <c r="R52">
        <f t="shared" si="12"/>
        <v>37.872063597633343</v>
      </c>
      <c r="S52">
        <f t="shared" si="4"/>
        <v>0</v>
      </c>
      <c r="T52">
        <f t="shared" si="13"/>
        <v>0</v>
      </c>
      <c r="U52">
        <f t="shared" si="5"/>
        <v>6.8</v>
      </c>
      <c r="V52">
        <f t="shared" si="14"/>
        <v>285.29999999999995</v>
      </c>
      <c r="W52">
        <f t="shared" si="6"/>
        <v>50</v>
      </c>
      <c r="X52">
        <f t="shared" si="7"/>
        <v>0.57089000000000001</v>
      </c>
      <c r="Y52">
        <f t="shared" si="8"/>
        <v>0.15</v>
      </c>
    </row>
    <row r="53" spans="8:25" x14ac:dyDescent="0.2">
      <c r="H53">
        <f t="shared" si="9"/>
        <v>51</v>
      </c>
      <c r="I53">
        <f t="shared" si="0"/>
        <v>202</v>
      </c>
      <c r="J53">
        <f>IFERROR(INDEX(clima!$C:$C,$I53),"")</f>
        <v>201</v>
      </c>
      <c r="K53">
        <f>IFERROR(INDEX(clima!$F:$F,$I53),"")</f>
        <v>7.3</v>
      </c>
      <c r="L53">
        <f>IFERROR(INDEX(clima!$J:$J,$I53),"")</f>
        <v>10.119599154997589</v>
      </c>
      <c r="M53">
        <f t="shared" si="1"/>
        <v>7.3</v>
      </c>
      <c r="N53">
        <f t="shared" si="10"/>
        <v>431.80000000000007</v>
      </c>
      <c r="O53">
        <f t="shared" si="2"/>
        <v>7.3</v>
      </c>
      <c r="P53">
        <f t="shared" si="11"/>
        <v>292.59999999999997</v>
      </c>
      <c r="Q53">
        <f t="shared" si="3"/>
        <v>1.2425349907657939</v>
      </c>
      <c r="R53">
        <f t="shared" si="12"/>
        <v>39.114598588399133</v>
      </c>
      <c r="S53">
        <f t="shared" si="4"/>
        <v>0</v>
      </c>
      <c r="T53">
        <f t="shared" si="13"/>
        <v>0</v>
      </c>
      <c r="U53">
        <f t="shared" si="5"/>
        <v>7.3</v>
      </c>
      <c r="V53">
        <f t="shared" si="14"/>
        <v>292.59999999999997</v>
      </c>
      <c r="W53">
        <f t="shared" si="6"/>
        <v>51</v>
      </c>
      <c r="X53">
        <f t="shared" si="7"/>
        <v>0.5803799999999999</v>
      </c>
      <c r="Y53">
        <f t="shared" si="8"/>
        <v>0.15</v>
      </c>
    </row>
    <row r="54" spans="8:25" x14ac:dyDescent="0.2">
      <c r="H54">
        <f t="shared" si="9"/>
        <v>52</v>
      </c>
      <c r="I54">
        <f t="shared" si="0"/>
        <v>203</v>
      </c>
      <c r="J54">
        <f>IFERROR(INDEX(clima!$C:$C,$I54),"")</f>
        <v>202</v>
      </c>
      <c r="K54">
        <f>IFERROR(INDEX(clima!$F:$F,$I54),"")</f>
        <v>6.9</v>
      </c>
      <c r="L54">
        <f>IFERROR(INDEX(clima!$J:$J,$I54),"")</f>
        <v>10.139349777220737</v>
      </c>
      <c r="M54">
        <f t="shared" si="1"/>
        <v>6.9</v>
      </c>
      <c r="N54">
        <f t="shared" si="10"/>
        <v>438.70000000000005</v>
      </c>
      <c r="O54">
        <f t="shared" si="2"/>
        <v>6.9</v>
      </c>
      <c r="P54">
        <f t="shared" si="11"/>
        <v>299.49999999999994</v>
      </c>
      <c r="Q54">
        <f t="shared" si="3"/>
        <v>1.1973184018417915</v>
      </c>
      <c r="R54">
        <f t="shared" si="12"/>
        <v>40.311916990240924</v>
      </c>
      <c r="S54">
        <f t="shared" si="4"/>
        <v>0</v>
      </c>
      <c r="T54">
        <f t="shared" si="13"/>
        <v>0</v>
      </c>
      <c r="U54">
        <f t="shared" si="5"/>
        <v>6.9</v>
      </c>
      <c r="V54">
        <f t="shared" si="14"/>
        <v>299.49999999999994</v>
      </c>
      <c r="W54">
        <f t="shared" si="6"/>
        <v>52</v>
      </c>
      <c r="X54">
        <f t="shared" si="7"/>
        <v>0.58935000000000004</v>
      </c>
      <c r="Y54">
        <f t="shared" si="8"/>
        <v>0.15</v>
      </c>
    </row>
    <row r="55" spans="8:25" x14ac:dyDescent="0.2">
      <c r="H55">
        <f t="shared" si="9"/>
        <v>53</v>
      </c>
      <c r="I55">
        <f t="shared" si="0"/>
        <v>204</v>
      </c>
      <c r="J55">
        <f>IFERROR(INDEX(clima!$C:$C,$I55),"")</f>
        <v>203</v>
      </c>
      <c r="K55">
        <f>IFERROR(INDEX(clima!$F:$F,$I55),"")</f>
        <v>7.5</v>
      </c>
      <c r="L55">
        <f>IFERROR(INDEX(clima!$J:$J,$I55),"")</f>
        <v>10.15964906493887</v>
      </c>
      <c r="M55">
        <f t="shared" si="1"/>
        <v>7.5</v>
      </c>
      <c r="N55">
        <f t="shared" si="10"/>
        <v>446.20000000000005</v>
      </c>
      <c r="O55">
        <f t="shared" si="2"/>
        <v>7.5</v>
      </c>
      <c r="P55">
        <f t="shared" si="11"/>
        <v>306.99999999999994</v>
      </c>
      <c r="Q55">
        <f t="shared" si="3"/>
        <v>1.3269277090211482</v>
      </c>
      <c r="R55">
        <f t="shared" si="12"/>
        <v>41.638844699262073</v>
      </c>
      <c r="S55">
        <f t="shared" si="4"/>
        <v>0</v>
      </c>
      <c r="T55">
        <f t="shared" si="13"/>
        <v>0</v>
      </c>
      <c r="U55">
        <f t="shared" si="5"/>
        <v>7.5</v>
      </c>
      <c r="V55">
        <f t="shared" si="14"/>
        <v>306.99999999999994</v>
      </c>
      <c r="W55">
        <f t="shared" si="6"/>
        <v>53</v>
      </c>
      <c r="X55">
        <f t="shared" si="7"/>
        <v>0.59909999999999997</v>
      </c>
      <c r="Y55">
        <f t="shared" si="8"/>
        <v>0.15949999999999992</v>
      </c>
    </row>
    <row r="56" spans="8:25" x14ac:dyDescent="0.2">
      <c r="H56">
        <f t="shared" si="9"/>
        <v>54</v>
      </c>
      <c r="I56">
        <f t="shared" si="0"/>
        <v>205</v>
      </c>
      <c r="J56">
        <f>IFERROR(INDEX(clima!$C:$C,$I56),"")</f>
        <v>204</v>
      </c>
      <c r="K56">
        <f>IFERROR(INDEX(clima!$F:$F,$I56),"")</f>
        <v>9</v>
      </c>
      <c r="L56">
        <f>IFERROR(INDEX(clima!$J:$J,$I56),"")</f>
        <v>10.18048603216349</v>
      </c>
      <c r="M56">
        <f t="shared" si="1"/>
        <v>9</v>
      </c>
      <c r="N56">
        <f t="shared" si="10"/>
        <v>455.20000000000005</v>
      </c>
      <c r="O56">
        <f t="shared" si="2"/>
        <v>9</v>
      </c>
      <c r="P56">
        <f t="shared" si="11"/>
        <v>315.99999999999994</v>
      </c>
      <c r="Q56">
        <f t="shared" si="3"/>
        <v>1.6236516258129705</v>
      </c>
      <c r="R56">
        <f t="shared" si="12"/>
        <v>43.262496325075041</v>
      </c>
      <c r="S56">
        <f t="shared" si="4"/>
        <v>0</v>
      </c>
      <c r="T56">
        <f t="shared" si="13"/>
        <v>0</v>
      </c>
      <c r="U56">
        <f t="shared" si="5"/>
        <v>9</v>
      </c>
      <c r="V56">
        <f t="shared" si="14"/>
        <v>315.99999999999994</v>
      </c>
      <c r="W56">
        <f t="shared" si="6"/>
        <v>54</v>
      </c>
      <c r="X56">
        <f t="shared" si="7"/>
        <v>0.6107999999999999</v>
      </c>
      <c r="Y56">
        <f t="shared" si="8"/>
        <v>0.17171428571428562</v>
      </c>
    </row>
    <row r="57" spans="8:25" x14ac:dyDescent="0.2">
      <c r="H57">
        <f t="shared" si="9"/>
        <v>55</v>
      </c>
      <c r="I57">
        <f t="shared" si="0"/>
        <v>206</v>
      </c>
      <c r="J57">
        <f>IFERROR(INDEX(clima!$C:$C,$I57),"")</f>
        <v>205</v>
      </c>
      <c r="K57">
        <f>IFERROR(INDEX(clima!$F:$F,$I57),"")</f>
        <v>8.1999999999999993</v>
      </c>
      <c r="L57">
        <f>IFERROR(INDEX(clima!$J:$J,$I57),"")</f>
        <v>10.201849584946993</v>
      </c>
      <c r="M57">
        <f t="shared" si="1"/>
        <v>8.1999999999999993</v>
      </c>
      <c r="N57">
        <f t="shared" si="10"/>
        <v>463.40000000000003</v>
      </c>
      <c r="O57">
        <f t="shared" si="2"/>
        <v>8.1999999999999993</v>
      </c>
      <c r="P57">
        <f t="shared" si="11"/>
        <v>324.19999999999993</v>
      </c>
      <c r="Q57">
        <f t="shared" si="3"/>
        <v>1.5085385165465619</v>
      </c>
      <c r="R57">
        <f t="shared" si="12"/>
        <v>44.771034841621606</v>
      </c>
      <c r="S57">
        <f t="shared" si="4"/>
        <v>0</v>
      </c>
      <c r="T57">
        <f t="shared" si="13"/>
        <v>0</v>
      </c>
      <c r="U57">
        <f t="shared" si="5"/>
        <v>8.1999999999999993</v>
      </c>
      <c r="V57">
        <f t="shared" si="14"/>
        <v>324.19999999999993</v>
      </c>
      <c r="W57">
        <f t="shared" si="6"/>
        <v>55</v>
      </c>
      <c r="X57">
        <f t="shared" si="7"/>
        <v>0.6214599999999999</v>
      </c>
      <c r="Y57">
        <f t="shared" si="8"/>
        <v>0.18284285714285706</v>
      </c>
    </row>
    <row r="58" spans="8:25" x14ac:dyDescent="0.2">
      <c r="H58">
        <f t="shared" si="9"/>
        <v>56</v>
      </c>
      <c r="I58">
        <f t="shared" si="0"/>
        <v>207</v>
      </c>
      <c r="J58">
        <f>IFERROR(INDEX(clima!$C:$C,$I58),"")</f>
        <v>206</v>
      </c>
      <c r="K58">
        <f>IFERROR(INDEX(clima!$F:$F,$I58),"")</f>
        <v>6.8</v>
      </c>
      <c r="L58">
        <f>IFERROR(INDEX(clima!$J:$J,$I58),"")</f>
        <v>10.223728538598174</v>
      </c>
      <c r="M58">
        <f t="shared" si="1"/>
        <v>6.8</v>
      </c>
      <c r="N58">
        <f t="shared" si="10"/>
        <v>470.20000000000005</v>
      </c>
      <c r="O58">
        <f t="shared" si="2"/>
        <v>6.8</v>
      </c>
      <c r="P58">
        <f t="shared" si="11"/>
        <v>330.99999999999994</v>
      </c>
      <c r="Q58">
        <f t="shared" si="3"/>
        <v>1.2757370428902555</v>
      </c>
      <c r="R58">
        <f t="shared" si="12"/>
        <v>46.046771884511863</v>
      </c>
      <c r="S58">
        <f t="shared" si="4"/>
        <v>0</v>
      </c>
      <c r="T58">
        <f t="shared" si="13"/>
        <v>0</v>
      </c>
      <c r="U58">
        <f t="shared" si="5"/>
        <v>6.8</v>
      </c>
      <c r="V58">
        <f t="shared" si="14"/>
        <v>330.99999999999994</v>
      </c>
      <c r="W58">
        <f t="shared" si="6"/>
        <v>56</v>
      </c>
      <c r="X58">
        <f t="shared" si="7"/>
        <v>0.63029999999999997</v>
      </c>
      <c r="Y58">
        <f t="shared" si="8"/>
        <v>0.1920714285714285</v>
      </c>
    </row>
    <row r="59" spans="8:25" x14ac:dyDescent="0.2">
      <c r="H59">
        <f t="shared" si="9"/>
        <v>57</v>
      </c>
      <c r="I59">
        <f t="shared" si="0"/>
        <v>208</v>
      </c>
      <c r="J59">
        <f>IFERROR(INDEX(clima!$C:$C,$I59),"")</f>
        <v>207</v>
      </c>
      <c r="K59">
        <f>IFERROR(INDEX(clima!$F:$F,$I59),"")</f>
        <v>5.9</v>
      </c>
      <c r="L59">
        <f>IFERROR(INDEX(clima!$J:$J,$I59),"")</f>
        <v>10.246111634494168</v>
      </c>
      <c r="M59">
        <f t="shared" si="1"/>
        <v>5.9</v>
      </c>
      <c r="N59">
        <f t="shared" si="10"/>
        <v>476.1</v>
      </c>
      <c r="O59">
        <f t="shared" si="2"/>
        <v>5.9</v>
      </c>
      <c r="P59">
        <f t="shared" si="11"/>
        <v>336.89999999999992</v>
      </c>
      <c r="Q59">
        <f t="shared" si="3"/>
        <v>1.1288123369254861</v>
      </c>
      <c r="R59">
        <f t="shared" si="12"/>
        <v>47.175584221437347</v>
      </c>
      <c r="S59">
        <f t="shared" si="4"/>
        <v>0</v>
      </c>
      <c r="T59">
        <f t="shared" si="13"/>
        <v>0</v>
      </c>
      <c r="U59">
        <f t="shared" si="5"/>
        <v>5.9</v>
      </c>
      <c r="V59">
        <f t="shared" si="14"/>
        <v>336.89999999999992</v>
      </c>
      <c r="W59">
        <f t="shared" si="6"/>
        <v>57</v>
      </c>
      <c r="X59">
        <f t="shared" si="7"/>
        <v>0.63796999999999993</v>
      </c>
      <c r="Y59">
        <f t="shared" si="8"/>
        <v>0.20007857142857133</v>
      </c>
    </row>
    <row r="60" spans="8:25" x14ac:dyDescent="0.2">
      <c r="H60">
        <f t="shared" si="9"/>
        <v>58</v>
      </c>
      <c r="I60">
        <f t="shared" si="0"/>
        <v>209</v>
      </c>
      <c r="J60">
        <f>IFERROR(INDEX(clima!$C:$C,$I60),"")</f>
        <v>208</v>
      </c>
      <c r="K60">
        <f>IFERROR(INDEX(clima!$F:$F,$I60),"")</f>
        <v>8.1999999999999993</v>
      </c>
      <c r="L60">
        <f>IFERROR(INDEX(clima!$J:$J,$I60),"")</f>
        <v>10.268987556447145</v>
      </c>
      <c r="M60">
        <f t="shared" si="1"/>
        <v>8.1999999999999993</v>
      </c>
      <c r="N60">
        <f t="shared" si="10"/>
        <v>484.3</v>
      </c>
      <c r="O60">
        <f t="shared" si="2"/>
        <v>8.1999999999999993</v>
      </c>
      <c r="P60">
        <f t="shared" si="11"/>
        <v>345.09999999999991</v>
      </c>
      <c r="Q60">
        <f t="shared" si="3"/>
        <v>1.5999255585923382</v>
      </c>
      <c r="R60">
        <f t="shared" si="12"/>
        <v>48.775509780029687</v>
      </c>
      <c r="S60">
        <f t="shared" si="4"/>
        <v>0</v>
      </c>
      <c r="T60">
        <f t="shared" si="13"/>
        <v>0</v>
      </c>
      <c r="U60">
        <f t="shared" si="5"/>
        <v>8.1999999999999993</v>
      </c>
      <c r="V60">
        <f t="shared" si="14"/>
        <v>345.09999999999991</v>
      </c>
      <c r="W60">
        <f t="shared" si="6"/>
        <v>58</v>
      </c>
      <c r="X60">
        <f t="shared" si="7"/>
        <v>0.64862999999999993</v>
      </c>
      <c r="Y60">
        <f t="shared" si="8"/>
        <v>0.21120714285714273</v>
      </c>
    </row>
    <row r="61" spans="8:25" x14ac:dyDescent="0.2">
      <c r="H61">
        <f t="shared" si="9"/>
        <v>59</v>
      </c>
      <c r="I61">
        <f t="shared" si="0"/>
        <v>210</v>
      </c>
      <c r="J61">
        <f>IFERROR(INDEX(clima!$C:$C,$I61),"")</f>
        <v>209</v>
      </c>
      <c r="K61">
        <f>IFERROR(INDEX(clima!$F:$F,$I61),"")</f>
        <v>12.3</v>
      </c>
      <c r="L61">
        <f>IFERROR(INDEX(clima!$J:$J,$I61),"")</f>
        <v>10.292344946587619</v>
      </c>
      <c r="M61">
        <f t="shared" si="1"/>
        <v>12.3</v>
      </c>
      <c r="N61">
        <f t="shared" si="10"/>
        <v>496.6</v>
      </c>
      <c r="O61">
        <f t="shared" si="2"/>
        <v>12.3</v>
      </c>
      <c r="P61">
        <f t="shared" si="11"/>
        <v>357.39999999999992</v>
      </c>
      <c r="Q61">
        <f t="shared" si="3"/>
        <v>2.4473578582017095</v>
      </c>
      <c r="R61">
        <f t="shared" si="12"/>
        <v>51.222867638231399</v>
      </c>
      <c r="S61">
        <f t="shared" si="4"/>
        <v>0</v>
      </c>
      <c r="T61">
        <f t="shared" si="13"/>
        <v>0</v>
      </c>
      <c r="U61">
        <f t="shared" si="5"/>
        <v>12.3</v>
      </c>
      <c r="V61">
        <f t="shared" si="14"/>
        <v>357.39999999999992</v>
      </c>
      <c r="W61">
        <f t="shared" si="6"/>
        <v>59</v>
      </c>
      <c r="X61">
        <f t="shared" si="7"/>
        <v>0.66461999999999988</v>
      </c>
      <c r="Y61">
        <f t="shared" si="8"/>
        <v>0.22789999999999988</v>
      </c>
    </row>
    <row r="62" spans="8:25" x14ac:dyDescent="0.2">
      <c r="H62">
        <f t="shared" si="9"/>
        <v>60</v>
      </c>
      <c r="I62">
        <f t="shared" si="0"/>
        <v>211</v>
      </c>
      <c r="J62">
        <f>IFERROR(INDEX(clima!$C:$C,$I62),"")</f>
        <v>210</v>
      </c>
      <c r="K62">
        <f>IFERROR(INDEX(clima!$F:$F,$I62),"")</f>
        <v>5.3</v>
      </c>
      <c r="L62">
        <f>IFERROR(INDEX(clima!$J:$J,$I62),"")</f>
        <v>10.316172420729686</v>
      </c>
      <c r="M62">
        <f t="shared" si="1"/>
        <v>5.3</v>
      </c>
      <c r="N62">
        <f t="shared" si="10"/>
        <v>501.90000000000003</v>
      </c>
      <c r="O62">
        <f t="shared" si="2"/>
        <v>5.3</v>
      </c>
      <c r="P62">
        <f t="shared" si="11"/>
        <v>362.69999999999993</v>
      </c>
      <c r="Q62">
        <f t="shared" si="3"/>
        <v>1.0753679278441115</v>
      </c>
      <c r="R62">
        <f t="shared" si="12"/>
        <v>52.298235566075512</v>
      </c>
      <c r="S62">
        <f t="shared" si="4"/>
        <v>0</v>
      </c>
      <c r="T62">
        <f t="shared" si="13"/>
        <v>0</v>
      </c>
      <c r="U62">
        <f t="shared" si="5"/>
        <v>5.3</v>
      </c>
      <c r="V62">
        <f t="shared" si="14"/>
        <v>362.69999999999993</v>
      </c>
      <c r="W62">
        <f t="shared" si="6"/>
        <v>60</v>
      </c>
      <c r="X62">
        <f t="shared" si="7"/>
        <v>0.67151000000000005</v>
      </c>
      <c r="Y62">
        <f t="shared" si="8"/>
        <v>0.23509285714285705</v>
      </c>
    </row>
    <row r="63" spans="8:25" x14ac:dyDescent="0.2">
      <c r="H63">
        <f t="shared" si="9"/>
        <v>61</v>
      </c>
      <c r="I63">
        <f t="shared" si="0"/>
        <v>212</v>
      </c>
      <c r="J63">
        <f>IFERROR(INDEX(clima!$C:$C,$I63),"")</f>
        <v>211</v>
      </c>
      <c r="K63">
        <f>IFERROR(INDEX(clima!$F:$F,$I63),"")</f>
        <v>3.5</v>
      </c>
      <c r="L63">
        <f>IFERROR(INDEX(clima!$J:$J,$I63),"")</f>
        <v>10.340458583187171</v>
      </c>
      <c r="M63">
        <f t="shared" si="1"/>
        <v>3.5</v>
      </c>
      <c r="N63">
        <f t="shared" si="10"/>
        <v>505.40000000000003</v>
      </c>
      <c r="O63">
        <f t="shared" si="2"/>
        <v>3.5</v>
      </c>
      <c r="P63">
        <f t="shared" si="11"/>
        <v>366.19999999999993</v>
      </c>
      <c r="Q63">
        <f t="shared" si="3"/>
        <v>0.72412447360210863</v>
      </c>
      <c r="R63">
        <f t="shared" si="12"/>
        <v>53.022360039677622</v>
      </c>
      <c r="S63">
        <f t="shared" si="4"/>
        <v>0</v>
      </c>
      <c r="T63">
        <f t="shared" si="13"/>
        <v>0</v>
      </c>
      <c r="U63">
        <f t="shared" si="5"/>
        <v>3.5</v>
      </c>
      <c r="V63">
        <f t="shared" si="14"/>
        <v>366.19999999999993</v>
      </c>
      <c r="W63">
        <f t="shared" si="6"/>
        <v>61</v>
      </c>
      <c r="X63">
        <f t="shared" si="7"/>
        <v>0.67605999999999988</v>
      </c>
      <c r="Y63">
        <f t="shared" si="8"/>
        <v>0.23984285714285705</v>
      </c>
    </row>
    <row r="64" spans="8:25" x14ac:dyDescent="0.2">
      <c r="H64">
        <f t="shared" si="9"/>
        <v>62</v>
      </c>
      <c r="I64">
        <f t="shared" si="0"/>
        <v>213</v>
      </c>
      <c r="J64">
        <f>IFERROR(INDEX(clima!$C:$C,$I64),"")</f>
        <v>212</v>
      </c>
      <c r="K64">
        <f>IFERROR(INDEX(clima!$F:$F,$I64),"")</f>
        <v>3.6</v>
      </c>
      <c r="L64">
        <f>IFERROR(INDEX(clima!$J:$J,$I64),"")</f>
        <v>10.365192041012978</v>
      </c>
      <c r="M64">
        <f t="shared" si="1"/>
        <v>3.6</v>
      </c>
      <c r="N64">
        <f t="shared" si="10"/>
        <v>509.00000000000006</v>
      </c>
      <c r="O64">
        <f t="shared" si="2"/>
        <v>3.6</v>
      </c>
      <c r="P64">
        <f t="shared" si="11"/>
        <v>369.79999999999995</v>
      </c>
      <c r="Q64">
        <f t="shared" si="3"/>
        <v>0.75941655315927425</v>
      </c>
      <c r="R64">
        <f t="shared" si="12"/>
        <v>53.781776592836898</v>
      </c>
      <c r="S64">
        <f t="shared" si="4"/>
        <v>0</v>
      </c>
      <c r="T64">
        <f t="shared" si="13"/>
        <v>0</v>
      </c>
      <c r="U64">
        <f t="shared" si="5"/>
        <v>3.6</v>
      </c>
      <c r="V64">
        <f t="shared" si="14"/>
        <v>369.79999999999995</v>
      </c>
      <c r="W64">
        <f t="shared" si="6"/>
        <v>62</v>
      </c>
      <c r="X64">
        <f t="shared" si="7"/>
        <v>0.68074000000000001</v>
      </c>
      <c r="Y64">
        <f t="shared" si="8"/>
        <v>0.24472857142857135</v>
      </c>
    </row>
    <row r="65" spans="8:25" x14ac:dyDescent="0.2">
      <c r="H65">
        <f t="shared" si="9"/>
        <v>63</v>
      </c>
      <c r="I65">
        <f t="shared" si="0"/>
        <v>214</v>
      </c>
      <c r="J65">
        <f>IFERROR(INDEX(clima!$C:$C,$I65),"")</f>
        <v>213</v>
      </c>
      <c r="K65">
        <f>IFERROR(INDEX(clima!$F:$F,$I65),"")</f>
        <v>5.5</v>
      </c>
      <c r="L65">
        <f>IFERROR(INDEX(clima!$J:$J,$I65),"")</f>
        <v>10.390361417637612</v>
      </c>
      <c r="M65">
        <f t="shared" si="1"/>
        <v>5.5</v>
      </c>
      <c r="N65">
        <f t="shared" si="10"/>
        <v>514.5</v>
      </c>
      <c r="O65">
        <f t="shared" si="2"/>
        <v>5.5</v>
      </c>
      <c r="P65">
        <f t="shared" si="11"/>
        <v>375.29999999999995</v>
      </c>
      <c r="Q65">
        <f t="shared" si="3"/>
        <v>1.1828640652904003</v>
      </c>
      <c r="R65">
        <f t="shared" si="12"/>
        <v>54.964640658127301</v>
      </c>
      <c r="S65">
        <f t="shared" si="4"/>
        <v>0</v>
      </c>
      <c r="T65">
        <f t="shared" si="13"/>
        <v>0</v>
      </c>
      <c r="U65">
        <f t="shared" si="5"/>
        <v>5.5</v>
      </c>
      <c r="V65">
        <f t="shared" si="14"/>
        <v>375.29999999999995</v>
      </c>
      <c r="W65">
        <f t="shared" si="6"/>
        <v>63</v>
      </c>
      <c r="X65">
        <f t="shared" si="7"/>
        <v>0.68788999999999989</v>
      </c>
      <c r="Y65">
        <f t="shared" si="8"/>
        <v>0.25219285714285711</v>
      </c>
    </row>
    <row r="66" spans="8:25" x14ac:dyDescent="0.2">
      <c r="H66">
        <f t="shared" si="9"/>
        <v>64</v>
      </c>
      <c r="I66">
        <f t="shared" ref="I66:I129" si="15">$F$26+H66</f>
        <v>215</v>
      </c>
      <c r="J66">
        <f>IFERROR(INDEX(clima!$C:$C,$I66),"")</f>
        <v>214</v>
      </c>
      <c r="K66">
        <f>IFERROR(INDEX(clima!$F:$F,$I66),"")</f>
        <v>5.3</v>
      </c>
      <c r="L66">
        <f>IFERROR(INDEX(clima!$J:$J,$I66),"")</f>
        <v>10.415955365886074</v>
      </c>
      <c r="M66">
        <f t="shared" ref="M66:M129" si="16">IF($K66="","",MAX(0,(IF($B$2="soja",MIN($K66,$F$4),$K66))-$F$2))</f>
        <v>5.3</v>
      </c>
      <c r="N66">
        <f t="shared" si="10"/>
        <v>519.79999999999995</v>
      </c>
      <c r="O66">
        <f t="shared" ref="O66:O129" si="17">IF($K66="","",IF($I66&lt;$F$27,0,MAX(0,(IF($B$2="soja",MIN($K66,$F$4),$K66))-$F$3)))</f>
        <v>5.3</v>
      </c>
      <c r="P66">
        <f t="shared" si="11"/>
        <v>380.59999999999997</v>
      </c>
      <c r="Q66">
        <f t="shared" ref="Q66:Q129" si="18">IF($K66="","",IF($I66&lt;$F$27,0,IF($B$2="trigo",MAX(0,$K66-$F$2)*MAX(0,(1-(((20-MIN(20,$L66))^2)*(0.01*$F$8)))),IF($B$2="maiz",MAX(0,$K66-$F$3),IF($B$2="soja",MAX(0,MIN($K66,$F$4)-$F$3)*MIN(1,MAX(0,1-MAX(0,($L66-$F$17))*0.3)),0)))))</f>
        <v>1.1619812847316073</v>
      </c>
      <c r="R66">
        <f t="shared" si="12"/>
        <v>56.126621942858911</v>
      </c>
      <c r="S66">
        <f t="shared" ref="S66:S129" si="19">IF($K66="","",IF($I66&lt;$F$28,0,IF($B$2="trigo",MAX(0,$K66),IF($B$2="soja",MAX(0,MIN($K66,$F$4)-$F$3)*MIN(1,MAX(0,1-MAX(0,($L66-$F$19))*0.3)),0))))</f>
        <v>0</v>
      </c>
      <c r="T66">
        <f t="shared" si="13"/>
        <v>0</v>
      </c>
      <c r="U66">
        <f t="shared" ref="U66:U129" si="20">IF($K66="","",IF(OR($I66&lt;$F$27,$I66&gt;$F$42),0,MAX(0,$K66-$F$37)))</f>
        <v>5.3</v>
      </c>
      <c r="V66">
        <f t="shared" si="14"/>
        <v>380.59999999999997</v>
      </c>
      <c r="W66">
        <f t="shared" ref="W66:W129" si="21">H66</f>
        <v>64</v>
      </c>
      <c r="X66">
        <f t="shared" ref="X66:X129" si="22">IF($I66="","",IF($I66&lt;$F$27,$F$38,IF($I66&lt;=$F$42,$F$38+($F$39*$V66)/100,$F$38+($F$39*INDEX($V:$V,$F$42))/100)))</f>
        <v>0.69477999999999995</v>
      </c>
      <c r="Y66">
        <f t="shared" ref="Y66:Y129" si="23">IF($I66="","",IF($I66&lt;$F$27,0,IF($P66&lt;=$F$6,$F$40,IF($P66&gt;=$F$7,$F$41,$F$40+($F$41-$F$40)*($P66-$F$6)/($F$7-$F$6)))))</f>
        <v>0.25938571428571422</v>
      </c>
    </row>
    <row r="67" spans="8:25" x14ac:dyDescent="0.2">
      <c r="H67">
        <f t="shared" ref="H67:H130" si="24">H66+1</f>
        <v>65</v>
      </c>
      <c r="I67">
        <f t="shared" si="15"/>
        <v>216</v>
      </c>
      <c r="J67">
        <f>IFERROR(INDEX(clima!$C:$C,$I67),"")</f>
        <v>215</v>
      </c>
      <c r="K67">
        <f>IFERROR(INDEX(clima!$F:$F,$I67),"")</f>
        <v>7.7</v>
      </c>
      <c r="L67">
        <f>IFERROR(INDEX(clima!$J:$J,$I67),"")</f>
        <v>10.441962580355735</v>
      </c>
      <c r="M67">
        <f t="shared" si="16"/>
        <v>7.7</v>
      </c>
      <c r="N67">
        <f t="shared" ref="N67:N130" si="25">IF(M67="",N66,N66+M67)</f>
        <v>527.5</v>
      </c>
      <c r="O67">
        <f t="shared" si="17"/>
        <v>7.7</v>
      </c>
      <c r="P67">
        <f t="shared" ref="P67:P130" si="26">IF(O67="",P66,P66+O67)</f>
        <v>388.29999999999995</v>
      </c>
      <c r="Q67">
        <f t="shared" si="18"/>
        <v>1.7207446088123057</v>
      </c>
      <c r="R67">
        <f t="shared" ref="R67:R130" si="27">IF(Q67="",R66,R66+Q67)</f>
        <v>57.847366551671215</v>
      </c>
      <c r="S67">
        <f t="shared" si="19"/>
        <v>0</v>
      </c>
      <c r="T67">
        <f t="shared" ref="T67:T130" si="28">IF(S67="",T66,T66+S67)</f>
        <v>0</v>
      </c>
      <c r="U67">
        <f t="shared" si="20"/>
        <v>7.7</v>
      </c>
      <c r="V67">
        <f t="shared" ref="V67:V130" si="29">IF(U67="",V66,V66+U67)</f>
        <v>388.29999999999995</v>
      </c>
      <c r="W67">
        <f t="shared" si="21"/>
        <v>65</v>
      </c>
      <c r="X67">
        <f t="shared" si="22"/>
        <v>0.70479000000000003</v>
      </c>
      <c r="Y67">
        <f t="shared" si="23"/>
        <v>0.26983571428571423</v>
      </c>
    </row>
    <row r="68" spans="8:25" x14ac:dyDescent="0.2">
      <c r="H68">
        <f t="shared" si="24"/>
        <v>66</v>
      </c>
      <c r="I68">
        <f t="shared" si="15"/>
        <v>217</v>
      </c>
      <c r="J68">
        <f>IFERROR(INDEX(clima!$C:$C,$I68),"")</f>
        <v>216</v>
      </c>
      <c r="K68">
        <f>IFERROR(INDEX(clima!$F:$F,$I68),"")</f>
        <v>13.2</v>
      </c>
      <c r="L68">
        <f>IFERROR(INDEX(clima!$J:$J,$I68),"")</f>
        <v>10.468371809141017</v>
      </c>
      <c r="M68">
        <f t="shared" si="16"/>
        <v>13.2</v>
      </c>
      <c r="N68">
        <f t="shared" si="25"/>
        <v>540.70000000000005</v>
      </c>
      <c r="O68">
        <f t="shared" si="17"/>
        <v>13.2</v>
      </c>
      <c r="P68">
        <f t="shared" si="26"/>
        <v>401.49999999999994</v>
      </c>
      <c r="Q68">
        <f t="shared" si="18"/>
        <v>3.0064127843031421</v>
      </c>
      <c r="R68">
        <f t="shared" si="27"/>
        <v>60.853779335974359</v>
      </c>
      <c r="S68">
        <f t="shared" si="19"/>
        <v>0</v>
      </c>
      <c r="T68">
        <f t="shared" si="28"/>
        <v>0</v>
      </c>
      <c r="U68">
        <f t="shared" si="20"/>
        <v>13.2</v>
      </c>
      <c r="V68">
        <f t="shared" si="29"/>
        <v>401.49999999999994</v>
      </c>
      <c r="W68">
        <f t="shared" si="21"/>
        <v>66</v>
      </c>
      <c r="X68">
        <f t="shared" si="22"/>
        <v>0.72194999999999987</v>
      </c>
      <c r="Y68">
        <f t="shared" si="23"/>
        <v>0.28774999999999995</v>
      </c>
    </row>
    <row r="69" spans="8:25" x14ac:dyDescent="0.2">
      <c r="H69">
        <f t="shared" si="24"/>
        <v>67</v>
      </c>
      <c r="I69">
        <f t="shared" si="15"/>
        <v>218</v>
      </c>
      <c r="J69">
        <f>IFERROR(INDEX(clima!$C:$C,$I69),"")</f>
        <v>217</v>
      </c>
      <c r="K69">
        <f>IFERROR(INDEX(clima!$F:$F,$I69),"")</f>
        <v>15.9</v>
      </c>
      <c r="L69">
        <f>IFERROR(INDEX(clima!$J:$J,$I69),"")</f>
        <v>10.495171864893724</v>
      </c>
      <c r="M69">
        <f t="shared" si="16"/>
        <v>15.9</v>
      </c>
      <c r="N69">
        <f t="shared" si="25"/>
        <v>556.6</v>
      </c>
      <c r="O69">
        <f t="shared" si="17"/>
        <v>15.9</v>
      </c>
      <c r="P69">
        <f t="shared" si="26"/>
        <v>417.39999999999992</v>
      </c>
      <c r="Q69">
        <f t="shared" si="18"/>
        <v>3.6903114228007525</v>
      </c>
      <c r="R69">
        <f t="shared" si="27"/>
        <v>64.544090758775113</v>
      </c>
      <c r="S69">
        <f t="shared" si="19"/>
        <v>0</v>
      </c>
      <c r="T69">
        <f t="shared" si="28"/>
        <v>0</v>
      </c>
      <c r="U69">
        <f t="shared" si="20"/>
        <v>15.9</v>
      </c>
      <c r="V69">
        <f t="shared" si="29"/>
        <v>417.39999999999992</v>
      </c>
      <c r="W69">
        <f t="shared" si="21"/>
        <v>67</v>
      </c>
      <c r="X69">
        <f t="shared" si="22"/>
        <v>0.74261999999999984</v>
      </c>
      <c r="Y69">
        <f t="shared" si="23"/>
        <v>0.30932857142857129</v>
      </c>
    </row>
    <row r="70" spans="8:25" x14ac:dyDescent="0.2">
      <c r="H70">
        <f t="shared" si="24"/>
        <v>68</v>
      </c>
      <c r="I70">
        <f t="shared" si="15"/>
        <v>219</v>
      </c>
      <c r="J70">
        <f>IFERROR(INDEX(clima!$C:$C,$I70),"")</f>
        <v>218</v>
      </c>
      <c r="K70">
        <f>IFERROR(INDEX(clima!$F:$F,$I70),"")</f>
        <v>14.3</v>
      </c>
      <c r="L70">
        <f>IFERROR(INDEX(clima!$J:$J,$I70),"")</f>
        <v>10.522351635210946</v>
      </c>
      <c r="M70">
        <f t="shared" si="16"/>
        <v>14.3</v>
      </c>
      <c r="N70">
        <f t="shared" si="25"/>
        <v>570.9</v>
      </c>
      <c r="O70">
        <f t="shared" si="17"/>
        <v>14.3</v>
      </c>
      <c r="P70">
        <f t="shared" si="26"/>
        <v>431.69999999999993</v>
      </c>
      <c r="Q70">
        <f t="shared" si="18"/>
        <v>3.3816717580931503</v>
      </c>
      <c r="R70">
        <f t="shared" si="27"/>
        <v>67.925762516868261</v>
      </c>
      <c r="S70">
        <f t="shared" si="19"/>
        <v>0</v>
      </c>
      <c r="T70">
        <f t="shared" si="28"/>
        <v>0</v>
      </c>
      <c r="U70">
        <f t="shared" si="20"/>
        <v>14.3</v>
      </c>
      <c r="V70">
        <f t="shared" si="29"/>
        <v>431.69999999999993</v>
      </c>
      <c r="W70">
        <f t="shared" si="21"/>
        <v>68</v>
      </c>
      <c r="X70">
        <f t="shared" si="22"/>
        <v>0.76120999999999994</v>
      </c>
      <c r="Y70">
        <f t="shared" si="23"/>
        <v>0.32873571428571419</v>
      </c>
    </row>
    <row r="71" spans="8:25" x14ac:dyDescent="0.2">
      <c r="H71">
        <f t="shared" si="24"/>
        <v>69</v>
      </c>
      <c r="I71">
        <f t="shared" si="15"/>
        <v>220</v>
      </c>
      <c r="J71">
        <f>IFERROR(INDEX(clima!$C:$C,$I71),"")</f>
        <v>219</v>
      </c>
      <c r="K71">
        <f>IFERROR(INDEX(clima!$F:$F,$I71),"")</f>
        <v>10.199999999999999</v>
      </c>
      <c r="L71">
        <f>IFERROR(INDEX(clima!$J:$J,$I71),"")</f>
        <v>10.549900092345242</v>
      </c>
      <c r="M71">
        <f t="shared" si="16"/>
        <v>10.199999999999999</v>
      </c>
      <c r="N71">
        <f t="shared" si="25"/>
        <v>581.1</v>
      </c>
      <c r="O71">
        <f t="shared" si="17"/>
        <v>10.199999999999999</v>
      </c>
      <c r="P71">
        <f t="shared" si="26"/>
        <v>441.89999999999992</v>
      </c>
      <c r="Q71">
        <f t="shared" si="18"/>
        <v>2.4573095374542833</v>
      </c>
      <c r="R71">
        <f t="shared" si="27"/>
        <v>70.38307205432254</v>
      </c>
      <c r="S71">
        <f t="shared" si="19"/>
        <v>0</v>
      </c>
      <c r="T71">
        <f t="shared" si="28"/>
        <v>0</v>
      </c>
      <c r="U71">
        <f t="shared" si="20"/>
        <v>10.199999999999999</v>
      </c>
      <c r="V71">
        <f t="shared" si="29"/>
        <v>441.89999999999992</v>
      </c>
      <c r="W71">
        <f t="shared" si="21"/>
        <v>69</v>
      </c>
      <c r="X71">
        <f t="shared" si="22"/>
        <v>0.77446999999999999</v>
      </c>
      <c r="Y71">
        <f t="shared" si="23"/>
        <v>0.34257857142857129</v>
      </c>
    </row>
    <row r="72" spans="8:25" x14ac:dyDescent="0.2">
      <c r="H72">
        <f t="shared" si="24"/>
        <v>70</v>
      </c>
      <c r="I72">
        <f t="shared" si="15"/>
        <v>221</v>
      </c>
      <c r="J72">
        <f>IFERROR(INDEX(clima!$C:$C,$I72),"")</f>
        <v>220</v>
      </c>
      <c r="K72">
        <f>IFERROR(INDEX(clima!$F:$F,$I72),"")</f>
        <v>7.6</v>
      </c>
      <c r="L72">
        <f>IFERROR(INDEX(clima!$J:$J,$I72),"")</f>
        <v>10.577806302234444</v>
      </c>
      <c r="M72">
        <f t="shared" si="16"/>
        <v>7.6</v>
      </c>
      <c r="N72">
        <f t="shared" si="25"/>
        <v>588.70000000000005</v>
      </c>
      <c r="O72">
        <f t="shared" si="17"/>
        <v>7.6</v>
      </c>
      <c r="P72">
        <f t="shared" si="26"/>
        <v>449.49999999999994</v>
      </c>
      <c r="Q72">
        <f t="shared" si="18"/>
        <v>1.8649583785474426</v>
      </c>
      <c r="R72">
        <f t="shared" si="27"/>
        <v>72.248030432869982</v>
      </c>
      <c r="S72">
        <f t="shared" si="19"/>
        <v>0</v>
      </c>
      <c r="T72">
        <f t="shared" si="28"/>
        <v>0</v>
      </c>
      <c r="U72">
        <f t="shared" si="20"/>
        <v>7.6</v>
      </c>
      <c r="V72">
        <f t="shared" si="29"/>
        <v>449.49999999999994</v>
      </c>
      <c r="W72">
        <f t="shared" si="21"/>
        <v>70</v>
      </c>
      <c r="X72">
        <f t="shared" si="22"/>
        <v>0.78434999999999988</v>
      </c>
      <c r="Y72">
        <f t="shared" si="23"/>
        <v>0.35289285714285706</v>
      </c>
    </row>
    <row r="73" spans="8:25" x14ac:dyDescent="0.2">
      <c r="H73">
        <f t="shared" si="24"/>
        <v>71</v>
      </c>
      <c r="I73">
        <f t="shared" si="15"/>
        <v>222</v>
      </c>
      <c r="J73">
        <f>IFERROR(INDEX(clima!$C:$C,$I73),"")</f>
        <v>221</v>
      </c>
      <c r="K73">
        <f>IFERROR(INDEX(clima!$F:$F,$I73),"")</f>
        <v>8.1999999999999993</v>
      </c>
      <c r="L73">
        <f>IFERROR(INDEX(clima!$J:$J,$I73),"")</f>
        <v>10.606059432851083</v>
      </c>
      <c r="M73">
        <f t="shared" si="16"/>
        <v>8.1999999999999993</v>
      </c>
      <c r="N73">
        <f t="shared" si="25"/>
        <v>596.90000000000009</v>
      </c>
      <c r="O73">
        <f t="shared" si="17"/>
        <v>8.1999999999999993</v>
      </c>
      <c r="P73">
        <f t="shared" si="26"/>
        <v>457.69999999999993</v>
      </c>
      <c r="Q73">
        <f t="shared" si="18"/>
        <v>2.0492454792749091</v>
      </c>
      <c r="R73">
        <f t="shared" si="27"/>
        <v>74.297275912144897</v>
      </c>
      <c r="S73">
        <f t="shared" si="19"/>
        <v>0</v>
      </c>
      <c r="T73">
        <f t="shared" si="28"/>
        <v>0</v>
      </c>
      <c r="U73">
        <f t="shared" si="20"/>
        <v>8.1999999999999993</v>
      </c>
      <c r="V73">
        <f t="shared" si="29"/>
        <v>457.69999999999993</v>
      </c>
      <c r="W73">
        <f t="shared" si="21"/>
        <v>71</v>
      </c>
      <c r="X73">
        <f t="shared" si="22"/>
        <v>0.79500999999999999</v>
      </c>
      <c r="Y73">
        <f t="shared" si="23"/>
        <v>0.3640214285714285</v>
      </c>
    </row>
    <row r="74" spans="8:25" x14ac:dyDescent="0.2">
      <c r="H74">
        <f t="shared" si="24"/>
        <v>72</v>
      </c>
      <c r="I74">
        <f t="shared" si="15"/>
        <v>223</v>
      </c>
      <c r="J74">
        <f>IFERROR(INDEX(clima!$C:$C,$I74),"")</f>
        <v>222</v>
      </c>
      <c r="K74">
        <f>IFERROR(INDEX(clima!$F:$F,$I74),"")</f>
        <v>10.8</v>
      </c>
      <c r="L74">
        <f>IFERROR(INDEX(clima!$J:$J,$I74),"")</f>
        <v>10.634648761873676</v>
      </c>
      <c r="M74">
        <f t="shared" si="16"/>
        <v>10.8</v>
      </c>
      <c r="N74">
        <f t="shared" si="25"/>
        <v>607.70000000000005</v>
      </c>
      <c r="O74">
        <f t="shared" si="17"/>
        <v>10.8</v>
      </c>
      <c r="P74">
        <f t="shared" si="26"/>
        <v>468.49999999999994</v>
      </c>
      <c r="Q74">
        <f t="shared" si="18"/>
        <v>2.7482400099230606</v>
      </c>
      <c r="R74">
        <f t="shared" si="27"/>
        <v>77.045515922067963</v>
      </c>
      <c r="S74">
        <f t="shared" si="19"/>
        <v>0</v>
      </c>
      <c r="T74">
        <f t="shared" si="28"/>
        <v>0</v>
      </c>
      <c r="U74">
        <f t="shared" si="20"/>
        <v>10.8</v>
      </c>
      <c r="V74">
        <f t="shared" si="29"/>
        <v>468.49999999999994</v>
      </c>
      <c r="W74">
        <f t="shared" si="21"/>
        <v>72</v>
      </c>
      <c r="X74">
        <f t="shared" si="22"/>
        <v>0.80905000000000005</v>
      </c>
      <c r="Y74">
        <f t="shared" si="23"/>
        <v>0.37867857142857136</v>
      </c>
    </row>
    <row r="75" spans="8:25" x14ac:dyDescent="0.2">
      <c r="H75">
        <f t="shared" si="24"/>
        <v>73</v>
      </c>
      <c r="I75">
        <f t="shared" si="15"/>
        <v>224</v>
      </c>
      <c r="J75">
        <f>IFERROR(INDEX(clima!$C:$C,$I75),"")</f>
        <v>223</v>
      </c>
      <c r="K75">
        <f>IFERROR(INDEX(clima!$F:$F,$I75),"")</f>
        <v>8.1</v>
      </c>
      <c r="L75">
        <f>IFERROR(INDEX(clima!$J:$J,$I75),"")</f>
        <v>10.663563683684412</v>
      </c>
      <c r="M75">
        <f t="shared" si="16"/>
        <v>8.1</v>
      </c>
      <c r="N75">
        <f t="shared" si="25"/>
        <v>615.80000000000007</v>
      </c>
      <c r="O75">
        <f t="shared" si="17"/>
        <v>8.1</v>
      </c>
      <c r="P75">
        <f t="shared" si="26"/>
        <v>476.59999999999997</v>
      </c>
      <c r="Q75">
        <f t="shared" si="18"/>
        <v>2.0984113833487474</v>
      </c>
      <c r="R75">
        <f t="shared" si="27"/>
        <v>79.14392730541671</v>
      </c>
      <c r="S75">
        <f t="shared" si="19"/>
        <v>0</v>
      </c>
      <c r="T75">
        <f t="shared" si="28"/>
        <v>0</v>
      </c>
      <c r="U75">
        <f t="shared" si="20"/>
        <v>8.1</v>
      </c>
      <c r="V75">
        <f t="shared" si="29"/>
        <v>476.59999999999997</v>
      </c>
      <c r="W75">
        <f t="shared" si="21"/>
        <v>73</v>
      </c>
      <c r="X75">
        <f t="shared" si="22"/>
        <v>0.81957999999999998</v>
      </c>
      <c r="Y75">
        <f t="shared" si="23"/>
        <v>0.38967142857142856</v>
      </c>
    </row>
    <row r="76" spans="8:25" x14ac:dyDescent="0.2">
      <c r="H76">
        <f t="shared" si="24"/>
        <v>74</v>
      </c>
      <c r="I76">
        <f t="shared" si="15"/>
        <v>225</v>
      </c>
      <c r="J76">
        <f>IFERROR(INDEX(clima!$C:$C,$I76),"")</f>
        <v>224</v>
      </c>
      <c r="K76">
        <f>IFERROR(INDEX(clima!$F:$F,$I76),"")</f>
        <v>11.8</v>
      </c>
      <c r="L76">
        <f>IFERROR(INDEX(clima!$J:$J,$I76),"")</f>
        <v>10.692793715699791</v>
      </c>
      <c r="M76">
        <f t="shared" si="16"/>
        <v>11.8</v>
      </c>
      <c r="N76">
        <f t="shared" si="25"/>
        <v>627.6</v>
      </c>
      <c r="O76">
        <f t="shared" si="17"/>
        <v>11.8</v>
      </c>
      <c r="P76">
        <f t="shared" si="26"/>
        <v>488.4</v>
      </c>
      <c r="Q76">
        <f t="shared" si="18"/>
        <v>3.1116038915027131</v>
      </c>
      <c r="R76">
        <f t="shared" si="27"/>
        <v>82.255531196919421</v>
      </c>
      <c r="S76">
        <f t="shared" si="19"/>
        <v>0</v>
      </c>
      <c r="T76">
        <f t="shared" si="28"/>
        <v>0</v>
      </c>
      <c r="U76">
        <f t="shared" si="20"/>
        <v>11.8</v>
      </c>
      <c r="V76">
        <f t="shared" si="29"/>
        <v>488.4</v>
      </c>
      <c r="W76">
        <f t="shared" si="21"/>
        <v>74</v>
      </c>
      <c r="X76">
        <f t="shared" si="22"/>
        <v>0.83491999999999988</v>
      </c>
      <c r="Y76">
        <f t="shared" si="23"/>
        <v>0.40568571428571432</v>
      </c>
    </row>
    <row r="77" spans="8:25" x14ac:dyDescent="0.2">
      <c r="H77">
        <f t="shared" si="24"/>
        <v>75</v>
      </c>
      <c r="I77">
        <f t="shared" si="15"/>
        <v>226</v>
      </c>
      <c r="J77">
        <f>IFERROR(INDEX(clima!$C:$C,$I77),"")</f>
        <v>225</v>
      </c>
      <c r="K77">
        <f>IFERROR(INDEX(clima!$F:$F,$I77),"")</f>
        <v>9.1999999999999993</v>
      </c>
      <c r="L77">
        <f>IFERROR(INDEX(clima!$J:$J,$I77),"")</f>
        <v>10.722328504042611</v>
      </c>
      <c r="M77">
        <f t="shared" si="16"/>
        <v>9.1999999999999993</v>
      </c>
      <c r="N77">
        <f t="shared" si="25"/>
        <v>636.80000000000007</v>
      </c>
      <c r="O77">
        <f t="shared" si="17"/>
        <v>9.1999999999999993</v>
      </c>
      <c r="P77">
        <f t="shared" si="26"/>
        <v>497.59999999999997</v>
      </c>
      <c r="Q77">
        <f t="shared" si="18"/>
        <v>2.4689202681444029</v>
      </c>
      <c r="R77">
        <f t="shared" si="27"/>
        <v>84.724451465063822</v>
      </c>
      <c r="S77">
        <f t="shared" si="19"/>
        <v>0</v>
      </c>
      <c r="T77">
        <f t="shared" si="28"/>
        <v>0</v>
      </c>
      <c r="U77">
        <f t="shared" si="20"/>
        <v>9.1999999999999993</v>
      </c>
      <c r="V77">
        <f t="shared" si="29"/>
        <v>497.59999999999997</v>
      </c>
      <c r="W77">
        <f t="shared" si="21"/>
        <v>75</v>
      </c>
      <c r="X77">
        <f t="shared" si="22"/>
        <v>0.84688000000000008</v>
      </c>
      <c r="Y77">
        <f t="shared" si="23"/>
        <v>0.41817142857142853</v>
      </c>
    </row>
    <row r="78" spans="8:25" x14ac:dyDescent="0.2">
      <c r="H78">
        <f t="shared" si="24"/>
        <v>76</v>
      </c>
      <c r="I78">
        <f t="shared" si="15"/>
        <v>227</v>
      </c>
      <c r="J78">
        <f>IFERROR(INDEX(clima!$C:$C,$I78),"")</f>
        <v>226</v>
      </c>
      <c r="K78">
        <f>IFERROR(INDEX(clima!$F:$F,$I78),"")</f>
        <v>12.2</v>
      </c>
      <c r="L78">
        <f>IFERROR(INDEX(clima!$J:$J,$I78),"")</f>
        <v>10.752157828565517</v>
      </c>
      <c r="M78">
        <f t="shared" si="16"/>
        <v>12.2</v>
      </c>
      <c r="N78">
        <f t="shared" si="25"/>
        <v>649.00000000000011</v>
      </c>
      <c r="O78">
        <f t="shared" si="17"/>
        <v>12.2</v>
      </c>
      <c r="P78">
        <f t="shared" si="26"/>
        <v>509.79999999999995</v>
      </c>
      <c r="Q78">
        <f t="shared" si="18"/>
        <v>3.3313079533610748</v>
      </c>
      <c r="R78">
        <f t="shared" si="27"/>
        <v>88.055759418424898</v>
      </c>
      <c r="S78">
        <f t="shared" si="19"/>
        <v>0</v>
      </c>
      <c r="T78">
        <f t="shared" si="28"/>
        <v>0</v>
      </c>
      <c r="U78">
        <f t="shared" si="20"/>
        <v>12.2</v>
      </c>
      <c r="V78">
        <f t="shared" si="29"/>
        <v>509.79999999999995</v>
      </c>
      <c r="W78">
        <f t="shared" si="21"/>
        <v>76</v>
      </c>
      <c r="X78">
        <f t="shared" si="22"/>
        <v>0.86274000000000006</v>
      </c>
      <c r="Y78">
        <f t="shared" si="23"/>
        <v>0.43472857142857135</v>
      </c>
    </row>
    <row r="79" spans="8:25" x14ac:dyDescent="0.2">
      <c r="H79">
        <f t="shared" si="24"/>
        <v>77</v>
      </c>
      <c r="I79">
        <f t="shared" si="15"/>
        <v>228</v>
      </c>
      <c r="J79">
        <f>IFERROR(INDEX(clima!$C:$C,$I79),"")</f>
        <v>227</v>
      </c>
      <c r="K79">
        <f>IFERROR(INDEX(clima!$F:$F,$I79),"")</f>
        <v>7.6</v>
      </c>
      <c r="L79">
        <f>IFERROR(INDEX(clima!$J:$J,$I79),"")</f>
        <v>10.782271607237726</v>
      </c>
      <c r="M79">
        <f t="shared" si="16"/>
        <v>7.6</v>
      </c>
      <c r="N79">
        <f t="shared" si="25"/>
        <v>656.60000000000014</v>
      </c>
      <c r="O79">
        <f t="shared" si="17"/>
        <v>7.6</v>
      </c>
      <c r="P79">
        <f t="shared" si="26"/>
        <v>517.4</v>
      </c>
      <c r="Q79">
        <f t="shared" si="18"/>
        <v>2.1111630197112694</v>
      </c>
      <c r="R79">
        <f t="shared" si="27"/>
        <v>90.166922438136169</v>
      </c>
      <c r="S79">
        <f t="shared" si="19"/>
        <v>0</v>
      </c>
      <c r="T79">
        <f t="shared" si="28"/>
        <v>0</v>
      </c>
      <c r="U79">
        <f t="shared" si="20"/>
        <v>7.6</v>
      </c>
      <c r="V79">
        <f t="shared" si="29"/>
        <v>517.4</v>
      </c>
      <c r="W79">
        <f t="shared" si="21"/>
        <v>77</v>
      </c>
      <c r="X79">
        <f t="shared" si="22"/>
        <v>0.87261999999999995</v>
      </c>
      <c r="Y79">
        <f t="shared" si="23"/>
        <v>0.44504285714285718</v>
      </c>
    </row>
    <row r="80" spans="8:25" x14ac:dyDescent="0.2">
      <c r="H80">
        <f t="shared" si="24"/>
        <v>78</v>
      </c>
      <c r="I80">
        <f t="shared" si="15"/>
        <v>229</v>
      </c>
      <c r="J80">
        <f>IFERROR(INDEX(clima!$C:$C,$I80),"")</f>
        <v>228</v>
      </c>
      <c r="K80">
        <f>IFERROR(INDEX(clima!$F:$F,$I80),"")</f>
        <v>5.0999999999999996</v>
      </c>
      <c r="L80">
        <f>IFERROR(INDEX(clima!$J:$J,$I80),"")</f>
        <v>10.812659899908097</v>
      </c>
      <c r="M80">
        <f t="shared" si="16"/>
        <v>5.0999999999999996</v>
      </c>
      <c r="N80">
        <f t="shared" si="25"/>
        <v>661.70000000000016</v>
      </c>
      <c r="O80">
        <f t="shared" si="17"/>
        <v>5.0999999999999996</v>
      </c>
      <c r="P80">
        <f t="shared" si="26"/>
        <v>522.5</v>
      </c>
      <c r="Q80">
        <f t="shared" si="18"/>
        <v>1.4409470947252967</v>
      </c>
      <c r="R80">
        <f t="shared" si="27"/>
        <v>91.607869532861471</v>
      </c>
      <c r="S80">
        <f t="shared" si="19"/>
        <v>0</v>
      </c>
      <c r="T80">
        <f t="shared" si="28"/>
        <v>0</v>
      </c>
      <c r="U80">
        <f t="shared" si="20"/>
        <v>5.0999999999999996</v>
      </c>
      <c r="V80">
        <f t="shared" si="29"/>
        <v>522.5</v>
      </c>
      <c r="W80">
        <f t="shared" si="21"/>
        <v>78</v>
      </c>
      <c r="X80">
        <f t="shared" si="22"/>
        <v>0.87925000000000009</v>
      </c>
      <c r="Y80">
        <f t="shared" si="23"/>
        <v>0.45196428571428571</v>
      </c>
    </row>
    <row r="81" spans="8:25" x14ac:dyDescent="0.2">
      <c r="H81">
        <f t="shared" si="24"/>
        <v>79</v>
      </c>
      <c r="I81">
        <f t="shared" si="15"/>
        <v>230</v>
      </c>
      <c r="J81">
        <f>IFERROR(INDEX(clima!$C:$C,$I81),"")</f>
        <v>229</v>
      </c>
      <c r="K81">
        <f>IFERROR(INDEX(clima!$F:$F,$I81),"")</f>
        <v>5.7</v>
      </c>
      <c r="L81">
        <f>IFERROR(INDEX(clima!$J:$J,$I81),"")</f>
        <v>10.84331291145881</v>
      </c>
      <c r="M81">
        <f t="shared" si="16"/>
        <v>5.7</v>
      </c>
      <c r="N81">
        <f t="shared" si="25"/>
        <v>667.4000000000002</v>
      </c>
      <c r="O81">
        <f t="shared" si="17"/>
        <v>5.7</v>
      </c>
      <c r="P81">
        <f t="shared" si="26"/>
        <v>528.20000000000005</v>
      </c>
      <c r="Q81">
        <f t="shared" si="18"/>
        <v>1.6377137017052112</v>
      </c>
      <c r="R81">
        <f t="shared" si="27"/>
        <v>93.245583234566681</v>
      </c>
      <c r="S81">
        <f t="shared" si="19"/>
        <v>0</v>
      </c>
      <c r="T81">
        <f t="shared" si="28"/>
        <v>0</v>
      </c>
      <c r="U81">
        <f t="shared" si="20"/>
        <v>5.7</v>
      </c>
      <c r="V81">
        <f t="shared" si="29"/>
        <v>528.20000000000005</v>
      </c>
      <c r="W81">
        <f t="shared" si="21"/>
        <v>79</v>
      </c>
      <c r="X81">
        <f t="shared" si="22"/>
        <v>0.88666000000000023</v>
      </c>
      <c r="Y81">
        <f t="shared" si="23"/>
        <v>0.45970000000000011</v>
      </c>
    </row>
    <row r="82" spans="8:25" x14ac:dyDescent="0.2">
      <c r="H82">
        <f t="shared" si="24"/>
        <v>80</v>
      </c>
      <c r="I82">
        <f t="shared" si="15"/>
        <v>231</v>
      </c>
      <c r="J82">
        <f>IFERROR(INDEX(clima!$C:$C,$I82),"")</f>
        <v>230</v>
      </c>
      <c r="K82">
        <f>IFERROR(INDEX(clima!$F:$F,$I82),"")</f>
        <v>10</v>
      </c>
      <c r="L82">
        <f>IFERROR(INDEX(clima!$J:$J,$I82),"")</f>
        <v>10.874220994365105</v>
      </c>
      <c r="M82">
        <f t="shared" si="16"/>
        <v>10</v>
      </c>
      <c r="N82">
        <f t="shared" si="25"/>
        <v>677.4000000000002</v>
      </c>
      <c r="O82">
        <f t="shared" si="17"/>
        <v>10</v>
      </c>
      <c r="P82">
        <f t="shared" si="26"/>
        <v>538.20000000000005</v>
      </c>
      <c r="Q82">
        <f t="shared" si="18"/>
        <v>2.921213390926638</v>
      </c>
      <c r="R82">
        <f t="shared" si="27"/>
        <v>96.166796625493319</v>
      </c>
      <c r="S82">
        <f t="shared" si="19"/>
        <v>0</v>
      </c>
      <c r="T82">
        <f t="shared" si="28"/>
        <v>0</v>
      </c>
      <c r="U82">
        <f t="shared" si="20"/>
        <v>10</v>
      </c>
      <c r="V82">
        <f t="shared" si="29"/>
        <v>538.20000000000005</v>
      </c>
      <c r="W82">
        <f t="shared" si="21"/>
        <v>80</v>
      </c>
      <c r="X82">
        <f t="shared" si="22"/>
        <v>0.89966000000000013</v>
      </c>
      <c r="Y82">
        <f t="shared" si="23"/>
        <v>0.47327142857142868</v>
      </c>
    </row>
    <row r="83" spans="8:25" x14ac:dyDescent="0.2">
      <c r="H83">
        <f t="shared" si="24"/>
        <v>81</v>
      </c>
      <c r="I83">
        <f t="shared" si="15"/>
        <v>232</v>
      </c>
      <c r="J83">
        <f>IFERROR(INDEX(clima!$C:$C,$I83),"")</f>
        <v>231</v>
      </c>
      <c r="K83">
        <f>IFERROR(INDEX(clima!$F:$F,$I83),"")</f>
        <v>8.3000000000000007</v>
      </c>
      <c r="L83">
        <f>IFERROR(INDEX(clima!$J:$J,$I83),"")</f>
        <v>10.905374650677444</v>
      </c>
      <c r="M83">
        <f t="shared" si="16"/>
        <v>8.3000000000000007</v>
      </c>
      <c r="N83">
        <f t="shared" si="25"/>
        <v>685.70000000000016</v>
      </c>
      <c r="O83">
        <f t="shared" si="17"/>
        <v>8.3000000000000007</v>
      </c>
      <c r="P83">
        <f t="shared" si="26"/>
        <v>546.5</v>
      </c>
      <c r="Q83">
        <f t="shared" si="18"/>
        <v>2.4646535672476735</v>
      </c>
      <c r="R83">
        <f t="shared" si="27"/>
        <v>98.631450192740999</v>
      </c>
      <c r="S83">
        <f t="shared" si="19"/>
        <v>0</v>
      </c>
      <c r="T83">
        <f t="shared" si="28"/>
        <v>0</v>
      </c>
      <c r="U83">
        <f t="shared" si="20"/>
        <v>8.3000000000000007</v>
      </c>
      <c r="V83">
        <f t="shared" si="29"/>
        <v>546.5</v>
      </c>
      <c r="W83">
        <f t="shared" si="21"/>
        <v>81</v>
      </c>
      <c r="X83">
        <f t="shared" si="22"/>
        <v>0.91044999999999998</v>
      </c>
      <c r="Y83">
        <f t="shared" si="23"/>
        <v>0.48453571428571429</v>
      </c>
    </row>
    <row r="84" spans="8:25" x14ac:dyDescent="0.2">
      <c r="H84">
        <f t="shared" si="24"/>
        <v>82</v>
      </c>
      <c r="I84">
        <f t="shared" si="15"/>
        <v>233</v>
      </c>
      <c r="J84">
        <f>IFERROR(INDEX(clima!$C:$C,$I84),"")</f>
        <v>232</v>
      </c>
      <c r="K84">
        <f>IFERROR(INDEX(clima!$F:$F,$I84),"")</f>
        <v>6.5</v>
      </c>
      <c r="L84">
        <f>IFERROR(INDEX(clima!$J:$J,$I84),"")</f>
        <v>10.936764533443215</v>
      </c>
      <c r="M84">
        <f t="shared" si="16"/>
        <v>6.5</v>
      </c>
      <c r="N84">
        <f t="shared" si="25"/>
        <v>692.20000000000016</v>
      </c>
      <c r="O84">
        <f t="shared" si="17"/>
        <v>6.5</v>
      </c>
      <c r="P84">
        <f t="shared" si="26"/>
        <v>553</v>
      </c>
      <c r="Q84">
        <f t="shared" si="18"/>
        <v>1.9616413989955332</v>
      </c>
      <c r="R84">
        <f t="shared" si="27"/>
        <v>100.59309159173654</v>
      </c>
      <c r="S84">
        <f t="shared" si="19"/>
        <v>0</v>
      </c>
      <c r="T84">
        <f t="shared" si="28"/>
        <v>0</v>
      </c>
      <c r="U84">
        <f t="shared" si="20"/>
        <v>6.5</v>
      </c>
      <c r="V84">
        <f t="shared" si="29"/>
        <v>553</v>
      </c>
      <c r="W84">
        <f t="shared" si="21"/>
        <v>82</v>
      </c>
      <c r="X84">
        <f t="shared" si="22"/>
        <v>0.91890000000000005</v>
      </c>
      <c r="Y84">
        <f t="shared" si="23"/>
        <v>0.49335714285714294</v>
      </c>
    </row>
    <row r="85" spans="8:25" x14ac:dyDescent="0.2">
      <c r="H85">
        <f t="shared" si="24"/>
        <v>83</v>
      </c>
      <c r="I85">
        <f t="shared" si="15"/>
        <v>234</v>
      </c>
      <c r="J85">
        <f>IFERROR(INDEX(clima!$C:$C,$I85),"")</f>
        <v>233</v>
      </c>
      <c r="K85">
        <f>IFERROR(INDEX(clima!$F:$F,$I85),"")</f>
        <v>11.9</v>
      </c>
      <c r="L85">
        <f>IFERROR(INDEX(clima!$J:$J,$I85),"")</f>
        <v>10.968381447585854</v>
      </c>
      <c r="M85">
        <f t="shared" si="16"/>
        <v>11.9</v>
      </c>
      <c r="N85">
        <f t="shared" si="25"/>
        <v>704.10000000000014</v>
      </c>
      <c r="O85">
        <f t="shared" si="17"/>
        <v>11.9</v>
      </c>
      <c r="P85">
        <f t="shared" si="26"/>
        <v>564.9</v>
      </c>
      <c r="Q85">
        <f t="shared" si="18"/>
        <v>3.6491809786411014</v>
      </c>
      <c r="R85">
        <f t="shared" si="27"/>
        <v>104.24227257037764</v>
      </c>
      <c r="S85">
        <f t="shared" si="19"/>
        <v>0</v>
      </c>
      <c r="T85">
        <f t="shared" si="28"/>
        <v>0</v>
      </c>
      <c r="U85">
        <f t="shared" si="20"/>
        <v>11.9</v>
      </c>
      <c r="V85">
        <f t="shared" si="29"/>
        <v>564.9</v>
      </c>
      <c r="W85">
        <f t="shared" si="21"/>
        <v>83</v>
      </c>
      <c r="X85">
        <f t="shared" si="22"/>
        <v>0.93436999999999992</v>
      </c>
      <c r="Y85">
        <f t="shared" si="23"/>
        <v>0.50950714285714283</v>
      </c>
    </row>
    <row r="86" spans="8:25" x14ac:dyDescent="0.2">
      <c r="H86">
        <f t="shared" si="24"/>
        <v>84</v>
      </c>
      <c r="I86">
        <f t="shared" si="15"/>
        <v>235</v>
      </c>
      <c r="J86">
        <f>IFERROR(INDEX(clima!$C:$C,$I86),"")</f>
        <v>234</v>
      </c>
      <c r="K86">
        <f>IFERROR(INDEX(clima!$F:$F,$I86),"")</f>
        <v>13</v>
      </c>
      <c r="L86">
        <f>IFERROR(INDEX(clima!$J:$J,$I86),"")</f>
        <v>11.000216350259754</v>
      </c>
      <c r="M86">
        <f t="shared" si="16"/>
        <v>13</v>
      </c>
      <c r="N86">
        <f t="shared" si="25"/>
        <v>717.10000000000014</v>
      </c>
      <c r="O86">
        <f t="shared" si="17"/>
        <v>13</v>
      </c>
      <c r="P86">
        <f t="shared" si="26"/>
        <v>577.9</v>
      </c>
      <c r="Q86">
        <f t="shared" si="18"/>
        <v>4.0499303154944277</v>
      </c>
      <c r="R86">
        <f t="shared" si="27"/>
        <v>108.29220288587206</v>
      </c>
      <c r="S86">
        <f t="shared" si="19"/>
        <v>0</v>
      </c>
      <c r="T86">
        <f t="shared" si="28"/>
        <v>0</v>
      </c>
      <c r="U86">
        <f t="shared" si="20"/>
        <v>13</v>
      </c>
      <c r="V86">
        <f t="shared" si="29"/>
        <v>577.9</v>
      </c>
      <c r="W86">
        <f t="shared" si="21"/>
        <v>84</v>
      </c>
      <c r="X86">
        <f t="shared" si="22"/>
        <v>0.95127000000000006</v>
      </c>
      <c r="Y86">
        <f t="shared" si="23"/>
        <v>0.52715000000000001</v>
      </c>
    </row>
    <row r="87" spans="8:25" x14ac:dyDescent="0.2">
      <c r="H87">
        <f t="shared" si="24"/>
        <v>85</v>
      </c>
      <c r="I87">
        <f t="shared" si="15"/>
        <v>236</v>
      </c>
      <c r="J87">
        <f>IFERROR(INDEX(clima!$C:$C,$I87),"")</f>
        <v>235</v>
      </c>
      <c r="K87">
        <f>IFERROR(INDEX(clima!$F:$F,$I87),"")</f>
        <v>16.3</v>
      </c>
      <c r="L87">
        <f>IFERROR(INDEX(clima!$J:$J,$I87),"")</f>
        <v>11.032260350699771</v>
      </c>
      <c r="M87">
        <f t="shared" si="16"/>
        <v>16.3</v>
      </c>
      <c r="N87">
        <f t="shared" si="25"/>
        <v>733.40000000000009</v>
      </c>
      <c r="O87">
        <f t="shared" si="17"/>
        <v>16.3</v>
      </c>
      <c r="P87">
        <f t="shared" si="26"/>
        <v>594.19999999999993</v>
      </c>
      <c r="Q87">
        <f t="shared" si="18"/>
        <v>5.1577598954371693</v>
      </c>
      <c r="R87">
        <f t="shared" si="27"/>
        <v>113.44996278130922</v>
      </c>
      <c r="S87">
        <f t="shared" si="19"/>
        <v>0</v>
      </c>
      <c r="T87">
        <f t="shared" si="28"/>
        <v>0</v>
      </c>
      <c r="U87">
        <f t="shared" si="20"/>
        <v>16.3</v>
      </c>
      <c r="V87">
        <f t="shared" si="29"/>
        <v>594.19999999999993</v>
      </c>
      <c r="W87">
        <f t="shared" si="21"/>
        <v>85</v>
      </c>
      <c r="X87">
        <f t="shared" si="22"/>
        <v>0.97245999999999988</v>
      </c>
      <c r="Y87">
        <f t="shared" si="23"/>
        <v>0.54927142857142852</v>
      </c>
    </row>
    <row r="88" spans="8:25" x14ac:dyDescent="0.2">
      <c r="H88">
        <f t="shared" si="24"/>
        <v>86</v>
      </c>
      <c r="I88">
        <f t="shared" si="15"/>
        <v>237</v>
      </c>
      <c r="J88">
        <f>IFERROR(INDEX(clima!$C:$C,$I88),"")</f>
        <v>236</v>
      </c>
      <c r="K88">
        <f>IFERROR(INDEX(clima!$F:$F,$I88),"")</f>
        <v>19.2</v>
      </c>
      <c r="L88">
        <f>IFERROR(INDEX(clima!$J:$J,$I88),"")</f>
        <v>11.064504709584496</v>
      </c>
      <c r="M88">
        <f t="shared" si="16"/>
        <v>19.2</v>
      </c>
      <c r="N88">
        <f t="shared" si="25"/>
        <v>752.60000000000014</v>
      </c>
      <c r="O88">
        <f t="shared" si="17"/>
        <v>19.2</v>
      </c>
      <c r="P88">
        <f t="shared" si="26"/>
        <v>613.4</v>
      </c>
      <c r="Q88">
        <f t="shared" si="18"/>
        <v>6.1696099829218518</v>
      </c>
      <c r="R88">
        <f t="shared" si="27"/>
        <v>119.61957276423108</v>
      </c>
      <c r="S88">
        <f t="shared" si="19"/>
        <v>0</v>
      </c>
      <c r="T88">
        <f t="shared" si="28"/>
        <v>0</v>
      </c>
      <c r="U88">
        <f t="shared" si="20"/>
        <v>19.2</v>
      </c>
      <c r="V88">
        <f t="shared" si="29"/>
        <v>613.4</v>
      </c>
      <c r="W88">
        <f t="shared" si="21"/>
        <v>86</v>
      </c>
      <c r="X88">
        <f t="shared" si="22"/>
        <v>0.99741999999999997</v>
      </c>
      <c r="Y88">
        <f t="shared" si="23"/>
        <v>0.57532857142857141</v>
      </c>
    </row>
    <row r="89" spans="8:25" x14ac:dyDescent="0.2">
      <c r="H89">
        <f t="shared" si="24"/>
        <v>87</v>
      </c>
      <c r="I89">
        <f t="shared" si="15"/>
        <v>238</v>
      </c>
      <c r="J89">
        <f>IFERROR(INDEX(clima!$C:$C,$I89),"")</f>
        <v>237</v>
      </c>
      <c r="K89">
        <f>IFERROR(INDEX(clima!$F:$F,$I89),"")</f>
        <v>18.5</v>
      </c>
      <c r="L89">
        <f>IFERROR(INDEX(clima!$J:$J,$I89),"")</f>
        <v>11.096940837932605</v>
      </c>
      <c r="M89">
        <f t="shared" si="16"/>
        <v>18.5</v>
      </c>
      <c r="N89">
        <f t="shared" si="25"/>
        <v>771.10000000000014</v>
      </c>
      <c r="O89">
        <f t="shared" si="17"/>
        <v>18.5</v>
      </c>
      <c r="P89">
        <f t="shared" si="26"/>
        <v>631.9</v>
      </c>
      <c r="Q89">
        <f t="shared" si="18"/>
        <v>6.0356632807954487</v>
      </c>
      <c r="R89">
        <f t="shared" si="27"/>
        <v>125.65523604502653</v>
      </c>
      <c r="S89">
        <f t="shared" si="19"/>
        <v>0</v>
      </c>
      <c r="T89">
        <f t="shared" si="28"/>
        <v>0</v>
      </c>
      <c r="U89">
        <f t="shared" si="20"/>
        <v>18.5</v>
      </c>
      <c r="V89">
        <f t="shared" si="29"/>
        <v>631.9</v>
      </c>
      <c r="W89">
        <f t="shared" si="21"/>
        <v>87</v>
      </c>
      <c r="X89">
        <f t="shared" si="22"/>
        <v>1.0214700000000001</v>
      </c>
      <c r="Y89">
        <f t="shared" si="23"/>
        <v>0.60043571428571429</v>
      </c>
    </row>
    <row r="90" spans="8:25" x14ac:dyDescent="0.2">
      <c r="H90">
        <f t="shared" si="24"/>
        <v>88</v>
      </c>
      <c r="I90">
        <f t="shared" si="15"/>
        <v>239</v>
      </c>
      <c r="J90">
        <f>IFERROR(INDEX(clima!$C:$C,$I90),"")</f>
        <v>238</v>
      </c>
      <c r="K90">
        <f>IFERROR(INDEX(clima!$F:$F,$I90),"")</f>
        <v>14.4</v>
      </c>
      <c r="L90">
        <f>IFERROR(INDEX(clima!$J:$J,$I90),"")</f>
        <v>11.129560295551835</v>
      </c>
      <c r="M90">
        <f t="shared" si="16"/>
        <v>14.4</v>
      </c>
      <c r="N90">
        <f t="shared" si="25"/>
        <v>785.50000000000011</v>
      </c>
      <c r="O90">
        <f t="shared" si="17"/>
        <v>14.4</v>
      </c>
      <c r="P90">
        <f t="shared" si="26"/>
        <v>646.29999999999995</v>
      </c>
      <c r="Q90">
        <f t="shared" si="18"/>
        <v>4.768992652649346</v>
      </c>
      <c r="R90">
        <f t="shared" si="27"/>
        <v>130.42422869767589</v>
      </c>
      <c r="S90">
        <f t="shared" si="19"/>
        <v>0</v>
      </c>
      <c r="T90">
        <f t="shared" si="28"/>
        <v>0</v>
      </c>
      <c r="U90">
        <f t="shared" si="20"/>
        <v>14.4</v>
      </c>
      <c r="V90">
        <f t="shared" si="29"/>
        <v>646.29999999999995</v>
      </c>
      <c r="W90">
        <f t="shared" si="21"/>
        <v>88</v>
      </c>
      <c r="X90">
        <f t="shared" si="22"/>
        <v>1.0401899999999999</v>
      </c>
      <c r="Y90">
        <f t="shared" si="23"/>
        <v>0.61997857142857138</v>
      </c>
    </row>
    <row r="91" spans="8:25" x14ac:dyDescent="0.2">
      <c r="H91">
        <f t="shared" si="24"/>
        <v>89</v>
      </c>
      <c r="I91">
        <f t="shared" si="15"/>
        <v>240</v>
      </c>
      <c r="J91">
        <f>IFERROR(INDEX(clima!$C:$C,$I91),"")</f>
        <v>239</v>
      </c>
      <c r="K91">
        <f>IFERROR(INDEX(clima!$F:$F,$I91),"")</f>
        <v>15.9</v>
      </c>
      <c r="L91">
        <f>IFERROR(INDEX(clima!$J:$J,$I91),"")</f>
        <v>11.162354789060091</v>
      </c>
      <c r="M91">
        <f t="shared" si="16"/>
        <v>15.9</v>
      </c>
      <c r="N91">
        <f t="shared" si="25"/>
        <v>801.40000000000009</v>
      </c>
      <c r="O91">
        <f t="shared" si="17"/>
        <v>15.9</v>
      </c>
      <c r="P91">
        <f t="shared" si="26"/>
        <v>662.19999999999993</v>
      </c>
      <c r="Q91">
        <f t="shared" si="18"/>
        <v>5.3442480660182028</v>
      </c>
      <c r="R91">
        <f t="shared" si="27"/>
        <v>135.76847676369408</v>
      </c>
      <c r="S91">
        <f t="shared" si="19"/>
        <v>0</v>
      </c>
      <c r="T91">
        <f t="shared" si="28"/>
        <v>0</v>
      </c>
      <c r="U91">
        <f t="shared" si="20"/>
        <v>15.9</v>
      </c>
      <c r="V91">
        <f t="shared" si="29"/>
        <v>662.19999999999993</v>
      </c>
      <c r="W91">
        <f t="shared" si="21"/>
        <v>89</v>
      </c>
      <c r="X91">
        <f t="shared" si="22"/>
        <v>1.0608599999999999</v>
      </c>
      <c r="Y91">
        <f t="shared" si="23"/>
        <v>0.64155714285714283</v>
      </c>
    </row>
    <row r="92" spans="8:25" x14ac:dyDescent="0.2">
      <c r="H92">
        <f t="shared" si="24"/>
        <v>90</v>
      </c>
      <c r="I92">
        <f t="shared" si="15"/>
        <v>241</v>
      </c>
      <c r="J92">
        <f>IFERROR(INDEX(clima!$C:$C,$I92),"")</f>
        <v>240</v>
      </c>
      <c r="K92">
        <f>IFERROR(INDEX(clima!$F:$F,$I92),"")</f>
        <v>16.8</v>
      </c>
      <c r="L92">
        <f>IFERROR(INDEX(clima!$J:$J,$I92),"")</f>
        <v>11.195316169498218</v>
      </c>
      <c r="M92">
        <f t="shared" si="16"/>
        <v>16.8</v>
      </c>
      <c r="N92">
        <f t="shared" si="25"/>
        <v>818.2</v>
      </c>
      <c r="O92">
        <f t="shared" si="17"/>
        <v>16.8</v>
      </c>
      <c r="P92">
        <f t="shared" si="26"/>
        <v>678.99999999999989</v>
      </c>
      <c r="Q92">
        <f t="shared" si="18"/>
        <v>5.7297930896917855</v>
      </c>
      <c r="R92">
        <f t="shared" si="27"/>
        <v>141.49826985338586</v>
      </c>
      <c r="S92">
        <f t="shared" si="19"/>
        <v>0</v>
      </c>
      <c r="T92">
        <f t="shared" si="28"/>
        <v>0</v>
      </c>
      <c r="U92">
        <f t="shared" si="20"/>
        <v>16.8</v>
      </c>
      <c r="V92">
        <f t="shared" si="29"/>
        <v>678.99999999999989</v>
      </c>
      <c r="W92">
        <f t="shared" si="21"/>
        <v>90</v>
      </c>
      <c r="X92">
        <f t="shared" si="22"/>
        <v>1.0826999999999998</v>
      </c>
      <c r="Y92">
        <f t="shared" si="23"/>
        <v>0.66435714285714276</v>
      </c>
    </row>
    <row r="93" spans="8:25" x14ac:dyDescent="0.2">
      <c r="H93">
        <f t="shared" si="24"/>
        <v>91</v>
      </c>
      <c r="I93">
        <f t="shared" si="15"/>
        <v>242</v>
      </c>
      <c r="J93">
        <f>IFERROR(INDEX(clima!$C:$C,$I93),"")</f>
        <v>241</v>
      </c>
      <c r="K93">
        <f>IFERROR(INDEX(clima!$F:$F,$I93),"")</f>
        <v>13.2</v>
      </c>
      <c r="L93">
        <f>IFERROR(INDEX(clima!$J:$J,$I93),"")</f>
        <v>11.228436429553831</v>
      </c>
      <c r="M93">
        <f t="shared" si="16"/>
        <v>13.2</v>
      </c>
      <c r="N93">
        <f t="shared" si="25"/>
        <v>831.40000000000009</v>
      </c>
      <c r="O93">
        <f t="shared" si="17"/>
        <v>13.2</v>
      </c>
      <c r="P93">
        <f t="shared" si="26"/>
        <v>692.19999999999993</v>
      </c>
      <c r="Q93">
        <f t="shared" si="18"/>
        <v>4.5672952578235488</v>
      </c>
      <c r="R93">
        <f t="shared" si="27"/>
        <v>146.06556511120942</v>
      </c>
      <c r="S93">
        <f t="shared" si="19"/>
        <v>0</v>
      </c>
      <c r="T93">
        <f t="shared" si="28"/>
        <v>0</v>
      </c>
      <c r="U93">
        <f t="shared" si="20"/>
        <v>13.2</v>
      </c>
      <c r="V93">
        <f t="shared" si="29"/>
        <v>692.19999999999993</v>
      </c>
      <c r="W93">
        <f t="shared" si="21"/>
        <v>91</v>
      </c>
      <c r="X93">
        <f t="shared" si="22"/>
        <v>1.0998599999999998</v>
      </c>
      <c r="Y93">
        <f t="shared" si="23"/>
        <v>0.68227142857142853</v>
      </c>
    </row>
    <row r="94" spans="8:25" x14ac:dyDescent="0.2">
      <c r="H94">
        <f t="shared" si="24"/>
        <v>92</v>
      </c>
      <c r="I94">
        <f t="shared" si="15"/>
        <v>243</v>
      </c>
      <c r="J94">
        <f>IFERROR(INDEX(clima!$C:$C,$I94),"")</f>
        <v>242</v>
      </c>
      <c r="K94">
        <f>IFERROR(INDEX(clima!$F:$F,$I94),"")</f>
        <v>9.6999999999999993</v>
      </c>
      <c r="L94">
        <f>IFERROR(INDEX(clima!$J:$J,$I94),"")</f>
        <v>11.261707700415455</v>
      </c>
      <c r="M94">
        <f t="shared" si="16"/>
        <v>9.6999999999999993</v>
      </c>
      <c r="N94">
        <f t="shared" si="25"/>
        <v>841.10000000000014</v>
      </c>
      <c r="O94">
        <f t="shared" si="17"/>
        <v>9.6999999999999993</v>
      </c>
      <c r="P94">
        <f t="shared" si="26"/>
        <v>701.9</v>
      </c>
      <c r="Q94">
        <f t="shared" si="18"/>
        <v>3.4043033217949175</v>
      </c>
      <c r="R94">
        <f t="shared" si="27"/>
        <v>149.46986843300434</v>
      </c>
      <c r="S94">
        <f t="shared" si="19"/>
        <v>0</v>
      </c>
      <c r="T94">
        <f t="shared" si="28"/>
        <v>0</v>
      </c>
      <c r="U94">
        <f t="shared" si="20"/>
        <v>9.6999999999999993</v>
      </c>
      <c r="V94">
        <f t="shared" si="29"/>
        <v>701.9</v>
      </c>
      <c r="W94">
        <f t="shared" si="21"/>
        <v>92</v>
      </c>
      <c r="X94">
        <f t="shared" si="22"/>
        <v>1.1124700000000001</v>
      </c>
      <c r="Y94">
        <f t="shared" si="23"/>
        <v>0.69543571428571427</v>
      </c>
    </row>
    <row r="95" spans="8:25" x14ac:dyDescent="0.2">
      <c r="H95">
        <f t="shared" si="24"/>
        <v>93</v>
      </c>
      <c r="I95">
        <f t="shared" si="15"/>
        <v>244</v>
      </c>
      <c r="J95">
        <f>IFERROR(INDEX(clima!$C:$C,$I95),"")</f>
        <v>243</v>
      </c>
      <c r="K95">
        <f>IFERROR(INDEX(clima!$F:$F,$I95),"")</f>
        <v>9.6</v>
      </c>
      <c r="L95">
        <f>IFERROR(INDEX(clima!$J:$J,$I95),"")</f>
        <v>11.295122248276023</v>
      </c>
      <c r="M95">
        <f t="shared" si="16"/>
        <v>9.6</v>
      </c>
      <c r="N95">
        <f t="shared" si="25"/>
        <v>850.70000000000016</v>
      </c>
      <c r="O95">
        <f t="shared" si="17"/>
        <v>9.6</v>
      </c>
      <c r="P95">
        <f t="shared" si="26"/>
        <v>711.5</v>
      </c>
      <c r="Q95">
        <f t="shared" si="18"/>
        <v>3.4167684315273381</v>
      </c>
      <c r="R95">
        <f t="shared" si="27"/>
        <v>152.88663686453168</v>
      </c>
      <c r="S95">
        <f t="shared" si="19"/>
        <v>0</v>
      </c>
      <c r="T95">
        <f t="shared" si="28"/>
        <v>0</v>
      </c>
      <c r="U95">
        <f t="shared" si="20"/>
        <v>9.6</v>
      </c>
      <c r="V95">
        <f t="shared" si="29"/>
        <v>711.5</v>
      </c>
      <c r="W95">
        <f t="shared" si="21"/>
        <v>93</v>
      </c>
      <c r="X95">
        <f t="shared" si="22"/>
        <v>1.1249500000000001</v>
      </c>
      <c r="Y95">
        <f t="shared" si="23"/>
        <v>0.70846428571428577</v>
      </c>
    </row>
    <row r="96" spans="8:25" x14ac:dyDescent="0.2">
      <c r="H96">
        <f t="shared" si="24"/>
        <v>94</v>
      </c>
      <c r="I96">
        <f t="shared" si="15"/>
        <v>245</v>
      </c>
      <c r="J96">
        <f>IFERROR(INDEX(clima!$C:$C,$I96),"")</f>
        <v>244</v>
      </c>
      <c r="K96">
        <f>IFERROR(INDEX(clima!$F:$F,$I96),"")</f>
        <v>9.3000000000000007</v>
      </c>
      <c r="L96">
        <f>IFERROR(INDEX(clima!$J:$J,$I96),"")</f>
        <v>11.328672470504486</v>
      </c>
      <c r="M96">
        <f t="shared" si="16"/>
        <v>9.3000000000000007</v>
      </c>
      <c r="N96">
        <f t="shared" si="25"/>
        <v>860.00000000000011</v>
      </c>
      <c r="O96">
        <f t="shared" si="17"/>
        <v>9.3000000000000007</v>
      </c>
      <c r="P96">
        <f t="shared" si="26"/>
        <v>720.8</v>
      </c>
      <c r="Q96">
        <f t="shared" si="18"/>
        <v>3.3560786351646561</v>
      </c>
      <c r="R96">
        <f t="shared" si="27"/>
        <v>156.24271549969635</v>
      </c>
      <c r="S96">
        <f t="shared" si="19"/>
        <v>0</v>
      </c>
      <c r="T96">
        <f t="shared" si="28"/>
        <v>0</v>
      </c>
      <c r="U96">
        <f t="shared" si="20"/>
        <v>9.3000000000000007</v>
      </c>
      <c r="V96">
        <f t="shared" si="29"/>
        <v>720.8</v>
      </c>
      <c r="W96">
        <f t="shared" si="21"/>
        <v>94</v>
      </c>
      <c r="X96">
        <f t="shared" si="22"/>
        <v>1.1370400000000001</v>
      </c>
      <c r="Y96">
        <f t="shared" si="23"/>
        <v>0.72108571428571433</v>
      </c>
    </row>
    <row r="97" spans="8:25" x14ac:dyDescent="0.2">
      <c r="H97">
        <f t="shared" si="24"/>
        <v>95</v>
      </c>
      <c r="I97">
        <f t="shared" si="15"/>
        <v>246</v>
      </c>
      <c r="J97">
        <f>IFERROR(INDEX(clima!$C:$C,$I97),"")</f>
        <v>245</v>
      </c>
      <c r="K97">
        <f>IFERROR(INDEX(clima!$F:$F,$I97),"")</f>
        <v>11.9</v>
      </c>
      <c r="L97">
        <f>IFERROR(INDEX(clima!$J:$J,$I97),"")</f>
        <v>11.362350891504025</v>
      </c>
      <c r="M97">
        <f t="shared" si="16"/>
        <v>11.9</v>
      </c>
      <c r="N97">
        <f t="shared" si="25"/>
        <v>871.90000000000009</v>
      </c>
      <c r="O97">
        <f t="shared" si="17"/>
        <v>11.9</v>
      </c>
      <c r="P97">
        <f t="shared" si="26"/>
        <v>732.69999999999993</v>
      </c>
      <c r="Q97">
        <f t="shared" si="18"/>
        <v>4.3533014584101428</v>
      </c>
      <c r="R97">
        <f t="shared" si="27"/>
        <v>160.59601695810647</v>
      </c>
      <c r="S97">
        <f t="shared" si="19"/>
        <v>0</v>
      </c>
      <c r="T97">
        <f t="shared" si="28"/>
        <v>0</v>
      </c>
      <c r="U97">
        <f t="shared" si="20"/>
        <v>11.9</v>
      </c>
      <c r="V97">
        <f t="shared" si="29"/>
        <v>732.69999999999993</v>
      </c>
      <c r="W97">
        <f t="shared" si="21"/>
        <v>95</v>
      </c>
      <c r="X97">
        <f t="shared" si="22"/>
        <v>1.1525099999999999</v>
      </c>
      <c r="Y97">
        <f t="shared" si="23"/>
        <v>0.73723571428571422</v>
      </c>
    </row>
    <row r="98" spans="8:25" x14ac:dyDescent="0.2">
      <c r="H98">
        <f t="shared" si="24"/>
        <v>96</v>
      </c>
      <c r="I98">
        <f t="shared" si="15"/>
        <v>247</v>
      </c>
      <c r="J98">
        <f>IFERROR(INDEX(clima!$C:$C,$I98),"")</f>
        <v>246</v>
      </c>
      <c r="K98">
        <f>IFERROR(INDEX(clima!$F:$F,$I98),"")</f>
        <v>12.4</v>
      </c>
      <c r="L98">
        <f>IFERROR(INDEX(clima!$J:$J,$I98),"")</f>
        <v>11.396150158275013</v>
      </c>
      <c r="M98">
        <f t="shared" si="16"/>
        <v>12.4</v>
      </c>
      <c r="N98">
        <f t="shared" si="25"/>
        <v>884.30000000000007</v>
      </c>
      <c r="O98">
        <f t="shared" si="17"/>
        <v>12.4</v>
      </c>
      <c r="P98">
        <f t="shared" si="26"/>
        <v>745.09999999999991</v>
      </c>
      <c r="Q98">
        <f t="shared" si="18"/>
        <v>4.5976351367705544</v>
      </c>
      <c r="R98">
        <f t="shared" si="27"/>
        <v>165.19365209487702</v>
      </c>
      <c r="S98">
        <f t="shared" si="19"/>
        <v>0</v>
      </c>
      <c r="T98">
        <f t="shared" si="28"/>
        <v>0</v>
      </c>
      <c r="U98">
        <f t="shared" si="20"/>
        <v>12.4</v>
      </c>
      <c r="V98">
        <f t="shared" si="29"/>
        <v>745.09999999999991</v>
      </c>
      <c r="W98">
        <f t="shared" si="21"/>
        <v>96</v>
      </c>
      <c r="X98">
        <f t="shared" si="22"/>
        <v>1.1686299999999998</v>
      </c>
      <c r="Y98">
        <f t="shared" si="23"/>
        <v>0.75406428571428574</v>
      </c>
    </row>
    <row r="99" spans="8:25" x14ac:dyDescent="0.2">
      <c r="H99">
        <f t="shared" si="24"/>
        <v>97</v>
      </c>
      <c r="I99">
        <f t="shared" si="15"/>
        <v>248</v>
      </c>
      <c r="J99">
        <f>IFERROR(INDEX(clima!$C:$C,$I99),"")</f>
        <v>247</v>
      </c>
      <c r="K99">
        <f>IFERROR(INDEX(clima!$F:$F,$I99),"")</f>
        <v>15.4</v>
      </c>
      <c r="L99">
        <f>IFERROR(INDEX(clima!$J:$J,$I99),"")</f>
        <v>11.430063035700471</v>
      </c>
      <c r="M99">
        <f t="shared" si="16"/>
        <v>15.4</v>
      </c>
      <c r="N99">
        <f t="shared" si="25"/>
        <v>899.7</v>
      </c>
      <c r="O99">
        <f t="shared" si="17"/>
        <v>15.4</v>
      </c>
      <c r="P99">
        <f t="shared" si="26"/>
        <v>760.49999999999989</v>
      </c>
      <c r="Q99">
        <f t="shared" si="18"/>
        <v>5.7862040180163739</v>
      </c>
      <c r="R99">
        <f t="shared" si="27"/>
        <v>170.9798561128934</v>
      </c>
      <c r="S99">
        <f t="shared" si="19"/>
        <v>0</v>
      </c>
      <c r="T99">
        <f t="shared" si="28"/>
        <v>0</v>
      </c>
      <c r="U99">
        <f t="shared" si="20"/>
        <v>15.4</v>
      </c>
      <c r="V99">
        <f t="shared" si="29"/>
        <v>760.49999999999989</v>
      </c>
      <c r="W99">
        <f t="shared" si="21"/>
        <v>97</v>
      </c>
      <c r="X99">
        <f t="shared" si="22"/>
        <v>1.18865</v>
      </c>
      <c r="Y99">
        <f t="shared" si="23"/>
        <v>0.77496428571428566</v>
      </c>
    </row>
    <row r="100" spans="8:25" x14ac:dyDescent="0.2">
      <c r="H100">
        <f t="shared" si="24"/>
        <v>98</v>
      </c>
      <c r="I100">
        <f t="shared" si="15"/>
        <v>249</v>
      </c>
      <c r="J100">
        <f>IFERROR(INDEX(clima!$C:$C,$I100),"")</f>
        <v>248</v>
      </c>
      <c r="K100">
        <f>IFERROR(INDEX(clima!$F:$F,$I100),"")</f>
        <v>14.7</v>
      </c>
      <c r="L100">
        <f>IFERROR(INDEX(clima!$J:$J,$I100),"")</f>
        <v>11.464082401571487</v>
      </c>
      <c r="M100">
        <f t="shared" si="16"/>
        <v>14.7</v>
      </c>
      <c r="N100">
        <f t="shared" si="25"/>
        <v>914.40000000000009</v>
      </c>
      <c r="O100">
        <f t="shared" si="17"/>
        <v>14.7</v>
      </c>
      <c r="P100">
        <f t="shared" si="26"/>
        <v>775.19999999999993</v>
      </c>
      <c r="Q100">
        <f t="shared" si="18"/>
        <v>5.5959069385671576</v>
      </c>
      <c r="R100">
        <f t="shared" si="27"/>
        <v>176.57576305146057</v>
      </c>
      <c r="S100">
        <f t="shared" si="19"/>
        <v>0</v>
      </c>
      <c r="T100">
        <f t="shared" si="28"/>
        <v>0</v>
      </c>
      <c r="U100">
        <f t="shared" si="20"/>
        <v>14.7</v>
      </c>
      <c r="V100">
        <f t="shared" si="29"/>
        <v>775.19999999999993</v>
      </c>
      <c r="W100">
        <f t="shared" si="21"/>
        <v>98</v>
      </c>
      <c r="X100">
        <f t="shared" si="22"/>
        <v>1.2077599999999999</v>
      </c>
      <c r="Y100">
        <f t="shared" si="23"/>
        <v>0.79491428571428568</v>
      </c>
    </row>
    <row r="101" spans="8:25" x14ac:dyDescent="0.2">
      <c r="H101">
        <f t="shared" si="24"/>
        <v>99</v>
      </c>
      <c r="I101">
        <f t="shared" si="15"/>
        <v>250</v>
      </c>
      <c r="J101">
        <f>IFERROR(INDEX(clima!$C:$C,$I101),"")</f>
        <v>249</v>
      </c>
      <c r="K101">
        <f>IFERROR(INDEX(clima!$F:$F,$I101),"")</f>
        <v>11.8</v>
      </c>
      <c r="L101">
        <f>IFERROR(INDEX(clima!$J:$J,$I101),"")</f>
        <v>11.498201241369538</v>
      </c>
      <c r="M101">
        <f t="shared" si="16"/>
        <v>11.8</v>
      </c>
      <c r="N101">
        <f t="shared" si="25"/>
        <v>926.2</v>
      </c>
      <c r="O101">
        <f t="shared" si="17"/>
        <v>11.8</v>
      </c>
      <c r="P101">
        <f t="shared" si="26"/>
        <v>786.99999999999989</v>
      </c>
      <c r="Q101">
        <f t="shared" si="18"/>
        <v>4.5502576121352778</v>
      </c>
      <c r="R101">
        <f t="shared" si="27"/>
        <v>181.12602066359585</v>
      </c>
      <c r="S101">
        <f t="shared" si="19"/>
        <v>0</v>
      </c>
      <c r="T101">
        <f t="shared" si="28"/>
        <v>0</v>
      </c>
      <c r="U101">
        <f t="shared" si="20"/>
        <v>11.8</v>
      </c>
      <c r="V101">
        <f t="shared" si="29"/>
        <v>786.99999999999989</v>
      </c>
      <c r="W101">
        <f t="shared" si="21"/>
        <v>99</v>
      </c>
      <c r="X101">
        <f t="shared" si="22"/>
        <v>1.2230999999999999</v>
      </c>
      <c r="Y101">
        <f t="shared" si="23"/>
        <v>0.81092857142857133</v>
      </c>
    </row>
    <row r="102" spans="8:25" x14ac:dyDescent="0.2">
      <c r="H102">
        <f t="shared" si="24"/>
        <v>100</v>
      </c>
      <c r="I102">
        <f t="shared" si="15"/>
        <v>251</v>
      </c>
      <c r="J102">
        <f>IFERROR(INDEX(clima!$C:$C,$I102),"")</f>
        <v>250</v>
      </c>
      <c r="K102">
        <f>IFERROR(INDEX(clima!$F:$F,$I102),"")</f>
        <v>6.7</v>
      </c>
      <c r="L102">
        <f>IFERROR(INDEX(clima!$J:$J,$I102),"")</f>
        <v>11.532412642822386</v>
      </c>
      <c r="M102">
        <f t="shared" si="16"/>
        <v>6.7</v>
      </c>
      <c r="N102">
        <f t="shared" si="25"/>
        <v>932.90000000000009</v>
      </c>
      <c r="O102">
        <f t="shared" si="17"/>
        <v>6.7</v>
      </c>
      <c r="P102">
        <f t="shared" si="26"/>
        <v>793.69999999999993</v>
      </c>
      <c r="Q102">
        <f t="shared" si="18"/>
        <v>2.6166829696508245</v>
      </c>
      <c r="R102">
        <f t="shared" si="27"/>
        <v>183.74270363324666</v>
      </c>
      <c r="S102">
        <f t="shared" si="19"/>
        <v>0</v>
      </c>
      <c r="T102">
        <f t="shared" si="28"/>
        <v>0</v>
      </c>
      <c r="U102">
        <f t="shared" si="20"/>
        <v>6.7</v>
      </c>
      <c r="V102">
        <f t="shared" si="29"/>
        <v>793.69999999999993</v>
      </c>
      <c r="W102">
        <f t="shared" si="21"/>
        <v>100</v>
      </c>
      <c r="X102">
        <f t="shared" si="22"/>
        <v>1.2318099999999998</v>
      </c>
      <c r="Y102">
        <f t="shared" si="23"/>
        <v>0.82002142857142857</v>
      </c>
    </row>
    <row r="103" spans="8:25" x14ac:dyDescent="0.2">
      <c r="H103">
        <f t="shared" si="24"/>
        <v>101</v>
      </c>
      <c r="I103">
        <f t="shared" si="15"/>
        <v>252</v>
      </c>
      <c r="J103">
        <f>IFERROR(INDEX(clima!$C:$C,$I103),"")</f>
        <v>251</v>
      </c>
      <c r="K103">
        <f>IFERROR(INDEX(clima!$F:$F,$I103),"")</f>
        <v>6.1</v>
      </c>
      <c r="L103">
        <f>IFERROR(INDEX(clima!$J:$J,$I103),"")</f>
        <v>11.566709790249709</v>
      </c>
      <c r="M103">
        <f t="shared" si="16"/>
        <v>6.1</v>
      </c>
      <c r="N103">
        <f t="shared" si="25"/>
        <v>939.00000000000011</v>
      </c>
      <c r="O103">
        <f t="shared" si="17"/>
        <v>6.1</v>
      </c>
      <c r="P103">
        <f t="shared" si="26"/>
        <v>799.8</v>
      </c>
      <c r="Q103">
        <f t="shared" si="18"/>
        <v>2.412408101947034</v>
      </c>
      <c r="R103">
        <f t="shared" si="27"/>
        <v>186.15511173519369</v>
      </c>
      <c r="S103">
        <f t="shared" si="19"/>
        <v>0</v>
      </c>
      <c r="T103">
        <f t="shared" si="28"/>
        <v>0</v>
      </c>
      <c r="U103">
        <f t="shared" si="20"/>
        <v>6.1</v>
      </c>
      <c r="V103">
        <f t="shared" si="29"/>
        <v>799.8</v>
      </c>
      <c r="W103">
        <f t="shared" si="21"/>
        <v>101</v>
      </c>
      <c r="X103">
        <f t="shared" si="22"/>
        <v>1.2397400000000001</v>
      </c>
      <c r="Y103">
        <f t="shared" si="23"/>
        <v>0.82830000000000004</v>
      </c>
    </row>
    <row r="104" spans="8:25" x14ac:dyDescent="0.2">
      <c r="H104">
        <f t="shared" si="24"/>
        <v>102</v>
      </c>
      <c r="I104">
        <f t="shared" si="15"/>
        <v>253</v>
      </c>
      <c r="J104">
        <f>IFERROR(INDEX(clima!$C:$C,$I104),"")</f>
        <v>252</v>
      </c>
      <c r="K104">
        <f>IFERROR(INDEX(clima!$F:$F,$I104),"")</f>
        <v>9.1999999999999993</v>
      </c>
      <c r="L104">
        <f>IFERROR(INDEX(clima!$J:$J,$I104),"")</f>
        <v>11.6010859587143</v>
      </c>
      <c r="M104">
        <f t="shared" si="16"/>
        <v>9.1999999999999993</v>
      </c>
      <c r="N104">
        <f t="shared" si="25"/>
        <v>948.20000000000016</v>
      </c>
      <c r="O104">
        <f t="shared" si="17"/>
        <v>9.1999999999999993</v>
      </c>
      <c r="P104">
        <f t="shared" si="26"/>
        <v>809</v>
      </c>
      <c r="Q104">
        <f t="shared" si="18"/>
        <v>3.6836345968987443</v>
      </c>
      <c r="R104">
        <f t="shared" si="27"/>
        <v>189.83874633209243</v>
      </c>
      <c r="S104">
        <f t="shared" si="19"/>
        <v>0</v>
      </c>
      <c r="T104">
        <f t="shared" si="28"/>
        <v>0</v>
      </c>
      <c r="U104">
        <f t="shared" si="20"/>
        <v>9.1999999999999993</v>
      </c>
      <c r="V104">
        <f t="shared" si="29"/>
        <v>809</v>
      </c>
      <c r="W104">
        <f t="shared" si="21"/>
        <v>102</v>
      </c>
      <c r="X104">
        <f t="shared" si="22"/>
        <v>1.2517</v>
      </c>
      <c r="Y104">
        <f t="shared" si="23"/>
        <v>0.84078571428571436</v>
      </c>
    </row>
    <row r="105" spans="8:25" x14ac:dyDescent="0.2">
      <c r="H105">
        <f t="shared" si="24"/>
        <v>103</v>
      </c>
      <c r="I105">
        <f t="shared" si="15"/>
        <v>254</v>
      </c>
      <c r="J105">
        <f>IFERROR(INDEX(clima!$C:$C,$I105),"")</f>
        <v>253</v>
      </c>
      <c r="K105">
        <f>IFERROR(INDEX(clima!$F:$F,$I105),"")</f>
        <v>10.3</v>
      </c>
      <c r="L105">
        <f>IFERROR(INDEX(clima!$J:$J,$I105),"")</f>
        <v>11.635534507994214</v>
      </c>
      <c r="M105">
        <f t="shared" si="16"/>
        <v>10.3</v>
      </c>
      <c r="N105">
        <f t="shared" si="25"/>
        <v>958.50000000000011</v>
      </c>
      <c r="O105">
        <f t="shared" si="17"/>
        <v>10.3</v>
      </c>
      <c r="P105">
        <f t="shared" si="26"/>
        <v>819.3</v>
      </c>
      <c r="Q105">
        <f t="shared" si="18"/>
        <v>4.1746270262430363</v>
      </c>
      <c r="R105">
        <f t="shared" si="27"/>
        <v>194.01337335833546</v>
      </c>
      <c r="S105">
        <f t="shared" si="19"/>
        <v>0</v>
      </c>
      <c r="T105">
        <f t="shared" si="28"/>
        <v>0</v>
      </c>
      <c r="U105">
        <f t="shared" si="20"/>
        <v>10.3</v>
      </c>
      <c r="V105">
        <f t="shared" si="29"/>
        <v>819.3</v>
      </c>
      <c r="W105">
        <f t="shared" si="21"/>
        <v>103</v>
      </c>
      <c r="X105">
        <f t="shared" si="22"/>
        <v>1.26509</v>
      </c>
      <c r="Y105">
        <f t="shared" si="23"/>
        <v>0.85476428571428575</v>
      </c>
    </row>
    <row r="106" spans="8:25" x14ac:dyDescent="0.2">
      <c r="H106">
        <f t="shared" si="24"/>
        <v>104</v>
      </c>
      <c r="I106">
        <f t="shared" si="15"/>
        <v>255</v>
      </c>
      <c r="J106">
        <f>IFERROR(INDEX(clima!$C:$C,$I106),"")</f>
        <v>254</v>
      </c>
      <c r="K106">
        <f>IFERROR(INDEX(clima!$F:$F,$I106),"")</f>
        <v>9.8000000000000007</v>
      </c>
      <c r="L106">
        <f>IFERROR(INDEX(clima!$J:$J,$I106),"")</f>
        <v>11.670048876390899</v>
      </c>
      <c r="M106">
        <f t="shared" si="16"/>
        <v>9.8000000000000007</v>
      </c>
      <c r="N106">
        <f t="shared" si="25"/>
        <v>968.30000000000007</v>
      </c>
      <c r="O106">
        <f t="shared" si="17"/>
        <v>9.8000000000000007</v>
      </c>
      <c r="P106">
        <f t="shared" si="26"/>
        <v>829.09999999999991</v>
      </c>
      <c r="Q106">
        <f t="shared" si="18"/>
        <v>4.0199724593810133</v>
      </c>
      <c r="R106">
        <f t="shared" si="27"/>
        <v>198.03334581771648</v>
      </c>
      <c r="S106">
        <f t="shared" si="19"/>
        <v>0</v>
      </c>
      <c r="T106">
        <f t="shared" si="28"/>
        <v>0</v>
      </c>
      <c r="U106">
        <f t="shared" si="20"/>
        <v>9.8000000000000007</v>
      </c>
      <c r="V106">
        <f t="shared" si="29"/>
        <v>829.09999999999991</v>
      </c>
      <c r="W106">
        <f t="shared" si="21"/>
        <v>104</v>
      </c>
      <c r="X106">
        <f t="shared" si="22"/>
        <v>1.2778299999999998</v>
      </c>
      <c r="Y106">
        <f t="shared" si="23"/>
        <v>0.86806428571428562</v>
      </c>
    </row>
    <row r="107" spans="8:25" x14ac:dyDescent="0.2">
      <c r="H107">
        <f t="shared" si="24"/>
        <v>105</v>
      </c>
      <c r="I107">
        <f t="shared" si="15"/>
        <v>256</v>
      </c>
      <c r="J107">
        <f>IFERROR(INDEX(clima!$C:$C,$I107),"")</f>
        <v>255</v>
      </c>
      <c r="K107">
        <f>IFERROR(INDEX(clima!$F:$F,$I107),"")</f>
        <v>10.3</v>
      </c>
      <c r="L107">
        <f>IFERROR(INDEX(clima!$J:$J,$I107),"")</f>
        <v>11.704622574387942</v>
      </c>
      <c r="M107">
        <f t="shared" si="16"/>
        <v>10.3</v>
      </c>
      <c r="N107">
        <f t="shared" si="25"/>
        <v>978.6</v>
      </c>
      <c r="O107">
        <f t="shared" si="17"/>
        <v>10.3</v>
      </c>
      <c r="P107">
        <f t="shared" si="26"/>
        <v>839.39999999999986</v>
      </c>
      <c r="Q107">
        <f t="shared" si="18"/>
        <v>4.2753967552498446</v>
      </c>
      <c r="R107">
        <f t="shared" si="27"/>
        <v>202.30874257296634</v>
      </c>
      <c r="S107">
        <f t="shared" si="19"/>
        <v>0</v>
      </c>
      <c r="T107">
        <f t="shared" si="28"/>
        <v>0</v>
      </c>
      <c r="U107">
        <f t="shared" si="20"/>
        <v>10.3</v>
      </c>
      <c r="V107">
        <f t="shared" si="29"/>
        <v>839.39999999999986</v>
      </c>
      <c r="W107">
        <f t="shared" si="21"/>
        <v>105</v>
      </c>
      <c r="X107">
        <f t="shared" si="22"/>
        <v>1.2912199999999998</v>
      </c>
      <c r="Y107">
        <f t="shared" si="23"/>
        <v>0.88204285714285713</v>
      </c>
    </row>
    <row r="108" spans="8:25" x14ac:dyDescent="0.2">
      <c r="H108">
        <f t="shared" si="24"/>
        <v>106</v>
      </c>
      <c r="I108">
        <f t="shared" si="15"/>
        <v>257</v>
      </c>
      <c r="J108">
        <f>IFERROR(INDEX(clima!$C:$C,$I108),"")</f>
        <v>256</v>
      </c>
      <c r="K108">
        <f>IFERROR(INDEX(clima!$F:$F,$I108),"")</f>
        <v>12.1</v>
      </c>
      <c r="L108">
        <f>IFERROR(INDEX(clima!$J:$J,$I108),"")</f>
        <v>11.739249178174713</v>
      </c>
      <c r="M108">
        <f t="shared" si="16"/>
        <v>12.1</v>
      </c>
      <c r="N108">
        <f t="shared" si="25"/>
        <v>990.7</v>
      </c>
      <c r="O108">
        <f t="shared" si="17"/>
        <v>12.1</v>
      </c>
      <c r="P108">
        <f t="shared" si="26"/>
        <v>851.49999999999989</v>
      </c>
      <c r="Q108">
        <f t="shared" si="18"/>
        <v>5.0815155741714655</v>
      </c>
      <c r="R108">
        <f t="shared" si="27"/>
        <v>207.39025814713781</v>
      </c>
      <c r="S108">
        <f t="shared" si="19"/>
        <v>0</v>
      </c>
      <c r="T108">
        <f t="shared" si="28"/>
        <v>0</v>
      </c>
      <c r="U108">
        <f t="shared" si="20"/>
        <v>12.1</v>
      </c>
      <c r="V108">
        <f t="shared" si="29"/>
        <v>851.49999999999989</v>
      </c>
      <c r="W108">
        <f t="shared" si="21"/>
        <v>106</v>
      </c>
      <c r="X108">
        <f t="shared" si="22"/>
        <v>1.3069499999999998</v>
      </c>
      <c r="Y108">
        <f t="shared" si="23"/>
        <v>0.89846428571428572</v>
      </c>
    </row>
    <row r="109" spans="8:25" x14ac:dyDescent="0.2">
      <c r="H109">
        <f t="shared" si="24"/>
        <v>107</v>
      </c>
      <c r="I109">
        <f t="shared" si="15"/>
        <v>258</v>
      </c>
      <c r="J109">
        <f>IFERROR(INDEX(clima!$C:$C,$I109),"")</f>
        <v>257</v>
      </c>
      <c r="K109">
        <f>IFERROR(INDEX(clima!$F:$F,$I109),"")</f>
        <v>14.9</v>
      </c>
      <c r="L109">
        <f>IFERROR(INDEX(clima!$J:$J,$I109),"")</f>
        <v>11.773922323048874</v>
      </c>
      <c r="M109">
        <f t="shared" si="16"/>
        <v>14.9</v>
      </c>
      <c r="N109">
        <f t="shared" si="25"/>
        <v>1005.6</v>
      </c>
      <c r="O109">
        <f t="shared" si="17"/>
        <v>14.9</v>
      </c>
      <c r="P109">
        <f t="shared" si="26"/>
        <v>866.39999999999986</v>
      </c>
      <c r="Q109">
        <f t="shared" si="18"/>
        <v>6.3298029725828586</v>
      </c>
      <c r="R109">
        <f t="shared" si="27"/>
        <v>213.72006111972067</v>
      </c>
      <c r="S109">
        <f t="shared" si="19"/>
        <v>0</v>
      </c>
      <c r="T109">
        <f t="shared" si="28"/>
        <v>0</v>
      </c>
      <c r="U109">
        <f t="shared" si="20"/>
        <v>14.9</v>
      </c>
      <c r="V109">
        <f t="shared" si="29"/>
        <v>866.39999999999986</v>
      </c>
      <c r="W109">
        <f t="shared" si="21"/>
        <v>107</v>
      </c>
      <c r="X109">
        <f t="shared" si="22"/>
        <v>1.3263199999999999</v>
      </c>
      <c r="Y109">
        <f t="shared" si="23"/>
        <v>0.91868571428571422</v>
      </c>
    </row>
    <row r="110" spans="8:25" x14ac:dyDescent="0.2">
      <c r="H110">
        <f t="shared" si="24"/>
        <v>108</v>
      </c>
      <c r="I110">
        <f t="shared" si="15"/>
        <v>259</v>
      </c>
      <c r="J110">
        <f>IFERROR(INDEX(clima!$C:$C,$I110),"")</f>
        <v>258</v>
      </c>
      <c r="K110">
        <f>IFERROR(INDEX(clima!$F:$F,$I110),"")</f>
        <v>14.4</v>
      </c>
      <c r="L110">
        <f>IFERROR(INDEX(clima!$J:$J,$I110),"")</f>
        <v>11.808635696711358</v>
      </c>
      <c r="M110">
        <f t="shared" si="16"/>
        <v>14.4</v>
      </c>
      <c r="N110">
        <f t="shared" si="25"/>
        <v>1020</v>
      </c>
      <c r="O110">
        <f t="shared" si="17"/>
        <v>14.4</v>
      </c>
      <c r="P110">
        <f t="shared" si="26"/>
        <v>880.79999999999984</v>
      </c>
      <c r="Q110">
        <f t="shared" si="18"/>
        <v>6.1871498241389693</v>
      </c>
      <c r="R110">
        <f t="shared" si="27"/>
        <v>219.90721094385964</v>
      </c>
      <c r="S110">
        <f t="shared" si="19"/>
        <v>0</v>
      </c>
      <c r="T110">
        <f t="shared" si="28"/>
        <v>0</v>
      </c>
      <c r="U110">
        <f t="shared" si="20"/>
        <v>14.4</v>
      </c>
      <c r="V110">
        <f t="shared" si="29"/>
        <v>880.79999999999984</v>
      </c>
      <c r="W110">
        <f t="shared" si="21"/>
        <v>108</v>
      </c>
      <c r="X110">
        <f t="shared" si="22"/>
        <v>1.3450399999999998</v>
      </c>
      <c r="Y110">
        <f t="shared" si="23"/>
        <v>0.9382285714285713</v>
      </c>
    </row>
    <row r="111" spans="8:25" x14ac:dyDescent="0.2">
      <c r="H111">
        <f t="shared" si="24"/>
        <v>109</v>
      </c>
      <c r="I111">
        <f t="shared" si="15"/>
        <v>260</v>
      </c>
      <c r="J111">
        <f>IFERROR(INDEX(clima!$C:$C,$I111),"")</f>
        <v>259</v>
      </c>
      <c r="K111">
        <f>IFERROR(INDEX(clima!$F:$F,$I111),"")</f>
        <v>13.4</v>
      </c>
      <c r="L111">
        <f>IFERROR(INDEX(clima!$J:$J,$I111),"")</f>
        <v>11.84338303246723</v>
      </c>
      <c r="M111">
        <f t="shared" si="16"/>
        <v>13.4</v>
      </c>
      <c r="N111">
        <f t="shared" si="25"/>
        <v>1033.4000000000001</v>
      </c>
      <c r="O111">
        <f t="shared" si="17"/>
        <v>13.4</v>
      </c>
      <c r="P111">
        <f t="shared" si="26"/>
        <v>894.19999999999982</v>
      </c>
      <c r="Q111">
        <f t="shared" si="18"/>
        <v>5.8221873995605469</v>
      </c>
      <c r="R111">
        <f t="shared" si="27"/>
        <v>225.72939834342017</v>
      </c>
      <c r="S111">
        <f t="shared" si="19"/>
        <v>0</v>
      </c>
      <c r="T111">
        <f t="shared" si="28"/>
        <v>0</v>
      </c>
      <c r="U111">
        <f t="shared" si="20"/>
        <v>13.4</v>
      </c>
      <c r="V111">
        <f t="shared" si="29"/>
        <v>894.19999999999982</v>
      </c>
      <c r="W111">
        <f t="shared" si="21"/>
        <v>109</v>
      </c>
      <c r="X111">
        <f t="shared" si="22"/>
        <v>1.3624599999999998</v>
      </c>
      <c r="Y111">
        <f t="shared" si="23"/>
        <v>0.95641428571428555</v>
      </c>
    </row>
    <row r="112" spans="8:25" x14ac:dyDescent="0.2">
      <c r="H112">
        <f t="shared" si="24"/>
        <v>110</v>
      </c>
      <c r="I112">
        <f t="shared" si="15"/>
        <v>261</v>
      </c>
      <c r="J112">
        <f>IFERROR(INDEX(clima!$C:$C,$I112),"")</f>
        <v>260</v>
      </c>
      <c r="K112">
        <f>IFERROR(INDEX(clima!$F:$F,$I112),"")</f>
        <v>12.8</v>
      </c>
      <c r="L112">
        <f>IFERROR(INDEX(clima!$J:$J,$I112),"")</f>
        <v>11.878158102345447</v>
      </c>
      <c r="M112">
        <f t="shared" si="16"/>
        <v>12.8</v>
      </c>
      <c r="N112">
        <f t="shared" si="25"/>
        <v>1046.2</v>
      </c>
      <c r="O112">
        <f t="shared" si="17"/>
        <v>12.8</v>
      </c>
      <c r="P112">
        <f t="shared" si="26"/>
        <v>906.99999999999977</v>
      </c>
      <c r="Q112">
        <f t="shared" si="18"/>
        <v>5.6230824398179351</v>
      </c>
      <c r="R112">
        <f t="shared" si="27"/>
        <v>231.35248078323809</v>
      </c>
      <c r="S112">
        <f t="shared" si="19"/>
        <v>0</v>
      </c>
      <c r="T112">
        <f t="shared" si="28"/>
        <v>0</v>
      </c>
      <c r="U112">
        <f t="shared" si="20"/>
        <v>12.8</v>
      </c>
      <c r="V112">
        <f t="shared" si="29"/>
        <v>906.99999999999977</v>
      </c>
      <c r="W112">
        <f t="shared" si="21"/>
        <v>110</v>
      </c>
      <c r="X112">
        <f t="shared" si="22"/>
        <v>1.3790999999999995</v>
      </c>
      <c r="Y112">
        <f t="shared" si="23"/>
        <v>0.97378571428571414</v>
      </c>
    </row>
    <row r="113" spans="8:25" x14ac:dyDescent="0.2">
      <c r="H113">
        <f t="shared" si="24"/>
        <v>111</v>
      </c>
      <c r="I113">
        <f t="shared" si="15"/>
        <v>262</v>
      </c>
      <c r="J113">
        <f>IFERROR(INDEX(clima!$C:$C,$I113),"")</f>
        <v>261</v>
      </c>
      <c r="K113">
        <f>IFERROR(INDEX(clima!$F:$F,$I113),"")</f>
        <v>10.8</v>
      </c>
      <c r="L113">
        <f>IFERROR(INDEX(clima!$J:$J,$I113),"")</f>
        <v>11.912954710150439</v>
      </c>
      <c r="M113">
        <f t="shared" si="16"/>
        <v>10.8</v>
      </c>
      <c r="N113">
        <f t="shared" si="25"/>
        <v>1057</v>
      </c>
      <c r="O113">
        <f t="shared" si="17"/>
        <v>10.8</v>
      </c>
      <c r="P113">
        <f t="shared" si="26"/>
        <v>917.79999999999973</v>
      </c>
      <c r="Q113">
        <f t="shared" si="18"/>
        <v>4.7962523204568415</v>
      </c>
      <c r="R113">
        <f t="shared" si="27"/>
        <v>236.14873310369492</v>
      </c>
      <c r="S113">
        <f t="shared" si="19"/>
        <v>0</v>
      </c>
      <c r="T113">
        <f t="shared" si="28"/>
        <v>0</v>
      </c>
      <c r="U113">
        <f t="shared" si="20"/>
        <v>10.8</v>
      </c>
      <c r="V113">
        <f t="shared" si="29"/>
        <v>917.79999999999973</v>
      </c>
      <c r="W113">
        <f t="shared" si="21"/>
        <v>111</v>
      </c>
      <c r="X113">
        <f t="shared" si="22"/>
        <v>1.3931399999999996</v>
      </c>
      <c r="Y113">
        <f t="shared" si="23"/>
        <v>0.98844285714285685</v>
      </c>
    </row>
    <row r="114" spans="8:25" x14ac:dyDescent="0.2">
      <c r="H114">
        <f t="shared" si="24"/>
        <v>112</v>
      </c>
      <c r="I114">
        <f t="shared" si="15"/>
        <v>263</v>
      </c>
      <c r="J114">
        <f>IFERROR(INDEX(clima!$C:$C,$I114),"")</f>
        <v>262</v>
      </c>
      <c r="K114">
        <f>IFERROR(INDEX(clima!$F:$F,$I114),"")</f>
        <v>10.7</v>
      </c>
      <c r="L114">
        <f>IFERROR(INDEX(clima!$J:$J,$I114),"")</f>
        <v>11.947766684458161</v>
      </c>
      <c r="M114">
        <f t="shared" si="16"/>
        <v>10.7</v>
      </c>
      <c r="N114">
        <f t="shared" si="25"/>
        <v>1067.7</v>
      </c>
      <c r="O114">
        <f t="shared" si="17"/>
        <v>10.7</v>
      </c>
      <c r="P114">
        <f t="shared" si="26"/>
        <v>928.49999999999977</v>
      </c>
      <c r="Q114">
        <f t="shared" si="18"/>
        <v>4.8029419385875007</v>
      </c>
      <c r="R114">
        <f t="shared" si="27"/>
        <v>240.95167504228243</v>
      </c>
      <c r="S114">
        <f t="shared" si="19"/>
        <v>0</v>
      </c>
      <c r="T114">
        <f t="shared" si="28"/>
        <v>0</v>
      </c>
      <c r="U114">
        <f t="shared" si="20"/>
        <v>10.7</v>
      </c>
      <c r="V114">
        <f t="shared" si="29"/>
        <v>928.49999999999977</v>
      </c>
      <c r="W114">
        <f t="shared" si="21"/>
        <v>112</v>
      </c>
      <c r="X114">
        <f t="shared" si="22"/>
        <v>1.4070499999999997</v>
      </c>
      <c r="Y114">
        <f t="shared" si="23"/>
        <v>1.0029642857142855</v>
      </c>
    </row>
    <row r="115" spans="8:25" x14ac:dyDescent="0.2">
      <c r="H115">
        <f t="shared" si="24"/>
        <v>113</v>
      </c>
      <c r="I115">
        <f t="shared" si="15"/>
        <v>264</v>
      </c>
      <c r="J115">
        <f>IFERROR(INDEX(clima!$C:$C,$I115),"")</f>
        <v>263</v>
      </c>
      <c r="K115">
        <f>IFERROR(INDEX(clima!$F:$F,$I115),"")</f>
        <v>12.6</v>
      </c>
      <c r="L115">
        <f>IFERROR(INDEX(clima!$J:$J,$I115),"")</f>
        <v>11.982587871569139</v>
      </c>
      <c r="M115">
        <f t="shared" si="16"/>
        <v>12.6</v>
      </c>
      <c r="N115">
        <f t="shared" si="25"/>
        <v>1080.3</v>
      </c>
      <c r="O115">
        <f t="shared" si="17"/>
        <v>12.6</v>
      </c>
      <c r="P115">
        <f t="shared" si="26"/>
        <v>941.0999999999998</v>
      </c>
      <c r="Q115">
        <f t="shared" si="18"/>
        <v>5.7157301059054895</v>
      </c>
      <c r="R115">
        <f t="shared" si="27"/>
        <v>246.66740514818792</v>
      </c>
      <c r="S115">
        <f t="shared" si="19"/>
        <v>0</v>
      </c>
      <c r="T115">
        <f t="shared" si="28"/>
        <v>0</v>
      </c>
      <c r="U115">
        <f t="shared" si="20"/>
        <v>12.6</v>
      </c>
      <c r="V115">
        <f t="shared" si="29"/>
        <v>941.0999999999998</v>
      </c>
      <c r="W115">
        <f t="shared" si="21"/>
        <v>113</v>
      </c>
      <c r="X115">
        <f t="shared" si="22"/>
        <v>1.4234299999999998</v>
      </c>
      <c r="Y115">
        <f t="shared" si="23"/>
        <v>1.0200642857142854</v>
      </c>
    </row>
    <row r="116" spans="8:25" x14ac:dyDescent="0.2">
      <c r="H116">
        <f t="shared" si="24"/>
        <v>114</v>
      </c>
      <c r="I116">
        <f t="shared" si="15"/>
        <v>265</v>
      </c>
      <c r="J116">
        <f>IFERROR(INDEX(clima!$C:$C,$I116),"")</f>
        <v>264</v>
      </c>
      <c r="K116">
        <f>IFERROR(INDEX(clima!$F:$F,$I116),"")</f>
        <v>14.5</v>
      </c>
      <c r="L116">
        <f>IFERROR(INDEX(clima!$J:$J,$I116),"")</f>
        <v>12.017412128430859</v>
      </c>
      <c r="M116">
        <f t="shared" si="16"/>
        <v>14.5</v>
      </c>
      <c r="N116">
        <f t="shared" si="25"/>
        <v>1094.8</v>
      </c>
      <c r="O116">
        <f t="shared" si="17"/>
        <v>14.5</v>
      </c>
      <c r="P116">
        <f t="shared" si="26"/>
        <v>955.5999999999998</v>
      </c>
      <c r="Q116">
        <f t="shared" si="18"/>
        <v>6.646299350057471</v>
      </c>
      <c r="R116">
        <f t="shared" si="27"/>
        <v>253.31370449824539</v>
      </c>
      <c r="S116">
        <f t="shared" si="19"/>
        <v>0</v>
      </c>
      <c r="T116">
        <f t="shared" si="28"/>
        <v>0</v>
      </c>
      <c r="U116">
        <f t="shared" si="20"/>
        <v>14.5</v>
      </c>
      <c r="V116">
        <f t="shared" si="29"/>
        <v>955.5999999999998</v>
      </c>
      <c r="W116">
        <f t="shared" si="21"/>
        <v>114</v>
      </c>
      <c r="X116">
        <f t="shared" si="22"/>
        <v>1.4422799999999998</v>
      </c>
      <c r="Y116">
        <f t="shared" si="23"/>
        <v>1.0397428571428569</v>
      </c>
    </row>
    <row r="117" spans="8:25" x14ac:dyDescent="0.2">
      <c r="H117">
        <f t="shared" si="24"/>
        <v>115</v>
      </c>
      <c r="I117">
        <f t="shared" si="15"/>
        <v>266</v>
      </c>
      <c r="J117">
        <f>IFERROR(INDEX(clima!$C:$C,$I117),"")</f>
        <v>265</v>
      </c>
      <c r="K117">
        <f>IFERROR(INDEX(clima!$F:$F,$I117),"")</f>
        <v>15.2</v>
      </c>
      <c r="L117">
        <f>IFERROR(INDEX(clima!$J:$J,$I117),"")</f>
        <v>12.052233315541836</v>
      </c>
      <c r="M117">
        <f t="shared" si="16"/>
        <v>15.2</v>
      </c>
      <c r="N117">
        <f t="shared" si="25"/>
        <v>1110</v>
      </c>
      <c r="O117">
        <f t="shared" si="17"/>
        <v>15.2</v>
      </c>
      <c r="P117">
        <f t="shared" si="26"/>
        <v>970.79999999999984</v>
      </c>
      <c r="Q117">
        <f t="shared" si="18"/>
        <v>7.0388242110406596</v>
      </c>
      <c r="R117">
        <f t="shared" si="27"/>
        <v>260.35252870928605</v>
      </c>
      <c r="S117">
        <f t="shared" si="19"/>
        <v>0</v>
      </c>
      <c r="T117">
        <f t="shared" si="28"/>
        <v>0</v>
      </c>
      <c r="U117">
        <f t="shared" si="20"/>
        <v>15.2</v>
      </c>
      <c r="V117">
        <f t="shared" si="29"/>
        <v>970.79999999999984</v>
      </c>
      <c r="W117">
        <f t="shared" si="21"/>
        <v>115</v>
      </c>
      <c r="X117">
        <f t="shared" si="22"/>
        <v>1.4620399999999998</v>
      </c>
      <c r="Y117">
        <f t="shared" si="23"/>
        <v>1.0603714285714283</v>
      </c>
    </row>
    <row r="118" spans="8:25" x14ac:dyDescent="0.2">
      <c r="H118">
        <f t="shared" si="24"/>
        <v>116</v>
      </c>
      <c r="I118">
        <f t="shared" si="15"/>
        <v>267</v>
      </c>
      <c r="J118">
        <f>IFERROR(INDEX(clima!$C:$C,$I118),"")</f>
        <v>266</v>
      </c>
      <c r="K118">
        <f>IFERROR(INDEX(clima!$F:$F,$I118),"")</f>
        <v>14.8</v>
      </c>
      <c r="L118">
        <f>IFERROR(INDEX(clima!$J:$J,$I118),"")</f>
        <v>12.087045289849561</v>
      </c>
      <c r="M118">
        <f t="shared" si="16"/>
        <v>14.8</v>
      </c>
      <c r="N118">
        <f t="shared" si="25"/>
        <v>1124.8</v>
      </c>
      <c r="O118">
        <f t="shared" si="17"/>
        <v>14.8</v>
      </c>
      <c r="P118">
        <f t="shared" si="26"/>
        <v>985.5999999999998</v>
      </c>
      <c r="Q118">
        <f t="shared" si="18"/>
        <v>6.9230515875925827</v>
      </c>
      <c r="R118">
        <f t="shared" si="27"/>
        <v>267.27558029687862</v>
      </c>
      <c r="S118">
        <f t="shared" si="19"/>
        <v>0</v>
      </c>
      <c r="T118">
        <f t="shared" si="28"/>
        <v>0</v>
      </c>
      <c r="U118">
        <f t="shared" si="20"/>
        <v>14.8</v>
      </c>
      <c r="V118">
        <f t="shared" si="29"/>
        <v>985.5999999999998</v>
      </c>
      <c r="W118">
        <f t="shared" si="21"/>
        <v>116</v>
      </c>
      <c r="X118">
        <f t="shared" si="22"/>
        <v>1.4812799999999997</v>
      </c>
      <c r="Y118">
        <f t="shared" si="23"/>
        <v>1.0804571428571426</v>
      </c>
    </row>
    <row r="119" spans="8:25" x14ac:dyDescent="0.2">
      <c r="H119">
        <f t="shared" si="24"/>
        <v>117</v>
      </c>
      <c r="I119">
        <f t="shared" si="15"/>
        <v>268</v>
      </c>
      <c r="J119">
        <f>IFERROR(INDEX(clima!$C:$C,$I119),"")</f>
        <v>267</v>
      </c>
      <c r="K119">
        <f>IFERROR(INDEX(clima!$F:$F,$I119),"")</f>
        <v>19.3</v>
      </c>
      <c r="L119">
        <f>IFERROR(INDEX(clima!$J:$J,$I119),"")</f>
        <v>12.121841897654551</v>
      </c>
      <c r="M119">
        <f t="shared" si="16"/>
        <v>19.3</v>
      </c>
      <c r="N119">
        <f t="shared" si="25"/>
        <v>1144.0999999999999</v>
      </c>
      <c r="O119">
        <f t="shared" si="17"/>
        <v>19.3</v>
      </c>
      <c r="P119">
        <f t="shared" si="26"/>
        <v>1004.8999999999997</v>
      </c>
      <c r="Q119">
        <f t="shared" si="18"/>
        <v>9.1181752172153185</v>
      </c>
      <c r="R119">
        <f t="shared" si="27"/>
        <v>276.39375551409393</v>
      </c>
      <c r="S119">
        <f t="shared" si="19"/>
        <v>0</v>
      </c>
      <c r="T119">
        <f t="shared" si="28"/>
        <v>0</v>
      </c>
      <c r="U119">
        <f t="shared" si="20"/>
        <v>19.3</v>
      </c>
      <c r="V119">
        <f t="shared" si="29"/>
        <v>1004.8999999999997</v>
      </c>
      <c r="W119">
        <f t="shared" si="21"/>
        <v>117</v>
      </c>
      <c r="X119">
        <f t="shared" si="22"/>
        <v>1.5063699999999998</v>
      </c>
      <c r="Y119">
        <f t="shared" si="23"/>
        <v>1.1000000000000001</v>
      </c>
    </row>
    <row r="120" spans="8:25" x14ac:dyDescent="0.2">
      <c r="H120">
        <f t="shared" si="24"/>
        <v>118</v>
      </c>
      <c r="I120">
        <f t="shared" si="15"/>
        <v>269</v>
      </c>
      <c r="J120">
        <f>IFERROR(INDEX(clima!$C:$C,$I120),"")</f>
        <v>268</v>
      </c>
      <c r="K120">
        <f>IFERROR(INDEX(clima!$F:$F,$I120),"")</f>
        <v>21.2</v>
      </c>
      <c r="L120">
        <f>IFERROR(INDEX(clima!$J:$J,$I120),"")</f>
        <v>12.156616967532768</v>
      </c>
      <c r="M120">
        <f t="shared" si="16"/>
        <v>21.2</v>
      </c>
      <c r="N120">
        <f t="shared" si="25"/>
        <v>1165.3</v>
      </c>
      <c r="O120">
        <f t="shared" si="17"/>
        <v>21.2</v>
      </c>
      <c r="P120">
        <f t="shared" si="26"/>
        <v>1026.0999999999997</v>
      </c>
      <c r="Q120">
        <f t="shared" si="18"/>
        <v>10.114337937602123</v>
      </c>
      <c r="R120">
        <f t="shared" si="27"/>
        <v>286.50809345169603</v>
      </c>
      <c r="S120">
        <f t="shared" si="19"/>
        <v>0</v>
      </c>
      <c r="T120">
        <f t="shared" si="28"/>
        <v>0</v>
      </c>
      <c r="U120">
        <f t="shared" si="20"/>
        <v>21.2</v>
      </c>
      <c r="V120">
        <f t="shared" si="29"/>
        <v>1026.0999999999997</v>
      </c>
      <c r="W120">
        <f t="shared" si="21"/>
        <v>118</v>
      </c>
      <c r="X120">
        <f t="shared" si="22"/>
        <v>1.5339299999999996</v>
      </c>
      <c r="Y120">
        <f t="shared" si="23"/>
        <v>1.1000000000000001</v>
      </c>
    </row>
    <row r="121" spans="8:25" x14ac:dyDescent="0.2">
      <c r="H121">
        <f t="shared" si="24"/>
        <v>119</v>
      </c>
      <c r="I121">
        <f t="shared" si="15"/>
        <v>270</v>
      </c>
      <c r="J121">
        <f>IFERROR(INDEX(clima!$C:$C,$I121),"")</f>
        <v>269</v>
      </c>
      <c r="K121">
        <f>IFERROR(INDEX(clima!$F:$F,$I121),"")</f>
        <v>21.2</v>
      </c>
      <c r="L121">
        <f>IFERROR(INDEX(clima!$J:$J,$I121),"")</f>
        <v>12.191364303288641</v>
      </c>
      <c r="M121">
        <f t="shared" si="16"/>
        <v>21.2</v>
      </c>
      <c r="N121">
        <f t="shared" si="25"/>
        <v>1186.5</v>
      </c>
      <c r="O121">
        <f t="shared" si="17"/>
        <v>21.2</v>
      </c>
      <c r="P121">
        <f t="shared" si="26"/>
        <v>1047.2999999999997</v>
      </c>
      <c r="Q121">
        <f t="shared" si="18"/>
        <v>10.212342581799327</v>
      </c>
      <c r="R121">
        <f t="shared" si="27"/>
        <v>296.72043603349533</v>
      </c>
      <c r="S121">
        <f t="shared" si="19"/>
        <v>0</v>
      </c>
      <c r="T121">
        <f t="shared" si="28"/>
        <v>0</v>
      </c>
      <c r="U121">
        <f t="shared" si="20"/>
        <v>21.2</v>
      </c>
      <c r="V121">
        <f t="shared" si="29"/>
        <v>1047.2999999999997</v>
      </c>
      <c r="W121">
        <f t="shared" si="21"/>
        <v>119</v>
      </c>
      <c r="X121">
        <f t="shared" si="22"/>
        <v>1.5614899999999996</v>
      </c>
      <c r="Y121">
        <f t="shared" si="23"/>
        <v>1.1000000000000001</v>
      </c>
    </row>
    <row r="122" spans="8:25" x14ac:dyDescent="0.2">
      <c r="H122">
        <f t="shared" si="24"/>
        <v>120</v>
      </c>
      <c r="I122">
        <f t="shared" si="15"/>
        <v>271</v>
      </c>
      <c r="J122">
        <f>IFERROR(INDEX(clima!$C:$C,$I122),"")</f>
        <v>270</v>
      </c>
      <c r="K122">
        <f>IFERROR(INDEX(clima!$F:$F,$I122),"")</f>
        <v>15.3</v>
      </c>
      <c r="L122">
        <f>IFERROR(INDEX(clima!$J:$J,$I122),"")</f>
        <v>12.226077676951126</v>
      </c>
      <c r="M122">
        <f t="shared" si="16"/>
        <v>15.3</v>
      </c>
      <c r="N122">
        <f t="shared" si="25"/>
        <v>1201.8</v>
      </c>
      <c r="O122">
        <f t="shared" si="17"/>
        <v>15.3</v>
      </c>
      <c r="P122">
        <f t="shared" si="26"/>
        <v>1062.5999999999997</v>
      </c>
      <c r="Q122">
        <f t="shared" si="18"/>
        <v>7.4405754295620721</v>
      </c>
      <c r="R122">
        <f t="shared" si="27"/>
        <v>304.16101146305738</v>
      </c>
      <c r="S122">
        <f t="shared" si="19"/>
        <v>0</v>
      </c>
      <c r="T122">
        <f t="shared" si="28"/>
        <v>0</v>
      </c>
      <c r="U122">
        <f t="shared" si="20"/>
        <v>15.3</v>
      </c>
      <c r="V122">
        <f t="shared" si="29"/>
        <v>1062.5999999999997</v>
      </c>
      <c r="W122">
        <f t="shared" si="21"/>
        <v>120</v>
      </c>
      <c r="X122">
        <f t="shared" si="22"/>
        <v>1.5813799999999998</v>
      </c>
      <c r="Y122">
        <f t="shared" si="23"/>
        <v>1.1000000000000001</v>
      </c>
    </row>
    <row r="123" spans="8:25" x14ac:dyDescent="0.2">
      <c r="H123">
        <f t="shared" si="24"/>
        <v>121</v>
      </c>
      <c r="I123">
        <f t="shared" si="15"/>
        <v>272</v>
      </c>
      <c r="J123">
        <f>IFERROR(INDEX(clima!$C:$C,$I123),"")</f>
        <v>271</v>
      </c>
      <c r="K123">
        <f>IFERROR(INDEX(clima!$F:$F,$I123),"")</f>
        <v>11.4</v>
      </c>
      <c r="L123">
        <f>IFERROR(INDEX(clima!$J:$J,$I123),"")</f>
        <v>12.260750821825283</v>
      </c>
      <c r="M123">
        <f t="shared" si="16"/>
        <v>11.4</v>
      </c>
      <c r="N123">
        <f t="shared" si="25"/>
        <v>1213.2</v>
      </c>
      <c r="O123">
        <f t="shared" si="17"/>
        <v>11.4</v>
      </c>
      <c r="P123">
        <f t="shared" si="26"/>
        <v>1073.9999999999998</v>
      </c>
      <c r="Q123">
        <f t="shared" si="18"/>
        <v>5.5960797471220181</v>
      </c>
      <c r="R123">
        <f t="shared" si="27"/>
        <v>309.7570912101794</v>
      </c>
      <c r="S123">
        <f t="shared" si="19"/>
        <v>0</v>
      </c>
      <c r="T123">
        <f t="shared" si="28"/>
        <v>0</v>
      </c>
      <c r="U123">
        <f t="shared" si="20"/>
        <v>11.4</v>
      </c>
      <c r="V123">
        <f t="shared" si="29"/>
        <v>1073.9999999999998</v>
      </c>
      <c r="W123">
        <f t="shared" si="21"/>
        <v>121</v>
      </c>
      <c r="X123">
        <f t="shared" si="22"/>
        <v>1.5961999999999996</v>
      </c>
      <c r="Y123">
        <f t="shared" si="23"/>
        <v>1.1000000000000001</v>
      </c>
    </row>
    <row r="124" spans="8:25" x14ac:dyDescent="0.2">
      <c r="H124">
        <f t="shared" si="24"/>
        <v>122</v>
      </c>
      <c r="I124">
        <f t="shared" si="15"/>
        <v>273</v>
      </c>
      <c r="J124">
        <f>IFERROR(INDEX(clima!$C:$C,$I124),"")</f>
        <v>272</v>
      </c>
      <c r="K124">
        <f>IFERROR(INDEX(clima!$F:$F,$I124),"")</f>
        <v>10.6</v>
      </c>
      <c r="L124">
        <f>IFERROR(INDEX(clima!$J:$J,$I124),"")</f>
        <v>12.295377425612054</v>
      </c>
      <c r="M124">
        <f t="shared" si="16"/>
        <v>10.6</v>
      </c>
      <c r="N124">
        <f t="shared" si="25"/>
        <v>1223.8</v>
      </c>
      <c r="O124">
        <f t="shared" si="17"/>
        <v>10.6</v>
      </c>
      <c r="P124">
        <f t="shared" si="26"/>
        <v>1084.5999999999997</v>
      </c>
      <c r="Q124">
        <f t="shared" si="18"/>
        <v>5.2515550678594725</v>
      </c>
      <c r="R124">
        <f t="shared" si="27"/>
        <v>315.0086462780389</v>
      </c>
      <c r="S124">
        <f t="shared" si="19"/>
        <v>0</v>
      </c>
      <c r="T124">
        <f t="shared" si="28"/>
        <v>0</v>
      </c>
      <c r="U124">
        <f t="shared" si="20"/>
        <v>10.6</v>
      </c>
      <c r="V124">
        <f t="shared" si="29"/>
        <v>1084.5999999999997</v>
      </c>
      <c r="W124">
        <f t="shared" si="21"/>
        <v>122</v>
      </c>
      <c r="X124">
        <f t="shared" si="22"/>
        <v>1.6099799999999995</v>
      </c>
      <c r="Y124">
        <f t="shared" si="23"/>
        <v>1.1000000000000001</v>
      </c>
    </row>
    <row r="125" spans="8:25" x14ac:dyDescent="0.2">
      <c r="H125">
        <f t="shared" si="24"/>
        <v>123</v>
      </c>
      <c r="I125">
        <f t="shared" si="15"/>
        <v>274</v>
      </c>
      <c r="J125">
        <f>IFERROR(INDEX(clima!$C:$C,$I125),"")</f>
        <v>273</v>
      </c>
      <c r="K125">
        <f>IFERROR(INDEX(clima!$F:$F,$I125),"")</f>
        <v>10.3</v>
      </c>
      <c r="L125">
        <f>IFERROR(INDEX(clima!$J:$J,$I125),"")</f>
        <v>12.329951123609098</v>
      </c>
      <c r="M125">
        <f t="shared" si="16"/>
        <v>10.3</v>
      </c>
      <c r="N125">
        <f t="shared" si="25"/>
        <v>1234.0999999999999</v>
      </c>
      <c r="O125">
        <f t="shared" si="17"/>
        <v>10.3</v>
      </c>
      <c r="P125">
        <f t="shared" si="26"/>
        <v>1094.8999999999996</v>
      </c>
      <c r="Q125">
        <f t="shared" si="18"/>
        <v>5.1494641629669706</v>
      </c>
      <c r="R125">
        <f t="shared" si="27"/>
        <v>320.15811044100587</v>
      </c>
      <c r="S125">
        <f t="shared" si="19"/>
        <v>0</v>
      </c>
      <c r="T125">
        <f t="shared" si="28"/>
        <v>0</v>
      </c>
      <c r="U125">
        <f t="shared" si="20"/>
        <v>10.3</v>
      </c>
      <c r="V125">
        <f t="shared" si="29"/>
        <v>1094.8999999999996</v>
      </c>
      <c r="W125">
        <f t="shared" si="21"/>
        <v>123</v>
      </c>
      <c r="X125">
        <f t="shared" si="22"/>
        <v>1.6233699999999995</v>
      </c>
      <c r="Y125">
        <f t="shared" si="23"/>
        <v>1.1000000000000001</v>
      </c>
    </row>
    <row r="126" spans="8:25" x14ac:dyDescent="0.2">
      <c r="H126">
        <f t="shared" si="24"/>
        <v>124</v>
      </c>
      <c r="I126">
        <f t="shared" si="15"/>
        <v>275</v>
      </c>
      <c r="J126">
        <f>IFERROR(INDEX(clima!$C:$C,$I126),"")</f>
        <v>274</v>
      </c>
      <c r="K126">
        <f>IFERROR(INDEX(clima!$F:$F,$I126),"")</f>
        <v>13.7</v>
      </c>
      <c r="L126">
        <f>IFERROR(INDEX(clima!$J:$J,$I126),"")</f>
        <v>12.364465492005783</v>
      </c>
      <c r="M126">
        <f t="shared" si="16"/>
        <v>13.7</v>
      </c>
      <c r="N126">
        <f t="shared" si="25"/>
        <v>1247.8</v>
      </c>
      <c r="O126">
        <f t="shared" si="17"/>
        <v>13.7</v>
      </c>
      <c r="P126">
        <f t="shared" si="26"/>
        <v>1108.5999999999997</v>
      </c>
      <c r="Q126">
        <f t="shared" si="18"/>
        <v>6.9108034579083748</v>
      </c>
      <c r="R126">
        <f t="shared" si="27"/>
        <v>327.06891389891427</v>
      </c>
      <c r="S126">
        <f t="shared" si="19"/>
        <v>0</v>
      </c>
      <c r="T126">
        <f t="shared" si="28"/>
        <v>0</v>
      </c>
      <c r="U126">
        <f t="shared" si="20"/>
        <v>13.7</v>
      </c>
      <c r="V126">
        <f t="shared" si="29"/>
        <v>1108.5999999999997</v>
      </c>
      <c r="W126">
        <f t="shared" si="21"/>
        <v>124</v>
      </c>
      <c r="X126">
        <f t="shared" si="22"/>
        <v>1.6411799999999996</v>
      </c>
      <c r="Y126">
        <f t="shared" si="23"/>
        <v>1.1000000000000001</v>
      </c>
    </row>
    <row r="127" spans="8:25" x14ac:dyDescent="0.2">
      <c r="H127">
        <f t="shared" si="24"/>
        <v>125</v>
      </c>
      <c r="I127">
        <f t="shared" si="15"/>
        <v>276</v>
      </c>
      <c r="J127">
        <f>IFERROR(INDEX(clima!$C:$C,$I127),"")</f>
        <v>275</v>
      </c>
      <c r="K127">
        <f>IFERROR(INDEX(clima!$F:$F,$I127),"")</f>
        <v>15.5</v>
      </c>
      <c r="L127">
        <f>IFERROR(INDEX(clima!$J:$J,$I127),"")</f>
        <v>12.3989140412857</v>
      </c>
      <c r="M127">
        <f t="shared" si="16"/>
        <v>15.5</v>
      </c>
      <c r="N127">
        <f t="shared" si="25"/>
        <v>1263.3</v>
      </c>
      <c r="O127">
        <f t="shared" si="17"/>
        <v>15.5</v>
      </c>
      <c r="P127">
        <f t="shared" si="26"/>
        <v>1124.0999999999997</v>
      </c>
      <c r="Q127">
        <f t="shared" si="18"/>
        <v>7.8879451037051336</v>
      </c>
      <c r="R127">
        <f t="shared" si="27"/>
        <v>334.95685900261941</v>
      </c>
      <c r="S127">
        <f t="shared" si="19"/>
        <v>0</v>
      </c>
      <c r="T127">
        <f t="shared" si="28"/>
        <v>0</v>
      </c>
      <c r="U127">
        <f t="shared" si="20"/>
        <v>15.5</v>
      </c>
      <c r="V127">
        <f t="shared" si="29"/>
        <v>1124.0999999999997</v>
      </c>
      <c r="W127">
        <f t="shared" si="21"/>
        <v>125</v>
      </c>
      <c r="X127">
        <f t="shared" si="22"/>
        <v>1.6613299999999995</v>
      </c>
      <c r="Y127">
        <f t="shared" si="23"/>
        <v>1.1000000000000001</v>
      </c>
    </row>
    <row r="128" spans="8:25" x14ac:dyDescent="0.2">
      <c r="H128">
        <f t="shared" si="24"/>
        <v>126</v>
      </c>
      <c r="I128">
        <f t="shared" si="15"/>
        <v>277</v>
      </c>
      <c r="J128">
        <f>IFERROR(INDEX(clima!$C:$C,$I128),"")</f>
        <v>276</v>
      </c>
      <c r="K128">
        <f>IFERROR(INDEX(clima!$F:$F,$I128),"")</f>
        <v>18</v>
      </c>
      <c r="L128">
        <f>IFERROR(INDEX(clima!$J:$J,$I128),"")</f>
        <v>12.433290209750288</v>
      </c>
      <c r="M128">
        <f t="shared" si="16"/>
        <v>18</v>
      </c>
      <c r="N128">
        <f t="shared" si="25"/>
        <v>1281.3</v>
      </c>
      <c r="O128">
        <f t="shared" si="17"/>
        <v>18</v>
      </c>
      <c r="P128">
        <f t="shared" si="26"/>
        <v>1142.0999999999997</v>
      </c>
      <c r="Q128">
        <f t="shared" si="18"/>
        <v>9.2399701513712884</v>
      </c>
      <c r="R128">
        <f t="shared" si="27"/>
        <v>344.19682915399068</v>
      </c>
      <c r="S128">
        <f t="shared" si="19"/>
        <v>0</v>
      </c>
      <c r="T128">
        <f t="shared" si="28"/>
        <v>0</v>
      </c>
      <c r="U128">
        <f t="shared" si="20"/>
        <v>18</v>
      </c>
      <c r="V128">
        <f t="shared" si="29"/>
        <v>1142.0999999999997</v>
      </c>
      <c r="W128">
        <f t="shared" si="21"/>
        <v>126</v>
      </c>
      <c r="X128">
        <f t="shared" si="22"/>
        <v>1.6847299999999996</v>
      </c>
      <c r="Y128">
        <f t="shared" si="23"/>
        <v>1.1000000000000001</v>
      </c>
    </row>
    <row r="129" spans="8:25" x14ac:dyDescent="0.2">
      <c r="H129">
        <f t="shared" si="24"/>
        <v>127</v>
      </c>
      <c r="I129">
        <f t="shared" si="15"/>
        <v>278</v>
      </c>
      <c r="J129">
        <f>IFERROR(INDEX(clima!$C:$C,$I129),"")</f>
        <v>277</v>
      </c>
      <c r="K129">
        <f>IFERROR(INDEX(clima!$F:$F,$I129),"")</f>
        <v>20.3</v>
      </c>
      <c r="L129">
        <f>IFERROR(INDEX(clima!$J:$J,$I129),"")</f>
        <v>12.467587357177612</v>
      </c>
      <c r="M129">
        <f t="shared" si="16"/>
        <v>20.3</v>
      </c>
      <c r="N129">
        <f t="shared" si="25"/>
        <v>1301.5999999999999</v>
      </c>
      <c r="O129">
        <f t="shared" si="17"/>
        <v>20.3</v>
      </c>
      <c r="P129">
        <f t="shared" si="26"/>
        <v>1162.3999999999996</v>
      </c>
      <c r="Q129">
        <f t="shared" si="18"/>
        <v>10.509989199736943</v>
      </c>
      <c r="R129">
        <f t="shared" si="27"/>
        <v>354.70681835372761</v>
      </c>
      <c r="S129">
        <f t="shared" si="19"/>
        <v>0</v>
      </c>
      <c r="T129">
        <f t="shared" si="28"/>
        <v>0</v>
      </c>
      <c r="U129">
        <f t="shared" si="20"/>
        <v>20.3</v>
      </c>
      <c r="V129">
        <f t="shared" si="29"/>
        <v>1162.3999999999996</v>
      </c>
      <c r="W129">
        <f t="shared" si="21"/>
        <v>127</v>
      </c>
      <c r="X129">
        <f t="shared" si="22"/>
        <v>1.7111199999999995</v>
      </c>
      <c r="Y129">
        <f t="shared" si="23"/>
        <v>1.1000000000000001</v>
      </c>
    </row>
    <row r="130" spans="8:25" x14ac:dyDescent="0.2">
      <c r="H130">
        <f t="shared" si="24"/>
        <v>128</v>
      </c>
      <c r="I130">
        <f t="shared" ref="I130:I193" si="30">$F$26+H130</f>
        <v>279</v>
      </c>
      <c r="J130">
        <f>IFERROR(INDEX(clima!$C:$C,$I130),"")</f>
        <v>278</v>
      </c>
      <c r="K130">
        <f>IFERROR(INDEX(clima!$F:$F,$I130),"")</f>
        <v>20.7</v>
      </c>
      <c r="L130">
        <f>IFERROR(INDEX(clima!$J:$J,$I130),"")</f>
        <v>12.501798758630459</v>
      </c>
      <c r="M130">
        <f t="shared" ref="M130:M193" si="31">IF($K130="","",MAX(0,(IF($B$2="soja",MIN($K130,$F$4),$K130))-$F$2))</f>
        <v>20.7</v>
      </c>
      <c r="N130">
        <f t="shared" si="25"/>
        <v>1322.3</v>
      </c>
      <c r="O130">
        <f t="shared" ref="O130:O193" si="32">IF($K130="","",IF($I130&lt;$F$27,0,MAX(0,(IF($B$2="soja",MIN($K130,$F$4),$K130))-$F$3)))</f>
        <v>20.7</v>
      </c>
      <c r="P130">
        <f t="shared" si="26"/>
        <v>1183.0999999999997</v>
      </c>
      <c r="Q130">
        <f t="shared" ref="Q130:Q193" si="33">IF($K130="","",IF($I130&lt;$F$27,0,IF($B$2="trigo",MAX(0,$K130-$F$2)*MAX(0,(1-(((20-MIN(20,$L130))^2)*(0.01*$F$8)))),IF($B$2="maiz",MAX(0,$K130-$F$3),IF($B$2="soja",MAX(0,MIN($K130,$F$4)-$F$3)*MIN(1,MAX(0,1-MAX(0,($L130-$F$17))*0.3)),0)))))</f>
        <v>10.807559304423476</v>
      </c>
      <c r="R130">
        <f t="shared" si="27"/>
        <v>365.51437765815109</v>
      </c>
      <c r="S130">
        <f t="shared" ref="S130:S193" si="34">IF($K130="","",IF($I130&lt;$F$28,0,IF($B$2="trigo",MAX(0,$K130),IF($B$2="soja",MAX(0,MIN($K130,$F$4)-$F$3)*MIN(1,MAX(0,1-MAX(0,($L130-$F$19))*0.3)),0))))</f>
        <v>0</v>
      </c>
      <c r="T130">
        <f t="shared" si="28"/>
        <v>0</v>
      </c>
      <c r="U130">
        <f t="shared" ref="U130:U193" si="35">IF($K130="","",IF(OR($I130&lt;$F$27,$I130&gt;$F$42),0,MAX(0,$K130-$F$37)))</f>
        <v>20.7</v>
      </c>
      <c r="V130">
        <f t="shared" si="29"/>
        <v>1183.0999999999997</v>
      </c>
      <c r="W130">
        <f t="shared" ref="W130:W193" si="36">H130</f>
        <v>128</v>
      </c>
      <c r="X130">
        <f t="shared" ref="X130:X193" si="37">IF($I130="","",IF($I130&lt;$F$27,$F$38,IF($I130&lt;=$F$42,$F$38+($F$39*$V130)/100,$F$38+($F$39*INDEX($V:$V,$F$42))/100)))</f>
        <v>1.7380299999999997</v>
      </c>
      <c r="Y130">
        <f t="shared" ref="Y130:Y193" si="38">IF($I130="","",IF($I130&lt;$F$27,0,IF($P130&lt;=$F$6,$F$40,IF($P130&gt;=$F$7,$F$41,$F$40+($F$41-$F$40)*($P130-$F$6)/($F$7-$F$6)))))</f>
        <v>1.1000000000000001</v>
      </c>
    </row>
    <row r="131" spans="8:25" x14ac:dyDescent="0.2">
      <c r="H131">
        <f t="shared" ref="H131:H194" si="39">H130+1</f>
        <v>129</v>
      </c>
      <c r="I131">
        <f t="shared" si="30"/>
        <v>280</v>
      </c>
      <c r="J131">
        <f>IFERROR(INDEX(clima!$C:$C,$I131),"")</f>
        <v>279</v>
      </c>
      <c r="K131">
        <f>IFERROR(INDEX(clima!$F:$F,$I131),"")</f>
        <v>26.1</v>
      </c>
      <c r="L131">
        <f>IFERROR(INDEX(clima!$J:$J,$I131),"")</f>
        <v>12.535917598428513</v>
      </c>
      <c r="M131">
        <f t="shared" si="31"/>
        <v>26.1</v>
      </c>
      <c r="N131">
        <f t="shared" ref="N131:N194" si="40">IF(M131="",N130,N130+M131)</f>
        <v>1348.3999999999999</v>
      </c>
      <c r="O131">
        <f t="shared" si="32"/>
        <v>26.1</v>
      </c>
      <c r="P131">
        <f t="shared" ref="P131:P194" si="41">IF(O131="",P130,P130+O131)</f>
        <v>1209.1999999999996</v>
      </c>
      <c r="Q131">
        <f t="shared" si="33"/>
        <v>13.740176085280899</v>
      </c>
      <c r="R131">
        <f t="shared" ref="R131:R194" si="42">IF(Q131="",R130,R130+Q131)</f>
        <v>379.25455374343198</v>
      </c>
      <c r="S131">
        <f t="shared" si="34"/>
        <v>0</v>
      </c>
      <c r="T131">
        <f t="shared" ref="T131:T194" si="43">IF(S131="",T130,T130+S131)</f>
        <v>0</v>
      </c>
      <c r="U131">
        <f t="shared" si="35"/>
        <v>26.1</v>
      </c>
      <c r="V131">
        <f t="shared" ref="V131:V194" si="44">IF(U131="",V130,V130+U131)</f>
        <v>1209.1999999999996</v>
      </c>
      <c r="W131">
        <f t="shared" si="36"/>
        <v>129</v>
      </c>
      <c r="X131">
        <f t="shared" si="37"/>
        <v>1.7719599999999993</v>
      </c>
      <c r="Y131">
        <f t="shared" si="38"/>
        <v>1.1000000000000001</v>
      </c>
    </row>
    <row r="132" spans="8:25" x14ac:dyDescent="0.2">
      <c r="H132">
        <f t="shared" si="39"/>
        <v>130</v>
      </c>
      <c r="I132">
        <f t="shared" si="30"/>
        <v>281</v>
      </c>
      <c r="J132">
        <f>IFERROR(INDEX(clima!$C:$C,$I132),"")</f>
        <v>280</v>
      </c>
      <c r="K132">
        <f>IFERROR(INDEX(clima!$F:$F,$I132),"")</f>
        <v>26.6</v>
      </c>
      <c r="L132">
        <f>IFERROR(INDEX(clima!$J:$J,$I132),"")</f>
        <v>12.569936964299528</v>
      </c>
      <c r="M132">
        <f t="shared" si="31"/>
        <v>26.6</v>
      </c>
      <c r="N132">
        <f t="shared" si="40"/>
        <v>1374.9999999999998</v>
      </c>
      <c r="O132">
        <f t="shared" si="32"/>
        <v>26.6</v>
      </c>
      <c r="P132">
        <f t="shared" si="41"/>
        <v>1235.7999999999995</v>
      </c>
      <c r="Q132">
        <f t="shared" si="33"/>
        <v>14.117960318855502</v>
      </c>
      <c r="R132">
        <f t="shared" si="42"/>
        <v>393.37251406228751</v>
      </c>
      <c r="S132">
        <f t="shared" si="34"/>
        <v>0</v>
      </c>
      <c r="T132">
        <f t="shared" si="43"/>
        <v>0</v>
      </c>
      <c r="U132">
        <f t="shared" si="35"/>
        <v>26.6</v>
      </c>
      <c r="V132">
        <f t="shared" si="44"/>
        <v>1235.7999999999995</v>
      </c>
      <c r="W132">
        <f t="shared" si="36"/>
        <v>130</v>
      </c>
      <c r="X132">
        <f t="shared" si="37"/>
        <v>1.8065399999999994</v>
      </c>
      <c r="Y132">
        <f t="shared" si="38"/>
        <v>1.1000000000000001</v>
      </c>
    </row>
    <row r="133" spans="8:25" x14ac:dyDescent="0.2">
      <c r="H133">
        <f t="shared" si="39"/>
        <v>131</v>
      </c>
      <c r="I133">
        <f t="shared" si="30"/>
        <v>282</v>
      </c>
      <c r="J133">
        <f>IFERROR(INDEX(clima!$C:$C,$I133),"")</f>
        <v>281</v>
      </c>
      <c r="K133">
        <f>IFERROR(INDEX(clima!$F:$F,$I133),"")</f>
        <v>26.1</v>
      </c>
      <c r="L133">
        <f>IFERROR(INDEX(clima!$J:$J,$I133),"")</f>
        <v>12.603849841724987</v>
      </c>
      <c r="M133">
        <f t="shared" si="31"/>
        <v>26.1</v>
      </c>
      <c r="N133">
        <f t="shared" si="40"/>
        <v>1401.0999999999997</v>
      </c>
      <c r="O133">
        <f t="shared" si="32"/>
        <v>26.1</v>
      </c>
      <c r="P133">
        <f t="shared" si="41"/>
        <v>1261.8999999999994</v>
      </c>
      <c r="Q133">
        <f t="shared" si="33"/>
        <v>13.964131205221731</v>
      </c>
      <c r="R133">
        <f t="shared" si="42"/>
        <v>407.33664526750925</v>
      </c>
      <c r="S133">
        <f t="shared" si="34"/>
        <v>26.1</v>
      </c>
      <c r="T133">
        <f t="shared" si="43"/>
        <v>26.1</v>
      </c>
      <c r="U133">
        <f t="shared" si="35"/>
        <v>26.1</v>
      </c>
      <c r="V133">
        <f t="shared" si="44"/>
        <v>1261.8999999999994</v>
      </c>
      <c r="W133">
        <f t="shared" si="36"/>
        <v>131</v>
      </c>
      <c r="X133">
        <f t="shared" si="37"/>
        <v>1.8404699999999994</v>
      </c>
      <c r="Y133">
        <f t="shared" si="38"/>
        <v>1.1000000000000001</v>
      </c>
    </row>
    <row r="134" spans="8:25" x14ac:dyDescent="0.2">
      <c r="H134">
        <f t="shared" si="39"/>
        <v>132</v>
      </c>
      <c r="I134">
        <f t="shared" si="30"/>
        <v>283</v>
      </c>
      <c r="J134">
        <f>IFERROR(INDEX(clima!$C:$C,$I134),"")</f>
        <v>282</v>
      </c>
      <c r="K134">
        <f>IFERROR(INDEX(clima!$F:$F,$I134),"")</f>
        <v>20</v>
      </c>
      <c r="L134">
        <f>IFERROR(INDEX(clima!$J:$J,$I134),"")</f>
        <v>12.637649108495973</v>
      </c>
      <c r="M134">
        <f t="shared" si="31"/>
        <v>20</v>
      </c>
      <c r="N134">
        <f t="shared" si="40"/>
        <v>1421.0999999999997</v>
      </c>
      <c r="O134">
        <f t="shared" si="32"/>
        <v>20</v>
      </c>
      <c r="P134">
        <f t="shared" si="41"/>
        <v>1281.8999999999994</v>
      </c>
      <c r="Q134">
        <f t="shared" si="33"/>
        <v>10.785284189562873</v>
      </c>
      <c r="R134">
        <f t="shared" si="42"/>
        <v>418.12192945707216</v>
      </c>
      <c r="S134">
        <f t="shared" si="34"/>
        <v>20</v>
      </c>
      <c r="T134">
        <f t="shared" si="43"/>
        <v>46.1</v>
      </c>
      <c r="U134">
        <f t="shared" si="35"/>
        <v>20</v>
      </c>
      <c r="V134">
        <f t="shared" si="44"/>
        <v>1281.8999999999994</v>
      </c>
      <c r="W134">
        <f t="shared" si="36"/>
        <v>132</v>
      </c>
      <c r="X134">
        <f t="shared" si="37"/>
        <v>1.8664699999999994</v>
      </c>
      <c r="Y134">
        <f t="shared" si="38"/>
        <v>1.1000000000000001</v>
      </c>
    </row>
    <row r="135" spans="8:25" x14ac:dyDescent="0.2">
      <c r="H135">
        <f t="shared" si="39"/>
        <v>133</v>
      </c>
      <c r="I135">
        <f t="shared" si="30"/>
        <v>284</v>
      </c>
      <c r="J135">
        <f>IFERROR(INDEX(clima!$C:$C,$I135),"")</f>
        <v>283</v>
      </c>
      <c r="K135">
        <f>IFERROR(INDEX(clima!$F:$F,$I135),"")</f>
        <v>16.899999999999999</v>
      </c>
      <c r="L135">
        <f>IFERROR(INDEX(clima!$J:$J,$I135),"")</f>
        <v>12.671327529495512</v>
      </c>
      <c r="M135">
        <f t="shared" si="31"/>
        <v>16.899999999999999</v>
      </c>
      <c r="N135">
        <f t="shared" si="40"/>
        <v>1437.9999999999998</v>
      </c>
      <c r="O135">
        <f t="shared" si="32"/>
        <v>16.899999999999999</v>
      </c>
      <c r="P135">
        <f t="shared" si="41"/>
        <v>1298.7999999999995</v>
      </c>
      <c r="Q135">
        <f t="shared" si="33"/>
        <v>9.1846389181530039</v>
      </c>
      <c r="R135">
        <f t="shared" si="42"/>
        <v>427.30656837522514</v>
      </c>
      <c r="S135">
        <f t="shared" si="34"/>
        <v>16.899999999999999</v>
      </c>
      <c r="T135">
        <f t="shared" si="43"/>
        <v>63</v>
      </c>
      <c r="U135">
        <f t="shared" si="35"/>
        <v>16.899999999999999</v>
      </c>
      <c r="V135">
        <f t="shared" si="44"/>
        <v>1298.7999999999995</v>
      </c>
      <c r="W135">
        <f t="shared" si="36"/>
        <v>133</v>
      </c>
      <c r="X135">
        <f t="shared" si="37"/>
        <v>1.8884399999999992</v>
      </c>
      <c r="Y135">
        <f t="shared" si="38"/>
        <v>1.1000000000000001</v>
      </c>
    </row>
    <row r="136" spans="8:25" x14ac:dyDescent="0.2">
      <c r="H136">
        <f t="shared" si="39"/>
        <v>134</v>
      </c>
      <c r="I136">
        <f t="shared" si="30"/>
        <v>285</v>
      </c>
      <c r="J136">
        <f>IFERROR(INDEX(clima!$C:$C,$I136),"")</f>
        <v>284</v>
      </c>
      <c r="K136">
        <f>IFERROR(INDEX(clima!$F:$F,$I136),"")</f>
        <v>15</v>
      </c>
      <c r="L136">
        <f>IFERROR(INDEX(clima!$J:$J,$I136),"")</f>
        <v>12.704877751723975</v>
      </c>
      <c r="M136">
        <f t="shared" si="31"/>
        <v>15</v>
      </c>
      <c r="N136">
        <f t="shared" si="40"/>
        <v>1452.9999999999998</v>
      </c>
      <c r="O136">
        <f t="shared" si="32"/>
        <v>15</v>
      </c>
      <c r="P136">
        <f t="shared" si="41"/>
        <v>1313.7999999999995</v>
      </c>
      <c r="Q136">
        <f t="shared" si="33"/>
        <v>8.2146019012952891</v>
      </c>
      <c r="R136">
        <f t="shared" si="42"/>
        <v>435.52117027652042</v>
      </c>
      <c r="S136">
        <f t="shared" si="34"/>
        <v>15</v>
      </c>
      <c r="T136">
        <f t="shared" si="43"/>
        <v>78</v>
      </c>
      <c r="U136">
        <f t="shared" si="35"/>
        <v>15</v>
      </c>
      <c r="V136">
        <f t="shared" si="44"/>
        <v>1313.7999999999995</v>
      </c>
      <c r="W136">
        <f t="shared" si="36"/>
        <v>134</v>
      </c>
      <c r="X136">
        <f t="shared" si="37"/>
        <v>1.9079399999999995</v>
      </c>
      <c r="Y136">
        <f t="shared" si="38"/>
        <v>1.1000000000000001</v>
      </c>
    </row>
    <row r="137" spans="8:25" x14ac:dyDescent="0.2">
      <c r="H137">
        <f t="shared" si="39"/>
        <v>135</v>
      </c>
      <c r="I137">
        <f t="shared" si="30"/>
        <v>286</v>
      </c>
      <c r="J137">
        <f>IFERROR(INDEX(clima!$C:$C,$I137),"")</f>
        <v>285</v>
      </c>
      <c r="K137">
        <f>IFERROR(INDEX(clima!$F:$F,$I137),"")</f>
        <v>19.2</v>
      </c>
      <c r="L137">
        <f>IFERROR(INDEX(clima!$J:$J,$I137),"")</f>
        <v>12.738292299584542</v>
      </c>
      <c r="M137">
        <f t="shared" si="31"/>
        <v>19.2</v>
      </c>
      <c r="N137">
        <f t="shared" si="40"/>
        <v>1472.1999999999998</v>
      </c>
      <c r="O137">
        <f t="shared" si="32"/>
        <v>19.2</v>
      </c>
      <c r="P137">
        <f t="shared" si="41"/>
        <v>1332.9999999999995</v>
      </c>
      <c r="Q137">
        <f t="shared" si="33"/>
        <v>10.594072527872219</v>
      </c>
      <c r="R137">
        <f t="shared" si="42"/>
        <v>446.11524280439266</v>
      </c>
      <c r="S137">
        <f t="shared" si="34"/>
        <v>19.2</v>
      </c>
      <c r="T137">
        <f t="shared" si="43"/>
        <v>97.2</v>
      </c>
      <c r="U137">
        <f t="shared" si="35"/>
        <v>19.2</v>
      </c>
      <c r="V137">
        <f t="shared" si="44"/>
        <v>1332.9999999999995</v>
      </c>
      <c r="W137">
        <f t="shared" si="36"/>
        <v>135</v>
      </c>
      <c r="X137">
        <f t="shared" si="37"/>
        <v>1.9328999999999994</v>
      </c>
      <c r="Y137">
        <f t="shared" si="38"/>
        <v>1.1000000000000001</v>
      </c>
    </row>
    <row r="138" spans="8:25" x14ac:dyDescent="0.2">
      <c r="H138">
        <f t="shared" si="39"/>
        <v>136</v>
      </c>
      <c r="I138">
        <f t="shared" si="30"/>
        <v>287</v>
      </c>
      <c r="J138">
        <f>IFERROR(INDEX(clima!$C:$C,$I138),"")</f>
        <v>286</v>
      </c>
      <c r="K138">
        <f>IFERROR(INDEX(clima!$F:$F,$I138),"")</f>
        <v>23.9</v>
      </c>
      <c r="L138">
        <f>IFERROR(INDEX(clima!$J:$J,$I138),"")</f>
        <v>12.771563570446167</v>
      </c>
      <c r="M138">
        <f t="shared" si="31"/>
        <v>23.9</v>
      </c>
      <c r="N138">
        <f t="shared" si="40"/>
        <v>1496.1</v>
      </c>
      <c r="O138">
        <f t="shared" si="32"/>
        <v>23.9</v>
      </c>
      <c r="P138">
        <f t="shared" si="41"/>
        <v>1356.8999999999996</v>
      </c>
      <c r="Q138">
        <f t="shared" si="33"/>
        <v>13.285352933149088</v>
      </c>
      <c r="R138">
        <f t="shared" si="42"/>
        <v>459.40059573754178</v>
      </c>
      <c r="S138">
        <f t="shared" si="34"/>
        <v>23.9</v>
      </c>
      <c r="T138">
        <f t="shared" si="43"/>
        <v>121.1</v>
      </c>
      <c r="U138">
        <f t="shared" si="35"/>
        <v>23.9</v>
      </c>
      <c r="V138">
        <f t="shared" si="44"/>
        <v>1356.8999999999996</v>
      </c>
      <c r="W138">
        <f t="shared" si="36"/>
        <v>136</v>
      </c>
      <c r="X138">
        <f t="shared" si="37"/>
        <v>1.9639699999999995</v>
      </c>
      <c r="Y138">
        <f t="shared" si="38"/>
        <v>1.1000000000000001</v>
      </c>
    </row>
    <row r="139" spans="8:25" x14ac:dyDescent="0.2">
      <c r="H139">
        <f t="shared" si="39"/>
        <v>137</v>
      </c>
      <c r="I139">
        <f t="shared" si="30"/>
        <v>288</v>
      </c>
      <c r="J139">
        <f>IFERROR(INDEX(clima!$C:$C,$I139),"")</f>
        <v>287</v>
      </c>
      <c r="K139">
        <f>IFERROR(INDEX(clima!$F:$F,$I139),"")</f>
        <v>19.100000000000001</v>
      </c>
      <c r="L139">
        <f>IFERROR(INDEX(clima!$J:$J,$I139),"")</f>
        <v>12.80468383050178</v>
      </c>
      <c r="M139">
        <f t="shared" si="31"/>
        <v>19.100000000000001</v>
      </c>
      <c r="N139">
        <f t="shared" si="40"/>
        <v>1515.1999999999998</v>
      </c>
      <c r="O139">
        <f t="shared" si="32"/>
        <v>19.100000000000001</v>
      </c>
      <c r="P139">
        <f t="shared" si="41"/>
        <v>1375.9999999999995</v>
      </c>
      <c r="Q139">
        <f t="shared" si="33"/>
        <v>10.694722484622444</v>
      </c>
      <c r="R139">
        <f t="shared" si="42"/>
        <v>470.09531822216422</v>
      </c>
      <c r="S139">
        <f t="shared" si="34"/>
        <v>19.100000000000001</v>
      </c>
      <c r="T139">
        <f t="shared" si="43"/>
        <v>140.19999999999999</v>
      </c>
      <c r="U139">
        <f t="shared" si="35"/>
        <v>19.100000000000001</v>
      </c>
      <c r="V139">
        <f t="shared" si="44"/>
        <v>1375.9999999999995</v>
      </c>
      <c r="W139">
        <f t="shared" si="36"/>
        <v>137</v>
      </c>
      <c r="X139">
        <f t="shared" si="37"/>
        <v>1.9887999999999992</v>
      </c>
      <c r="Y139">
        <f t="shared" si="38"/>
        <v>1.1000000000000001</v>
      </c>
    </row>
    <row r="140" spans="8:25" x14ac:dyDescent="0.2">
      <c r="H140">
        <f t="shared" si="39"/>
        <v>138</v>
      </c>
      <c r="I140">
        <f t="shared" si="30"/>
        <v>289</v>
      </c>
      <c r="J140">
        <f>IFERROR(INDEX(clima!$C:$C,$I140),"")</f>
        <v>288</v>
      </c>
      <c r="K140">
        <f>IFERROR(INDEX(clima!$F:$F,$I140),"")</f>
        <v>20.3</v>
      </c>
      <c r="L140">
        <f>IFERROR(INDEX(clima!$J:$J,$I140),"")</f>
        <v>12.837645210939911</v>
      </c>
      <c r="M140">
        <f t="shared" si="31"/>
        <v>20.3</v>
      </c>
      <c r="N140">
        <f t="shared" si="40"/>
        <v>1535.4999999999998</v>
      </c>
      <c r="O140">
        <f t="shared" si="32"/>
        <v>20.3</v>
      </c>
      <c r="P140">
        <f t="shared" si="41"/>
        <v>1396.2999999999995</v>
      </c>
      <c r="Q140">
        <f t="shared" si="33"/>
        <v>11.448301277239612</v>
      </c>
      <c r="R140">
        <f t="shared" si="42"/>
        <v>481.54361949940386</v>
      </c>
      <c r="S140">
        <f t="shared" si="34"/>
        <v>20.3</v>
      </c>
      <c r="T140">
        <f t="shared" si="43"/>
        <v>160.5</v>
      </c>
      <c r="U140">
        <f t="shared" si="35"/>
        <v>20.3</v>
      </c>
      <c r="V140">
        <f t="shared" si="44"/>
        <v>1396.2999999999995</v>
      </c>
      <c r="W140">
        <f t="shared" si="36"/>
        <v>138</v>
      </c>
      <c r="X140">
        <f t="shared" si="37"/>
        <v>2.0151899999999996</v>
      </c>
      <c r="Y140">
        <f t="shared" si="38"/>
        <v>1.1000000000000001</v>
      </c>
    </row>
    <row r="141" spans="8:25" x14ac:dyDescent="0.2">
      <c r="H141">
        <f t="shared" si="39"/>
        <v>139</v>
      </c>
      <c r="I141">
        <f t="shared" si="30"/>
        <v>290</v>
      </c>
      <c r="J141">
        <f>IFERROR(INDEX(clima!$C:$C,$I141),"")</f>
        <v>289</v>
      </c>
      <c r="K141">
        <f>IFERROR(INDEX(clima!$F:$F,$I141),"")</f>
        <v>19.3</v>
      </c>
      <c r="L141">
        <f>IFERROR(INDEX(clima!$J:$J,$I141),"")</f>
        <v>12.870439704448165</v>
      </c>
      <c r="M141">
        <f t="shared" si="31"/>
        <v>19.3</v>
      </c>
      <c r="N141">
        <f t="shared" si="40"/>
        <v>1554.7999999999997</v>
      </c>
      <c r="O141">
        <f t="shared" si="32"/>
        <v>19.3</v>
      </c>
      <c r="P141">
        <f t="shared" si="41"/>
        <v>1415.5999999999995</v>
      </c>
      <c r="Q141">
        <f t="shared" si="33"/>
        <v>10.961235147202501</v>
      </c>
      <c r="R141">
        <f t="shared" si="42"/>
        <v>492.50485464660636</v>
      </c>
      <c r="S141">
        <f t="shared" si="34"/>
        <v>19.3</v>
      </c>
      <c r="T141">
        <f t="shared" si="43"/>
        <v>179.8</v>
      </c>
      <c r="U141">
        <f t="shared" si="35"/>
        <v>19.3</v>
      </c>
      <c r="V141">
        <f t="shared" si="44"/>
        <v>1415.5999999999995</v>
      </c>
      <c r="W141">
        <f t="shared" si="36"/>
        <v>139</v>
      </c>
      <c r="X141">
        <f t="shared" si="37"/>
        <v>2.0402799999999992</v>
      </c>
      <c r="Y141">
        <f t="shared" si="38"/>
        <v>1.1000000000000001</v>
      </c>
    </row>
    <row r="142" spans="8:25" x14ac:dyDescent="0.2">
      <c r="H142">
        <f t="shared" si="39"/>
        <v>140</v>
      </c>
      <c r="I142">
        <f t="shared" si="30"/>
        <v>291</v>
      </c>
      <c r="J142">
        <f>IFERROR(INDEX(clima!$C:$C,$I142),"")</f>
        <v>290</v>
      </c>
      <c r="K142">
        <f>IFERROR(INDEX(clima!$F:$F,$I142),"")</f>
        <v>17.5</v>
      </c>
      <c r="L142">
        <f>IFERROR(INDEX(clima!$J:$J,$I142),"")</f>
        <v>12.903059162067395</v>
      </c>
      <c r="M142">
        <f t="shared" si="31"/>
        <v>17.5</v>
      </c>
      <c r="N142">
        <f t="shared" si="40"/>
        <v>1572.2999999999997</v>
      </c>
      <c r="O142">
        <f t="shared" si="32"/>
        <v>17.5</v>
      </c>
      <c r="P142">
        <f t="shared" si="41"/>
        <v>1433.0999999999995</v>
      </c>
      <c r="Q142">
        <f t="shared" si="33"/>
        <v>10.007972823004062</v>
      </c>
      <c r="R142">
        <f t="shared" si="42"/>
        <v>502.51282746961044</v>
      </c>
      <c r="S142">
        <f t="shared" si="34"/>
        <v>17.5</v>
      </c>
      <c r="T142">
        <f t="shared" si="43"/>
        <v>197.3</v>
      </c>
      <c r="U142">
        <f t="shared" si="35"/>
        <v>17.5</v>
      </c>
      <c r="V142">
        <f t="shared" si="44"/>
        <v>1433.0999999999995</v>
      </c>
      <c r="W142">
        <f t="shared" si="36"/>
        <v>140</v>
      </c>
      <c r="X142">
        <f t="shared" si="37"/>
        <v>2.0630299999999995</v>
      </c>
      <c r="Y142">
        <f t="shared" si="38"/>
        <v>1.1000000000000001</v>
      </c>
    </row>
    <row r="143" spans="8:25" x14ac:dyDescent="0.2">
      <c r="H143">
        <f t="shared" si="39"/>
        <v>141</v>
      </c>
      <c r="I143">
        <f t="shared" si="30"/>
        <v>292</v>
      </c>
      <c r="J143">
        <f>IFERROR(INDEX(clima!$C:$C,$I143),"")</f>
        <v>291</v>
      </c>
      <c r="K143">
        <f>IFERROR(INDEX(clima!$F:$F,$I143),"")</f>
        <v>18.5</v>
      </c>
      <c r="L143">
        <f>IFERROR(INDEX(clima!$J:$J,$I143),"")</f>
        <v>12.935495290415503</v>
      </c>
      <c r="M143">
        <f t="shared" si="31"/>
        <v>18.5</v>
      </c>
      <c r="N143">
        <f t="shared" si="40"/>
        <v>1590.7999999999997</v>
      </c>
      <c r="O143">
        <f t="shared" si="32"/>
        <v>18.5</v>
      </c>
      <c r="P143">
        <f t="shared" si="41"/>
        <v>1451.5999999999995</v>
      </c>
      <c r="Q143">
        <f t="shared" si="33"/>
        <v>10.652088586998643</v>
      </c>
      <c r="R143">
        <f t="shared" si="42"/>
        <v>513.16491605660906</v>
      </c>
      <c r="S143">
        <f t="shared" si="34"/>
        <v>18.5</v>
      </c>
      <c r="T143">
        <f t="shared" si="43"/>
        <v>215.8</v>
      </c>
      <c r="U143">
        <f t="shared" si="35"/>
        <v>18.5</v>
      </c>
      <c r="V143">
        <f t="shared" si="44"/>
        <v>1451.5999999999995</v>
      </c>
      <c r="W143">
        <f t="shared" si="36"/>
        <v>141</v>
      </c>
      <c r="X143">
        <f t="shared" si="37"/>
        <v>2.0870799999999994</v>
      </c>
      <c r="Y143">
        <f t="shared" si="38"/>
        <v>1.1000000000000001</v>
      </c>
    </row>
    <row r="144" spans="8:25" x14ac:dyDescent="0.2">
      <c r="H144">
        <f t="shared" si="39"/>
        <v>142</v>
      </c>
      <c r="I144">
        <f t="shared" si="30"/>
        <v>293</v>
      </c>
      <c r="J144">
        <f>IFERROR(INDEX(clima!$C:$C,$I144),"")</f>
        <v>292</v>
      </c>
      <c r="K144">
        <f>IFERROR(INDEX(clima!$F:$F,$I144),"")</f>
        <v>18.100000000000001</v>
      </c>
      <c r="L144">
        <f>IFERROR(INDEX(clima!$J:$J,$I144),"")</f>
        <v>12.967739649300228</v>
      </c>
      <c r="M144">
        <f t="shared" si="31"/>
        <v>18.100000000000001</v>
      </c>
      <c r="N144">
        <f t="shared" si="40"/>
        <v>1608.8999999999996</v>
      </c>
      <c r="O144">
        <f t="shared" si="32"/>
        <v>18.100000000000001</v>
      </c>
      <c r="P144">
        <f t="shared" si="41"/>
        <v>1469.6999999999994</v>
      </c>
      <c r="Q144">
        <f t="shared" si="33"/>
        <v>10.491704314282295</v>
      </c>
      <c r="R144">
        <f t="shared" si="42"/>
        <v>523.65662037089135</v>
      </c>
      <c r="S144">
        <f t="shared" si="34"/>
        <v>18.100000000000001</v>
      </c>
      <c r="T144">
        <f t="shared" si="43"/>
        <v>233.9</v>
      </c>
      <c r="U144">
        <f t="shared" si="35"/>
        <v>18.100000000000001</v>
      </c>
      <c r="V144">
        <f t="shared" si="44"/>
        <v>1469.6999999999994</v>
      </c>
      <c r="W144">
        <f t="shared" si="36"/>
        <v>142</v>
      </c>
      <c r="X144">
        <f t="shared" si="37"/>
        <v>2.1106099999999994</v>
      </c>
      <c r="Y144">
        <f t="shared" si="38"/>
        <v>1.1000000000000001</v>
      </c>
    </row>
    <row r="145" spans="8:25" x14ac:dyDescent="0.2">
      <c r="H145">
        <f t="shared" si="39"/>
        <v>143</v>
      </c>
      <c r="I145">
        <f t="shared" si="30"/>
        <v>294</v>
      </c>
      <c r="J145">
        <f>IFERROR(INDEX(clima!$C:$C,$I145),"")</f>
        <v>293</v>
      </c>
      <c r="K145">
        <f>IFERROR(INDEX(clima!$F:$F,$I145),"")</f>
        <v>19.600000000000001</v>
      </c>
      <c r="L145">
        <f>IFERROR(INDEX(clima!$J:$J,$I145),"")</f>
        <v>12.999783649740248</v>
      </c>
      <c r="M145">
        <f t="shared" si="31"/>
        <v>19.600000000000001</v>
      </c>
      <c r="N145">
        <f t="shared" si="40"/>
        <v>1628.4999999999995</v>
      </c>
      <c r="O145">
        <f t="shared" si="32"/>
        <v>19.600000000000001</v>
      </c>
      <c r="P145">
        <f t="shared" si="41"/>
        <v>1489.2999999999993</v>
      </c>
      <c r="Q145">
        <f t="shared" si="33"/>
        <v>11.436095376856036</v>
      </c>
      <c r="R145">
        <f t="shared" si="42"/>
        <v>535.09271574774743</v>
      </c>
      <c r="S145">
        <f t="shared" si="34"/>
        <v>19.600000000000001</v>
      </c>
      <c r="T145">
        <f t="shared" si="43"/>
        <v>253.5</v>
      </c>
      <c r="U145">
        <f t="shared" si="35"/>
        <v>19.600000000000001</v>
      </c>
      <c r="V145">
        <f t="shared" si="44"/>
        <v>1489.2999999999993</v>
      </c>
      <c r="W145">
        <f t="shared" si="36"/>
        <v>143</v>
      </c>
      <c r="X145">
        <f t="shared" si="37"/>
        <v>2.1360899999999994</v>
      </c>
      <c r="Y145">
        <f t="shared" si="38"/>
        <v>1.1000000000000001</v>
      </c>
    </row>
    <row r="146" spans="8:25" x14ac:dyDescent="0.2">
      <c r="H146">
        <f t="shared" si="39"/>
        <v>144</v>
      </c>
      <c r="I146">
        <f t="shared" si="30"/>
        <v>295</v>
      </c>
      <c r="J146">
        <f>IFERROR(INDEX(clima!$C:$C,$I146),"")</f>
        <v>294</v>
      </c>
      <c r="K146">
        <f>IFERROR(INDEX(clima!$F:$F,$I146),"")</f>
        <v>19.399999999999999</v>
      </c>
      <c r="L146">
        <f>IFERROR(INDEX(clima!$J:$J,$I146),"")</f>
        <v>13.031618552414145</v>
      </c>
      <c r="M146">
        <f t="shared" si="31"/>
        <v>19.399999999999999</v>
      </c>
      <c r="N146">
        <f t="shared" si="40"/>
        <v>1647.8999999999996</v>
      </c>
      <c r="O146">
        <f t="shared" si="32"/>
        <v>19.399999999999999</v>
      </c>
      <c r="P146">
        <f t="shared" si="41"/>
        <v>1508.6999999999994</v>
      </c>
      <c r="Q146">
        <f t="shared" si="33"/>
        <v>11.392729734155212</v>
      </c>
      <c r="R146">
        <f t="shared" si="42"/>
        <v>546.48544548190262</v>
      </c>
      <c r="S146">
        <f t="shared" si="34"/>
        <v>19.399999999999999</v>
      </c>
      <c r="T146">
        <f t="shared" si="43"/>
        <v>272.89999999999998</v>
      </c>
      <c r="U146">
        <f t="shared" si="35"/>
        <v>19.399999999999999</v>
      </c>
      <c r="V146">
        <f t="shared" si="44"/>
        <v>1508.6999999999994</v>
      </c>
      <c r="W146">
        <f t="shared" si="36"/>
        <v>144</v>
      </c>
      <c r="X146">
        <f t="shared" si="37"/>
        <v>2.1613099999999994</v>
      </c>
      <c r="Y146">
        <f t="shared" si="38"/>
        <v>1.1000000000000001</v>
      </c>
    </row>
    <row r="147" spans="8:25" x14ac:dyDescent="0.2">
      <c r="H147">
        <f t="shared" si="39"/>
        <v>145</v>
      </c>
      <c r="I147">
        <f t="shared" si="30"/>
        <v>296</v>
      </c>
      <c r="J147">
        <f>IFERROR(INDEX(clima!$C:$C,$I147),"")</f>
        <v>295</v>
      </c>
      <c r="K147">
        <f>IFERROR(INDEX(clima!$F:$F,$I147),"")</f>
        <v>16.2</v>
      </c>
      <c r="L147">
        <f>IFERROR(INDEX(clima!$J:$J,$I147),"")</f>
        <v>13.063235466556781</v>
      </c>
      <c r="M147">
        <f t="shared" si="31"/>
        <v>16.2</v>
      </c>
      <c r="N147">
        <f t="shared" si="40"/>
        <v>1664.0999999999997</v>
      </c>
      <c r="O147">
        <f t="shared" si="32"/>
        <v>16.2</v>
      </c>
      <c r="P147">
        <f t="shared" si="41"/>
        <v>1524.8999999999994</v>
      </c>
      <c r="Q147">
        <f t="shared" si="33"/>
        <v>9.5740547081016025</v>
      </c>
      <c r="R147">
        <f t="shared" si="42"/>
        <v>556.0595001900042</v>
      </c>
      <c r="S147">
        <f t="shared" si="34"/>
        <v>16.2</v>
      </c>
      <c r="T147">
        <f t="shared" si="43"/>
        <v>289.09999999999997</v>
      </c>
      <c r="U147">
        <f t="shared" si="35"/>
        <v>16.2</v>
      </c>
      <c r="V147">
        <f t="shared" si="44"/>
        <v>1524.8999999999994</v>
      </c>
      <c r="W147">
        <f t="shared" si="36"/>
        <v>145</v>
      </c>
      <c r="X147">
        <f t="shared" si="37"/>
        <v>2.1823699999999993</v>
      </c>
      <c r="Y147">
        <f t="shared" si="38"/>
        <v>1.1000000000000001</v>
      </c>
    </row>
    <row r="148" spans="8:25" x14ac:dyDescent="0.2">
      <c r="H148">
        <f t="shared" si="39"/>
        <v>146</v>
      </c>
      <c r="I148">
        <f t="shared" si="30"/>
        <v>297</v>
      </c>
      <c r="J148">
        <f>IFERROR(INDEX(clima!$C:$C,$I148),"")</f>
        <v>296</v>
      </c>
      <c r="K148">
        <f>IFERROR(INDEX(clima!$F:$F,$I148),"")</f>
        <v>11.8</v>
      </c>
      <c r="L148">
        <f>IFERROR(INDEX(clima!$J:$J,$I148),"")</f>
        <v>13.094625349322552</v>
      </c>
      <c r="M148">
        <f t="shared" si="31"/>
        <v>11.8</v>
      </c>
      <c r="N148">
        <f t="shared" si="40"/>
        <v>1675.8999999999996</v>
      </c>
      <c r="O148">
        <f t="shared" si="32"/>
        <v>11.8</v>
      </c>
      <c r="P148">
        <f t="shared" si="41"/>
        <v>1536.6999999999994</v>
      </c>
      <c r="Q148">
        <f t="shared" si="33"/>
        <v>7.0172748336582655</v>
      </c>
      <c r="R148">
        <f t="shared" si="42"/>
        <v>563.07677502366244</v>
      </c>
      <c r="S148">
        <f t="shared" si="34"/>
        <v>11.8</v>
      </c>
      <c r="T148">
        <f t="shared" si="43"/>
        <v>300.89999999999998</v>
      </c>
      <c r="U148">
        <f t="shared" si="35"/>
        <v>11.8</v>
      </c>
      <c r="V148">
        <f t="shared" si="44"/>
        <v>1536.6999999999994</v>
      </c>
      <c r="W148">
        <f t="shared" si="36"/>
        <v>146</v>
      </c>
      <c r="X148">
        <f t="shared" si="37"/>
        <v>2.1977099999999994</v>
      </c>
      <c r="Y148">
        <f t="shared" si="38"/>
        <v>1.1000000000000001</v>
      </c>
    </row>
    <row r="149" spans="8:25" x14ac:dyDescent="0.2">
      <c r="H149">
        <f t="shared" si="39"/>
        <v>147</v>
      </c>
      <c r="I149">
        <f t="shared" si="30"/>
        <v>298</v>
      </c>
      <c r="J149">
        <f>IFERROR(INDEX(clima!$C:$C,$I149),"")</f>
        <v>297</v>
      </c>
      <c r="K149">
        <f>IFERROR(INDEX(clima!$F:$F,$I149),"")</f>
        <v>15.6</v>
      </c>
      <c r="L149">
        <f>IFERROR(INDEX(clima!$J:$J,$I149),"")</f>
        <v>13.125779005634895</v>
      </c>
      <c r="M149">
        <f t="shared" si="31"/>
        <v>15.6</v>
      </c>
      <c r="N149">
        <f t="shared" si="40"/>
        <v>1691.4999999999995</v>
      </c>
      <c r="O149">
        <f t="shared" si="32"/>
        <v>15.6</v>
      </c>
      <c r="P149">
        <f t="shared" si="41"/>
        <v>1552.2999999999993</v>
      </c>
      <c r="Q149">
        <f t="shared" si="33"/>
        <v>9.3339983665555391</v>
      </c>
      <c r="R149">
        <f t="shared" si="42"/>
        <v>572.41077339021797</v>
      </c>
      <c r="S149">
        <f t="shared" si="34"/>
        <v>15.6</v>
      </c>
      <c r="T149">
        <f t="shared" si="43"/>
        <v>316.5</v>
      </c>
      <c r="U149">
        <f t="shared" si="35"/>
        <v>15.6</v>
      </c>
      <c r="V149">
        <f t="shared" si="44"/>
        <v>1552.2999999999993</v>
      </c>
      <c r="W149">
        <f t="shared" si="36"/>
        <v>147</v>
      </c>
      <c r="X149">
        <f t="shared" si="37"/>
        <v>2.2179899999999995</v>
      </c>
      <c r="Y149">
        <f t="shared" si="38"/>
        <v>1.1000000000000001</v>
      </c>
    </row>
    <row r="150" spans="8:25" x14ac:dyDescent="0.2">
      <c r="H150">
        <f t="shared" si="39"/>
        <v>148</v>
      </c>
      <c r="I150">
        <f t="shared" si="30"/>
        <v>299</v>
      </c>
      <c r="J150">
        <f>IFERROR(INDEX(clima!$C:$C,$I150),"")</f>
        <v>298</v>
      </c>
      <c r="K150">
        <f>IFERROR(INDEX(clima!$F:$F,$I150),"")</f>
        <v>17.2</v>
      </c>
      <c r="L150">
        <f>IFERROR(INDEX(clima!$J:$J,$I150),"")</f>
        <v>13.156687088541192</v>
      </c>
      <c r="M150">
        <f t="shared" si="31"/>
        <v>17.2</v>
      </c>
      <c r="N150">
        <f t="shared" si="40"/>
        <v>1708.6999999999996</v>
      </c>
      <c r="O150">
        <f t="shared" si="32"/>
        <v>17.2</v>
      </c>
      <c r="P150">
        <f t="shared" si="41"/>
        <v>1569.4999999999993</v>
      </c>
      <c r="Q150">
        <f t="shared" si="33"/>
        <v>10.353317799474903</v>
      </c>
      <c r="R150">
        <f t="shared" si="42"/>
        <v>582.76409118969286</v>
      </c>
      <c r="S150">
        <f t="shared" si="34"/>
        <v>17.2</v>
      </c>
      <c r="T150">
        <f t="shared" si="43"/>
        <v>333.7</v>
      </c>
      <c r="U150">
        <f t="shared" si="35"/>
        <v>17.2</v>
      </c>
      <c r="V150">
        <f t="shared" si="44"/>
        <v>1569.4999999999993</v>
      </c>
      <c r="W150">
        <f t="shared" si="36"/>
        <v>148</v>
      </c>
      <c r="X150">
        <f t="shared" si="37"/>
        <v>2.2403499999999994</v>
      </c>
      <c r="Y150">
        <f t="shared" si="38"/>
        <v>1.1000000000000001</v>
      </c>
    </row>
    <row r="151" spans="8:25" x14ac:dyDescent="0.2">
      <c r="H151">
        <f t="shared" si="39"/>
        <v>149</v>
      </c>
      <c r="I151">
        <f t="shared" si="30"/>
        <v>300</v>
      </c>
      <c r="J151">
        <f>IFERROR(INDEX(clima!$C:$C,$I151),"")</f>
        <v>299</v>
      </c>
      <c r="K151">
        <f>IFERROR(INDEX(clima!$F:$F,$I151),"")</f>
        <v>19.8</v>
      </c>
      <c r="L151">
        <f>IFERROR(INDEX(clima!$J:$J,$I151),"")</f>
        <v>13.187340100091903</v>
      </c>
      <c r="M151">
        <f t="shared" si="31"/>
        <v>19.8</v>
      </c>
      <c r="N151">
        <f t="shared" si="40"/>
        <v>1728.4999999999995</v>
      </c>
      <c r="O151">
        <f t="shared" si="32"/>
        <v>19.8</v>
      </c>
      <c r="P151">
        <f t="shared" si="41"/>
        <v>1589.2999999999993</v>
      </c>
      <c r="Q151">
        <f t="shared" si="33"/>
        <v>11.988804034341401</v>
      </c>
      <c r="R151">
        <f t="shared" si="42"/>
        <v>594.75289522403432</v>
      </c>
      <c r="S151">
        <f t="shared" si="34"/>
        <v>19.8</v>
      </c>
      <c r="T151">
        <f t="shared" si="43"/>
        <v>353.5</v>
      </c>
      <c r="U151">
        <f t="shared" si="35"/>
        <v>19.8</v>
      </c>
      <c r="V151">
        <f t="shared" si="44"/>
        <v>1589.2999999999993</v>
      </c>
      <c r="W151">
        <f t="shared" si="36"/>
        <v>149</v>
      </c>
      <c r="X151">
        <f t="shared" si="37"/>
        <v>2.2660899999999993</v>
      </c>
      <c r="Y151">
        <f t="shared" si="38"/>
        <v>1.1000000000000001</v>
      </c>
    </row>
    <row r="152" spans="8:25" x14ac:dyDescent="0.2">
      <c r="H152">
        <f t="shared" si="39"/>
        <v>150</v>
      </c>
      <c r="I152">
        <f t="shared" si="30"/>
        <v>301</v>
      </c>
      <c r="J152">
        <f>IFERROR(INDEX(clima!$C:$C,$I152),"")</f>
        <v>300</v>
      </c>
      <c r="K152">
        <f>IFERROR(INDEX(clima!$F:$F,$I152),"")</f>
        <v>23.3</v>
      </c>
      <c r="L152">
        <f>IFERROR(INDEX(clima!$J:$J,$I152),"")</f>
        <v>13.217728392762272</v>
      </c>
      <c r="M152">
        <f t="shared" si="31"/>
        <v>23.3</v>
      </c>
      <c r="N152">
        <f t="shared" si="40"/>
        <v>1751.7999999999995</v>
      </c>
      <c r="O152">
        <f t="shared" si="32"/>
        <v>23.3</v>
      </c>
      <c r="P152">
        <f t="shared" si="41"/>
        <v>1612.5999999999992</v>
      </c>
      <c r="Q152">
        <f t="shared" si="33"/>
        <v>14.189856825032361</v>
      </c>
      <c r="R152">
        <f t="shared" si="42"/>
        <v>608.94275204906671</v>
      </c>
      <c r="S152">
        <f t="shared" si="34"/>
        <v>23.3</v>
      </c>
      <c r="T152">
        <f t="shared" si="43"/>
        <v>376.8</v>
      </c>
      <c r="U152">
        <f t="shared" si="35"/>
        <v>23.3</v>
      </c>
      <c r="V152">
        <f t="shared" si="44"/>
        <v>1612.5999999999992</v>
      </c>
      <c r="W152">
        <f t="shared" si="36"/>
        <v>150</v>
      </c>
      <c r="X152">
        <f t="shared" si="37"/>
        <v>2.2963799999999992</v>
      </c>
      <c r="Y152">
        <f t="shared" si="38"/>
        <v>1.1000000000000001</v>
      </c>
    </row>
    <row r="153" spans="8:25" x14ac:dyDescent="0.2">
      <c r="H153">
        <f t="shared" si="39"/>
        <v>151</v>
      </c>
      <c r="I153">
        <f t="shared" si="30"/>
        <v>302</v>
      </c>
      <c r="J153">
        <f>IFERROR(INDEX(clima!$C:$C,$I153),"")</f>
        <v>301</v>
      </c>
      <c r="K153">
        <f>IFERROR(INDEX(clima!$F:$F,$I153),"")</f>
        <v>19.7</v>
      </c>
      <c r="L153">
        <f>IFERROR(INDEX(clima!$J:$J,$I153),"")</f>
        <v>13.247842171434481</v>
      </c>
      <c r="M153">
        <f t="shared" si="31"/>
        <v>19.7</v>
      </c>
      <c r="N153">
        <f t="shared" si="40"/>
        <v>1771.4999999999995</v>
      </c>
      <c r="O153">
        <f t="shared" si="32"/>
        <v>19.7</v>
      </c>
      <c r="P153">
        <f t="shared" si="41"/>
        <v>1632.2999999999993</v>
      </c>
      <c r="Q153">
        <f t="shared" si="33"/>
        <v>12.065680662005775</v>
      </c>
      <c r="R153">
        <f t="shared" si="42"/>
        <v>621.00843271107249</v>
      </c>
      <c r="S153">
        <f t="shared" si="34"/>
        <v>19.7</v>
      </c>
      <c r="T153">
        <f t="shared" si="43"/>
        <v>396.5</v>
      </c>
      <c r="U153">
        <f t="shared" si="35"/>
        <v>19.7</v>
      </c>
      <c r="V153">
        <f t="shared" si="44"/>
        <v>1632.2999999999993</v>
      </c>
      <c r="W153">
        <f t="shared" si="36"/>
        <v>151</v>
      </c>
      <c r="X153">
        <f t="shared" si="37"/>
        <v>2.3219899999999991</v>
      </c>
      <c r="Y153">
        <f t="shared" si="38"/>
        <v>1.1000000000000001</v>
      </c>
    </row>
    <row r="154" spans="8:25" x14ac:dyDescent="0.2">
      <c r="H154">
        <f t="shared" si="39"/>
        <v>152</v>
      </c>
      <c r="I154">
        <f t="shared" si="30"/>
        <v>303</v>
      </c>
      <c r="J154">
        <f>IFERROR(INDEX(clima!$C:$C,$I154),"")</f>
        <v>302</v>
      </c>
      <c r="K154">
        <f>IFERROR(INDEX(clima!$F:$F,$I154),"")</f>
        <v>20.5</v>
      </c>
      <c r="L154">
        <f>IFERROR(INDEX(clima!$J:$J,$I154),"")</f>
        <v>13.277671495957389</v>
      </c>
      <c r="M154">
        <f t="shared" si="31"/>
        <v>20.5</v>
      </c>
      <c r="N154">
        <f t="shared" si="40"/>
        <v>1791.9999999999995</v>
      </c>
      <c r="O154">
        <f t="shared" si="32"/>
        <v>20.5</v>
      </c>
      <c r="P154">
        <f t="shared" si="41"/>
        <v>1652.7999999999993</v>
      </c>
      <c r="Q154">
        <f t="shared" si="33"/>
        <v>12.625694685041037</v>
      </c>
      <c r="R154">
        <f t="shared" si="42"/>
        <v>633.63412739611351</v>
      </c>
      <c r="S154">
        <f t="shared" si="34"/>
        <v>20.5</v>
      </c>
      <c r="T154">
        <f t="shared" si="43"/>
        <v>417</v>
      </c>
      <c r="U154">
        <f t="shared" si="35"/>
        <v>20.5</v>
      </c>
      <c r="V154">
        <f t="shared" si="44"/>
        <v>1652.7999999999993</v>
      </c>
      <c r="W154">
        <f t="shared" si="36"/>
        <v>152</v>
      </c>
      <c r="X154">
        <f t="shared" si="37"/>
        <v>2.3486399999999992</v>
      </c>
      <c r="Y154">
        <f t="shared" si="38"/>
        <v>1.1000000000000001</v>
      </c>
    </row>
    <row r="155" spans="8:25" x14ac:dyDescent="0.2">
      <c r="H155">
        <f t="shared" si="39"/>
        <v>153</v>
      </c>
      <c r="I155">
        <f t="shared" si="30"/>
        <v>304</v>
      </c>
      <c r="J155">
        <f>IFERROR(INDEX(clima!$C:$C,$I155),"")</f>
        <v>303</v>
      </c>
      <c r="K155">
        <f>IFERROR(INDEX(clima!$F:$F,$I155),"")</f>
        <v>20.5</v>
      </c>
      <c r="L155">
        <f>IFERROR(INDEX(clima!$J:$J,$I155),"")</f>
        <v>13.307206284300209</v>
      </c>
      <c r="M155">
        <f t="shared" si="31"/>
        <v>20.5</v>
      </c>
      <c r="N155">
        <f t="shared" si="40"/>
        <v>1812.4999999999995</v>
      </c>
      <c r="O155">
        <f t="shared" si="32"/>
        <v>20.5</v>
      </c>
      <c r="P155">
        <f t="shared" si="41"/>
        <v>1673.2999999999993</v>
      </c>
      <c r="Q155">
        <f t="shared" si="33"/>
        <v>12.694734764631326</v>
      </c>
      <c r="R155">
        <f t="shared" si="42"/>
        <v>646.32886216074485</v>
      </c>
      <c r="S155">
        <f t="shared" si="34"/>
        <v>20.5</v>
      </c>
      <c r="T155">
        <f t="shared" si="43"/>
        <v>437.5</v>
      </c>
      <c r="U155">
        <f t="shared" si="35"/>
        <v>20.5</v>
      </c>
      <c r="V155">
        <f t="shared" si="44"/>
        <v>1673.2999999999993</v>
      </c>
      <c r="W155">
        <f t="shared" si="36"/>
        <v>153</v>
      </c>
      <c r="X155">
        <f t="shared" si="37"/>
        <v>2.3752899999999992</v>
      </c>
      <c r="Y155">
        <f t="shared" si="38"/>
        <v>1.1000000000000001</v>
      </c>
    </row>
    <row r="156" spans="8:25" x14ac:dyDescent="0.2">
      <c r="H156">
        <f t="shared" si="39"/>
        <v>154</v>
      </c>
      <c r="I156">
        <f t="shared" si="30"/>
        <v>305</v>
      </c>
      <c r="J156">
        <f>IFERROR(INDEX(clima!$C:$C,$I156),"")</f>
        <v>304</v>
      </c>
      <c r="K156">
        <f>IFERROR(INDEX(clima!$F:$F,$I156),"")</f>
        <v>20.7</v>
      </c>
      <c r="L156">
        <f>IFERROR(INDEX(clima!$J:$J,$I156),"")</f>
        <v>13.336436316315588</v>
      </c>
      <c r="M156">
        <f t="shared" si="31"/>
        <v>20.7</v>
      </c>
      <c r="N156">
        <f t="shared" si="40"/>
        <v>1833.1999999999996</v>
      </c>
      <c r="O156">
        <f t="shared" si="32"/>
        <v>20.7</v>
      </c>
      <c r="P156">
        <f t="shared" si="41"/>
        <v>1693.9999999999993</v>
      </c>
      <c r="Q156">
        <f t="shared" si="33"/>
        <v>12.887277903941197</v>
      </c>
      <c r="R156">
        <f t="shared" si="42"/>
        <v>659.21614006468599</v>
      </c>
      <c r="S156">
        <f t="shared" si="34"/>
        <v>20.7</v>
      </c>
      <c r="T156">
        <f t="shared" si="43"/>
        <v>458.2</v>
      </c>
      <c r="U156">
        <f t="shared" si="35"/>
        <v>20.7</v>
      </c>
      <c r="V156">
        <f t="shared" si="44"/>
        <v>1693.9999999999993</v>
      </c>
      <c r="W156">
        <f t="shared" si="36"/>
        <v>154</v>
      </c>
      <c r="X156">
        <f t="shared" si="37"/>
        <v>2.4021999999999992</v>
      </c>
      <c r="Y156">
        <f t="shared" si="38"/>
        <v>1.1000000000000001</v>
      </c>
    </row>
    <row r="157" spans="8:25" x14ac:dyDescent="0.2">
      <c r="H157">
        <f t="shared" si="39"/>
        <v>155</v>
      </c>
      <c r="I157">
        <f t="shared" si="30"/>
        <v>306</v>
      </c>
      <c r="J157">
        <f>IFERROR(INDEX(clima!$C:$C,$I157),"")</f>
        <v>305</v>
      </c>
      <c r="K157">
        <f>IFERROR(INDEX(clima!$F:$F,$I157),"")</f>
        <v>17.5</v>
      </c>
      <c r="L157">
        <f>IFERROR(INDEX(clima!$J:$J,$I157),"")</f>
        <v>13.365351238126323</v>
      </c>
      <c r="M157">
        <f t="shared" si="31"/>
        <v>17.5</v>
      </c>
      <c r="N157">
        <f t="shared" si="40"/>
        <v>1850.6999999999996</v>
      </c>
      <c r="O157">
        <f t="shared" si="32"/>
        <v>17.5</v>
      </c>
      <c r="P157">
        <f t="shared" si="41"/>
        <v>1711.4999999999993</v>
      </c>
      <c r="Q157">
        <f t="shared" si="33"/>
        <v>10.952238576227003</v>
      </c>
      <c r="R157">
        <f t="shared" si="42"/>
        <v>670.16837864091303</v>
      </c>
      <c r="S157">
        <f t="shared" si="34"/>
        <v>17.5</v>
      </c>
      <c r="T157">
        <f t="shared" si="43"/>
        <v>475.7</v>
      </c>
      <c r="U157">
        <f t="shared" si="35"/>
        <v>17.5</v>
      </c>
      <c r="V157">
        <f t="shared" si="44"/>
        <v>1711.4999999999993</v>
      </c>
      <c r="W157">
        <f t="shared" si="36"/>
        <v>155</v>
      </c>
      <c r="X157">
        <f t="shared" si="37"/>
        <v>2.4249499999999995</v>
      </c>
      <c r="Y157">
        <f t="shared" si="38"/>
        <v>1.1000000000000001</v>
      </c>
    </row>
    <row r="158" spans="8:25" x14ac:dyDescent="0.2">
      <c r="H158">
        <f t="shared" si="39"/>
        <v>156</v>
      </c>
      <c r="I158">
        <f t="shared" si="30"/>
        <v>307</v>
      </c>
      <c r="J158">
        <f>IFERROR(INDEX(clima!$C:$C,$I158),"")</f>
        <v>306</v>
      </c>
      <c r="K158">
        <f>IFERROR(INDEX(clima!$F:$F,$I158),"")</f>
        <v>18.2</v>
      </c>
      <c r="L158">
        <f>IFERROR(INDEX(clima!$J:$J,$I158),"")</f>
        <v>13.393940567148917</v>
      </c>
      <c r="M158">
        <f t="shared" si="31"/>
        <v>18.2</v>
      </c>
      <c r="N158">
        <f t="shared" si="40"/>
        <v>1868.8999999999996</v>
      </c>
      <c r="O158">
        <f t="shared" si="32"/>
        <v>18.2</v>
      </c>
      <c r="P158">
        <f t="shared" si="41"/>
        <v>1729.6999999999994</v>
      </c>
      <c r="Q158">
        <f t="shared" si="33"/>
        <v>11.448888715663189</v>
      </c>
      <c r="R158">
        <f t="shared" si="42"/>
        <v>681.61726735657624</v>
      </c>
      <c r="S158">
        <f t="shared" si="34"/>
        <v>18.2</v>
      </c>
      <c r="T158">
        <f t="shared" si="43"/>
        <v>493.9</v>
      </c>
      <c r="U158">
        <f t="shared" si="35"/>
        <v>18.2</v>
      </c>
      <c r="V158">
        <f t="shared" si="44"/>
        <v>1729.6999999999994</v>
      </c>
      <c r="W158">
        <f t="shared" si="36"/>
        <v>156</v>
      </c>
      <c r="X158">
        <f t="shared" si="37"/>
        <v>2.4486099999999995</v>
      </c>
      <c r="Y158">
        <f t="shared" si="38"/>
        <v>1.1000000000000001</v>
      </c>
    </row>
    <row r="159" spans="8:25" x14ac:dyDescent="0.2">
      <c r="H159">
        <f t="shared" si="39"/>
        <v>157</v>
      </c>
      <c r="I159">
        <f t="shared" si="30"/>
        <v>308</v>
      </c>
      <c r="J159">
        <f>IFERROR(INDEX(clima!$C:$C,$I159),"")</f>
        <v>307</v>
      </c>
      <c r="K159">
        <f>IFERROR(INDEX(clima!$F:$F,$I159),"")</f>
        <v>18.3</v>
      </c>
      <c r="L159">
        <f>IFERROR(INDEX(clima!$J:$J,$I159),"")</f>
        <v>13.422193697765556</v>
      </c>
      <c r="M159">
        <f t="shared" si="31"/>
        <v>18.3</v>
      </c>
      <c r="N159">
        <f t="shared" si="40"/>
        <v>1887.1999999999996</v>
      </c>
      <c r="O159">
        <f t="shared" si="32"/>
        <v>18.3</v>
      </c>
      <c r="P159">
        <f t="shared" si="41"/>
        <v>1747.9999999999993</v>
      </c>
      <c r="Q159">
        <f t="shared" si="33"/>
        <v>11.569734814131804</v>
      </c>
      <c r="R159">
        <f t="shared" si="42"/>
        <v>693.18700217070807</v>
      </c>
      <c r="S159">
        <f t="shared" si="34"/>
        <v>18.3</v>
      </c>
      <c r="T159">
        <f t="shared" si="43"/>
        <v>512.19999999999993</v>
      </c>
      <c r="U159">
        <f t="shared" si="35"/>
        <v>18.3</v>
      </c>
      <c r="V159">
        <f t="shared" si="44"/>
        <v>1747.9999999999993</v>
      </c>
      <c r="W159">
        <f t="shared" si="36"/>
        <v>157</v>
      </c>
      <c r="X159">
        <f t="shared" si="37"/>
        <v>2.4723999999999995</v>
      </c>
      <c r="Y159">
        <f t="shared" si="38"/>
        <v>1.1000000000000001</v>
      </c>
    </row>
    <row r="160" spans="8:25" x14ac:dyDescent="0.2">
      <c r="H160">
        <f t="shared" si="39"/>
        <v>158</v>
      </c>
      <c r="I160">
        <f t="shared" si="30"/>
        <v>309</v>
      </c>
      <c r="J160">
        <f>IFERROR(INDEX(clima!$C:$C,$I160),"")</f>
        <v>308</v>
      </c>
      <c r="K160">
        <f>IFERROR(INDEX(clima!$F:$F,$I160),"")</f>
        <v>19</v>
      </c>
      <c r="L160">
        <f>IFERROR(INDEX(clima!$J:$J,$I160),"")</f>
        <v>13.450099907654756</v>
      </c>
      <c r="M160">
        <f t="shared" si="31"/>
        <v>19</v>
      </c>
      <c r="N160">
        <f t="shared" si="40"/>
        <v>1906.1999999999996</v>
      </c>
      <c r="O160">
        <f t="shared" si="32"/>
        <v>19</v>
      </c>
      <c r="P160">
        <f t="shared" si="41"/>
        <v>1766.9999999999993</v>
      </c>
      <c r="Q160">
        <f t="shared" si="33"/>
        <v>12.071457618017767</v>
      </c>
      <c r="R160">
        <f t="shared" si="42"/>
        <v>705.25845978872587</v>
      </c>
      <c r="S160">
        <f t="shared" si="34"/>
        <v>19</v>
      </c>
      <c r="T160">
        <f t="shared" si="43"/>
        <v>531.19999999999993</v>
      </c>
      <c r="U160">
        <f t="shared" si="35"/>
        <v>19</v>
      </c>
      <c r="V160">
        <f t="shared" si="44"/>
        <v>1766.9999999999993</v>
      </c>
      <c r="W160">
        <f t="shared" si="36"/>
        <v>158</v>
      </c>
      <c r="X160">
        <f t="shared" si="37"/>
        <v>2.4970999999999992</v>
      </c>
      <c r="Y160">
        <f t="shared" si="38"/>
        <v>1.1000000000000001</v>
      </c>
    </row>
    <row r="161" spans="8:25" x14ac:dyDescent="0.2">
      <c r="H161">
        <f t="shared" si="39"/>
        <v>159</v>
      </c>
      <c r="I161">
        <f t="shared" si="30"/>
        <v>310</v>
      </c>
      <c r="J161">
        <f>IFERROR(INDEX(clima!$C:$C,$I161),"")</f>
        <v>309</v>
      </c>
      <c r="K161">
        <f>IFERROR(INDEX(clima!$F:$F,$I161),"")</f>
        <v>19.600000000000001</v>
      </c>
      <c r="L161">
        <f>IFERROR(INDEX(clima!$J:$J,$I161),"")</f>
        <v>13.477648364789051</v>
      </c>
      <c r="M161">
        <f t="shared" si="31"/>
        <v>19.600000000000001</v>
      </c>
      <c r="N161">
        <f t="shared" si="40"/>
        <v>1925.7999999999995</v>
      </c>
      <c r="O161">
        <f t="shared" si="32"/>
        <v>19.600000000000001</v>
      </c>
      <c r="P161">
        <f t="shared" si="41"/>
        <v>1786.5999999999992</v>
      </c>
      <c r="Q161">
        <f t="shared" si="33"/>
        <v>12.512657595833732</v>
      </c>
      <c r="R161">
        <f t="shared" si="42"/>
        <v>717.7711173845596</v>
      </c>
      <c r="S161">
        <f t="shared" si="34"/>
        <v>19.600000000000001</v>
      </c>
      <c r="T161">
        <f t="shared" si="43"/>
        <v>550.79999999999995</v>
      </c>
      <c r="U161">
        <f t="shared" si="35"/>
        <v>19.600000000000001</v>
      </c>
      <c r="V161">
        <f t="shared" si="44"/>
        <v>1786.5999999999992</v>
      </c>
      <c r="W161">
        <f t="shared" si="36"/>
        <v>159</v>
      </c>
      <c r="X161">
        <f t="shared" si="37"/>
        <v>2.5225799999999992</v>
      </c>
      <c r="Y161">
        <f t="shared" si="38"/>
        <v>1.1000000000000001</v>
      </c>
    </row>
    <row r="162" spans="8:25" x14ac:dyDescent="0.2">
      <c r="H162">
        <f t="shared" si="39"/>
        <v>160</v>
      </c>
      <c r="I162">
        <f t="shared" si="30"/>
        <v>311</v>
      </c>
      <c r="J162">
        <f>IFERROR(INDEX(clima!$C:$C,$I162),"")</f>
        <v>310</v>
      </c>
      <c r="K162">
        <f>IFERROR(INDEX(clima!$F:$F,$I162),"")</f>
        <v>20</v>
      </c>
      <c r="L162">
        <f>IFERROR(INDEX(clima!$J:$J,$I162),"")</f>
        <v>13.504828135106276</v>
      </c>
      <c r="M162">
        <f t="shared" si="31"/>
        <v>20</v>
      </c>
      <c r="N162">
        <f t="shared" si="40"/>
        <v>1945.7999999999995</v>
      </c>
      <c r="O162">
        <f t="shared" si="32"/>
        <v>20</v>
      </c>
      <c r="P162">
        <f t="shared" si="41"/>
        <v>1806.5999999999992</v>
      </c>
      <c r="Q162">
        <f t="shared" si="33"/>
        <v>12.828166215733807</v>
      </c>
      <c r="R162">
        <f t="shared" si="42"/>
        <v>730.59928360029346</v>
      </c>
      <c r="S162">
        <f t="shared" si="34"/>
        <v>20</v>
      </c>
      <c r="T162">
        <f t="shared" si="43"/>
        <v>570.79999999999995</v>
      </c>
      <c r="U162">
        <f t="shared" si="35"/>
        <v>20</v>
      </c>
      <c r="V162">
        <f t="shared" si="44"/>
        <v>1806.5999999999992</v>
      </c>
      <c r="W162">
        <f t="shared" si="36"/>
        <v>160</v>
      </c>
      <c r="X162">
        <f t="shared" si="37"/>
        <v>2.5485799999999994</v>
      </c>
      <c r="Y162">
        <f t="shared" si="38"/>
        <v>1.1000000000000001</v>
      </c>
    </row>
    <row r="163" spans="8:25" x14ac:dyDescent="0.2">
      <c r="H163">
        <f t="shared" si="39"/>
        <v>161</v>
      </c>
      <c r="I163">
        <f t="shared" si="30"/>
        <v>312</v>
      </c>
      <c r="J163">
        <f>IFERROR(INDEX(clima!$C:$C,$I163),"")</f>
        <v>311</v>
      </c>
      <c r="K163">
        <f>IFERROR(INDEX(clima!$F:$F,$I163),"")</f>
        <v>20.8</v>
      </c>
      <c r="L163">
        <f>IFERROR(INDEX(clima!$J:$J,$I163),"")</f>
        <v>13.53162819085898</v>
      </c>
      <c r="M163">
        <f t="shared" si="31"/>
        <v>20.8</v>
      </c>
      <c r="N163">
        <f t="shared" si="40"/>
        <v>1966.5999999999995</v>
      </c>
      <c r="O163">
        <f t="shared" si="32"/>
        <v>20.8</v>
      </c>
      <c r="P163">
        <f t="shared" si="41"/>
        <v>1827.3999999999992</v>
      </c>
      <c r="Q163">
        <f t="shared" si="33"/>
        <v>13.402717373323879</v>
      </c>
      <c r="R163">
        <f t="shared" si="42"/>
        <v>744.00200097361733</v>
      </c>
      <c r="S163">
        <f t="shared" si="34"/>
        <v>20.8</v>
      </c>
      <c r="T163">
        <f t="shared" si="43"/>
        <v>591.59999999999991</v>
      </c>
      <c r="U163">
        <f t="shared" si="35"/>
        <v>20.8</v>
      </c>
      <c r="V163">
        <f t="shared" si="44"/>
        <v>1827.3999999999992</v>
      </c>
      <c r="W163">
        <f t="shared" si="36"/>
        <v>161</v>
      </c>
      <c r="X163">
        <f t="shared" si="37"/>
        <v>2.5756199999999994</v>
      </c>
      <c r="Y163">
        <f t="shared" si="38"/>
        <v>1.1000000000000001</v>
      </c>
    </row>
    <row r="164" spans="8:25" x14ac:dyDescent="0.2">
      <c r="H164">
        <f t="shared" si="39"/>
        <v>162</v>
      </c>
      <c r="I164">
        <f t="shared" si="30"/>
        <v>313</v>
      </c>
      <c r="J164">
        <f>IFERROR(INDEX(clima!$C:$C,$I164),"")</f>
        <v>312</v>
      </c>
      <c r="K164">
        <f>IFERROR(INDEX(clima!$F:$F,$I164),"")</f>
        <v>21.9</v>
      </c>
      <c r="L164">
        <f>IFERROR(INDEX(clima!$J:$J,$I164),"")</f>
        <v>13.558037419644263</v>
      </c>
      <c r="M164">
        <f t="shared" si="31"/>
        <v>21.9</v>
      </c>
      <c r="N164">
        <f t="shared" si="40"/>
        <v>1988.4999999999995</v>
      </c>
      <c r="O164">
        <f t="shared" si="32"/>
        <v>21.9</v>
      </c>
      <c r="P164">
        <f t="shared" si="41"/>
        <v>1849.2999999999993</v>
      </c>
      <c r="Q164">
        <f t="shared" si="33"/>
        <v>14.174983136790132</v>
      </c>
      <c r="R164">
        <f t="shared" si="42"/>
        <v>758.17698411040749</v>
      </c>
      <c r="S164">
        <f t="shared" si="34"/>
        <v>21.9</v>
      </c>
      <c r="T164">
        <f t="shared" si="43"/>
        <v>613.49999999999989</v>
      </c>
      <c r="U164">
        <f t="shared" si="35"/>
        <v>21.9</v>
      </c>
      <c r="V164">
        <f t="shared" si="44"/>
        <v>1849.2999999999993</v>
      </c>
      <c r="W164">
        <f t="shared" si="36"/>
        <v>162</v>
      </c>
      <c r="X164">
        <f t="shared" si="37"/>
        <v>2.6040899999999993</v>
      </c>
      <c r="Y164">
        <f t="shared" si="38"/>
        <v>1.1000000000000001</v>
      </c>
    </row>
    <row r="165" spans="8:25" x14ac:dyDescent="0.2">
      <c r="H165">
        <f t="shared" si="39"/>
        <v>163</v>
      </c>
      <c r="I165">
        <f t="shared" si="30"/>
        <v>314</v>
      </c>
      <c r="J165">
        <f>IFERROR(INDEX(clima!$C:$C,$I165),"")</f>
        <v>313</v>
      </c>
      <c r="K165">
        <f>IFERROR(INDEX(clima!$F:$F,$I165),"")</f>
        <v>21.6</v>
      </c>
      <c r="L165">
        <f>IFERROR(INDEX(clima!$J:$J,$I165),"")</f>
        <v>13.584044634113924</v>
      </c>
      <c r="M165">
        <f t="shared" si="31"/>
        <v>21.6</v>
      </c>
      <c r="N165">
        <f t="shared" si="40"/>
        <v>2010.0999999999995</v>
      </c>
      <c r="O165">
        <f t="shared" si="32"/>
        <v>21.6</v>
      </c>
      <c r="P165">
        <f t="shared" si="41"/>
        <v>1870.8999999999992</v>
      </c>
      <c r="Q165">
        <f t="shared" si="33"/>
        <v>14.042200874007031</v>
      </c>
      <c r="R165">
        <f t="shared" si="42"/>
        <v>772.21918498441448</v>
      </c>
      <c r="S165">
        <f t="shared" si="34"/>
        <v>21.6</v>
      </c>
      <c r="T165">
        <f t="shared" si="43"/>
        <v>635.09999999999991</v>
      </c>
      <c r="U165">
        <f t="shared" si="35"/>
        <v>21.6</v>
      </c>
      <c r="V165">
        <f t="shared" si="44"/>
        <v>1870.8999999999992</v>
      </c>
      <c r="W165">
        <f t="shared" si="36"/>
        <v>163</v>
      </c>
      <c r="X165">
        <f t="shared" si="37"/>
        <v>2.632169999999999</v>
      </c>
      <c r="Y165">
        <f t="shared" si="38"/>
        <v>1.1000000000000001</v>
      </c>
    </row>
    <row r="166" spans="8:25" x14ac:dyDescent="0.2">
      <c r="H166">
        <f t="shared" si="39"/>
        <v>164</v>
      </c>
      <c r="I166">
        <f t="shared" si="30"/>
        <v>315</v>
      </c>
      <c r="J166">
        <f>IFERROR(INDEX(clima!$C:$C,$I166),"")</f>
        <v>314</v>
      </c>
      <c r="K166">
        <f>IFERROR(INDEX(clima!$F:$F,$I166),"")</f>
        <v>20.6</v>
      </c>
      <c r="L166">
        <f>IFERROR(INDEX(clima!$J:$J,$I166),"")</f>
        <v>13.609638582362384</v>
      </c>
      <c r="M166">
        <f t="shared" si="31"/>
        <v>20.6</v>
      </c>
      <c r="N166">
        <f t="shared" si="40"/>
        <v>2030.6999999999994</v>
      </c>
      <c r="O166">
        <f t="shared" si="32"/>
        <v>20.6</v>
      </c>
      <c r="P166">
        <f t="shared" si="41"/>
        <v>1891.4999999999991</v>
      </c>
      <c r="Q166">
        <f t="shared" si="33"/>
        <v>13.449490494689696</v>
      </c>
      <c r="R166">
        <f t="shared" si="42"/>
        <v>785.66867547910419</v>
      </c>
      <c r="S166">
        <f t="shared" si="34"/>
        <v>20.6</v>
      </c>
      <c r="T166">
        <f t="shared" si="43"/>
        <v>655.69999999999993</v>
      </c>
      <c r="U166">
        <f t="shared" si="35"/>
        <v>20.6</v>
      </c>
      <c r="V166">
        <f t="shared" si="44"/>
        <v>1891.4999999999991</v>
      </c>
      <c r="W166">
        <f t="shared" si="36"/>
        <v>164</v>
      </c>
      <c r="X166">
        <f t="shared" si="37"/>
        <v>2.658949999999999</v>
      </c>
      <c r="Y166">
        <f t="shared" si="38"/>
        <v>1.1000000000000001</v>
      </c>
    </row>
    <row r="167" spans="8:25" x14ac:dyDescent="0.2">
      <c r="H167">
        <f t="shared" si="39"/>
        <v>165</v>
      </c>
      <c r="I167">
        <f t="shared" si="30"/>
        <v>316</v>
      </c>
      <c r="J167">
        <f>IFERROR(INDEX(clima!$C:$C,$I167),"")</f>
        <v>315</v>
      </c>
      <c r="K167">
        <f>IFERROR(INDEX(clima!$F:$F,$I167),"")</f>
        <v>20.5</v>
      </c>
      <c r="L167">
        <f>IFERROR(INDEX(clima!$J:$J,$I167),"")</f>
        <v>13.63480795898702</v>
      </c>
      <c r="M167">
        <f t="shared" si="31"/>
        <v>20.5</v>
      </c>
      <c r="N167">
        <f t="shared" si="40"/>
        <v>2051.1999999999994</v>
      </c>
      <c r="O167">
        <f t="shared" si="32"/>
        <v>20.5</v>
      </c>
      <c r="P167">
        <f t="shared" si="41"/>
        <v>1911.9999999999991</v>
      </c>
      <c r="Q167">
        <f t="shared" si="33"/>
        <v>13.440144551468606</v>
      </c>
      <c r="R167">
        <f t="shared" si="42"/>
        <v>799.10882003057282</v>
      </c>
      <c r="S167">
        <f t="shared" si="34"/>
        <v>20.5</v>
      </c>
      <c r="T167">
        <f t="shared" si="43"/>
        <v>676.19999999999993</v>
      </c>
      <c r="U167">
        <f t="shared" si="35"/>
        <v>20.5</v>
      </c>
      <c r="V167">
        <f t="shared" si="44"/>
        <v>1911.9999999999991</v>
      </c>
      <c r="W167">
        <f t="shared" si="36"/>
        <v>165</v>
      </c>
      <c r="X167">
        <f t="shared" si="37"/>
        <v>2.6855999999999991</v>
      </c>
      <c r="Y167">
        <f t="shared" si="38"/>
        <v>1.1000000000000001</v>
      </c>
    </row>
    <row r="168" spans="8:25" x14ac:dyDescent="0.2">
      <c r="H168">
        <f t="shared" si="39"/>
        <v>166</v>
      </c>
      <c r="I168">
        <f t="shared" si="30"/>
        <v>317</v>
      </c>
      <c r="J168">
        <f>IFERROR(INDEX(clima!$C:$C,$I168),"")</f>
        <v>316</v>
      </c>
      <c r="K168">
        <f>IFERROR(INDEX(clima!$F:$F,$I168),"")</f>
        <v>17.600000000000001</v>
      </c>
      <c r="L168">
        <f>IFERROR(INDEX(clima!$J:$J,$I168),"")</f>
        <v>13.659541416812827</v>
      </c>
      <c r="M168">
        <f t="shared" si="31"/>
        <v>17.600000000000001</v>
      </c>
      <c r="N168">
        <f t="shared" si="40"/>
        <v>2068.7999999999993</v>
      </c>
      <c r="O168">
        <f t="shared" si="32"/>
        <v>17.600000000000001</v>
      </c>
      <c r="P168">
        <f t="shared" si="41"/>
        <v>1929.599999999999</v>
      </c>
      <c r="Q168">
        <f t="shared" si="33"/>
        <v>11.585868309251261</v>
      </c>
      <c r="R168">
        <f t="shared" si="42"/>
        <v>810.6946883398241</v>
      </c>
      <c r="S168">
        <f t="shared" si="34"/>
        <v>17.600000000000001</v>
      </c>
      <c r="T168">
        <f t="shared" si="43"/>
        <v>693.8</v>
      </c>
      <c r="U168">
        <f t="shared" si="35"/>
        <v>17.600000000000001</v>
      </c>
      <c r="V168">
        <f t="shared" si="44"/>
        <v>1929.599999999999</v>
      </c>
      <c r="W168">
        <f t="shared" si="36"/>
        <v>166</v>
      </c>
      <c r="X168">
        <f t="shared" si="37"/>
        <v>2.7084799999999989</v>
      </c>
      <c r="Y168">
        <f t="shared" si="38"/>
        <v>1.1000000000000001</v>
      </c>
    </row>
    <row r="169" spans="8:25" x14ac:dyDescent="0.2">
      <c r="H169">
        <f t="shared" si="39"/>
        <v>167</v>
      </c>
      <c r="I169">
        <f t="shared" si="30"/>
        <v>318</v>
      </c>
      <c r="J169">
        <f>IFERROR(INDEX(clima!$C:$C,$I169),"")</f>
        <v>317</v>
      </c>
      <c r="K169">
        <f>IFERROR(INDEX(clima!$F:$F,$I169),"")</f>
        <v>16.3</v>
      </c>
      <c r="L169">
        <f>IFERROR(INDEX(clima!$J:$J,$I169),"")</f>
        <v>13.683827579270313</v>
      </c>
      <c r="M169">
        <f t="shared" si="31"/>
        <v>16.3</v>
      </c>
      <c r="N169">
        <f t="shared" si="40"/>
        <v>2085.0999999999995</v>
      </c>
      <c r="O169">
        <f t="shared" si="32"/>
        <v>16.3</v>
      </c>
      <c r="P169">
        <f t="shared" si="41"/>
        <v>1945.899999999999</v>
      </c>
      <c r="Q169">
        <f t="shared" si="33"/>
        <v>10.772681582596077</v>
      </c>
      <c r="R169">
        <f t="shared" si="42"/>
        <v>821.46736992242018</v>
      </c>
      <c r="S169">
        <f t="shared" si="34"/>
        <v>16.3</v>
      </c>
      <c r="T169">
        <f t="shared" si="43"/>
        <v>710.09999999999991</v>
      </c>
      <c r="U169">
        <f t="shared" si="35"/>
        <v>16.3</v>
      </c>
      <c r="V169">
        <f t="shared" si="44"/>
        <v>1945.899999999999</v>
      </c>
      <c r="W169">
        <f t="shared" si="36"/>
        <v>167</v>
      </c>
      <c r="X169">
        <f t="shared" si="37"/>
        <v>2.7296699999999987</v>
      </c>
      <c r="Y169">
        <f t="shared" si="38"/>
        <v>1.1000000000000001</v>
      </c>
    </row>
    <row r="170" spans="8:25" x14ac:dyDescent="0.2">
      <c r="H170">
        <f t="shared" si="39"/>
        <v>168</v>
      </c>
      <c r="I170">
        <f t="shared" si="30"/>
        <v>319</v>
      </c>
      <c r="J170">
        <f>IFERROR(INDEX(clima!$C:$C,$I170),"")</f>
        <v>318</v>
      </c>
      <c r="K170">
        <f>IFERROR(INDEX(clima!$F:$F,$I170),"")</f>
        <v>16.100000000000001</v>
      </c>
      <c r="L170">
        <f>IFERROR(INDEX(clima!$J:$J,$I170),"")</f>
        <v>13.707655053412381</v>
      </c>
      <c r="M170">
        <f t="shared" si="31"/>
        <v>16.100000000000001</v>
      </c>
      <c r="N170">
        <f t="shared" si="40"/>
        <v>2101.1999999999994</v>
      </c>
      <c r="O170">
        <f t="shared" si="32"/>
        <v>16.100000000000001</v>
      </c>
      <c r="P170">
        <f t="shared" si="41"/>
        <v>1961.9999999999989</v>
      </c>
      <c r="Q170">
        <f t="shared" si="33"/>
        <v>10.681615165761023</v>
      </c>
      <c r="R170">
        <f t="shared" si="42"/>
        <v>832.14898508818123</v>
      </c>
      <c r="S170">
        <f t="shared" si="34"/>
        <v>16.100000000000001</v>
      </c>
      <c r="T170">
        <f t="shared" si="43"/>
        <v>726.19999999999993</v>
      </c>
      <c r="U170">
        <f t="shared" si="35"/>
        <v>0</v>
      </c>
      <c r="V170">
        <f t="shared" si="44"/>
        <v>1945.899999999999</v>
      </c>
      <c r="W170">
        <f t="shared" si="36"/>
        <v>168</v>
      </c>
      <c r="X170">
        <f t="shared" si="37"/>
        <v>2.7296699999999987</v>
      </c>
      <c r="Y170">
        <f t="shared" si="38"/>
        <v>1.1000000000000001</v>
      </c>
    </row>
    <row r="171" spans="8:25" x14ac:dyDescent="0.2">
      <c r="H171">
        <f t="shared" si="39"/>
        <v>169</v>
      </c>
      <c r="I171">
        <f t="shared" si="30"/>
        <v>320</v>
      </c>
      <c r="J171">
        <f>IFERROR(INDEX(clima!$C:$C,$I171),"")</f>
        <v>319</v>
      </c>
      <c r="K171">
        <f>IFERROR(INDEX(clima!$F:$F,$I171),"")</f>
        <v>18.5</v>
      </c>
      <c r="L171">
        <f>IFERROR(INDEX(clima!$J:$J,$I171),"")</f>
        <v>13.731012443552851</v>
      </c>
      <c r="M171">
        <f t="shared" si="31"/>
        <v>18.5</v>
      </c>
      <c r="N171">
        <f t="shared" si="40"/>
        <v>2119.6999999999994</v>
      </c>
      <c r="O171">
        <f t="shared" si="32"/>
        <v>18.5</v>
      </c>
      <c r="P171">
        <f t="shared" si="41"/>
        <v>1980.4999999999989</v>
      </c>
      <c r="Q171">
        <f t="shared" si="33"/>
        <v>12.320042766440674</v>
      </c>
      <c r="R171">
        <f t="shared" si="42"/>
        <v>844.46902785462191</v>
      </c>
      <c r="S171">
        <f t="shared" si="34"/>
        <v>18.5</v>
      </c>
      <c r="T171">
        <f t="shared" si="43"/>
        <v>744.69999999999993</v>
      </c>
      <c r="U171">
        <f t="shared" si="35"/>
        <v>0</v>
      </c>
      <c r="V171">
        <f t="shared" si="44"/>
        <v>1945.899999999999</v>
      </c>
      <c r="W171">
        <f t="shared" si="36"/>
        <v>169</v>
      </c>
      <c r="X171">
        <f t="shared" si="37"/>
        <v>2.7296699999999987</v>
      </c>
      <c r="Y171">
        <f t="shared" si="38"/>
        <v>1.1000000000000001</v>
      </c>
    </row>
    <row r="172" spans="8:25" x14ac:dyDescent="0.2">
      <c r="H172">
        <f t="shared" si="39"/>
        <v>170</v>
      </c>
      <c r="I172">
        <f t="shared" si="30"/>
        <v>321</v>
      </c>
      <c r="J172">
        <f>IFERROR(INDEX(clima!$C:$C,$I172),"")</f>
        <v>320</v>
      </c>
      <c r="K172">
        <f>IFERROR(INDEX(clima!$F:$F,$I172),"")</f>
        <v>19.399999999999999</v>
      </c>
      <c r="L172">
        <f>IFERROR(INDEX(clima!$J:$J,$I172),"")</f>
        <v>13.753888365505832</v>
      </c>
      <c r="M172">
        <f t="shared" si="31"/>
        <v>19.399999999999999</v>
      </c>
      <c r="N172">
        <f t="shared" si="40"/>
        <v>2139.0999999999995</v>
      </c>
      <c r="O172">
        <f t="shared" si="32"/>
        <v>19.399999999999999</v>
      </c>
      <c r="P172">
        <f t="shared" si="41"/>
        <v>1999.899999999999</v>
      </c>
      <c r="Q172">
        <f t="shared" si="33"/>
        <v>12.966606150212092</v>
      </c>
      <c r="R172">
        <f t="shared" si="42"/>
        <v>857.43563400483401</v>
      </c>
      <c r="S172">
        <f t="shared" si="34"/>
        <v>19.399999999999999</v>
      </c>
      <c r="T172">
        <f t="shared" si="43"/>
        <v>764.09999999999991</v>
      </c>
      <c r="U172">
        <f t="shared" si="35"/>
        <v>0</v>
      </c>
      <c r="V172">
        <f t="shared" si="44"/>
        <v>1945.899999999999</v>
      </c>
      <c r="W172">
        <f t="shared" si="36"/>
        <v>170</v>
      </c>
      <c r="X172">
        <f t="shared" si="37"/>
        <v>2.7296699999999987</v>
      </c>
      <c r="Y172">
        <f t="shared" si="38"/>
        <v>1.1000000000000001</v>
      </c>
    </row>
    <row r="173" spans="8:25" x14ac:dyDescent="0.2">
      <c r="H173">
        <f t="shared" si="39"/>
        <v>171</v>
      </c>
      <c r="I173">
        <f t="shared" si="30"/>
        <v>322</v>
      </c>
      <c r="J173">
        <f>IFERROR(INDEX(clima!$C:$C,$I173),"")</f>
        <v>321</v>
      </c>
      <c r="K173">
        <f>IFERROR(INDEX(clima!$F:$F,$I173),"")</f>
        <v>20.3</v>
      </c>
      <c r="L173">
        <f>IFERROR(INDEX(clima!$J:$J,$I173),"")</f>
        <v>13.776271461401825</v>
      </c>
      <c r="M173">
        <f t="shared" si="31"/>
        <v>20.3</v>
      </c>
      <c r="N173">
        <f t="shared" si="40"/>
        <v>2159.3999999999996</v>
      </c>
      <c r="O173">
        <f t="shared" si="32"/>
        <v>20.3</v>
      </c>
      <c r="P173">
        <f t="shared" si="41"/>
        <v>2020.1999999999989</v>
      </c>
      <c r="Q173">
        <f t="shared" si="33"/>
        <v>13.616310791081055</v>
      </c>
      <c r="R173">
        <f t="shared" si="42"/>
        <v>871.05194479591512</v>
      </c>
      <c r="S173">
        <f t="shared" si="34"/>
        <v>20.3</v>
      </c>
      <c r="T173">
        <f t="shared" si="43"/>
        <v>784.39999999999986</v>
      </c>
      <c r="U173">
        <f t="shared" si="35"/>
        <v>0</v>
      </c>
      <c r="V173">
        <f t="shared" si="44"/>
        <v>1945.899999999999</v>
      </c>
      <c r="W173">
        <f t="shared" si="36"/>
        <v>171</v>
      </c>
      <c r="X173">
        <f t="shared" si="37"/>
        <v>2.7296699999999987</v>
      </c>
      <c r="Y173">
        <f t="shared" si="38"/>
        <v>1.1000000000000001</v>
      </c>
    </row>
    <row r="174" spans="8:25" x14ac:dyDescent="0.2">
      <c r="H174">
        <f t="shared" si="39"/>
        <v>172</v>
      </c>
      <c r="I174">
        <f t="shared" si="30"/>
        <v>323</v>
      </c>
      <c r="J174">
        <f>IFERROR(INDEX(clima!$C:$C,$I174),"")</f>
        <v>322</v>
      </c>
      <c r="K174">
        <f>IFERROR(INDEX(clima!$F:$F,$I174),"")</f>
        <v>20.5</v>
      </c>
      <c r="L174">
        <f>IFERROR(INDEX(clima!$J:$J,$I174),"")</f>
        <v>13.798150415053007</v>
      </c>
      <c r="M174">
        <f t="shared" si="31"/>
        <v>20.5</v>
      </c>
      <c r="N174">
        <f t="shared" si="40"/>
        <v>2179.8999999999996</v>
      </c>
      <c r="O174">
        <f t="shared" si="32"/>
        <v>20.5</v>
      </c>
      <c r="P174">
        <f t="shared" si="41"/>
        <v>2040.6999999999989</v>
      </c>
      <c r="Q174">
        <f t="shared" si="33"/>
        <v>13.797833005701973</v>
      </c>
      <c r="R174">
        <f t="shared" si="42"/>
        <v>884.84977780161705</v>
      </c>
      <c r="S174">
        <f t="shared" si="34"/>
        <v>20.5</v>
      </c>
      <c r="T174">
        <f t="shared" si="43"/>
        <v>804.89999999999986</v>
      </c>
      <c r="U174">
        <f t="shared" si="35"/>
        <v>0</v>
      </c>
      <c r="V174">
        <f t="shared" si="44"/>
        <v>1945.899999999999</v>
      </c>
      <c r="W174">
        <f t="shared" si="36"/>
        <v>172</v>
      </c>
      <c r="X174">
        <f t="shared" si="37"/>
        <v>2.7296699999999987</v>
      </c>
      <c r="Y174">
        <f t="shared" si="38"/>
        <v>1.1000000000000001</v>
      </c>
    </row>
    <row r="175" spans="8:25" x14ac:dyDescent="0.2">
      <c r="H175">
        <f t="shared" si="39"/>
        <v>173</v>
      </c>
      <c r="I175">
        <f t="shared" si="30"/>
        <v>324</v>
      </c>
      <c r="J175">
        <f>IFERROR(INDEX(clima!$C:$C,$I175),"")</f>
        <v>323</v>
      </c>
      <c r="K175">
        <f>IFERROR(INDEX(clima!$F:$F,$I175),"")</f>
        <v>21.7</v>
      </c>
      <c r="L175">
        <f>IFERROR(INDEX(clima!$J:$J,$I175),"")</f>
        <v>13.81951396783651</v>
      </c>
      <c r="M175">
        <f t="shared" si="31"/>
        <v>21.7</v>
      </c>
      <c r="N175">
        <f t="shared" si="40"/>
        <v>2201.5999999999995</v>
      </c>
      <c r="O175">
        <f t="shared" si="32"/>
        <v>21.7</v>
      </c>
      <c r="P175">
        <f t="shared" si="41"/>
        <v>2062.3999999999987</v>
      </c>
      <c r="Q175">
        <f t="shared" si="33"/>
        <v>14.654303719329492</v>
      </c>
      <c r="R175">
        <f t="shared" si="42"/>
        <v>899.50408152094656</v>
      </c>
      <c r="S175">
        <f t="shared" si="34"/>
        <v>21.7</v>
      </c>
      <c r="T175">
        <f t="shared" si="43"/>
        <v>826.59999999999991</v>
      </c>
      <c r="U175">
        <f t="shared" si="35"/>
        <v>0</v>
      </c>
      <c r="V175">
        <f t="shared" si="44"/>
        <v>1945.899999999999</v>
      </c>
      <c r="W175">
        <f t="shared" si="36"/>
        <v>173</v>
      </c>
      <c r="X175">
        <f t="shared" si="37"/>
        <v>2.7296699999999987</v>
      </c>
      <c r="Y175">
        <f t="shared" si="38"/>
        <v>1.1000000000000001</v>
      </c>
    </row>
    <row r="176" spans="8:25" x14ac:dyDescent="0.2">
      <c r="H176">
        <f t="shared" si="39"/>
        <v>174</v>
      </c>
      <c r="I176">
        <f t="shared" si="30"/>
        <v>325</v>
      </c>
      <c r="J176">
        <f>IFERROR(INDEX(clima!$C:$C,$I176),"")</f>
        <v>324</v>
      </c>
      <c r="K176">
        <f>IFERROR(INDEX(clima!$F:$F,$I176),"")</f>
        <v>21.5</v>
      </c>
      <c r="L176">
        <f>IFERROR(INDEX(clima!$J:$J,$I176),"")</f>
        <v>13.840350935061128</v>
      </c>
      <c r="M176">
        <f t="shared" si="31"/>
        <v>21.5</v>
      </c>
      <c r="N176">
        <f t="shared" si="40"/>
        <v>2223.0999999999995</v>
      </c>
      <c r="O176">
        <f t="shared" si="32"/>
        <v>21.5</v>
      </c>
      <c r="P176">
        <f t="shared" si="41"/>
        <v>2083.8999999999987</v>
      </c>
      <c r="Q176">
        <f t="shared" si="33"/>
        <v>14.566231700764776</v>
      </c>
      <c r="R176">
        <f t="shared" si="42"/>
        <v>914.07031322171133</v>
      </c>
      <c r="S176">
        <f t="shared" si="34"/>
        <v>21.5</v>
      </c>
      <c r="T176">
        <f t="shared" si="43"/>
        <v>848.09999999999991</v>
      </c>
      <c r="U176">
        <f t="shared" si="35"/>
        <v>0</v>
      </c>
      <c r="V176">
        <f t="shared" si="44"/>
        <v>1945.899999999999</v>
      </c>
      <c r="W176">
        <f t="shared" si="36"/>
        <v>174</v>
      </c>
      <c r="X176">
        <f t="shared" si="37"/>
        <v>2.7296699999999987</v>
      </c>
      <c r="Y176">
        <f t="shared" si="38"/>
        <v>1.1000000000000001</v>
      </c>
    </row>
    <row r="177" spans="8:25" x14ac:dyDescent="0.2">
      <c r="H177">
        <f t="shared" si="39"/>
        <v>175</v>
      </c>
      <c r="I177">
        <f t="shared" si="30"/>
        <v>326</v>
      </c>
      <c r="J177">
        <f>IFERROR(INDEX(clima!$C:$C,$I177),"")</f>
        <v>325</v>
      </c>
      <c r="K177">
        <f>IFERROR(INDEX(clima!$F:$F,$I177),"")</f>
        <v>16.100000000000001</v>
      </c>
      <c r="L177">
        <f>IFERROR(INDEX(clima!$J:$J,$I177),"")</f>
        <v>13.860650222779261</v>
      </c>
      <c r="M177">
        <f t="shared" si="31"/>
        <v>16.100000000000001</v>
      </c>
      <c r="N177">
        <f t="shared" si="40"/>
        <v>2239.1999999999994</v>
      </c>
      <c r="O177">
        <f t="shared" si="32"/>
        <v>16.100000000000001</v>
      </c>
      <c r="P177">
        <f t="shared" si="41"/>
        <v>2099.9999999999986</v>
      </c>
      <c r="Q177">
        <f t="shared" si="33"/>
        <v>10.941902393225794</v>
      </c>
      <c r="R177">
        <f t="shared" si="42"/>
        <v>925.01221561493708</v>
      </c>
      <c r="S177">
        <f t="shared" si="34"/>
        <v>16.100000000000001</v>
      </c>
      <c r="T177">
        <f t="shared" si="43"/>
        <v>864.19999999999993</v>
      </c>
      <c r="U177">
        <f t="shared" si="35"/>
        <v>0</v>
      </c>
      <c r="V177">
        <f t="shared" si="44"/>
        <v>1945.899999999999</v>
      </c>
      <c r="W177">
        <f t="shared" si="36"/>
        <v>175</v>
      </c>
      <c r="X177">
        <f t="shared" si="37"/>
        <v>2.7296699999999987</v>
      </c>
      <c r="Y177">
        <f t="shared" si="38"/>
        <v>1.1000000000000001</v>
      </c>
    </row>
    <row r="178" spans="8:25" x14ac:dyDescent="0.2">
      <c r="H178">
        <f t="shared" si="39"/>
        <v>176</v>
      </c>
      <c r="I178">
        <f t="shared" si="30"/>
        <v>327</v>
      </c>
      <c r="J178">
        <f>IFERROR(INDEX(clima!$C:$C,$I178),"")</f>
        <v>326</v>
      </c>
      <c r="K178">
        <f>IFERROR(INDEX(clima!$F:$F,$I178),"")</f>
        <v>17.5</v>
      </c>
      <c r="L178">
        <f>IFERROR(INDEX(clima!$J:$J,$I178),"")</f>
        <v>13.880400845002409</v>
      </c>
      <c r="M178">
        <f t="shared" si="31"/>
        <v>17.5</v>
      </c>
      <c r="N178">
        <f t="shared" si="40"/>
        <v>2256.6999999999994</v>
      </c>
      <c r="O178">
        <f t="shared" si="32"/>
        <v>17.5</v>
      </c>
      <c r="P178">
        <f t="shared" si="41"/>
        <v>2117.4999999999986</v>
      </c>
      <c r="Q178">
        <f t="shared" si="33"/>
        <v>11.929387794595225</v>
      </c>
      <c r="R178">
        <f t="shared" si="42"/>
        <v>936.94160340953226</v>
      </c>
      <c r="S178">
        <f t="shared" si="34"/>
        <v>17.5</v>
      </c>
      <c r="T178">
        <f t="shared" si="43"/>
        <v>881.69999999999993</v>
      </c>
      <c r="U178">
        <f t="shared" si="35"/>
        <v>0</v>
      </c>
      <c r="V178">
        <f t="shared" si="44"/>
        <v>1945.899999999999</v>
      </c>
      <c r="W178">
        <f t="shared" si="36"/>
        <v>176</v>
      </c>
      <c r="X178">
        <f t="shared" si="37"/>
        <v>2.7296699999999987</v>
      </c>
      <c r="Y178">
        <f t="shared" si="38"/>
        <v>1.1000000000000001</v>
      </c>
    </row>
    <row r="179" spans="8:25" x14ac:dyDescent="0.2">
      <c r="H179">
        <f t="shared" si="39"/>
        <v>177</v>
      </c>
      <c r="I179">
        <f t="shared" si="30"/>
        <v>328</v>
      </c>
      <c r="J179">
        <f>IFERROR(INDEX(clima!$C:$C,$I179),"")</f>
        <v>327</v>
      </c>
      <c r="K179">
        <f>IFERROR(INDEX(clima!$F:$F,$I179),"")</f>
        <v>23.6</v>
      </c>
      <c r="L179">
        <f>IFERROR(INDEX(clima!$J:$J,$I179),"")</f>
        <v>13.899591941275171</v>
      </c>
      <c r="M179">
        <f t="shared" si="31"/>
        <v>23.6</v>
      </c>
      <c r="N179">
        <f t="shared" si="40"/>
        <v>2280.2999999999993</v>
      </c>
      <c r="O179">
        <f t="shared" si="32"/>
        <v>23.6</v>
      </c>
      <c r="P179">
        <f t="shared" si="41"/>
        <v>2141.0999999999985</v>
      </c>
      <c r="Q179">
        <f t="shared" si="33"/>
        <v>16.13467531631926</v>
      </c>
      <c r="R179">
        <f t="shared" si="42"/>
        <v>953.07627872585158</v>
      </c>
      <c r="S179">
        <f t="shared" si="34"/>
        <v>23.6</v>
      </c>
      <c r="T179">
        <f t="shared" si="43"/>
        <v>905.3</v>
      </c>
      <c r="U179">
        <f t="shared" si="35"/>
        <v>0</v>
      </c>
      <c r="V179">
        <f t="shared" si="44"/>
        <v>1945.899999999999</v>
      </c>
      <c r="W179">
        <f t="shared" si="36"/>
        <v>177</v>
      </c>
      <c r="X179">
        <f t="shared" si="37"/>
        <v>2.7296699999999987</v>
      </c>
      <c r="Y179">
        <f t="shared" si="38"/>
        <v>1.1000000000000001</v>
      </c>
    </row>
    <row r="180" spans="8:25" x14ac:dyDescent="0.2">
      <c r="H180">
        <f t="shared" si="39"/>
        <v>178</v>
      </c>
      <c r="I180">
        <f t="shared" si="30"/>
        <v>329</v>
      </c>
      <c r="J180">
        <f>IFERROR(INDEX(clima!$C:$C,$I180),"")</f>
        <v>328</v>
      </c>
      <c r="K180">
        <f>IFERROR(INDEX(clima!$F:$F,$I180),"")</f>
        <v>25.7</v>
      </c>
      <c r="L180">
        <f>IFERROR(INDEX(clima!$J:$J,$I180),"")</f>
        <v>13.918212794559221</v>
      </c>
      <c r="M180">
        <f t="shared" si="31"/>
        <v>25.7</v>
      </c>
      <c r="N180">
        <f t="shared" si="40"/>
        <v>2305.9999999999991</v>
      </c>
      <c r="O180">
        <f t="shared" si="32"/>
        <v>25.7</v>
      </c>
      <c r="P180">
        <f t="shared" si="41"/>
        <v>2166.7999999999984</v>
      </c>
      <c r="Q180">
        <f t="shared" si="33"/>
        <v>17.619941775501111</v>
      </c>
      <c r="R180">
        <f t="shared" si="42"/>
        <v>970.69622050135274</v>
      </c>
      <c r="S180">
        <f t="shared" si="34"/>
        <v>25.7</v>
      </c>
      <c r="T180">
        <f t="shared" si="43"/>
        <v>931</v>
      </c>
      <c r="U180">
        <f t="shared" si="35"/>
        <v>0</v>
      </c>
      <c r="V180">
        <f t="shared" si="44"/>
        <v>1945.899999999999</v>
      </c>
      <c r="W180">
        <f t="shared" si="36"/>
        <v>178</v>
      </c>
      <c r="X180">
        <f t="shared" si="37"/>
        <v>2.7296699999999987</v>
      </c>
      <c r="Y180">
        <f t="shared" si="38"/>
        <v>1.1000000000000001</v>
      </c>
    </row>
    <row r="181" spans="8:25" x14ac:dyDescent="0.2">
      <c r="H181">
        <f t="shared" si="39"/>
        <v>179</v>
      </c>
      <c r="I181">
        <f t="shared" si="30"/>
        <v>330</v>
      </c>
      <c r="J181">
        <f>IFERROR(INDEX(clima!$C:$C,$I181),"")</f>
        <v>329</v>
      </c>
      <c r="K181">
        <f>IFERROR(INDEX(clima!$F:$F,$I181),"")</f>
        <v>20.9</v>
      </c>
      <c r="L181">
        <f>IFERROR(INDEX(clima!$J:$J,$I181),"")</f>
        <v>13.936252849375624</v>
      </c>
      <c r="M181">
        <f t="shared" si="31"/>
        <v>20.9</v>
      </c>
      <c r="N181">
        <f t="shared" si="40"/>
        <v>2326.8999999999992</v>
      </c>
      <c r="O181">
        <f t="shared" si="32"/>
        <v>20.9</v>
      </c>
      <c r="P181">
        <f t="shared" si="41"/>
        <v>2187.6999999999985</v>
      </c>
      <c r="Q181">
        <f t="shared" si="33"/>
        <v>14.367981908133812</v>
      </c>
      <c r="R181">
        <f t="shared" si="42"/>
        <v>985.0642024094866</v>
      </c>
      <c r="S181">
        <f t="shared" si="34"/>
        <v>20.9</v>
      </c>
      <c r="T181">
        <f t="shared" si="43"/>
        <v>951.9</v>
      </c>
      <c r="U181">
        <f t="shared" si="35"/>
        <v>0</v>
      </c>
      <c r="V181">
        <f t="shared" si="44"/>
        <v>1945.899999999999</v>
      </c>
      <c r="W181">
        <f t="shared" si="36"/>
        <v>179</v>
      </c>
      <c r="X181">
        <f t="shared" si="37"/>
        <v>2.7296699999999987</v>
      </c>
      <c r="Y181">
        <f t="shared" si="38"/>
        <v>1.1000000000000001</v>
      </c>
    </row>
    <row r="182" spans="8:25" x14ac:dyDescent="0.2">
      <c r="H182">
        <f t="shared" si="39"/>
        <v>180</v>
      </c>
      <c r="I182">
        <f t="shared" si="30"/>
        <v>331</v>
      </c>
      <c r="J182">
        <f>IFERROR(INDEX(clima!$C:$C,$I182),"")</f>
        <v>330</v>
      </c>
      <c r="K182">
        <f>IFERROR(INDEX(clima!$F:$F,$I182),"")</f>
        <v>21.5</v>
      </c>
      <c r="L182">
        <f>IFERROR(INDEX(clima!$J:$J,$I182),"")</f>
        <v>13.953701730150648</v>
      </c>
      <c r="M182">
        <f t="shared" si="31"/>
        <v>21.5</v>
      </c>
      <c r="N182">
        <f t="shared" si="40"/>
        <v>2348.3999999999992</v>
      </c>
      <c r="O182">
        <f t="shared" si="32"/>
        <v>21.5</v>
      </c>
      <c r="P182">
        <f t="shared" si="41"/>
        <v>2209.1999999999985</v>
      </c>
      <c r="Q182">
        <f t="shared" si="33"/>
        <v>14.819076164151058</v>
      </c>
      <c r="R182">
        <f t="shared" si="42"/>
        <v>999.88327857363765</v>
      </c>
      <c r="S182">
        <f t="shared" si="34"/>
        <v>21.5</v>
      </c>
      <c r="T182">
        <f t="shared" si="43"/>
        <v>973.4</v>
      </c>
      <c r="U182">
        <f t="shared" si="35"/>
        <v>0</v>
      </c>
      <c r="V182">
        <f t="shared" si="44"/>
        <v>1945.899999999999</v>
      </c>
      <c r="W182">
        <f t="shared" si="36"/>
        <v>180</v>
      </c>
      <c r="X182">
        <f t="shared" si="37"/>
        <v>2.7296699999999987</v>
      </c>
      <c r="Y182">
        <f t="shared" si="38"/>
        <v>1.1000000000000001</v>
      </c>
    </row>
    <row r="183" spans="8:25" x14ac:dyDescent="0.2">
      <c r="H183">
        <f t="shared" si="39"/>
        <v>181</v>
      </c>
      <c r="I183">
        <f t="shared" si="30"/>
        <v>332</v>
      </c>
      <c r="J183">
        <f>IFERROR(INDEX(clima!$C:$C,$I183),"")</f>
        <v>331</v>
      </c>
      <c r="K183">
        <f>IFERROR(INDEX(clima!$F:$F,$I183),"")</f>
        <v>23.5</v>
      </c>
      <c r="L183">
        <f>IFERROR(INDEX(clima!$J:$J,$I183),"")</f>
        <v>13.970549259707402</v>
      </c>
      <c r="M183">
        <f t="shared" si="31"/>
        <v>23.5</v>
      </c>
      <c r="N183">
        <f t="shared" si="40"/>
        <v>2371.8999999999992</v>
      </c>
      <c r="O183">
        <f t="shared" si="32"/>
        <v>23.5</v>
      </c>
      <c r="P183">
        <f t="shared" si="41"/>
        <v>2232.6999999999985</v>
      </c>
      <c r="Q183">
        <f t="shared" si="33"/>
        <v>16.238233323134413</v>
      </c>
      <c r="R183">
        <f t="shared" si="42"/>
        <v>1016.1215118967721</v>
      </c>
      <c r="S183">
        <f t="shared" si="34"/>
        <v>23.5</v>
      </c>
      <c r="T183">
        <f t="shared" si="43"/>
        <v>996.9</v>
      </c>
      <c r="U183">
        <f t="shared" si="35"/>
        <v>0</v>
      </c>
      <c r="V183">
        <f t="shared" si="44"/>
        <v>1945.899999999999</v>
      </c>
      <c r="W183">
        <f t="shared" si="36"/>
        <v>181</v>
      </c>
      <c r="X183">
        <f t="shared" si="37"/>
        <v>2.7296699999999987</v>
      </c>
      <c r="Y183">
        <f t="shared" si="38"/>
        <v>1.1000000000000001</v>
      </c>
    </row>
    <row r="184" spans="8:25" x14ac:dyDescent="0.2">
      <c r="H184">
        <f t="shared" si="39"/>
        <v>182</v>
      </c>
      <c r="I184">
        <f t="shared" si="30"/>
        <v>333</v>
      </c>
      <c r="J184">
        <f>IFERROR(INDEX(clima!$C:$C,$I184),"")</f>
        <v>332</v>
      </c>
      <c r="K184">
        <f>IFERROR(INDEX(clima!$F:$F,$I184),"")</f>
        <v>24.6</v>
      </c>
      <c r="L184">
        <f>IFERROR(INDEX(clima!$J:$J,$I184),"")</f>
        <v>13.986785477842862</v>
      </c>
      <c r="M184">
        <f t="shared" si="31"/>
        <v>24.6</v>
      </c>
      <c r="N184">
        <f t="shared" si="40"/>
        <v>2396.4999999999991</v>
      </c>
      <c r="O184">
        <f t="shared" si="32"/>
        <v>24.6</v>
      </c>
      <c r="P184">
        <f t="shared" si="41"/>
        <v>2257.2999999999984</v>
      </c>
      <c r="Q184">
        <f t="shared" si="33"/>
        <v>17.039205607209418</v>
      </c>
      <c r="R184">
        <f t="shared" si="42"/>
        <v>1033.1607175039815</v>
      </c>
      <c r="S184">
        <f t="shared" si="34"/>
        <v>24.6</v>
      </c>
      <c r="T184">
        <f t="shared" si="43"/>
        <v>1021.5</v>
      </c>
      <c r="U184">
        <f t="shared" si="35"/>
        <v>0</v>
      </c>
      <c r="V184">
        <f t="shared" si="44"/>
        <v>1945.899999999999</v>
      </c>
      <c r="W184">
        <f t="shared" si="36"/>
        <v>182</v>
      </c>
      <c r="X184">
        <f t="shared" si="37"/>
        <v>2.7296699999999987</v>
      </c>
      <c r="Y184">
        <f t="shared" si="38"/>
        <v>1.1000000000000001</v>
      </c>
    </row>
    <row r="185" spans="8:25" x14ac:dyDescent="0.2">
      <c r="H185">
        <f t="shared" si="39"/>
        <v>183</v>
      </c>
      <c r="I185">
        <f t="shared" si="30"/>
        <v>334</v>
      </c>
      <c r="J185">
        <f>IFERROR(INDEX(clima!$C:$C,$I185),"")</f>
        <v>333</v>
      </c>
      <c r="K185">
        <f>IFERROR(INDEX(clima!$F:$F,$I185),"")</f>
        <v>27.5</v>
      </c>
      <c r="L185">
        <f>IFERROR(INDEX(clima!$J:$J,$I185),"")</f>
        <v>14.002400659927414</v>
      </c>
      <c r="M185">
        <f t="shared" si="31"/>
        <v>27.5</v>
      </c>
      <c r="N185">
        <f t="shared" si="40"/>
        <v>2423.9999999999991</v>
      </c>
      <c r="O185">
        <f t="shared" si="32"/>
        <v>27.5</v>
      </c>
      <c r="P185">
        <f t="shared" si="41"/>
        <v>2284.7999999999984</v>
      </c>
      <c r="Q185">
        <f t="shared" si="33"/>
        <v>19.091732503955853</v>
      </c>
      <c r="R185">
        <f t="shared" si="42"/>
        <v>1052.2524500079373</v>
      </c>
      <c r="S185">
        <f t="shared" si="34"/>
        <v>27.5</v>
      </c>
      <c r="T185">
        <f t="shared" si="43"/>
        <v>1049</v>
      </c>
      <c r="U185">
        <f t="shared" si="35"/>
        <v>0</v>
      </c>
      <c r="V185">
        <f t="shared" si="44"/>
        <v>1945.899999999999</v>
      </c>
      <c r="W185">
        <f t="shared" si="36"/>
        <v>183</v>
      </c>
      <c r="X185">
        <f t="shared" si="37"/>
        <v>2.7296699999999987</v>
      </c>
      <c r="Y185">
        <f t="shared" si="38"/>
        <v>1.1000000000000001</v>
      </c>
    </row>
    <row r="186" spans="8:25" x14ac:dyDescent="0.2">
      <c r="H186">
        <f t="shared" si="39"/>
        <v>184</v>
      </c>
      <c r="I186">
        <f t="shared" si="30"/>
        <v>335</v>
      </c>
      <c r="J186">
        <f>IFERROR(INDEX(clima!$C:$C,$I186),"")</f>
        <v>334</v>
      </c>
      <c r="K186">
        <f>IFERROR(INDEX(clima!$F:$F,$I186),"")</f>
        <v>25.4</v>
      </c>
      <c r="L186">
        <f>IFERROR(INDEX(clima!$J:$J,$I186),"")</f>
        <v>14.017385335461872</v>
      </c>
      <c r="M186">
        <f t="shared" si="31"/>
        <v>25.4</v>
      </c>
      <c r="N186">
        <f t="shared" si="40"/>
        <v>2449.3999999999992</v>
      </c>
      <c r="O186">
        <f t="shared" si="32"/>
        <v>25.4</v>
      </c>
      <c r="P186">
        <f t="shared" si="41"/>
        <v>2310.1999999999985</v>
      </c>
      <c r="Q186">
        <f t="shared" si="33"/>
        <v>17.672576671363554</v>
      </c>
      <c r="R186">
        <f t="shared" si="42"/>
        <v>1069.9250266793008</v>
      </c>
      <c r="S186">
        <f t="shared" si="34"/>
        <v>25.4</v>
      </c>
      <c r="T186">
        <f t="shared" si="43"/>
        <v>1074.4000000000001</v>
      </c>
      <c r="U186">
        <f t="shared" si="35"/>
        <v>0</v>
      </c>
      <c r="V186">
        <f t="shared" si="44"/>
        <v>1945.899999999999</v>
      </c>
      <c r="W186">
        <f t="shared" si="36"/>
        <v>184</v>
      </c>
      <c r="X186">
        <f t="shared" si="37"/>
        <v>2.7296699999999987</v>
      </c>
      <c r="Y186">
        <f t="shared" si="38"/>
        <v>1.1000000000000001</v>
      </c>
    </row>
    <row r="187" spans="8:25" x14ac:dyDescent="0.2">
      <c r="H187">
        <f t="shared" si="39"/>
        <v>185</v>
      </c>
      <c r="I187">
        <f t="shared" si="30"/>
        <v>336</v>
      </c>
      <c r="J187">
        <f>IFERROR(INDEX(clima!$C:$C,$I187),"")</f>
        <v>335</v>
      </c>
      <c r="K187">
        <f>IFERROR(INDEX(clima!$F:$F,$I187),"")</f>
        <v>20.100000000000001</v>
      </c>
      <c r="L187">
        <f>IFERROR(INDEX(clima!$J:$J,$I187),"")</f>
        <v>14.031730306524958</v>
      </c>
      <c r="M187">
        <f t="shared" si="31"/>
        <v>20.100000000000001</v>
      </c>
      <c r="N187">
        <f t="shared" si="40"/>
        <v>2469.4999999999991</v>
      </c>
      <c r="O187">
        <f t="shared" si="32"/>
        <v>20.100000000000001</v>
      </c>
      <c r="P187">
        <f t="shared" si="41"/>
        <v>2330.2999999999984</v>
      </c>
      <c r="Q187">
        <f t="shared" si="33"/>
        <v>14.014281460547101</v>
      </c>
      <c r="R187">
        <f t="shared" si="42"/>
        <v>1083.939308139848</v>
      </c>
      <c r="S187">
        <f t="shared" si="34"/>
        <v>20.100000000000001</v>
      </c>
      <c r="T187">
        <f t="shared" si="43"/>
        <v>1094.5</v>
      </c>
      <c r="U187">
        <f t="shared" si="35"/>
        <v>0</v>
      </c>
      <c r="V187">
        <f t="shared" si="44"/>
        <v>1945.899999999999</v>
      </c>
      <c r="W187">
        <f t="shared" si="36"/>
        <v>185</v>
      </c>
      <c r="X187">
        <f t="shared" si="37"/>
        <v>2.7296699999999987</v>
      </c>
      <c r="Y187">
        <f t="shared" si="38"/>
        <v>1.1000000000000001</v>
      </c>
    </row>
    <row r="188" spans="8:25" x14ac:dyDescent="0.2">
      <c r="H188">
        <f t="shared" si="39"/>
        <v>186</v>
      </c>
      <c r="I188">
        <f t="shared" si="30"/>
        <v>337</v>
      </c>
      <c r="J188">
        <f>IFERROR(INDEX(clima!$C:$C,$I188),"")</f>
        <v>336</v>
      </c>
      <c r="K188">
        <f>IFERROR(INDEX(clima!$F:$F,$I188),"")</f>
        <v>20.2</v>
      </c>
      <c r="L188">
        <f>IFERROR(INDEX(clima!$J:$J,$I188),"")</f>
        <v>14.045426666042767</v>
      </c>
      <c r="M188">
        <f t="shared" si="31"/>
        <v>20.2</v>
      </c>
      <c r="N188">
        <f t="shared" si="40"/>
        <v>2489.6999999999989</v>
      </c>
      <c r="O188">
        <f t="shared" si="32"/>
        <v>20.2</v>
      </c>
      <c r="P188">
        <f t="shared" si="41"/>
        <v>2350.4999999999982</v>
      </c>
      <c r="Q188">
        <f t="shared" si="33"/>
        <v>14.112042785687217</v>
      </c>
      <c r="R188">
        <f t="shared" si="42"/>
        <v>1098.0513509255352</v>
      </c>
      <c r="S188">
        <f t="shared" si="34"/>
        <v>20.2</v>
      </c>
      <c r="T188">
        <f t="shared" si="43"/>
        <v>1114.7</v>
      </c>
      <c r="U188">
        <f t="shared" si="35"/>
        <v>0</v>
      </c>
      <c r="V188">
        <f t="shared" si="44"/>
        <v>1945.899999999999</v>
      </c>
      <c r="W188">
        <f t="shared" si="36"/>
        <v>186</v>
      </c>
      <c r="X188">
        <f t="shared" si="37"/>
        <v>2.7296699999999987</v>
      </c>
      <c r="Y188">
        <f t="shared" si="38"/>
        <v>1.1000000000000001</v>
      </c>
    </row>
    <row r="189" spans="8:25" x14ac:dyDescent="0.2">
      <c r="H189">
        <f t="shared" si="39"/>
        <v>187</v>
      </c>
      <c r="I189">
        <f t="shared" si="30"/>
        <v>338</v>
      </c>
      <c r="J189">
        <f>IFERROR(INDEX(clima!$C:$C,$I189),"")</f>
        <v>337</v>
      </c>
      <c r="K189">
        <f>IFERROR(INDEX(clima!$F:$F,$I189),"")</f>
        <v>22.5</v>
      </c>
      <c r="L189">
        <f>IFERROR(INDEX(clima!$J:$J,$I189),"")</f>
        <v>14.058465815810486</v>
      </c>
      <c r="M189">
        <f t="shared" si="31"/>
        <v>22.5</v>
      </c>
      <c r="N189">
        <f t="shared" si="40"/>
        <v>2512.1999999999989</v>
      </c>
      <c r="O189">
        <f t="shared" si="32"/>
        <v>22.5</v>
      </c>
      <c r="P189">
        <f t="shared" si="41"/>
        <v>2372.9999999999982</v>
      </c>
      <c r="Q189">
        <f t="shared" si="33"/>
        <v>15.74852530666305</v>
      </c>
      <c r="R189">
        <f t="shared" si="42"/>
        <v>1113.7998762321981</v>
      </c>
      <c r="S189">
        <f t="shared" si="34"/>
        <v>22.5</v>
      </c>
      <c r="T189">
        <f t="shared" si="43"/>
        <v>1137.2</v>
      </c>
      <c r="U189">
        <f t="shared" si="35"/>
        <v>0</v>
      </c>
      <c r="V189">
        <f t="shared" si="44"/>
        <v>1945.899999999999</v>
      </c>
      <c r="W189">
        <f t="shared" si="36"/>
        <v>187</v>
      </c>
      <c r="X189">
        <f t="shared" si="37"/>
        <v>2.7296699999999987</v>
      </c>
      <c r="Y189">
        <f t="shared" si="38"/>
        <v>1.1000000000000001</v>
      </c>
    </row>
    <row r="190" spans="8:25" x14ac:dyDescent="0.2">
      <c r="H190">
        <f t="shared" si="39"/>
        <v>188</v>
      </c>
      <c r="I190">
        <f t="shared" si="30"/>
        <v>339</v>
      </c>
      <c r="J190">
        <f>IFERROR(INDEX(clima!$C:$C,$I190),"")</f>
        <v>338</v>
      </c>
      <c r="K190">
        <f>IFERROR(INDEX(clima!$F:$F,$I190),"")</f>
        <v>23.2</v>
      </c>
      <c r="L190">
        <f>IFERROR(INDEX(clima!$J:$J,$I190),"")</f>
        <v>14.070839484195806</v>
      </c>
      <c r="M190">
        <f t="shared" si="31"/>
        <v>23.2</v>
      </c>
      <c r="N190">
        <f t="shared" si="40"/>
        <v>2535.3999999999987</v>
      </c>
      <c r="O190">
        <f t="shared" si="32"/>
        <v>23.2</v>
      </c>
      <c r="P190">
        <f t="shared" si="41"/>
        <v>2396.199999999998</v>
      </c>
      <c r="Q190">
        <f t="shared" si="33"/>
        <v>16.267444959947788</v>
      </c>
      <c r="R190">
        <f t="shared" si="42"/>
        <v>1130.067321192146</v>
      </c>
      <c r="S190">
        <f t="shared" si="34"/>
        <v>23.2</v>
      </c>
      <c r="T190">
        <f t="shared" si="43"/>
        <v>1160.4000000000001</v>
      </c>
      <c r="U190">
        <f t="shared" si="35"/>
        <v>0</v>
      </c>
      <c r="V190">
        <f t="shared" si="44"/>
        <v>1945.899999999999</v>
      </c>
      <c r="W190">
        <f t="shared" si="36"/>
        <v>188</v>
      </c>
      <c r="X190">
        <f t="shared" si="37"/>
        <v>2.7296699999999987</v>
      </c>
      <c r="Y190">
        <f t="shared" si="38"/>
        <v>1.1000000000000001</v>
      </c>
    </row>
    <row r="191" spans="8:25" x14ac:dyDescent="0.2">
      <c r="H191">
        <f t="shared" si="39"/>
        <v>189</v>
      </c>
      <c r="I191">
        <f t="shared" si="30"/>
        <v>340</v>
      </c>
      <c r="J191">
        <f>IFERROR(INDEX(clima!$C:$C,$I191),"")</f>
        <v>339</v>
      </c>
      <c r="K191">
        <f>IFERROR(INDEX(clima!$F:$F,$I191),"")</f>
        <v>25.2</v>
      </c>
      <c r="L191">
        <f>IFERROR(INDEX(clima!$J:$J,$I191),"")</f>
        <v>14.082539743453067</v>
      </c>
      <c r="M191">
        <f t="shared" si="31"/>
        <v>25.2</v>
      </c>
      <c r="N191">
        <f t="shared" si="40"/>
        <v>2560.5999999999985</v>
      </c>
      <c r="O191">
        <f t="shared" si="32"/>
        <v>25.2</v>
      </c>
      <c r="P191">
        <f t="shared" si="41"/>
        <v>2421.3999999999978</v>
      </c>
      <c r="Q191">
        <f t="shared" si="33"/>
        <v>17.699500852830564</v>
      </c>
      <c r="R191">
        <f t="shared" si="42"/>
        <v>1147.7668220449766</v>
      </c>
      <c r="S191">
        <f t="shared" si="34"/>
        <v>25.2</v>
      </c>
      <c r="T191">
        <f t="shared" si="43"/>
        <v>1185.6000000000001</v>
      </c>
      <c r="U191">
        <f t="shared" si="35"/>
        <v>0</v>
      </c>
      <c r="V191">
        <f t="shared" si="44"/>
        <v>1945.899999999999</v>
      </c>
      <c r="W191">
        <f t="shared" si="36"/>
        <v>189</v>
      </c>
      <c r="X191">
        <f t="shared" si="37"/>
        <v>2.7296699999999987</v>
      </c>
      <c r="Y191">
        <f t="shared" si="38"/>
        <v>1.1000000000000001</v>
      </c>
    </row>
    <row r="192" spans="8:25" x14ac:dyDescent="0.2">
      <c r="H192">
        <f t="shared" si="39"/>
        <v>190</v>
      </c>
      <c r="I192">
        <f t="shared" si="30"/>
        <v>341</v>
      </c>
      <c r="J192">
        <f>IFERROR(INDEX(clima!$C:$C,$I192),"")</f>
        <v>340</v>
      </c>
      <c r="K192">
        <f>IFERROR(INDEX(clima!$F:$F,$I192),"")</f>
        <v>25.9</v>
      </c>
      <c r="L192">
        <f>IFERROR(INDEX(clima!$J:$J,$I192),"")</f>
        <v>14.093559026577182</v>
      </c>
      <c r="M192">
        <f t="shared" si="31"/>
        <v>25.9</v>
      </c>
      <c r="N192">
        <f t="shared" si="40"/>
        <v>2586.4999999999986</v>
      </c>
      <c r="O192">
        <f t="shared" si="32"/>
        <v>25.9</v>
      </c>
      <c r="P192">
        <f t="shared" si="41"/>
        <v>2447.2999999999979</v>
      </c>
      <c r="Q192">
        <f t="shared" si="33"/>
        <v>18.219837199297984</v>
      </c>
      <c r="R192">
        <f t="shared" si="42"/>
        <v>1165.9866592442745</v>
      </c>
      <c r="S192">
        <f t="shared" si="34"/>
        <v>25.9</v>
      </c>
      <c r="T192">
        <f t="shared" si="43"/>
        <v>1211.5000000000002</v>
      </c>
      <c r="U192">
        <f t="shared" si="35"/>
        <v>0</v>
      </c>
      <c r="V192">
        <f t="shared" si="44"/>
        <v>1945.899999999999</v>
      </c>
      <c r="W192">
        <f t="shared" si="36"/>
        <v>190</v>
      </c>
      <c r="X192">
        <f t="shared" si="37"/>
        <v>2.7296699999999987</v>
      </c>
      <c r="Y192">
        <f t="shared" si="38"/>
        <v>1.1000000000000001</v>
      </c>
    </row>
    <row r="193" spans="8:25" x14ac:dyDescent="0.2">
      <c r="H193">
        <f t="shared" si="39"/>
        <v>191</v>
      </c>
      <c r="I193">
        <f t="shared" si="30"/>
        <v>342</v>
      </c>
      <c r="J193">
        <f>IFERROR(INDEX(clima!$C:$C,$I193),"")</f>
        <v>341</v>
      </c>
      <c r="K193">
        <f>IFERROR(INDEX(clima!$F:$F,$I193),"")</f>
        <v>25.9</v>
      </c>
      <c r="L193">
        <f>IFERROR(INDEX(clima!$J:$J,$I193),"")</f>
        <v>14.103890143626824</v>
      </c>
      <c r="M193">
        <f t="shared" si="31"/>
        <v>25.9</v>
      </c>
      <c r="N193">
        <f t="shared" si="40"/>
        <v>2612.3999999999987</v>
      </c>
      <c r="O193">
        <f t="shared" si="32"/>
        <v>25.9</v>
      </c>
      <c r="P193">
        <f t="shared" si="41"/>
        <v>2473.199999999998</v>
      </c>
      <c r="Q193">
        <f t="shared" si="33"/>
        <v>18.246680866831635</v>
      </c>
      <c r="R193">
        <f t="shared" si="42"/>
        <v>1184.2333401111061</v>
      </c>
      <c r="S193">
        <f t="shared" si="34"/>
        <v>25.9</v>
      </c>
      <c r="T193">
        <f t="shared" si="43"/>
        <v>1237.4000000000003</v>
      </c>
      <c r="U193">
        <f t="shared" si="35"/>
        <v>0</v>
      </c>
      <c r="V193">
        <f t="shared" si="44"/>
        <v>1945.899999999999</v>
      </c>
      <c r="W193">
        <f t="shared" si="36"/>
        <v>191</v>
      </c>
      <c r="X193">
        <f t="shared" si="37"/>
        <v>2.7296699999999987</v>
      </c>
      <c r="Y193">
        <f t="shared" si="38"/>
        <v>1.1000000000000001</v>
      </c>
    </row>
    <row r="194" spans="8:25" x14ac:dyDescent="0.2">
      <c r="H194">
        <f t="shared" si="39"/>
        <v>192</v>
      </c>
      <c r="I194">
        <f t="shared" ref="I194:I257" si="45">$F$26+H194</f>
        <v>343</v>
      </c>
      <c r="J194">
        <f>IFERROR(INDEX(clima!$C:$C,$I194),"")</f>
        <v>342</v>
      </c>
      <c r="K194">
        <f>IFERROR(INDEX(clima!$F:$F,$I194),"")</f>
        <v>26.1</v>
      </c>
      <c r="L194">
        <f>IFERROR(INDEX(clima!$J:$J,$I194),"")</f>
        <v>14.113526297447208</v>
      </c>
      <c r="M194">
        <f t="shared" ref="M194:M257" si="46">IF($K194="","",MAX(0,(IF($B$2="soja",MIN($K194,$F$4),$K194))-$F$2))</f>
        <v>26.1</v>
      </c>
      <c r="N194">
        <f t="shared" si="40"/>
        <v>2638.4999999999986</v>
      </c>
      <c r="O194">
        <f t="shared" ref="O194:O257" si="47">IF($K194="","",IF($I194&lt;$F$27,0,MAX(0,(IF($B$2="soja",MIN($K194,$F$4),$K194))-$F$3)))</f>
        <v>26.1</v>
      </c>
      <c r="P194">
        <f t="shared" si="41"/>
        <v>2499.2999999999979</v>
      </c>
      <c r="Q194">
        <f t="shared" ref="Q194:Q257" si="48">IF($K194="","",IF($I194&lt;$F$27,0,IF($B$2="trigo",MAX(0,$K194-$F$2)*MAX(0,(1-(((20-MIN(20,$L194))^2)*(0.01*$F$8)))),IF($B$2="maiz",MAX(0,$K194-$F$3),IF($B$2="soja",MAX(0,MIN($K194,$F$4)-$F$3)*MIN(1,MAX(0,1-MAX(0,($L194-$F$17))*0.3)),0)))))</f>
        <v>18.412770457409913</v>
      </c>
      <c r="R194">
        <f t="shared" si="42"/>
        <v>1202.646110568516</v>
      </c>
      <c r="S194">
        <f t="shared" ref="S194:S257" si="49">IF($K194="","",IF($I194&lt;$F$28,0,IF($B$2="trigo",MAX(0,$K194),IF($B$2="soja",MAX(0,MIN($K194,$F$4)-$F$3)*MIN(1,MAX(0,1-MAX(0,($L194-$F$19))*0.3)),0))))</f>
        <v>26.1</v>
      </c>
      <c r="T194">
        <f t="shared" si="43"/>
        <v>1263.5000000000002</v>
      </c>
      <c r="U194">
        <f t="shared" ref="U194:U257" si="50">IF($K194="","",IF(OR($I194&lt;$F$27,$I194&gt;$F$42),0,MAX(0,$K194-$F$37)))</f>
        <v>0</v>
      </c>
      <c r="V194">
        <f t="shared" si="44"/>
        <v>1945.899999999999</v>
      </c>
      <c r="W194">
        <f t="shared" ref="W194:W257" si="51">H194</f>
        <v>192</v>
      </c>
      <c r="X194">
        <f t="shared" ref="X194:X257" si="52">IF($I194="","",IF($I194&lt;$F$27,$F$38,IF($I194&lt;=$F$42,$F$38+($F$39*$V194)/100,$F$38+($F$39*INDEX($V:$V,$F$42))/100)))</f>
        <v>2.7296699999999987</v>
      </c>
      <c r="Y194">
        <f t="shared" ref="Y194:Y257" si="53">IF($I194="","",IF($I194&lt;$F$27,0,IF($P194&lt;=$F$6,$F$40,IF($P194&gt;=$F$7,$F$41,$F$40+($F$41-$F$40)*($P194-$F$6)/($F$7-$F$6)))))</f>
        <v>1.1000000000000001</v>
      </c>
    </row>
    <row r="195" spans="8:25" x14ac:dyDescent="0.2">
      <c r="H195">
        <f t="shared" ref="H195:H258" si="54">H194+1</f>
        <v>193</v>
      </c>
      <c r="I195">
        <f t="shared" si="45"/>
        <v>344</v>
      </c>
      <c r="J195">
        <f>IFERROR(INDEX(clima!$C:$C,$I195),"")</f>
        <v>343</v>
      </c>
      <c r="K195">
        <f>IFERROR(INDEX(clima!$F:$F,$I195),"")</f>
        <v>24.3</v>
      </c>
      <c r="L195">
        <f>IFERROR(INDEX(clima!$J:$J,$I195),"")</f>
        <v>14.122461098724253</v>
      </c>
      <c r="M195">
        <f t="shared" si="46"/>
        <v>24.3</v>
      </c>
      <c r="N195">
        <f t="shared" ref="N195:N258" si="55">IF(M195="",N194,N194+M195)</f>
        <v>2662.7999999999988</v>
      </c>
      <c r="O195">
        <f t="shared" si="47"/>
        <v>24.3</v>
      </c>
      <c r="P195">
        <f t="shared" ref="P195:P258" si="56">IF(O195="",P194,P194+O195)</f>
        <v>2523.5999999999981</v>
      </c>
      <c r="Q195">
        <f t="shared" si="48"/>
        <v>17.164634506637192</v>
      </c>
      <c r="R195">
        <f t="shared" ref="R195:R258" si="57">IF(Q195="",R194,R194+Q195)</f>
        <v>1219.8107450751531</v>
      </c>
      <c r="S195">
        <f t="shared" si="49"/>
        <v>24.3</v>
      </c>
      <c r="T195">
        <f t="shared" ref="T195:T258" si="58">IF(S195="",T194,T194+S195)</f>
        <v>1287.8000000000002</v>
      </c>
      <c r="U195">
        <f t="shared" si="50"/>
        <v>0</v>
      </c>
      <c r="V195">
        <f t="shared" ref="V195:V258" si="59">IF(U195="",V194,V194+U195)</f>
        <v>1945.899999999999</v>
      </c>
      <c r="W195">
        <f t="shared" si="51"/>
        <v>193</v>
      </c>
      <c r="X195">
        <f t="shared" si="52"/>
        <v>2.7296699999999987</v>
      </c>
      <c r="Y195">
        <f t="shared" si="53"/>
        <v>1.1000000000000001</v>
      </c>
    </row>
    <row r="196" spans="8:25" x14ac:dyDescent="0.2">
      <c r="H196">
        <f t="shared" si="54"/>
        <v>194</v>
      </c>
      <c r="I196">
        <f t="shared" si="45"/>
        <v>345</v>
      </c>
      <c r="J196">
        <f>IFERROR(INDEX(clima!$C:$C,$I196),"")</f>
        <v>344</v>
      </c>
      <c r="K196">
        <f>IFERROR(INDEX(clima!$F:$F,$I196),"")</f>
        <v>24.2</v>
      </c>
      <c r="L196">
        <f>IFERROR(INDEX(clima!$J:$J,$I196),"")</f>
        <v>14.13068858030358</v>
      </c>
      <c r="M196">
        <f t="shared" si="46"/>
        <v>24.2</v>
      </c>
      <c r="N196">
        <f t="shared" si="55"/>
        <v>2686.9999999999986</v>
      </c>
      <c r="O196">
        <f t="shared" si="47"/>
        <v>24.2</v>
      </c>
      <c r="P196">
        <f t="shared" si="56"/>
        <v>2547.7999999999979</v>
      </c>
      <c r="Q196">
        <f t="shared" si="48"/>
        <v>17.11387843743838</v>
      </c>
      <c r="R196">
        <f t="shared" si="57"/>
        <v>1236.9246235125916</v>
      </c>
      <c r="S196">
        <f t="shared" si="49"/>
        <v>24.2</v>
      </c>
      <c r="T196">
        <f t="shared" si="58"/>
        <v>1312.0000000000002</v>
      </c>
      <c r="U196">
        <f t="shared" si="50"/>
        <v>0</v>
      </c>
      <c r="V196">
        <f t="shared" si="59"/>
        <v>1945.899999999999</v>
      </c>
      <c r="W196">
        <f t="shared" si="51"/>
        <v>194</v>
      </c>
      <c r="X196">
        <f t="shared" si="52"/>
        <v>2.7296699999999987</v>
      </c>
      <c r="Y196">
        <f t="shared" si="53"/>
        <v>1.1000000000000001</v>
      </c>
    </row>
    <row r="197" spans="8:25" x14ac:dyDescent="0.2">
      <c r="H197">
        <f t="shared" si="54"/>
        <v>195</v>
      </c>
      <c r="I197">
        <f t="shared" si="45"/>
        <v>346</v>
      </c>
      <c r="J197">
        <f>IFERROR(INDEX(clima!$C:$C,$I197),"")</f>
        <v>345</v>
      </c>
      <c r="K197">
        <f>IFERROR(INDEX(clima!$F:$F,$I197),"")</f>
        <v>24.2</v>
      </c>
      <c r="L197">
        <f>IFERROR(INDEX(clima!$J:$J,$I197),"")</f>
        <v>14.138203210710186</v>
      </c>
      <c r="M197">
        <f t="shared" si="46"/>
        <v>24.2</v>
      </c>
      <c r="N197">
        <f t="shared" si="55"/>
        <v>2711.1999999999985</v>
      </c>
      <c r="O197">
        <f t="shared" si="47"/>
        <v>24.2</v>
      </c>
      <c r="P197">
        <f t="shared" si="56"/>
        <v>2571.9999999999977</v>
      </c>
      <c r="Q197">
        <f t="shared" si="48"/>
        <v>17.132011909100434</v>
      </c>
      <c r="R197">
        <f t="shared" si="57"/>
        <v>1254.0566354216919</v>
      </c>
      <c r="S197">
        <f t="shared" si="49"/>
        <v>24.2</v>
      </c>
      <c r="T197">
        <f t="shared" si="58"/>
        <v>1336.2000000000003</v>
      </c>
      <c r="U197">
        <f t="shared" si="50"/>
        <v>0</v>
      </c>
      <c r="V197">
        <f t="shared" si="59"/>
        <v>1945.899999999999</v>
      </c>
      <c r="W197">
        <f t="shared" si="51"/>
        <v>195</v>
      </c>
      <c r="X197">
        <f t="shared" si="52"/>
        <v>2.7296699999999987</v>
      </c>
      <c r="Y197">
        <f t="shared" si="53"/>
        <v>1.1000000000000001</v>
      </c>
    </row>
    <row r="198" spans="8:25" x14ac:dyDescent="0.2">
      <c r="H198">
        <f t="shared" si="54"/>
        <v>196</v>
      </c>
      <c r="I198">
        <f t="shared" si="45"/>
        <v>347</v>
      </c>
      <c r="J198">
        <f>IFERROR(INDEX(clima!$C:$C,$I198),"")</f>
        <v>346</v>
      </c>
      <c r="K198">
        <f>IFERROR(INDEX(clima!$F:$F,$I198),"")</f>
        <v>24.8</v>
      </c>
      <c r="L198">
        <f>IFERROR(INDEX(clima!$J:$J,$I198),"")</f>
        <v>14.144999906807312</v>
      </c>
      <c r="M198">
        <f t="shared" si="46"/>
        <v>24.8</v>
      </c>
      <c r="N198">
        <f t="shared" si="55"/>
        <v>2735.9999999999986</v>
      </c>
      <c r="O198">
        <f t="shared" si="47"/>
        <v>24.8</v>
      </c>
      <c r="P198">
        <f t="shared" si="56"/>
        <v>2596.7999999999979</v>
      </c>
      <c r="Q198">
        <f t="shared" si="48"/>
        <v>17.573559699956828</v>
      </c>
      <c r="R198">
        <f t="shared" si="57"/>
        <v>1271.6301951216487</v>
      </c>
      <c r="S198">
        <f t="shared" si="49"/>
        <v>24.8</v>
      </c>
      <c r="T198">
        <f t="shared" si="58"/>
        <v>1361.0000000000002</v>
      </c>
      <c r="U198">
        <f t="shared" si="50"/>
        <v>0</v>
      </c>
      <c r="V198">
        <f t="shared" si="59"/>
        <v>1945.899999999999</v>
      </c>
      <c r="W198">
        <f t="shared" si="51"/>
        <v>196</v>
      </c>
      <c r="X198">
        <f t="shared" si="52"/>
        <v>2.7296699999999987</v>
      </c>
      <c r="Y198">
        <f t="shared" si="53"/>
        <v>1.1000000000000001</v>
      </c>
    </row>
    <row r="199" spans="8:25" x14ac:dyDescent="0.2">
      <c r="H199">
        <f t="shared" si="54"/>
        <v>197</v>
      </c>
      <c r="I199">
        <f t="shared" si="45"/>
        <v>348</v>
      </c>
      <c r="J199">
        <f>IFERROR(INDEX(clima!$C:$C,$I199),"")</f>
        <v>347</v>
      </c>
      <c r="K199">
        <f>IFERROR(INDEX(clima!$F:$F,$I199),"")</f>
        <v>26.2</v>
      </c>
      <c r="L199">
        <f>IFERROR(INDEX(clima!$J:$J,$I199),"")</f>
        <v>14.151074045536156</v>
      </c>
      <c r="M199">
        <f t="shared" si="46"/>
        <v>26.2</v>
      </c>
      <c r="N199">
        <f t="shared" si="55"/>
        <v>2762.1999999999985</v>
      </c>
      <c r="O199">
        <f t="shared" si="47"/>
        <v>26.2</v>
      </c>
      <c r="P199">
        <f t="shared" si="56"/>
        <v>2622.9999999999977</v>
      </c>
      <c r="Q199">
        <f t="shared" si="48"/>
        <v>18.581447515407664</v>
      </c>
      <c r="R199">
        <f t="shared" si="57"/>
        <v>1290.2116426370565</v>
      </c>
      <c r="S199">
        <f t="shared" si="49"/>
        <v>26.2</v>
      </c>
      <c r="T199">
        <f t="shared" si="58"/>
        <v>1387.2000000000003</v>
      </c>
      <c r="U199">
        <f t="shared" si="50"/>
        <v>0</v>
      </c>
      <c r="V199">
        <f t="shared" si="59"/>
        <v>1945.899999999999</v>
      </c>
      <c r="W199">
        <f t="shared" si="51"/>
        <v>197</v>
      </c>
      <c r="X199">
        <f t="shared" si="52"/>
        <v>2.7296699999999987</v>
      </c>
      <c r="Y199">
        <f t="shared" si="53"/>
        <v>1.1000000000000001</v>
      </c>
    </row>
    <row r="200" spans="8:25" x14ac:dyDescent="0.2">
      <c r="H200">
        <f t="shared" si="54"/>
        <v>198</v>
      </c>
      <c r="I200">
        <f t="shared" si="45"/>
        <v>349</v>
      </c>
      <c r="J200">
        <f>IFERROR(INDEX(clima!$C:$C,$I200),"")</f>
        <v>348</v>
      </c>
      <c r="K200">
        <f>IFERROR(INDEX(clima!$F:$F,$I200),"")</f>
        <v>26.4</v>
      </c>
      <c r="L200">
        <f>IFERROR(INDEX(clima!$J:$J,$I200),"")</f>
        <v>14.156421474681773</v>
      </c>
      <c r="M200">
        <f t="shared" si="46"/>
        <v>26.4</v>
      </c>
      <c r="N200">
        <f t="shared" si="55"/>
        <v>2788.5999999999985</v>
      </c>
      <c r="O200">
        <f t="shared" si="47"/>
        <v>26.4</v>
      </c>
      <c r="P200">
        <f t="shared" si="56"/>
        <v>2649.3999999999978</v>
      </c>
      <c r="Q200">
        <f t="shared" si="48"/>
        <v>18.73732120013786</v>
      </c>
      <c r="R200">
        <f t="shared" si="57"/>
        <v>1308.9489638371942</v>
      </c>
      <c r="S200">
        <f t="shared" si="49"/>
        <v>26.4</v>
      </c>
      <c r="T200">
        <f t="shared" si="58"/>
        <v>1413.6000000000004</v>
      </c>
      <c r="U200">
        <f t="shared" si="50"/>
        <v>0</v>
      </c>
      <c r="V200">
        <f t="shared" si="59"/>
        <v>1945.899999999999</v>
      </c>
      <c r="W200">
        <f t="shared" si="51"/>
        <v>198</v>
      </c>
      <c r="X200">
        <f t="shared" si="52"/>
        <v>2.7296699999999987</v>
      </c>
      <c r="Y200">
        <f t="shared" si="53"/>
        <v>1.1000000000000001</v>
      </c>
    </row>
    <row r="201" spans="8:25" x14ac:dyDescent="0.2">
      <c r="H201">
        <f t="shared" si="54"/>
        <v>199</v>
      </c>
      <c r="I201">
        <f t="shared" si="45"/>
        <v>350</v>
      </c>
      <c r="J201">
        <f>IFERROR(INDEX(clima!$C:$C,$I201),"")</f>
        <v>349</v>
      </c>
      <c r="K201">
        <f>IFERROR(INDEX(clima!$F:$F,$I201),"")</f>
        <v>27.2</v>
      </c>
      <c r="L201">
        <f>IFERROR(INDEX(clima!$J:$J,$I201),"")</f>
        <v>14.161038522614398</v>
      </c>
      <c r="M201">
        <f t="shared" si="46"/>
        <v>27.2</v>
      </c>
      <c r="N201">
        <f t="shared" si="55"/>
        <v>2815.7999999999984</v>
      </c>
      <c r="O201">
        <f t="shared" si="47"/>
        <v>27.2</v>
      </c>
      <c r="P201">
        <f t="shared" si="56"/>
        <v>2676.5999999999976</v>
      </c>
      <c r="Q201">
        <f t="shared" si="48"/>
        <v>19.317589473728322</v>
      </c>
      <c r="R201">
        <f t="shared" si="57"/>
        <v>1328.2665533109225</v>
      </c>
      <c r="S201">
        <f t="shared" si="49"/>
        <v>27.2</v>
      </c>
      <c r="T201">
        <f t="shared" si="58"/>
        <v>1440.8000000000004</v>
      </c>
      <c r="U201">
        <f t="shared" si="50"/>
        <v>0</v>
      </c>
      <c r="V201">
        <f t="shared" si="59"/>
        <v>1945.899999999999</v>
      </c>
      <c r="W201">
        <f t="shared" si="51"/>
        <v>199</v>
      </c>
      <c r="X201">
        <f t="shared" si="52"/>
        <v>2.7296699999999987</v>
      </c>
      <c r="Y201">
        <f t="shared" si="53"/>
        <v>1.1000000000000001</v>
      </c>
    </row>
    <row r="202" spans="8:25" x14ac:dyDescent="0.2">
      <c r="H202">
        <f t="shared" si="54"/>
        <v>200</v>
      </c>
      <c r="I202">
        <f t="shared" si="45"/>
        <v>351</v>
      </c>
      <c r="J202">
        <f>IFERROR(INDEX(clima!$C:$C,$I202),"")</f>
        <v>350</v>
      </c>
      <c r="K202">
        <f>IFERROR(INDEX(clima!$F:$F,$I202),"")</f>
        <v>22.8</v>
      </c>
      <c r="L202">
        <f>IFERROR(INDEX(clima!$J:$J,$I202),"")</f>
        <v>14.164922006959902</v>
      </c>
      <c r="M202">
        <f t="shared" si="46"/>
        <v>22.8</v>
      </c>
      <c r="N202">
        <f t="shared" si="55"/>
        <v>2838.5999999999985</v>
      </c>
      <c r="O202">
        <f t="shared" si="47"/>
        <v>22.8</v>
      </c>
      <c r="P202">
        <f t="shared" si="56"/>
        <v>2699.3999999999978</v>
      </c>
      <c r="Q202">
        <f t="shared" si="48"/>
        <v>16.201471401173965</v>
      </c>
      <c r="R202">
        <f t="shared" si="57"/>
        <v>1344.4680247120964</v>
      </c>
      <c r="S202">
        <f t="shared" si="49"/>
        <v>22.8</v>
      </c>
      <c r="T202">
        <f t="shared" si="58"/>
        <v>1463.6000000000004</v>
      </c>
      <c r="U202">
        <f t="shared" si="50"/>
        <v>0</v>
      </c>
      <c r="V202">
        <f t="shared" si="59"/>
        <v>1945.899999999999</v>
      </c>
      <c r="W202">
        <f t="shared" si="51"/>
        <v>200</v>
      </c>
      <c r="X202">
        <f t="shared" si="52"/>
        <v>2.7296699999999987</v>
      </c>
      <c r="Y202">
        <f t="shared" si="53"/>
        <v>1.1000000000000001</v>
      </c>
    </row>
    <row r="203" spans="8:25" x14ac:dyDescent="0.2">
      <c r="H203">
        <f t="shared" si="54"/>
        <v>201</v>
      </c>
      <c r="I203">
        <f t="shared" si="45"/>
        <v>352</v>
      </c>
      <c r="J203">
        <f>IFERROR(INDEX(clima!$C:$C,$I203),"")</f>
        <v>351</v>
      </c>
      <c r="K203">
        <f>IFERROR(INDEX(clima!$F:$F,$I203),"")</f>
        <v>23.5</v>
      </c>
      <c r="L203">
        <f>IFERROR(INDEX(clima!$J:$J,$I203),"")</f>
        <v>14.168069242157822</v>
      </c>
      <c r="M203">
        <f t="shared" si="46"/>
        <v>23.5</v>
      </c>
      <c r="N203">
        <f t="shared" si="55"/>
        <v>2862.0999999999985</v>
      </c>
      <c r="O203">
        <f t="shared" si="47"/>
        <v>23.5</v>
      </c>
      <c r="P203">
        <f t="shared" si="56"/>
        <v>2722.8999999999978</v>
      </c>
      <c r="Q203">
        <f t="shared" si="48"/>
        <v>16.706219581237939</v>
      </c>
      <c r="R203">
        <f t="shared" si="57"/>
        <v>1361.1742442933344</v>
      </c>
      <c r="S203">
        <f t="shared" si="49"/>
        <v>23.5</v>
      </c>
      <c r="T203">
        <f t="shared" si="58"/>
        <v>1487.1000000000004</v>
      </c>
      <c r="U203">
        <f t="shared" si="50"/>
        <v>0</v>
      </c>
      <c r="V203">
        <f t="shared" si="59"/>
        <v>1945.899999999999</v>
      </c>
      <c r="W203">
        <f t="shared" si="51"/>
        <v>201</v>
      </c>
      <c r="X203">
        <f t="shared" si="52"/>
        <v>2.7296699999999987</v>
      </c>
      <c r="Y203">
        <f t="shared" si="53"/>
        <v>1.1000000000000001</v>
      </c>
    </row>
    <row r="204" spans="8:25" x14ac:dyDescent="0.2">
      <c r="H204">
        <f t="shared" si="54"/>
        <v>202</v>
      </c>
      <c r="I204">
        <f t="shared" si="45"/>
        <v>353</v>
      </c>
      <c r="J204">
        <f>IFERROR(INDEX(clima!$C:$C,$I204),"")</f>
        <v>352</v>
      </c>
      <c r="K204">
        <f>IFERROR(INDEX(clima!$F:$F,$I204),"")</f>
        <v>25.1</v>
      </c>
      <c r="L204">
        <f>IFERROR(INDEX(clima!$J:$J,$I204),"")</f>
        <v>14.170478045870421</v>
      </c>
      <c r="M204">
        <f t="shared" si="46"/>
        <v>25.1</v>
      </c>
      <c r="N204">
        <f t="shared" si="55"/>
        <v>2887.1999999999985</v>
      </c>
      <c r="O204">
        <f t="shared" si="47"/>
        <v>25.1</v>
      </c>
      <c r="P204">
        <f t="shared" si="56"/>
        <v>2747.9999999999977</v>
      </c>
      <c r="Q204">
        <f t="shared" si="48"/>
        <v>17.849657352311638</v>
      </c>
      <c r="R204">
        <f t="shared" si="57"/>
        <v>1379.023901645646</v>
      </c>
      <c r="S204">
        <f t="shared" si="49"/>
        <v>25.1</v>
      </c>
      <c r="T204">
        <f t="shared" si="58"/>
        <v>1512.2000000000003</v>
      </c>
      <c r="U204">
        <f t="shared" si="50"/>
        <v>0</v>
      </c>
      <c r="V204">
        <f t="shared" si="59"/>
        <v>1945.899999999999</v>
      </c>
      <c r="W204">
        <f t="shared" si="51"/>
        <v>202</v>
      </c>
      <c r="X204">
        <f t="shared" si="52"/>
        <v>2.7296699999999987</v>
      </c>
      <c r="Y204">
        <f t="shared" si="53"/>
        <v>1.1000000000000001</v>
      </c>
    </row>
    <row r="205" spans="8:25" x14ac:dyDescent="0.2">
      <c r="H205">
        <f t="shared" si="54"/>
        <v>203</v>
      </c>
      <c r="I205">
        <f t="shared" si="45"/>
        <v>354</v>
      </c>
      <c r="J205">
        <f>IFERROR(INDEX(clima!$C:$C,$I205),"")</f>
        <v>353</v>
      </c>
      <c r="K205">
        <f>IFERROR(INDEX(clima!$F:$F,$I205),"")</f>
        <v>23.7</v>
      </c>
      <c r="L205">
        <f>IFERROR(INDEX(clima!$J:$J,$I205),"")</f>
        <v>14.172146744211705</v>
      </c>
      <c r="M205">
        <f t="shared" si="46"/>
        <v>23.7</v>
      </c>
      <c r="N205">
        <f t="shared" si="55"/>
        <v>2910.8999999999983</v>
      </c>
      <c r="O205">
        <f t="shared" si="47"/>
        <v>23.7</v>
      </c>
      <c r="P205">
        <f t="shared" si="56"/>
        <v>2771.6999999999975</v>
      </c>
      <c r="Q205">
        <f t="shared" si="48"/>
        <v>16.857977669121603</v>
      </c>
      <c r="R205">
        <f t="shared" si="57"/>
        <v>1395.8818793147675</v>
      </c>
      <c r="S205">
        <f t="shared" si="49"/>
        <v>23.7</v>
      </c>
      <c r="T205">
        <f t="shared" si="58"/>
        <v>1535.9000000000003</v>
      </c>
      <c r="U205">
        <f t="shared" si="50"/>
        <v>0</v>
      </c>
      <c r="V205">
        <f t="shared" si="59"/>
        <v>1945.899999999999</v>
      </c>
      <c r="W205">
        <f t="shared" si="51"/>
        <v>203</v>
      </c>
      <c r="X205">
        <f t="shared" si="52"/>
        <v>2.7296699999999987</v>
      </c>
      <c r="Y205">
        <f t="shared" si="53"/>
        <v>1.1000000000000001</v>
      </c>
    </row>
    <row r="206" spans="8:25" x14ac:dyDescent="0.2">
      <c r="H206">
        <f t="shared" si="54"/>
        <v>204</v>
      </c>
      <c r="I206">
        <f t="shared" si="45"/>
        <v>355</v>
      </c>
      <c r="J206">
        <f>IFERROR(INDEX(clima!$C:$C,$I206),"")</f>
        <v>354</v>
      </c>
      <c r="K206">
        <f>IFERROR(INDEX(clima!$F:$F,$I206),"")</f>
        <v>24.5</v>
      </c>
      <c r="L206">
        <f>IFERROR(INDEX(clima!$J:$J,$I206),"")</f>
        <v>14.173074175770797</v>
      </c>
      <c r="M206">
        <f t="shared" si="46"/>
        <v>24.5</v>
      </c>
      <c r="N206">
        <f t="shared" si="55"/>
        <v>2935.3999999999983</v>
      </c>
      <c r="O206">
        <f t="shared" si="47"/>
        <v>24.5</v>
      </c>
      <c r="P206">
        <f t="shared" si="56"/>
        <v>2796.1999999999975</v>
      </c>
      <c r="Q206">
        <f t="shared" si="48"/>
        <v>17.429274305157346</v>
      </c>
      <c r="R206">
        <f t="shared" si="57"/>
        <v>1413.3111536199249</v>
      </c>
      <c r="S206">
        <f t="shared" si="49"/>
        <v>24.5</v>
      </c>
      <c r="T206">
        <f t="shared" si="58"/>
        <v>1560.4000000000003</v>
      </c>
      <c r="U206">
        <f t="shared" si="50"/>
        <v>0</v>
      </c>
      <c r="V206">
        <f t="shared" si="59"/>
        <v>1945.899999999999</v>
      </c>
      <c r="W206">
        <f t="shared" si="51"/>
        <v>204</v>
      </c>
      <c r="X206">
        <f t="shared" si="52"/>
        <v>2.7296699999999987</v>
      </c>
      <c r="Y206">
        <f t="shared" si="53"/>
        <v>1.1000000000000001</v>
      </c>
    </row>
    <row r="207" spans="8:25" x14ac:dyDescent="0.2">
      <c r="H207">
        <f t="shared" si="54"/>
        <v>205</v>
      </c>
      <c r="I207">
        <f t="shared" si="45"/>
        <v>356</v>
      </c>
      <c r="J207">
        <f>IFERROR(INDEX(clima!$C:$C,$I207),"")</f>
        <v>355</v>
      </c>
      <c r="K207">
        <f>IFERROR(INDEX(clima!$F:$F,$I207),"")</f>
        <v>21.2</v>
      </c>
      <c r="L207">
        <f>IFERROR(INDEX(clima!$J:$J,$I207),"")</f>
        <v>14.173259694409989</v>
      </c>
      <c r="M207">
        <f t="shared" si="46"/>
        <v>21.2</v>
      </c>
      <c r="N207">
        <f t="shared" si="55"/>
        <v>2956.5999999999981</v>
      </c>
      <c r="O207">
        <f t="shared" si="47"/>
        <v>21.2</v>
      </c>
      <c r="P207">
        <f t="shared" si="56"/>
        <v>2817.3999999999974</v>
      </c>
      <c r="Q207">
        <f t="shared" si="48"/>
        <v>15.082047353500551</v>
      </c>
      <c r="R207">
        <f t="shared" si="57"/>
        <v>1428.3932009734253</v>
      </c>
      <c r="S207">
        <f t="shared" si="49"/>
        <v>21.2</v>
      </c>
      <c r="T207">
        <f t="shared" si="58"/>
        <v>1581.6000000000004</v>
      </c>
      <c r="U207">
        <f t="shared" si="50"/>
        <v>0</v>
      </c>
      <c r="V207">
        <f t="shared" si="59"/>
        <v>1945.899999999999</v>
      </c>
      <c r="W207">
        <f t="shared" si="51"/>
        <v>205</v>
      </c>
      <c r="X207">
        <f t="shared" si="52"/>
        <v>2.7296699999999987</v>
      </c>
      <c r="Y207">
        <f t="shared" si="53"/>
        <v>1.1000000000000001</v>
      </c>
    </row>
    <row r="208" spans="8:25" x14ac:dyDescent="0.2">
      <c r="H208">
        <f t="shared" si="54"/>
        <v>206</v>
      </c>
      <c r="I208">
        <f t="shared" si="45"/>
        <v>357</v>
      </c>
      <c r="J208">
        <f>IFERROR(INDEX(clima!$C:$C,$I208),"")</f>
        <v>356</v>
      </c>
      <c r="K208">
        <f>IFERROR(INDEX(clima!$F:$F,$I208),"")</f>
        <v>22.7</v>
      </c>
      <c r="L208">
        <f>IFERROR(INDEX(clima!$J:$J,$I208),"")</f>
        <v>14.172703170823691</v>
      </c>
      <c r="M208">
        <f t="shared" si="46"/>
        <v>22.7</v>
      </c>
      <c r="N208">
        <f t="shared" si="55"/>
        <v>2979.2999999999979</v>
      </c>
      <c r="O208">
        <f t="shared" si="47"/>
        <v>22.7</v>
      </c>
      <c r="P208">
        <f t="shared" si="56"/>
        <v>2840.0999999999972</v>
      </c>
      <c r="Q208">
        <f t="shared" si="48"/>
        <v>16.147921920698412</v>
      </c>
      <c r="R208">
        <f t="shared" si="57"/>
        <v>1444.5411228941236</v>
      </c>
      <c r="S208">
        <f t="shared" si="49"/>
        <v>22.7</v>
      </c>
      <c r="T208">
        <f t="shared" si="58"/>
        <v>1604.3000000000004</v>
      </c>
      <c r="U208">
        <f t="shared" si="50"/>
        <v>0</v>
      </c>
      <c r="V208">
        <f t="shared" si="59"/>
        <v>1945.899999999999</v>
      </c>
      <c r="W208">
        <f t="shared" si="51"/>
        <v>206</v>
      </c>
      <c r="X208">
        <f t="shared" si="52"/>
        <v>2.7296699999999987</v>
      </c>
      <c r="Y208">
        <f t="shared" si="53"/>
        <v>1.1000000000000001</v>
      </c>
    </row>
    <row r="209" spans="8:25" x14ac:dyDescent="0.2">
      <c r="H209">
        <f t="shared" si="54"/>
        <v>207</v>
      </c>
      <c r="I209">
        <f t="shared" si="45"/>
        <v>358</v>
      </c>
      <c r="J209">
        <f>IFERROR(INDEX(clima!$C:$C,$I209),"")</f>
        <v>357</v>
      </c>
      <c r="K209">
        <f>IFERROR(INDEX(clima!$F:$F,$I209),"")</f>
        <v>25.6</v>
      </c>
      <c r="L209">
        <f>IFERROR(INDEX(clima!$J:$J,$I209),"")</f>
        <v>14.171404992850606</v>
      </c>
      <c r="M209">
        <f t="shared" si="46"/>
        <v>25.6</v>
      </c>
      <c r="N209">
        <f t="shared" si="55"/>
        <v>3004.8999999999978</v>
      </c>
      <c r="O209">
        <f t="shared" si="47"/>
        <v>25.6</v>
      </c>
      <c r="P209">
        <f t="shared" si="56"/>
        <v>2865.6999999999971</v>
      </c>
      <c r="Q209">
        <f t="shared" si="48"/>
        <v>18.207579700796977</v>
      </c>
      <c r="R209">
        <f t="shared" si="57"/>
        <v>1462.7487025949206</v>
      </c>
      <c r="S209">
        <f t="shared" si="49"/>
        <v>25.6</v>
      </c>
      <c r="T209">
        <f t="shared" si="58"/>
        <v>1629.9000000000003</v>
      </c>
      <c r="U209">
        <f t="shared" si="50"/>
        <v>0</v>
      </c>
      <c r="V209">
        <f t="shared" si="59"/>
        <v>1945.899999999999</v>
      </c>
      <c r="W209">
        <f t="shared" si="51"/>
        <v>207</v>
      </c>
      <c r="X209">
        <f t="shared" si="52"/>
        <v>2.7296699999999987</v>
      </c>
      <c r="Y209">
        <f t="shared" si="53"/>
        <v>1.1000000000000001</v>
      </c>
    </row>
    <row r="210" spans="8:25" x14ac:dyDescent="0.2">
      <c r="H210">
        <f t="shared" si="54"/>
        <v>208</v>
      </c>
      <c r="I210">
        <f t="shared" si="45"/>
        <v>359</v>
      </c>
      <c r="J210">
        <f>IFERROR(INDEX(clima!$C:$C,$I210),"")</f>
        <v>358</v>
      </c>
      <c r="K210">
        <f>IFERROR(INDEX(clima!$F:$F,$I210),"")</f>
        <v>27.9</v>
      </c>
      <c r="L210">
        <f>IFERROR(INDEX(clima!$J:$J,$I210),"")</f>
        <v>14.169366064537591</v>
      </c>
      <c r="M210">
        <f t="shared" si="46"/>
        <v>27.9</v>
      </c>
      <c r="N210">
        <f t="shared" si="55"/>
        <v>3032.7999999999979</v>
      </c>
      <c r="O210">
        <f t="shared" si="47"/>
        <v>27.9</v>
      </c>
      <c r="P210">
        <f t="shared" si="56"/>
        <v>2893.5999999999972</v>
      </c>
      <c r="Q210">
        <f t="shared" si="48"/>
        <v>19.837779331006889</v>
      </c>
      <c r="R210">
        <f t="shared" si="57"/>
        <v>1482.5864819259275</v>
      </c>
      <c r="S210">
        <f t="shared" si="49"/>
        <v>27.9</v>
      </c>
      <c r="T210">
        <f t="shared" si="58"/>
        <v>1657.8000000000004</v>
      </c>
      <c r="U210">
        <f t="shared" si="50"/>
        <v>0</v>
      </c>
      <c r="V210">
        <f t="shared" si="59"/>
        <v>1945.899999999999</v>
      </c>
      <c r="W210">
        <f t="shared" si="51"/>
        <v>208</v>
      </c>
      <c r="X210">
        <f t="shared" si="52"/>
        <v>2.7296699999999987</v>
      </c>
      <c r="Y210">
        <f t="shared" si="53"/>
        <v>1.1000000000000001</v>
      </c>
    </row>
    <row r="211" spans="8:25" x14ac:dyDescent="0.2">
      <c r="H211">
        <f t="shared" si="54"/>
        <v>209</v>
      </c>
      <c r="I211">
        <f t="shared" si="45"/>
        <v>360</v>
      </c>
      <c r="J211">
        <f>IFERROR(INDEX(clima!$C:$C,$I211),"")</f>
        <v>359</v>
      </c>
      <c r="K211">
        <f>IFERROR(INDEX(clima!$F:$F,$I211),"")</f>
        <v>30</v>
      </c>
      <c r="L211">
        <f>IFERROR(INDEX(clima!$J:$J,$I211),"")</f>
        <v>14.166587803959811</v>
      </c>
      <c r="M211">
        <f t="shared" si="46"/>
        <v>30</v>
      </c>
      <c r="N211">
        <f t="shared" si="55"/>
        <v>3062.7999999999979</v>
      </c>
      <c r="O211">
        <f t="shared" si="47"/>
        <v>30</v>
      </c>
      <c r="P211">
        <f t="shared" si="56"/>
        <v>2923.5999999999972</v>
      </c>
      <c r="Q211">
        <f t="shared" si="48"/>
        <v>21.322682048527838</v>
      </c>
      <c r="R211">
        <f t="shared" si="57"/>
        <v>1503.9091639744554</v>
      </c>
      <c r="S211">
        <f t="shared" si="49"/>
        <v>30</v>
      </c>
      <c r="T211">
        <f t="shared" si="58"/>
        <v>1687.8000000000004</v>
      </c>
      <c r="U211">
        <f t="shared" si="50"/>
        <v>0</v>
      </c>
      <c r="V211">
        <f t="shared" si="59"/>
        <v>1945.899999999999</v>
      </c>
      <c r="W211">
        <f t="shared" si="51"/>
        <v>209</v>
      </c>
      <c r="X211">
        <f t="shared" si="52"/>
        <v>2.7296699999999987</v>
      </c>
      <c r="Y211">
        <f t="shared" si="53"/>
        <v>1.1000000000000001</v>
      </c>
    </row>
    <row r="212" spans="8:25" x14ac:dyDescent="0.2">
      <c r="H212">
        <f t="shared" si="54"/>
        <v>210</v>
      </c>
      <c r="I212">
        <f t="shared" si="45"/>
        <v>361</v>
      </c>
      <c r="J212">
        <f>IFERROR(INDEX(clima!$C:$C,$I212),"")</f>
        <v>360</v>
      </c>
      <c r="K212">
        <f>IFERROR(INDEX(clima!$F:$F,$I212),"")</f>
        <v>29.8</v>
      </c>
      <c r="L212">
        <f>IFERROR(INDEX(clima!$J:$J,$I212),"")</f>
        <v>14.163072139807939</v>
      </c>
      <c r="M212">
        <f t="shared" si="46"/>
        <v>29.8</v>
      </c>
      <c r="N212">
        <f t="shared" si="55"/>
        <v>3092.5999999999981</v>
      </c>
      <c r="O212">
        <f t="shared" si="47"/>
        <v>29.8</v>
      </c>
      <c r="P212">
        <f t="shared" si="56"/>
        <v>2953.3999999999974</v>
      </c>
      <c r="Q212">
        <f t="shared" si="48"/>
        <v>21.170138190139649</v>
      </c>
      <c r="R212">
        <f t="shared" si="57"/>
        <v>1525.079302164595</v>
      </c>
      <c r="S212">
        <f t="shared" si="49"/>
        <v>29.8</v>
      </c>
      <c r="T212">
        <f t="shared" si="58"/>
        <v>1717.6000000000004</v>
      </c>
      <c r="U212">
        <f t="shared" si="50"/>
        <v>0</v>
      </c>
      <c r="V212">
        <f t="shared" si="59"/>
        <v>1945.899999999999</v>
      </c>
      <c r="W212">
        <f t="shared" si="51"/>
        <v>210</v>
      </c>
      <c r="X212">
        <f t="shared" si="52"/>
        <v>2.7296699999999987</v>
      </c>
      <c r="Y212">
        <f t="shared" si="53"/>
        <v>1.1000000000000001</v>
      </c>
    </row>
    <row r="213" spans="8:25" x14ac:dyDescent="0.2">
      <c r="H213">
        <f t="shared" si="54"/>
        <v>211</v>
      </c>
      <c r="I213">
        <f t="shared" si="45"/>
        <v>362</v>
      </c>
      <c r="J213">
        <f>IFERROR(INDEX(clima!$C:$C,$I213),"")</f>
        <v>361</v>
      </c>
      <c r="K213">
        <f>IFERROR(INDEX(clima!$F:$F,$I213),"")</f>
        <v>31.2</v>
      </c>
      <c r="L213">
        <f>IFERROR(INDEX(clima!$J:$J,$I213),"")</f>
        <v>14.15882150675912</v>
      </c>
      <c r="M213">
        <f t="shared" si="46"/>
        <v>31.2</v>
      </c>
      <c r="N213">
        <f t="shared" si="55"/>
        <v>3123.7999999999979</v>
      </c>
      <c r="O213">
        <f t="shared" si="47"/>
        <v>31.2</v>
      </c>
      <c r="P213">
        <f t="shared" si="56"/>
        <v>2984.5999999999972</v>
      </c>
      <c r="Q213">
        <f t="shared" si="48"/>
        <v>22.151544086438573</v>
      </c>
      <c r="R213">
        <f t="shared" si="57"/>
        <v>1547.2308462510337</v>
      </c>
      <c r="S213">
        <f t="shared" si="49"/>
        <v>31.2</v>
      </c>
      <c r="T213">
        <f t="shared" si="58"/>
        <v>1748.8000000000004</v>
      </c>
      <c r="U213">
        <f t="shared" si="50"/>
        <v>0</v>
      </c>
      <c r="V213">
        <f t="shared" si="59"/>
        <v>1945.899999999999</v>
      </c>
      <c r="W213">
        <f t="shared" si="51"/>
        <v>211</v>
      </c>
      <c r="X213">
        <f t="shared" si="52"/>
        <v>2.7296699999999987</v>
      </c>
      <c r="Y213">
        <f t="shared" si="53"/>
        <v>1.1000000000000001</v>
      </c>
    </row>
    <row r="214" spans="8:25" x14ac:dyDescent="0.2">
      <c r="H214">
        <f t="shared" si="54"/>
        <v>212</v>
      </c>
      <c r="I214">
        <f t="shared" si="45"/>
        <v>363</v>
      </c>
      <c r="J214">
        <f>IFERROR(INDEX(clima!$C:$C,$I214),"")</f>
        <v>362</v>
      </c>
      <c r="K214">
        <f>IFERROR(INDEX(clima!$F:$F,$I214),"")</f>
        <v>29.4</v>
      </c>
      <c r="L214">
        <f>IFERROR(INDEX(clima!$J:$J,$I214),"")</f>
        <v>14.153838839654387</v>
      </c>
      <c r="M214">
        <f t="shared" si="46"/>
        <v>29.4</v>
      </c>
      <c r="N214">
        <f t="shared" si="55"/>
        <v>3153.199999999998</v>
      </c>
      <c r="O214">
        <f t="shared" si="47"/>
        <v>29.4</v>
      </c>
      <c r="P214">
        <f t="shared" si="56"/>
        <v>3013.9999999999973</v>
      </c>
      <c r="Q214">
        <f t="shared" si="48"/>
        <v>20.859017681847885</v>
      </c>
      <c r="R214">
        <f t="shared" si="57"/>
        <v>1568.0898639328816</v>
      </c>
      <c r="S214">
        <f t="shared" si="49"/>
        <v>29.4</v>
      </c>
      <c r="T214">
        <f t="shared" si="58"/>
        <v>1778.2000000000005</v>
      </c>
      <c r="U214">
        <f t="shared" si="50"/>
        <v>0</v>
      </c>
      <c r="V214">
        <f t="shared" si="59"/>
        <v>1945.899999999999</v>
      </c>
      <c r="W214">
        <f t="shared" si="51"/>
        <v>212</v>
      </c>
      <c r="X214">
        <f t="shared" si="52"/>
        <v>2.7296699999999987</v>
      </c>
      <c r="Y214">
        <f t="shared" si="53"/>
        <v>1.1000000000000001</v>
      </c>
    </row>
    <row r="215" spans="8:25" x14ac:dyDescent="0.2">
      <c r="H215">
        <f t="shared" si="54"/>
        <v>213</v>
      </c>
      <c r="I215">
        <f t="shared" si="45"/>
        <v>364</v>
      </c>
      <c r="J215">
        <f>IFERROR(INDEX(clima!$C:$C,$I215),"")</f>
        <v>363</v>
      </c>
      <c r="K215">
        <f>IFERROR(INDEX(clima!$F:$F,$I215),"")</f>
        <v>29.7</v>
      </c>
      <c r="L215">
        <f>IFERROR(INDEX(clima!$J:$J,$I215),"")</f>
        <v>14.148127566510883</v>
      </c>
      <c r="M215">
        <f t="shared" si="46"/>
        <v>29.7</v>
      </c>
      <c r="N215">
        <f t="shared" si="55"/>
        <v>3182.8999999999978</v>
      </c>
      <c r="O215">
        <f t="shared" si="47"/>
        <v>29.7</v>
      </c>
      <c r="P215">
        <f t="shared" si="56"/>
        <v>3043.6999999999971</v>
      </c>
      <c r="Q215">
        <f t="shared" si="48"/>
        <v>21.054998448646856</v>
      </c>
      <c r="R215">
        <f t="shared" si="57"/>
        <v>1589.1448623815284</v>
      </c>
      <c r="S215">
        <f t="shared" si="49"/>
        <v>29.7</v>
      </c>
      <c r="T215">
        <f t="shared" si="58"/>
        <v>1807.9000000000005</v>
      </c>
      <c r="U215">
        <f t="shared" si="50"/>
        <v>0</v>
      </c>
      <c r="V215">
        <f t="shared" si="59"/>
        <v>1945.899999999999</v>
      </c>
      <c r="W215">
        <f t="shared" si="51"/>
        <v>213</v>
      </c>
      <c r="X215">
        <f t="shared" si="52"/>
        <v>2.7296699999999987</v>
      </c>
      <c r="Y215">
        <f t="shared" si="53"/>
        <v>1.1000000000000001</v>
      </c>
    </row>
    <row r="216" spans="8:25" x14ac:dyDescent="0.2">
      <c r="H216">
        <f t="shared" si="54"/>
        <v>214</v>
      </c>
      <c r="I216">
        <f t="shared" si="45"/>
        <v>365</v>
      </c>
      <c r="J216">
        <f>IFERROR(INDEX(clima!$C:$C,$I216),"")</f>
        <v>364</v>
      </c>
      <c r="K216">
        <f>IFERROR(INDEX(clima!$F:$F,$I216),"")</f>
        <v>22.9</v>
      </c>
      <c r="L216">
        <f>IFERROR(INDEX(clima!$J:$J,$I216),"")</f>
        <v>14.141691600402734</v>
      </c>
      <c r="M216">
        <f t="shared" si="46"/>
        <v>22.9</v>
      </c>
      <c r="N216">
        <f t="shared" si="55"/>
        <v>3205.7999999999979</v>
      </c>
      <c r="O216">
        <f t="shared" si="47"/>
        <v>22.9</v>
      </c>
      <c r="P216">
        <f t="shared" si="56"/>
        <v>3066.5999999999972</v>
      </c>
      <c r="Q216">
        <f t="shared" si="48"/>
        <v>16.219655347622258</v>
      </c>
      <c r="R216">
        <f t="shared" si="57"/>
        <v>1605.3645177291505</v>
      </c>
      <c r="S216">
        <f t="shared" si="49"/>
        <v>22.9</v>
      </c>
      <c r="T216">
        <f t="shared" si="58"/>
        <v>1830.8000000000006</v>
      </c>
      <c r="U216">
        <f t="shared" si="50"/>
        <v>0</v>
      </c>
      <c r="V216">
        <f t="shared" si="59"/>
        <v>1945.899999999999</v>
      </c>
      <c r="W216">
        <f t="shared" si="51"/>
        <v>214</v>
      </c>
      <c r="X216">
        <f t="shared" si="52"/>
        <v>2.7296699999999987</v>
      </c>
      <c r="Y216">
        <f t="shared" si="53"/>
        <v>1.1000000000000001</v>
      </c>
    </row>
    <row r="217" spans="8:25" x14ac:dyDescent="0.2">
      <c r="H217">
        <f t="shared" si="54"/>
        <v>215</v>
      </c>
      <c r="I217">
        <f t="shared" si="45"/>
        <v>366</v>
      </c>
      <c r="J217">
        <f>IFERROR(INDEX(clima!$C:$C,$I217),"")</f>
        <v>365</v>
      </c>
      <c r="K217">
        <f>IFERROR(INDEX(clima!$F:$F,$I217),"")</f>
        <v>21</v>
      </c>
      <c r="L217">
        <f>IFERROR(INDEX(clima!$J:$J,$I217),"")</f>
        <v>14.134535330249649</v>
      </c>
      <c r="M217">
        <f t="shared" si="46"/>
        <v>21</v>
      </c>
      <c r="N217">
        <f t="shared" si="55"/>
        <v>3226.7999999999979</v>
      </c>
      <c r="O217">
        <f t="shared" si="47"/>
        <v>21</v>
      </c>
      <c r="P217">
        <f t="shared" si="56"/>
        <v>3087.5999999999972</v>
      </c>
      <c r="Q217">
        <f t="shared" si="48"/>
        <v>14.858943871112009</v>
      </c>
      <c r="R217">
        <f t="shared" si="57"/>
        <v>1620.2234616002625</v>
      </c>
      <c r="S217">
        <f t="shared" si="49"/>
        <v>21</v>
      </c>
      <c r="T217">
        <f t="shared" si="58"/>
        <v>1851.8000000000006</v>
      </c>
      <c r="U217">
        <f t="shared" si="50"/>
        <v>0</v>
      </c>
      <c r="V217">
        <f t="shared" si="59"/>
        <v>1945.899999999999</v>
      </c>
      <c r="W217">
        <f t="shared" si="51"/>
        <v>215</v>
      </c>
      <c r="X217">
        <f t="shared" si="52"/>
        <v>2.7296699999999987</v>
      </c>
      <c r="Y217">
        <f t="shared" si="53"/>
        <v>1.1000000000000001</v>
      </c>
    </row>
    <row r="218" spans="8:25" x14ac:dyDescent="0.2">
      <c r="H218">
        <f t="shared" si="54"/>
        <v>216</v>
      </c>
      <c r="I218">
        <f t="shared" si="45"/>
        <v>367</v>
      </c>
      <c r="J218">
        <f>IFERROR(INDEX(clima!$C:$C,$I218),"")</f>
        <v>1</v>
      </c>
      <c r="K218">
        <f>IFERROR(INDEX(clima!$F:$F,$I218),"")</f>
        <v>23.7</v>
      </c>
      <c r="L218">
        <f>IFERROR(INDEX(clima!$J:$J,$I218),"")</f>
        <v>14.12666361055725</v>
      </c>
      <c r="M218">
        <f t="shared" si="46"/>
        <v>23.7</v>
      </c>
      <c r="N218">
        <f t="shared" si="55"/>
        <v>3250.4999999999977</v>
      </c>
      <c r="O218">
        <f t="shared" si="47"/>
        <v>23.7</v>
      </c>
      <c r="P218">
        <f t="shared" si="56"/>
        <v>3111.299999999997</v>
      </c>
      <c r="Q218">
        <f t="shared" si="48"/>
        <v>16.750764614791368</v>
      </c>
      <c r="R218">
        <f t="shared" si="57"/>
        <v>1636.9742262150539</v>
      </c>
      <c r="S218">
        <f t="shared" si="49"/>
        <v>23.7</v>
      </c>
      <c r="T218">
        <f t="shared" si="58"/>
        <v>1875.5000000000007</v>
      </c>
      <c r="U218">
        <f t="shared" si="50"/>
        <v>0</v>
      </c>
      <c r="V218">
        <f t="shared" si="59"/>
        <v>1945.899999999999</v>
      </c>
      <c r="W218">
        <f t="shared" si="51"/>
        <v>216</v>
      </c>
      <c r="X218">
        <f t="shared" si="52"/>
        <v>2.7296699999999987</v>
      </c>
      <c r="Y218">
        <f t="shared" si="53"/>
        <v>1.1000000000000001</v>
      </c>
    </row>
    <row r="219" spans="8:25" x14ac:dyDescent="0.2">
      <c r="H219">
        <f t="shared" si="54"/>
        <v>217</v>
      </c>
      <c r="I219">
        <f t="shared" si="45"/>
        <v>368</v>
      </c>
      <c r="J219">
        <f>IFERROR(INDEX(clima!$C:$C,$I219),"")</f>
        <v>2</v>
      </c>
      <c r="K219">
        <f>IFERROR(INDEX(clima!$F:$F,$I219),"")</f>
        <v>25.6</v>
      </c>
      <c r="L219">
        <f>IFERROR(INDEX(clima!$J:$J,$I219),"")</f>
        <v>14.118081750157655</v>
      </c>
      <c r="M219">
        <f t="shared" si="46"/>
        <v>25.6</v>
      </c>
      <c r="N219">
        <f t="shared" si="55"/>
        <v>3276.0999999999976</v>
      </c>
      <c r="O219">
        <f t="shared" si="47"/>
        <v>25.6</v>
      </c>
      <c r="P219">
        <f t="shared" si="56"/>
        <v>3136.8999999999969</v>
      </c>
      <c r="Q219">
        <f t="shared" si="48"/>
        <v>18.071701003992533</v>
      </c>
      <c r="R219">
        <f t="shared" si="57"/>
        <v>1655.0459272190465</v>
      </c>
      <c r="S219">
        <f t="shared" si="49"/>
        <v>25.6</v>
      </c>
      <c r="T219">
        <f t="shared" si="58"/>
        <v>1901.1000000000006</v>
      </c>
      <c r="U219">
        <f t="shared" si="50"/>
        <v>0</v>
      </c>
      <c r="V219">
        <f t="shared" si="59"/>
        <v>1945.899999999999</v>
      </c>
      <c r="W219">
        <f t="shared" si="51"/>
        <v>217</v>
      </c>
      <c r="X219">
        <f t="shared" si="52"/>
        <v>2.7296699999999987</v>
      </c>
      <c r="Y219">
        <f t="shared" si="53"/>
        <v>1.1000000000000001</v>
      </c>
    </row>
    <row r="220" spans="8:25" x14ac:dyDescent="0.2">
      <c r="H220">
        <f t="shared" si="54"/>
        <v>218</v>
      </c>
      <c r="I220">
        <f t="shared" si="45"/>
        <v>369</v>
      </c>
      <c r="J220">
        <f>IFERROR(INDEX(clima!$C:$C,$I220),"")</f>
        <v>3</v>
      </c>
      <c r="K220">
        <f>IFERROR(INDEX(clima!$F:$F,$I220),"")</f>
        <v>24.7</v>
      </c>
      <c r="L220">
        <f>IFERROR(INDEX(clima!$J:$J,$I220),"")</f>
        <v>14.108795500003119</v>
      </c>
      <c r="M220">
        <f t="shared" si="46"/>
        <v>24.7</v>
      </c>
      <c r="N220">
        <f t="shared" si="55"/>
        <v>3300.7999999999975</v>
      </c>
      <c r="O220">
        <f t="shared" si="47"/>
        <v>24.7</v>
      </c>
      <c r="P220">
        <f t="shared" si="56"/>
        <v>3161.5999999999967</v>
      </c>
      <c r="Q220">
        <f t="shared" si="48"/>
        <v>17.413414317758502</v>
      </c>
      <c r="R220">
        <f t="shared" si="57"/>
        <v>1672.4593415368049</v>
      </c>
      <c r="S220">
        <f t="shared" si="49"/>
        <v>24.7</v>
      </c>
      <c r="T220">
        <f t="shared" si="58"/>
        <v>1925.8000000000006</v>
      </c>
      <c r="U220">
        <f t="shared" si="50"/>
        <v>0</v>
      </c>
      <c r="V220">
        <f t="shared" si="59"/>
        <v>1945.899999999999</v>
      </c>
      <c r="W220">
        <f t="shared" si="51"/>
        <v>218</v>
      </c>
      <c r="X220">
        <f t="shared" si="52"/>
        <v>2.7296699999999987</v>
      </c>
      <c r="Y220">
        <f t="shared" si="53"/>
        <v>1.1000000000000001</v>
      </c>
    </row>
    <row r="221" spans="8:25" x14ac:dyDescent="0.2">
      <c r="H221">
        <f t="shared" si="54"/>
        <v>219</v>
      </c>
      <c r="I221">
        <f t="shared" si="45"/>
        <v>370</v>
      </c>
      <c r="J221">
        <f>IFERROR(INDEX(clima!$C:$C,$I221),"")</f>
        <v>4</v>
      </c>
      <c r="K221">
        <f>IFERROR(INDEX(clima!$F:$F,$I221),"")</f>
        <v>25.8</v>
      </c>
      <c r="L221">
        <f>IFERROR(INDEX(clima!$J:$J,$I221),"")</f>
        <v>14.098811040069268</v>
      </c>
      <c r="M221">
        <f t="shared" si="46"/>
        <v>25.8</v>
      </c>
      <c r="N221">
        <f t="shared" si="55"/>
        <v>3326.5999999999976</v>
      </c>
      <c r="O221">
        <f t="shared" si="47"/>
        <v>25.8</v>
      </c>
      <c r="P221">
        <f t="shared" si="56"/>
        <v>3187.3999999999969</v>
      </c>
      <c r="Q221">
        <f t="shared" si="48"/>
        <v>18.163089970820728</v>
      </c>
      <c r="R221">
        <f t="shared" si="57"/>
        <v>1690.6224315076256</v>
      </c>
      <c r="S221">
        <f t="shared" si="49"/>
        <v>25.8</v>
      </c>
      <c r="T221">
        <f t="shared" si="58"/>
        <v>1951.6000000000006</v>
      </c>
      <c r="U221">
        <f t="shared" si="50"/>
        <v>0</v>
      </c>
      <c r="V221">
        <f t="shared" si="59"/>
        <v>1945.899999999999</v>
      </c>
      <c r="W221">
        <f t="shared" si="51"/>
        <v>219</v>
      </c>
      <c r="X221">
        <f t="shared" si="52"/>
        <v>2.7296699999999987</v>
      </c>
      <c r="Y221">
        <f t="shared" si="53"/>
        <v>1.1000000000000001</v>
      </c>
    </row>
    <row r="222" spans="8:25" x14ac:dyDescent="0.2">
      <c r="H222">
        <f t="shared" si="54"/>
        <v>220</v>
      </c>
      <c r="I222">
        <f t="shared" si="45"/>
        <v>371</v>
      </c>
      <c r="J222">
        <f>IFERROR(INDEX(clima!$C:$C,$I222),"")</f>
        <v>5</v>
      </c>
      <c r="K222">
        <f>IFERROR(INDEX(clima!$F:$F,$I222),"")</f>
        <v>29.1</v>
      </c>
      <c r="L222">
        <f>IFERROR(INDEX(clima!$J:$J,$I222),"")</f>
        <v>14.088134965427884</v>
      </c>
      <c r="M222">
        <f t="shared" si="46"/>
        <v>29.1</v>
      </c>
      <c r="N222">
        <f t="shared" si="55"/>
        <v>3355.6999999999975</v>
      </c>
      <c r="O222">
        <f t="shared" si="47"/>
        <v>29.1</v>
      </c>
      <c r="P222">
        <f t="shared" si="56"/>
        <v>3216.4999999999968</v>
      </c>
      <c r="Q222">
        <f t="shared" si="48"/>
        <v>20.455080845946448</v>
      </c>
      <c r="R222">
        <f t="shared" si="57"/>
        <v>1711.077512353572</v>
      </c>
      <c r="S222">
        <f t="shared" si="49"/>
        <v>29.1</v>
      </c>
      <c r="T222">
        <f t="shared" si="58"/>
        <v>1980.7000000000005</v>
      </c>
      <c r="U222">
        <f t="shared" si="50"/>
        <v>0</v>
      </c>
      <c r="V222">
        <f t="shared" si="59"/>
        <v>1945.899999999999</v>
      </c>
      <c r="W222">
        <f t="shared" si="51"/>
        <v>220</v>
      </c>
      <c r="X222">
        <f t="shared" si="52"/>
        <v>2.7296699999999987</v>
      </c>
      <c r="Y222">
        <f t="shared" si="53"/>
        <v>1.1000000000000001</v>
      </c>
    </row>
    <row r="223" spans="8:25" x14ac:dyDescent="0.2">
      <c r="H223">
        <f t="shared" si="54"/>
        <v>221</v>
      </c>
      <c r="I223">
        <f t="shared" si="45"/>
        <v>372</v>
      </c>
      <c r="J223">
        <f>IFERROR(INDEX(clima!$C:$C,$I223),"")</f>
        <v>6</v>
      </c>
      <c r="K223">
        <f>IFERROR(INDEX(clima!$F:$F,$I223),"")</f>
        <v>29</v>
      </c>
      <c r="L223">
        <f>IFERROR(INDEX(clima!$J:$J,$I223),"")</f>
        <v>14.07677427155217</v>
      </c>
      <c r="M223">
        <f t="shared" si="46"/>
        <v>29</v>
      </c>
      <c r="N223">
        <f t="shared" si="55"/>
        <v>3384.6999999999975</v>
      </c>
      <c r="O223">
        <f t="shared" si="47"/>
        <v>29</v>
      </c>
      <c r="P223">
        <f t="shared" si="56"/>
        <v>3245.4999999999968</v>
      </c>
      <c r="Q223">
        <f t="shared" si="48"/>
        <v>20.351645353068928</v>
      </c>
      <c r="R223">
        <f t="shared" si="57"/>
        <v>1731.429157706641</v>
      </c>
      <c r="S223">
        <f t="shared" si="49"/>
        <v>29</v>
      </c>
      <c r="T223">
        <f t="shared" si="58"/>
        <v>2009.7000000000005</v>
      </c>
      <c r="U223">
        <f t="shared" si="50"/>
        <v>0</v>
      </c>
      <c r="V223">
        <f t="shared" si="59"/>
        <v>1945.899999999999</v>
      </c>
      <c r="W223">
        <f t="shared" si="51"/>
        <v>221</v>
      </c>
      <c r="X223">
        <f t="shared" si="52"/>
        <v>2.7296699999999987</v>
      </c>
      <c r="Y223">
        <f t="shared" si="53"/>
        <v>1.1000000000000001</v>
      </c>
    </row>
    <row r="224" spans="8:25" x14ac:dyDescent="0.2">
      <c r="H224">
        <f t="shared" si="54"/>
        <v>222</v>
      </c>
      <c r="I224">
        <f t="shared" si="45"/>
        <v>373</v>
      </c>
      <c r="J224">
        <f>IFERROR(INDEX(clima!$C:$C,$I224),"")</f>
        <v>7</v>
      </c>
      <c r="K224">
        <f>IFERROR(INDEX(clima!$F:$F,$I224),"")</f>
        <v>25.1</v>
      </c>
      <c r="L224">
        <f>IFERROR(INDEX(clima!$J:$J,$I224),"")</f>
        <v>14.064736338919822</v>
      </c>
      <c r="M224">
        <f t="shared" si="46"/>
        <v>25.1</v>
      </c>
      <c r="N224">
        <f t="shared" si="55"/>
        <v>3409.7999999999975</v>
      </c>
      <c r="O224">
        <f t="shared" si="47"/>
        <v>25.1</v>
      </c>
      <c r="P224">
        <f t="shared" si="56"/>
        <v>3270.5999999999967</v>
      </c>
      <c r="Q224">
        <f t="shared" si="48"/>
        <v>17.584243869092933</v>
      </c>
      <c r="R224">
        <f t="shared" si="57"/>
        <v>1749.013401575734</v>
      </c>
      <c r="S224">
        <f t="shared" si="49"/>
        <v>25.1</v>
      </c>
      <c r="T224">
        <f t="shared" si="58"/>
        <v>2034.8000000000004</v>
      </c>
      <c r="U224">
        <f t="shared" si="50"/>
        <v>0</v>
      </c>
      <c r="V224">
        <f t="shared" si="59"/>
        <v>1945.899999999999</v>
      </c>
      <c r="W224">
        <f t="shared" si="51"/>
        <v>222</v>
      </c>
      <c r="X224">
        <f t="shared" si="52"/>
        <v>2.7296699999999987</v>
      </c>
      <c r="Y224">
        <f t="shared" si="53"/>
        <v>1.1000000000000001</v>
      </c>
    </row>
    <row r="225" spans="8:25" x14ac:dyDescent="0.2">
      <c r="H225">
        <f t="shared" si="54"/>
        <v>223</v>
      </c>
      <c r="I225">
        <f t="shared" si="45"/>
        <v>374</v>
      </c>
      <c r="J225">
        <f>IFERROR(INDEX(clima!$C:$C,$I225),"")</f>
        <v>8</v>
      </c>
      <c r="K225">
        <f>IFERROR(INDEX(clima!$F:$F,$I225),"")</f>
        <v>25.1</v>
      </c>
      <c r="L225">
        <f>IFERROR(INDEX(clima!$J:$J,$I225),"")</f>
        <v>14.052028916981424</v>
      </c>
      <c r="M225">
        <f t="shared" si="46"/>
        <v>25.1</v>
      </c>
      <c r="N225">
        <f t="shared" si="55"/>
        <v>3434.8999999999974</v>
      </c>
      <c r="O225">
        <f t="shared" si="47"/>
        <v>25.1</v>
      </c>
      <c r="P225">
        <f t="shared" si="56"/>
        <v>3295.6999999999966</v>
      </c>
      <c r="Q225">
        <f t="shared" si="48"/>
        <v>17.552026893055888</v>
      </c>
      <c r="R225">
        <f t="shared" si="57"/>
        <v>1766.5654284687898</v>
      </c>
      <c r="S225">
        <f t="shared" si="49"/>
        <v>25.1</v>
      </c>
      <c r="T225">
        <f t="shared" si="58"/>
        <v>2059.9000000000005</v>
      </c>
      <c r="U225">
        <f t="shared" si="50"/>
        <v>0</v>
      </c>
      <c r="V225">
        <f t="shared" si="59"/>
        <v>1945.899999999999</v>
      </c>
      <c r="W225">
        <f t="shared" si="51"/>
        <v>223</v>
      </c>
      <c r="X225">
        <f t="shared" si="52"/>
        <v>2.7296699999999987</v>
      </c>
      <c r="Y225">
        <f t="shared" si="53"/>
        <v>1.1000000000000001</v>
      </c>
    </row>
    <row r="226" spans="8:25" x14ac:dyDescent="0.2">
      <c r="H226">
        <f t="shared" si="54"/>
        <v>224</v>
      </c>
      <c r="I226">
        <f t="shared" si="45"/>
        <v>375</v>
      </c>
      <c r="J226">
        <f>IFERROR(INDEX(clima!$C:$C,$I226),"")</f>
        <v>9</v>
      </c>
      <c r="K226">
        <f>IFERROR(INDEX(clima!$F:$F,$I226),"")</f>
        <v>26.6</v>
      </c>
      <c r="L226">
        <f>IFERROR(INDEX(clima!$J:$J,$I226),"")</f>
        <v>14.03866010756313</v>
      </c>
      <c r="M226">
        <f t="shared" si="46"/>
        <v>26.6</v>
      </c>
      <c r="N226">
        <f t="shared" si="55"/>
        <v>3461.4999999999973</v>
      </c>
      <c r="O226">
        <f t="shared" si="47"/>
        <v>26.6</v>
      </c>
      <c r="P226">
        <f t="shared" si="56"/>
        <v>3322.2999999999965</v>
      </c>
      <c r="Q226">
        <f t="shared" si="48"/>
        <v>18.5649546738947</v>
      </c>
      <c r="R226">
        <f t="shared" si="57"/>
        <v>1785.1303831426844</v>
      </c>
      <c r="S226">
        <f t="shared" si="49"/>
        <v>26.6</v>
      </c>
      <c r="T226">
        <f t="shared" si="58"/>
        <v>2086.5000000000005</v>
      </c>
      <c r="U226">
        <f t="shared" si="50"/>
        <v>0</v>
      </c>
      <c r="V226">
        <f t="shared" si="59"/>
        <v>1945.899999999999</v>
      </c>
      <c r="W226">
        <f t="shared" si="51"/>
        <v>224</v>
      </c>
      <c r="X226">
        <f t="shared" si="52"/>
        <v>2.7296699999999987</v>
      </c>
      <c r="Y226">
        <f t="shared" si="53"/>
        <v>1.1000000000000001</v>
      </c>
    </row>
    <row r="227" spans="8:25" x14ac:dyDescent="0.2">
      <c r="H227">
        <f t="shared" si="54"/>
        <v>225</v>
      </c>
      <c r="I227">
        <f t="shared" si="45"/>
        <v>376</v>
      </c>
      <c r="J227">
        <f>IFERROR(INDEX(clima!$C:$C,$I227),"")</f>
        <v>10</v>
      </c>
      <c r="K227">
        <f>IFERROR(INDEX(clima!$F:$F,$I227),"")</f>
        <v>24.2</v>
      </c>
      <c r="L227">
        <f>IFERROR(INDEX(clima!$J:$J,$I227),"")</f>
        <v>14.024638347773765</v>
      </c>
      <c r="M227">
        <f t="shared" si="46"/>
        <v>24.2</v>
      </c>
      <c r="N227">
        <f t="shared" si="55"/>
        <v>3485.6999999999971</v>
      </c>
      <c r="O227">
        <f t="shared" si="47"/>
        <v>24.2</v>
      </c>
      <c r="P227">
        <f t="shared" si="56"/>
        <v>3346.4999999999964</v>
      </c>
      <c r="Q227">
        <f t="shared" si="48"/>
        <v>16.855492427833923</v>
      </c>
      <c r="R227">
        <f t="shared" si="57"/>
        <v>1801.9858755705184</v>
      </c>
      <c r="S227">
        <f t="shared" si="49"/>
        <v>24.2</v>
      </c>
      <c r="T227">
        <f t="shared" si="58"/>
        <v>2110.7000000000003</v>
      </c>
      <c r="U227">
        <f t="shared" si="50"/>
        <v>0</v>
      </c>
      <c r="V227">
        <f t="shared" si="59"/>
        <v>1945.899999999999</v>
      </c>
      <c r="W227">
        <f t="shared" si="51"/>
        <v>225</v>
      </c>
      <c r="X227">
        <f t="shared" si="52"/>
        <v>2.7296699999999987</v>
      </c>
      <c r="Y227">
        <f t="shared" si="53"/>
        <v>1.1000000000000001</v>
      </c>
    </row>
    <row r="228" spans="8:25" x14ac:dyDescent="0.2">
      <c r="H228">
        <f t="shared" si="54"/>
        <v>226</v>
      </c>
      <c r="I228">
        <f t="shared" si="45"/>
        <v>377</v>
      </c>
      <c r="J228">
        <f>IFERROR(INDEX(clima!$C:$C,$I228),"")</f>
        <v>11</v>
      </c>
      <c r="K228">
        <f>IFERROR(INDEX(clima!$F:$F,$I228),"")</f>
        <v>26.4</v>
      </c>
      <c r="L228">
        <f>IFERROR(INDEX(clima!$J:$J,$I228),"")</f>
        <v>14.009972392487164</v>
      </c>
      <c r="M228">
        <f t="shared" si="46"/>
        <v>26.4</v>
      </c>
      <c r="N228">
        <f t="shared" si="55"/>
        <v>3512.0999999999972</v>
      </c>
      <c r="O228">
        <f t="shared" si="47"/>
        <v>26.4</v>
      </c>
      <c r="P228">
        <f t="shared" si="56"/>
        <v>3372.8999999999965</v>
      </c>
      <c r="Q228">
        <f t="shared" si="48"/>
        <v>18.34843134222092</v>
      </c>
      <c r="R228">
        <f t="shared" si="57"/>
        <v>1820.3343069127393</v>
      </c>
      <c r="S228">
        <f t="shared" si="49"/>
        <v>26.4</v>
      </c>
      <c r="T228">
        <f t="shared" si="58"/>
        <v>2137.1000000000004</v>
      </c>
      <c r="U228">
        <f t="shared" si="50"/>
        <v>0</v>
      </c>
      <c r="V228">
        <f t="shared" si="59"/>
        <v>1945.899999999999</v>
      </c>
      <c r="W228">
        <f t="shared" si="51"/>
        <v>226</v>
      </c>
      <c r="X228">
        <f t="shared" si="52"/>
        <v>2.7296699999999987</v>
      </c>
      <c r="Y228">
        <f t="shared" si="53"/>
        <v>1.1000000000000001</v>
      </c>
    </row>
    <row r="229" spans="8:25" x14ac:dyDescent="0.2">
      <c r="H229">
        <f t="shared" si="54"/>
        <v>227</v>
      </c>
      <c r="I229">
        <f t="shared" si="45"/>
        <v>378</v>
      </c>
      <c r="J229">
        <f>IFERROR(INDEX(clima!$C:$C,$I229),"")</f>
        <v>12</v>
      </c>
      <c r="K229">
        <f>IFERROR(INDEX(clima!$F:$F,$I229),"")</f>
        <v>24.3</v>
      </c>
      <c r="L229">
        <f>IFERROR(INDEX(clima!$J:$J,$I229),"")</f>
        <v>13.994671296470765</v>
      </c>
      <c r="M229">
        <f t="shared" si="46"/>
        <v>24.3</v>
      </c>
      <c r="N229">
        <f t="shared" si="55"/>
        <v>3536.3999999999974</v>
      </c>
      <c r="O229">
        <f t="shared" si="47"/>
        <v>24.3</v>
      </c>
      <c r="P229">
        <f t="shared" si="56"/>
        <v>3397.1999999999966</v>
      </c>
      <c r="Q229">
        <f t="shared" si="48"/>
        <v>16.850986410428394</v>
      </c>
      <c r="R229">
        <f t="shared" si="57"/>
        <v>1837.1852933231678</v>
      </c>
      <c r="S229">
        <f t="shared" si="49"/>
        <v>24.3</v>
      </c>
      <c r="T229">
        <f t="shared" si="58"/>
        <v>2161.4000000000005</v>
      </c>
      <c r="U229">
        <f t="shared" si="50"/>
        <v>0</v>
      </c>
      <c r="V229">
        <f t="shared" si="59"/>
        <v>1945.899999999999</v>
      </c>
      <c r="W229">
        <f t="shared" si="51"/>
        <v>227</v>
      </c>
      <c r="X229">
        <f t="shared" si="52"/>
        <v>2.7296699999999987</v>
      </c>
      <c r="Y229">
        <f t="shared" si="53"/>
        <v>1.1000000000000001</v>
      </c>
    </row>
    <row r="230" spans="8:25" x14ac:dyDescent="0.2">
      <c r="H230">
        <f t="shared" si="54"/>
        <v>228</v>
      </c>
      <c r="I230">
        <f t="shared" si="45"/>
        <v>379</v>
      </c>
      <c r="J230">
        <f>IFERROR(INDEX(clima!$C:$C,$I230),"")</f>
        <v>13</v>
      </c>
      <c r="K230">
        <f>IFERROR(INDEX(clima!$F:$F,$I230),"")</f>
        <v>24.6</v>
      </c>
      <c r="L230">
        <f>IFERROR(INDEX(clima!$J:$J,$I230),"")</f>
        <v>13.978744396231232</v>
      </c>
      <c r="M230">
        <f t="shared" si="46"/>
        <v>24.6</v>
      </c>
      <c r="N230">
        <f t="shared" si="55"/>
        <v>3560.9999999999973</v>
      </c>
      <c r="O230">
        <f t="shared" si="47"/>
        <v>24.6</v>
      </c>
      <c r="P230">
        <f t="shared" si="56"/>
        <v>3421.7999999999965</v>
      </c>
      <c r="Q230">
        <f t="shared" si="48"/>
        <v>17.018970967498799</v>
      </c>
      <c r="R230">
        <f t="shared" si="57"/>
        <v>1854.2042642906665</v>
      </c>
      <c r="S230">
        <f t="shared" si="49"/>
        <v>24.6</v>
      </c>
      <c r="T230">
        <f t="shared" si="58"/>
        <v>2186.0000000000005</v>
      </c>
      <c r="U230">
        <f t="shared" si="50"/>
        <v>0</v>
      </c>
      <c r="V230">
        <f t="shared" si="59"/>
        <v>1945.899999999999</v>
      </c>
      <c r="W230">
        <f t="shared" si="51"/>
        <v>228</v>
      </c>
      <c r="X230">
        <f t="shared" si="52"/>
        <v>2.7296699999999987</v>
      </c>
      <c r="Y230">
        <f t="shared" si="53"/>
        <v>1.1000000000000001</v>
      </c>
    </row>
    <row r="231" spans="8:25" x14ac:dyDescent="0.2">
      <c r="H231">
        <f t="shared" si="54"/>
        <v>229</v>
      </c>
      <c r="I231">
        <f t="shared" si="45"/>
        <v>380</v>
      </c>
      <c r="J231">
        <f>IFERROR(INDEX(clima!$C:$C,$I231),"")</f>
        <v>14</v>
      </c>
      <c r="K231">
        <f>IFERROR(INDEX(clima!$F:$F,$I231),"")</f>
        <v>24</v>
      </c>
      <c r="L231">
        <f>IFERROR(INDEX(clima!$J:$J,$I231),"")</f>
        <v>13.962201291647334</v>
      </c>
      <c r="M231">
        <f t="shared" si="46"/>
        <v>24</v>
      </c>
      <c r="N231">
        <f t="shared" si="55"/>
        <v>3584.9999999999973</v>
      </c>
      <c r="O231">
        <f t="shared" si="47"/>
        <v>24</v>
      </c>
      <c r="P231">
        <f t="shared" si="56"/>
        <v>3445.7999999999965</v>
      </c>
      <c r="Q231">
        <f t="shared" si="48"/>
        <v>16.563177298512635</v>
      </c>
      <c r="R231">
        <f t="shared" si="57"/>
        <v>1870.767441589179</v>
      </c>
      <c r="S231">
        <f t="shared" si="49"/>
        <v>24</v>
      </c>
      <c r="T231">
        <f t="shared" si="58"/>
        <v>2210.0000000000005</v>
      </c>
      <c r="U231">
        <f t="shared" si="50"/>
        <v>0</v>
      </c>
      <c r="V231">
        <f t="shared" si="59"/>
        <v>1945.899999999999</v>
      </c>
      <c r="W231">
        <f t="shared" si="51"/>
        <v>229</v>
      </c>
      <c r="X231">
        <f t="shared" si="52"/>
        <v>2.7296699999999987</v>
      </c>
      <c r="Y231">
        <f t="shared" si="53"/>
        <v>1.1000000000000001</v>
      </c>
    </row>
    <row r="232" spans="8:25" x14ac:dyDescent="0.2">
      <c r="H232">
        <f t="shared" si="54"/>
        <v>230</v>
      </c>
      <c r="I232">
        <f t="shared" si="45"/>
        <v>381</v>
      </c>
      <c r="J232">
        <f>IFERROR(INDEX(clima!$C:$C,$I232),"")</f>
        <v>15</v>
      </c>
      <c r="K232">
        <f>IFERROR(INDEX(clima!$F:$F,$I232),"")</f>
        <v>26.2</v>
      </c>
      <c r="L232">
        <f>IFERROR(INDEX(clima!$J:$J,$I232),"")</f>
        <v>13.945051827459224</v>
      </c>
      <c r="M232">
        <f t="shared" si="46"/>
        <v>26.2</v>
      </c>
      <c r="N232">
        <f t="shared" si="55"/>
        <v>3611.1999999999971</v>
      </c>
      <c r="O232">
        <f t="shared" si="47"/>
        <v>26.2</v>
      </c>
      <c r="P232">
        <f t="shared" si="56"/>
        <v>3471.9999999999964</v>
      </c>
      <c r="Q232">
        <f t="shared" si="48"/>
        <v>18.035284105221109</v>
      </c>
      <c r="R232">
        <f t="shared" si="57"/>
        <v>1888.8027256944001</v>
      </c>
      <c r="S232">
        <f t="shared" si="49"/>
        <v>26.2</v>
      </c>
      <c r="T232">
        <f t="shared" si="58"/>
        <v>2236.2000000000003</v>
      </c>
      <c r="U232">
        <f t="shared" si="50"/>
        <v>0</v>
      </c>
      <c r="V232">
        <f t="shared" si="59"/>
        <v>1945.899999999999</v>
      </c>
      <c r="W232">
        <f t="shared" si="51"/>
        <v>230</v>
      </c>
      <c r="X232">
        <f t="shared" si="52"/>
        <v>2.7296699999999987</v>
      </c>
      <c r="Y232">
        <f t="shared" si="53"/>
        <v>1.1000000000000001</v>
      </c>
    </row>
    <row r="233" spans="8:25" x14ac:dyDescent="0.2">
      <c r="H233">
        <f t="shared" si="54"/>
        <v>231</v>
      </c>
      <c r="I233">
        <f t="shared" si="45"/>
        <v>382</v>
      </c>
      <c r="J233">
        <f>IFERROR(INDEX(clima!$C:$C,$I233),"")</f>
        <v>16</v>
      </c>
      <c r="K233">
        <f>IFERROR(INDEX(clima!$F:$F,$I233),"")</f>
        <v>27.5</v>
      </c>
      <c r="L233">
        <f>IFERROR(INDEX(clima!$J:$J,$I233),"")</f>
        <v>13.927306074681896</v>
      </c>
      <c r="M233">
        <f t="shared" si="46"/>
        <v>27.5</v>
      </c>
      <c r="N233">
        <f t="shared" si="55"/>
        <v>3638.6999999999971</v>
      </c>
      <c r="O233">
        <f t="shared" si="47"/>
        <v>27.5</v>
      </c>
      <c r="P233">
        <f t="shared" si="56"/>
        <v>3499.4999999999964</v>
      </c>
      <c r="Q233">
        <f t="shared" si="48"/>
        <v>18.879858309398323</v>
      </c>
      <c r="R233">
        <f t="shared" si="57"/>
        <v>1907.6825840037984</v>
      </c>
      <c r="S233">
        <f t="shared" si="49"/>
        <v>27.5</v>
      </c>
      <c r="T233">
        <f t="shared" si="58"/>
        <v>2263.7000000000003</v>
      </c>
      <c r="U233">
        <f t="shared" si="50"/>
        <v>0</v>
      </c>
      <c r="V233">
        <f t="shared" si="59"/>
        <v>1945.899999999999</v>
      </c>
      <c r="W233">
        <f t="shared" si="51"/>
        <v>231</v>
      </c>
      <c r="X233">
        <f t="shared" si="52"/>
        <v>2.7296699999999987</v>
      </c>
      <c r="Y233">
        <f t="shared" si="53"/>
        <v>1.1000000000000001</v>
      </c>
    </row>
    <row r="234" spans="8:25" x14ac:dyDescent="0.2">
      <c r="H234">
        <f t="shared" si="54"/>
        <v>232</v>
      </c>
      <c r="I234">
        <f t="shared" si="45"/>
        <v>383</v>
      </c>
      <c r="J234">
        <f>IFERROR(INDEX(clima!$C:$C,$I234),"")</f>
        <v>17</v>
      </c>
      <c r="K234">
        <f>IFERROR(INDEX(clima!$F:$F,$I234),"")</f>
        <v>28.5</v>
      </c>
      <c r="L234">
        <f>IFERROR(INDEX(clima!$J:$J,$I234),"")</f>
        <v>13.908974312008899</v>
      </c>
      <c r="M234">
        <f t="shared" si="46"/>
        <v>28.5</v>
      </c>
      <c r="N234">
        <f t="shared" si="55"/>
        <v>3667.1999999999971</v>
      </c>
      <c r="O234">
        <f t="shared" si="47"/>
        <v>28.5</v>
      </c>
      <c r="P234">
        <f t="shared" si="56"/>
        <v>3527.9999999999964</v>
      </c>
      <c r="Q234">
        <f t="shared" si="48"/>
        <v>19.512381120029335</v>
      </c>
      <c r="R234">
        <f t="shared" si="57"/>
        <v>1927.1949651238278</v>
      </c>
      <c r="S234">
        <f t="shared" si="49"/>
        <v>28.5</v>
      </c>
      <c r="T234">
        <f t="shared" si="58"/>
        <v>2292.2000000000003</v>
      </c>
      <c r="U234">
        <f t="shared" si="50"/>
        <v>0</v>
      </c>
      <c r="V234">
        <f t="shared" si="59"/>
        <v>1945.899999999999</v>
      </c>
      <c r="W234">
        <f t="shared" si="51"/>
        <v>232</v>
      </c>
      <c r="X234">
        <f t="shared" si="52"/>
        <v>2.7296699999999987</v>
      </c>
      <c r="Y234">
        <f t="shared" si="53"/>
        <v>1.1000000000000001</v>
      </c>
    </row>
    <row r="235" spans="8:25" x14ac:dyDescent="0.2">
      <c r="H235">
        <f t="shared" si="54"/>
        <v>233</v>
      </c>
      <c r="I235">
        <f t="shared" si="45"/>
        <v>384</v>
      </c>
      <c r="J235">
        <f>IFERROR(INDEX(clima!$C:$C,$I235),"")</f>
        <v>18</v>
      </c>
      <c r="K235">
        <f>IFERROR(INDEX(clima!$F:$F,$I235),"")</f>
        <v>28.3</v>
      </c>
      <c r="L235">
        <f>IFERROR(INDEX(clima!$J:$J,$I235),"")</f>
        <v>13.890067007270297</v>
      </c>
      <c r="M235">
        <f t="shared" si="46"/>
        <v>28.3</v>
      </c>
      <c r="N235">
        <f t="shared" si="55"/>
        <v>3695.4999999999973</v>
      </c>
      <c r="O235">
        <f t="shared" si="47"/>
        <v>28.3</v>
      </c>
      <c r="P235">
        <f t="shared" si="56"/>
        <v>3556.2999999999965</v>
      </c>
      <c r="Q235">
        <f t="shared" si="48"/>
        <v>19.319960313198127</v>
      </c>
      <c r="R235">
        <f t="shared" si="57"/>
        <v>1946.514925437026</v>
      </c>
      <c r="S235">
        <f t="shared" si="49"/>
        <v>28.3</v>
      </c>
      <c r="T235">
        <f t="shared" si="58"/>
        <v>2320.5000000000005</v>
      </c>
      <c r="U235">
        <f t="shared" si="50"/>
        <v>0</v>
      </c>
      <c r="V235">
        <f t="shared" si="59"/>
        <v>1945.899999999999</v>
      </c>
      <c r="W235">
        <f t="shared" si="51"/>
        <v>233</v>
      </c>
      <c r="X235">
        <f t="shared" si="52"/>
        <v>2.7296699999999987</v>
      </c>
      <c r="Y235">
        <f t="shared" si="53"/>
        <v>1.1000000000000001</v>
      </c>
    </row>
    <row r="236" spans="8:25" x14ac:dyDescent="0.2">
      <c r="H236">
        <f t="shared" si="54"/>
        <v>234</v>
      </c>
      <c r="I236">
        <f t="shared" si="45"/>
        <v>385</v>
      </c>
      <c r="J236">
        <f>IFERROR(INDEX(clima!$C:$C,$I236),"")</f>
        <v>19</v>
      </c>
      <c r="K236">
        <f>IFERROR(INDEX(clima!$F:$F,$I236),"")</f>
        <v>23.9</v>
      </c>
      <c r="L236">
        <f>IFERROR(INDEX(clima!$J:$J,$I236),"")</f>
        <v>13.87059479900654</v>
      </c>
      <c r="M236">
        <f t="shared" si="46"/>
        <v>23.9</v>
      </c>
      <c r="N236">
        <f t="shared" si="55"/>
        <v>3719.3999999999974</v>
      </c>
      <c r="O236">
        <f t="shared" si="47"/>
        <v>23.9</v>
      </c>
      <c r="P236">
        <f t="shared" si="56"/>
        <v>3580.1999999999966</v>
      </c>
      <c r="Q236">
        <f t="shared" si="48"/>
        <v>16.267734110835274</v>
      </c>
      <c r="R236">
        <f t="shared" si="57"/>
        <v>1962.7826595478614</v>
      </c>
      <c r="S236">
        <f t="shared" si="49"/>
        <v>23.9</v>
      </c>
      <c r="T236">
        <f t="shared" si="58"/>
        <v>2344.4000000000005</v>
      </c>
      <c r="U236">
        <f t="shared" si="50"/>
        <v>0</v>
      </c>
      <c r="V236">
        <f t="shared" si="59"/>
        <v>1945.899999999999</v>
      </c>
      <c r="W236">
        <f t="shared" si="51"/>
        <v>234</v>
      </c>
      <c r="X236">
        <f t="shared" si="52"/>
        <v>2.7296699999999987</v>
      </c>
      <c r="Y236">
        <f t="shared" si="53"/>
        <v>1.1000000000000001</v>
      </c>
    </row>
    <row r="237" spans="8:25" x14ac:dyDescent="0.2">
      <c r="H237">
        <f t="shared" si="54"/>
        <v>235</v>
      </c>
      <c r="I237">
        <f t="shared" si="45"/>
        <v>386</v>
      </c>
      <c r="J237">
        <f>IFERROR(INDEX(clima!$C:$C,$I237),"")</f>
        <v>20</v>
      </c>
      <c r="K237">
        <f>IFERROR(INDEX(clima!$F:$F,$I237),"")</f>
        <v>22</v>
      </c>
      <c r="L237">
        <f>IFERROR(INDEX(clima!$J:$J,$I237),"")</f>
        <v>13.850568478217388</v>
      </c>
      <c r="M237">
        <f t="shared" si="46"/>
        <v>22</v>
      </c>
      <c r="N237">
        <f t="shared" si="55"/>
        <v>3741.3999999999974</v>
      </c>
      <c r="O237">
        <f t="shared" si="47"/>
        <v>22</v>
      </c>
      <c r="P237">
        <f t="shared" si="56"/>
        <v>3602.1999999999966</v>
      </c>
      <c r="Q237">
        <f t="shared" si="48"/>
        <v>14.928499996315495</v>
      </c>
      <c r="R237">
        <f t="shared" si="57"/>
        <v>1977.7111595441768</v>
      </c>
      <c r="S237">
        <f t="shared" si="49"/>
        <v>22</v>
      </c>
      <c r="T237">
        <f t="shared" si="58"/>
        <v>2366.4000000000005</v>
      </c>
      <c r="U237">
        <f t="shared" si="50"/>
        <v>0</v>
      </c>
      <c r="V237">
        <f t="shared" si="59"/>
        <v>1945.899999999999</v>
      </c>
      <c r="W237">
        <f t="shared" si="51"/>
        <v>235</v>
      </c>
      <c r="X237">
        <f t="shared" si="52"/>
        <v>2.7296699999999987</v>
      </c>
      <c r="Y237">
        <f t="shared" si="53"/>
        <v>1.1000000000000001</v>
      </c>
    </row>
    <row r="238" spans="8:25" x14ac:dyDescent="0.2">
      <c r="H238">
        <f t="shared" si="54"/>
        <v>236</v>
      </c>
      <c r="I238">
        <f t="shared" si="45"/>
        <v>387</v>
      </c>
      <c r="J238">
        <f>IFERROR(INDEX(clima!$C:$C,$I238),"")</f>
        <v>21</v>
      </c>
      <c r="K238">
        <f>IFERROR(INDEX(clima!$F:$F,$I238),"")</f>
        <v>23.8</v>
      </c>
      <c r="L238">
        <f>IFERROR(INDEX(clima!$J:$J,$I238),"")</f>
        <v>13.829998970342087</v>
      </c>
      <c r="M238">
        <f t="shared" si="46"/>
        <v>23.8</v>
      </c>
      <c r="N238">
        <f t="shared" si="55"/>
        <v>3765.1999999999975</v>
      </c>
      <c r="O238">
        <f t="shared" si="47"/>
        <v>23.8</v>
      </c>
      <c r="P238">
        <f t="shared" si="56"/>
        <v>3625.9999999999968</v>
      </c>
      <c r="Q238">
        <f t="shared" si="48"/>
        <v>16.098658959580309</v>
      </c>
      <c r="R238">
        <f t="shared" si="57"/>
        <v>1993.809818503757</v>
      </c>
      <c r="S238">
        <f t="shared" si="49"/>
        <v>23.8</v>
      </c>
      <c r="T238">
        <f t="shared" si="58"/>
        <v>2390.2000000000007</v>
      </c>
      <c r="U238">
        <f t="shared" si="50"/>
        <v>0</v>
      </c>
      <c r="V238">
        <f t="shared" si="59"/>
        <v>1945.899999999999</v>
      </c>
      <c r="W238">
        <f t="shared" si="51"/>
        <v>236</v>
      </c>
      <c r="X238">
        <f t="shared" si="52"/>
        <v>2.7296699999999987</v>
      </c>
      <c r="Y238">
        <f t="shared" si="53"/>
        <v>1.1000000000000001</v>
      </c>
    </row>
    <row r="239" spans="8:25" x14ac:dyDescent="0.2">
      <c r="H239">
        <f t="shared" si="54"/>
        <v>237</v>
      </c>
      <c r="I239">
        <f t="shared" si="45"/>
        <v>388</v>
      </c>
      <c r="J239">
        <f>IFERROR(INDEX(clima!$C:$C,$I239),"")</f>
        <v>22</v>
      </c>
      <c r="K239">
        <f>IFERROR(INDEX(clima!$F:$F,$I239),"")</f>
        <v>24.1</v>
      </c>
      <c r="L239">
        <f>IFERROR(INDEX(clima!$J:$J,$I239),"")</f>
        <v>13.80889731752413</v>
      </c>
      <c r="M239">
        <f t="shared" si="46"/>
        <v>24.1</v>
      </c>
      <c r="N239">
        <f t="shared" si="55"/>
        <v>3789.2999999999975</v>
      </c>
      <c r="O239">
        <f t="shared" si="47"/>
        <v>24.1</v>
      </c>
      <c r="P239">
        <f t="shared" si="56"/>
        <v>3650.0999999999967</v>
      </c>
      <c r="Q239">
        <f t="shared" si="48"/>
        <v>16.248150215746961</v>
      </c>
      <c r="R239">
        <f t="shared" si="57"/>
        <v>2010.0579687195041</v>
      </c>
      <c r="S239">
        <f t="shared" si="49"/>
        <v>24.1</v>
      </c>
      <c r="T239">
        <f t="shared" si="58"/>
        <v>2414.3000000000006</v>
      </c>
      <c r="U239">
        <f t="shared" si="50"/>
        <v>0</v>
      </c>
      <c r="V239">
        <f t="shared" si="59"/>
        <v>1945.899999999999</v>
      </c>
      <c r="W239">
        <f t="shared" si="51"/>
        <v>237</v>
      </c>
      <c r="X239">
        <f t="shared" si="52"/>
        <v>2.7296699999999987</v>
      </c>
      <c r="Y239">
        <f t="shared" si="53"/>
        <v>1.1000000000000001</v>
      </c>
    </row>
    <row r="240" spans="8:25" x14ac:dyDescent="0.2">
      <c r="H240">
        <f t="shared" si="54"/>
        <v>238</v>
      </c>
      <c r="I240">
        <f t="shared" si="45"/>
        <v>389</v>
      </c>
      <c r="J240">
        <f>IFERROR(INDEX(clima!$C:$C,$I240),"")</f>
        <v>23</v>
      </c>
      <c r="K240">
        <f>IFERROR(INDEX(clima!$F:$F,$I240),"")</f>
        <v>25.7</v>
      </c>
      <c r="L240">
        <f>IFERROR(INDEX(clima!$J:$J,$I240),"")</f>
        <v>13.787274661210651</v>
      </c>
      <c r="M240">
        <f t="shared" si="46"/>
        <v>25.7</v>
      </c>
      <c r="N240">
        <f t="shared" si="55"/>
        <v>3814.9999999999973</v>
      </c>
      <c r="O240">
        <f t="shared" si="47"/>
        <v>25.7</v>
      </c>
      <c r="P240">
        <f t="shared" si="56"/>
        <v>3675.7999999999965</v>
      </c>
      <c r="Q240">
        <f t="shared" si="48"/>
        <v>17.26827648225786</v>
      </c>
      <c r="R240">
        <f t="shared" si="57"/>
        <v>2027.3262452017618</v>
      </c>
      <c r="S240">
        <f t="shared" si="49"/>
        <v>25.7</v>
      </c>
      <c r="T240">
        <f t="shared" si="58"/>
        <v>2440.0000000000005</v>
      </c>
      <c r="U240">
        <f t="shared" si="50"/>
        <v>0</v>
      </c>
      <c r="V240">
        <f t="shared" si="59"/>
        <v>1945.899999999999</v>
      </c>
      <c r="W240">
        <f t="shared" si="51"/>
        <v>238</v>
      </c>
      <c r="X240">
        <f t="shared" si="52"/>
        <v>2.7296699999999987</v>
      </c>
      <c r="Y240">
        <f t="shared" si="53"/>
        <v>1.1000000000000001</v>
      </c>
    </row>
    <row r="241" spans="8:25" x14ac:dyDescent="0.2">
      <c r="H241">
        <f t="shared" si="54"/>
        <v>239</v>
      </c>
      <c r="I241">
        <f t="shared" si="45"/>
        <v>390</v>
      </c>
      <c r="J241">
        <f>IFERROR(INDEX(clima!$C:$C,$I241),"")</f>
        <v>24</v>
      </c>
      <c r="K241">
        <f>IFERROR(INDEX(clima!$F:$F,$I241),"")</f>
        <v>26.3</v>
      </c>
      <c r="L241">
        <f>IFERROR(INDEX(clima!$J:$J,$I241),"")</f>
        <v>13.765142225133289</v>
      </c>
      <c r="M241">
        <f t="shared" si="46"/>
        <v>26.3</v>
      </c>
      <c r="N241">
        <f t="shared" si="55"/>
        <v>3841.2999999999975</v>
      </c>
      <c r="O241">
        <f t="shared" si="47"/>
        <v>26.3</v>
      </c>
      <c r="P241">
        <f t="shared" si="56"/>
        <v>3702.0999999999967</v>
      </c>
      <c r="Q241">
        <f t="shared" si="48"/>
        <v>17.609839923252011</v>
      </c>
      <c r="R241">
        <f t="shared" si="57"/>
        <v>2044.9360851250137</v>
      </c>
      <c r="S241">
        <f t="shared" si="49"/>
        <v>26.3</v>
      </c>
      <c r="T241">
        <f t="shared" si="58"/>
        <v>2466.3000000000006</v>
      </c>
      <c r="U241">
        <f t="shared" si="50"/>
        <v>0</v>
      </c>
      <c r="V241">
        <f t="shared" si="59"/>
        <v>1945.899999999999</v>
      </c>
      <c r="W241">
        <f t="shared" si="51"/>
        <v>239</v>
      </c>
      <c r="X241">
        <f t="shared" si="52"/>
        <v>2.7296699999999987</v>
      </c>
      <c r="Y241">
        <f t="shared" si="53"/>
        <v>1.1000000000000001</v>
      </c>
    </row>
    <row r="242" spans="8:25" x14ac:dyDescent="0.2">
      <c r="H242">
        <f t="shared" si="54"/>
        <v>240</v>
      </c>
      <c r="I242">
        <f t="shared" si="45"/>
        <v>391</v>
      </c>
      <c r="J242">
        <f>IFERROR(INDEX(clima!$C:$C,$I242),"")</f>
        <v>25</v>
      </c>
      <c r="K242">
        <f>IFERROR(INDEX(clima!$F:$F,$I242),"")</f>
        <v>25.6</v>
      </c>
      <c r="L242">
        <f>IFERROR(INDEX(clima!$J:$J,$I242),"")</f>
        <v>13.742511298713865</v>
      </c>
      <c r="M242">
        <f t="shared" si="46"/>
        <v>25.6</v>
      </c>
      <c r="N242">
        <f t="shared" si="55"/>
        <v>3866.8999999999974</v>
      </c>
      <c r="O242">
        <f t="shared" si="47"/>
        <v>25.6</v>
      </c>
      <c r="P242">
        <f t="shared" si="56"/>
        <v>3727.6999999999966</v>
      </c>
      <c r="Q242">
        <f t="shared" si="48"/>
        <v>17.079618529352935</v>
      </c>
      <c r="R242">
        <f t="shared" si="57"/>
        <v>2062.0157036543665</v>
      </c>
      <c r="S242">
        <f t="shared" si="49"/>
        <v>25.6</v>
      </c>
      <c r="T242">
        <f t="shared" si="58"/>
        <v>2491.9000000000005</v>
      </c>
      <c r="U242">
        <f t="shared" si="50"/>
        <v>0</v>
      </c>
      <c r="V242">
        <f t="shared" si="59"/>
        <v>1945.899999999999</v>
      </c>
      <c r="W242">
        <f t="shared" si="51"/>
        <v>240</v>
      </c>
      <c r="X242">
        <f t="shared" si="52"/>
        <v>2.7296699999999987</v>
      </c>
      <c r="Y242">
        <f t="shared" si="53"/>
        <v>1.1000000000000001</v>
      </c>
    </row>
    <row r="243" spans="8:25" x14ac:dyDescent="0.2">
      <c r="H243">
        <f t="shared" si="54"/>
        <v>241</v>
      </c>
      <c r="I243">
        <f t="shared" si="45"/>
        <v>392</v>
      </c>
      <c r="J243">
        <f>IFERROR(INDEX(clima!$C:$C,$I243),"")</f>
        <v>26</v>
      </c>
      <c r="K243">
        <f>IFERROR(INDEX(clima!$F:$F,$I243),"")</f>
        <v>25.1</v>
      </c>
      <c r="L243">
        <f>IFERROR(INDEX(clima!$J:$J,$I243),"")</f>
        <v>13.719393220934847</v>
      </c>
      <c r="M243">
        <f t="shared" si="46"/>
        <v>25.1</v>
      </c>
      <c r="N243">
        <f t="shared" si="55"/>
        <v>3891.9999999999973</v>
      </c>
      <c r="O243">
        <f t="shared" si="47"/>
        <v>25.1</v>
      </c>
      <c r="P243">
        <f t="shared" si="56"/>
        <v>3752.7999999999965</v>
      </c>
      <c r="Q243">
        <f t="shared" si="48"/>
        <v>16.684191310150425</v>
      </c>
      <c r="R243">
        <f t="shared" si="57"/>
        <v>2078.6998949645167</v>
      </c>
      <c r="S243">
        <f t="shared" si="49"/>
        <v>25.1</v>
      </c>
      <c r="T243">
        <f t="shared" si="58"/>
        <v>2517.0000000000005</v>
      </c>
      <c r="U243">
        <f t="shared" si="50"/>
        <v>0</v>
      </c>
      <c r="V243">
        <f t="shared" si="59"/>
        <v>1945.899999999999</v>
      </c>
      <c r="W243">
        <f t="shared" si="51"/>
        <v>241</v>
      </c>
      <c r="X243">
        <f t="shared" si="52"/>
        <v>2.7296699999999987</v>
      </c>
      <c r="Y243">
        <f t="shared" si="53"/>
        <v>1.1000000000000001</v>
      </c>
    </row>
    <row r="244" spans="8:25" x14ac:dyDescent="0.2">
      <c r="H244">
        <f t="shared" si="54"/>
        <v>242</v>
      </c>
      <c r="I244">
        <f t="shared" si="45"/>
        <v>393</v>
      </c>
      <c r="J244">
        <f>IFERROR(INDEX(clima!$C:$C,$I244),"")</f>
        <v>27</v>
      </c>
      <c r="K244">
        <f>IFERROR(INDEX(clima!$F:$F,$I244),"")</f>
        <v>26.2</v>
      </c>
      <c r="L244">
        <f>IFERROR(INDEX(clima!$J:$J,$I244),"")</f>
        <v>13.695799364710952</v>
      </c>
      <c r="M244">
        <f t="shared" si="46"/>
        <v>26.2</v>
      </c>
      <c r="N244">
        <f t="shared" si="55"/>
        <v>3918.1999999999971</v>
      </c>
      <c r="O244">
        <f t="shared" si="47"/>
        <v>26.2</v>
      </c>
      <c r="P244">
        <f t="shared" si="56"/>
        <v>3778.9999999999964</v>
      </c>
      <c r="Q244">
        <f t="shared" si="48"/>
        <v>17.349246003749712</v>
      </c>
      <c r="R244">
        <f t="shared" si="57"/>
        <v>2096.0491409682663</v>
      </c>
      <c r="S244">
        <f t="shared" si="49"/>
        <v>26.2</v>
      </c>
      <c r="T244">
        <f t="shared" si="58"/>
        <v>2543.2000000000003</v>
      </c>
      <c r="U244">
        <f t="shared" si="50"/>
        <v>0</v>
      </c>
      <c r="V244">
        <f t="shared" si="59"/>
        <v>1945.899999999999</v>
      </c>
      <c r="W244">
        <f t="shared" si="51"/>
        <v>242</v>
      </c>
      <c r="X244">
        <f t="shared" si="52"/>
        <v>2.7296699999999987</v>
      </c>
      <c r="Y244">
        <f t="shared" si="53"/>
        <v>1.1000000000000001</v>
      </c>
    </row>
    <row r="245" spans="8:25" x14ac:dyDescent="0.2">
      <c r="H245">
        <f t="shared" si="54"/>
        <v>243</v>
      </c>
      <c r="I245">
        <f t="shared" si="45"/>
        <v>394</v>
      </c>
      <c r="J245">
        <f>IFERROR(INDEX(clima!$C:$C,$I245),"")</f>
        <v>28</v>
      </c>
      <c r="K245">
        <f>IFERROR(INDEX(clima!$F:$F,$I245),"")</f>
        <v>25.8</v>
      </c>
      <c r="L245">
        <f>IFERROR(INDEX(clima!$J:$J,$I245),"")</f>
        <v>13.671741121794794</v>
      </c>
      <c r="M245">
        <f t="shared" si="46"/>
        <v>25.8</v>
      </c>
      <c r="N245">
        <f t="shared" si="55"/>
        <v>3943.9999999999973</v>
      </c>
      <c r="O245">
        <f t="shared" si="47"/>
        <v>25.8</v>
      </c>
      <c r="P245">
        <f t="shared" si="56"/>
        <v>3804.7999999999965</v>
      </c>
      <c r="Q245">
        <f t="shared" si="48"/>
        <v>17.017723507792443</v>
      </c>
      <c r="R245">
        <f t="shared" si="57"/>
        <v>2113.066864476059</v>
      </c>
      <c r="S245">
        <f t="shared" si="49"/>
        <v>25.8</v>
      </c>
      <c r="T245">
        <f t="shared" si="58"/>
        <v>2569.0000000000005</v>
      </c>
      <c r="U245">
        <f t="shared" si="50"/>
        <v>0</v>
      </c>
      <c r="V245">
        <f t="shared" si="59"/>
        <v>1945.899999999999</v>
      </c>
      <c r="W245">
        <f t="shared" si="51"/>
        <v>243</v>
      </c>
      <c r="X245">
        <f t="shared" si="52"/>
        <v>2.7296699999999987</v>
      </c>
      <c r="Y245">
        <f t="shared" si="53"/>
        <v>1.1000000000000001</v>
      </c>
    </row>
    <row r="246" spans="8:25" x14ac:dyDescent="0.2">
      <c r="H246">
        <f t="shared" si="54"/>
        <v>244</v>
      </c>
      <c r="I246">
        <f t="shared" si="45"/>
        <v>395</v>
      </c>
      <c r="J246">
        <f>IFERROR(INDEX(clima!$C:$C,$I246),"")</f>
        <v>29</v>
      </c>
      <c r="K246">
        <f>IFERROR(INDEX(clima!$F:$F,$I246),"")</f>
        <v>24.4</v>
      </c>
      <c r="L246">
        <f>IFERROR(INDEX(clima!$J:$J,$I246),"")</f>
        <v>13.647229888245898</v>
      </c>
      <c r="M246">
        <f t="shared" si="46"/>
        <v>24.4</v>
      </c>
      <c r="N246">
        <f t="shared" si="55"/>
        <v>3968.3999999999974</v>
      </c>
      <c r="O246">
        <f t="shared" si="47"/>
        <v>24.4</v>
      </c>
      <c r="P246">
        <f t="shared" si="56"/>
        <v>3829.1999999999966</v>
      </c>
      <c r="Q246">
        <f t="shared" si="48"/>
        <v>16.029815489554061</v>
      </c>
      <c r="R246">
        <f t="shared" si="57"/>
        <v>2129.096679965613</v>
      </c>
      <c r="S246">
        <f t="shared" si="49"/>
        <v>24.4</v>
      </c>
      <c r="T246">
        <f t="shared" si="58"/>
        <v>2593.4000000000005</v>
      </c>
      <c r="U246">
        <f t="shared" si="50"/>
        <v>0</v>
      </c>
      <c r="V246">
        <f t="shared" si="59"/>
        <v>1945.899999999999</v>
      </c>
      <c r="W246">
        <f t="shared" si="51"/>
        <v>244</v>
      </c>
      <c r="X246">
        <f t="shared" si="52"/>
        <v>2.7296699999999987</v>
      </c>
      <c r="Y246">
        <f t="shared" si="53"/>
        <v>1.1000000000000001</v>
      </c>
    </row>
    <row r="247" spans="8:25" x14ac:dyDescent="0.2">
      <c r="H247">
        <f t="shared" si="54"/>
        <v>245</v>
      </c>
      <c r="I247">
        <f t="shared" si="45"/>
        <v>396</v>
      </c>
      <c r="J247">
        <f>IFERROR(INDEX(clima!$C:$C,$I247),"")</f>
        <v>30</v>
      </c>
      <c r="K247">
        <f>IFERROR(INDEX(clima!$F:$F,$I247),"")</f>
        <v>22.3</v>
      </c>
      <c r="L247">
        <f>IFERROR(INDEX(clima!$J:$J,$I247),"")</f>
        <v>13.622277050488973</v>
      </c>
      <c r="M247">
        <f t="shared" si="46"/>
        <v>22.3</v>
      </c>
      <c r="N247">
        <f t="shared" si="55"/>
        <v>3990.6999999999975</v>
      </c>
      <c r="O247">
        <f t="shared" si="47"/>
        <v>22.3</v>
      </c>
      <c r="P247">
        <f t="shared" si="56"/>
        <v>3851.4999999999968</v>
      </c>
      <c r="Q247">
        <f t="shared" si="48"/>
        <v>14.589987403572595</v>
      </c>
      <c r="R247">
        <f t="shared" si="57"/>
        <v>2143.6866673691857</v>
      </c>
      <c r="S247">
        <f t="shared" si="49"/>
        <v>22.3</v>
      </c>
      <c r="T247">
        <f t="shared" si="58"/>
        <v>2615.7000000000007</v>
      </c>
      <c r="U247">
        <f t="shared" si="50"/>
        <v>0</v>
      </c>
      <c r="V247">
        <f t="shared" si="59"/>
        <v>1945.899999999999</v>
      </c>
      <c r="W247">
        <f t="shared" si="51"/>
        <v>245</v>
      </c>
      <c r="X247">
        <f t="shared" si="52"/>
        <v>2.7296699999999987</v>
      </c>
      <c r="Y247">
        <f t="shared" si="53"/>
        <v>1.1000000000000001</v>
      </c>
    </row>
    <row r="248" spans="8:25" x14ac:dyDescent="0.2">
      <c r="H248">
        <f t="shared" si="54"/>
        <v>246</v>
      </c>
      <c r="I248">
        <f t="shared" si="45"/>
        <v>397</v>
      </c>
      <c r="J248">
        <f>IFERROR(INDEX(clima!$C:$C,$I248),"")</f>
        <v>31</v>
      </c>
      <c r="K248">
        <f>IFERROR(INDEX(clima!$F:$F,$I248),"")</f>
        <v>23.4</v>
      </c>
      <c r="L248">
        <f>IFERROR(INDEX(clima!$J:$J,$I248),"")</f>
        <v>13.59689397198381</v>
      </c>
      <c r="M248">
        <f t="shared" si="46"/>
        <v>23.4</v>
      </c>
      <c r="N248">
        <f t="shared" si="55"/>
        <v>4014.0999999999976</v>
      </c>
      <c r="O248">
        <f t="shared" si="47"/>
        <v>23.4</v>
      </c>
      <c r="P248">
        <f t="shared" si="56"/>
        <v>3874.8999999999969</v>
      </c>
      <c r="Q248">
        <f t="shared" si="48"/>
        <v>15.245146382283165</v>
      </c>
      <c r="R248">
        <f t="shared" si="57"/>
        <v>2158.9318137514688</v>
      </c>
      <c r="S248">
        <f t="shared" si="49"/>
        <v>23.4</v>
      </c>
      <c r="T248">
        <f t="shared" si="58"/>
        <v>2639.1000000000008</v>
      </c>
      <c r="U248">
        <f t="shared" si="50"/>
        <v>0</v>
      </c>
      <c r="V248">
        <f t="shared" si="59"/>
        <v>1945.899999999999</v>
      </c>
      <c r="W248">
        <f t="shared" si="51"/>
        <v>246</v>
      </c>
      <c r="X248">
        <f t="shared" si="52"/>
        <v>2.7296699999999987</v>
      </c>
      <c r="Y248">
        <f t="shared" si="53"/>
        <v>1.1000000000000001</v>
      </c>
    </row>
    <row r="249" spans="8:25" x14ac:dyDescent="0.2">
      <c r="H249">
        <f t="shared" si="54"/>
        <v>247</v>
      </c>
      <c r="I249">
        <f t="shared" si="45"/>
        <v>398</v>
      </c>
      <c r="J249">
        <f>IFERROR(INDEX(clima!$C:$C,$I249),"")</f>
        <v>32</v>
      </c>
      <c r="K249">
        <f>IFERROR(INDEX(clima!$F:$F,$I249),"")</f>
        <v>23.6</v>
      </c>
      <c r="L249">
        <f>IFERROR(INDEX(clima!$J:$J,$I249),"")</f>
        <v>13.571091980525928</v>
      </c>
      <c r="M249">
        <f t="shared" si="46"/>
        <v>23.6</v>
      </c>
      <c r="N249">
        <f t="shared" si="55"/>
        <v>4037.6999999999975</v>
      </c>
      <c r="O249">
        <f t="shared" si="47"/>
        <v>23.6</v>
      </c>
      <c r="P249">
        <f t="shared" si="56"/>
        <v>3898.4999999999968</v>
      </c>
      <c r="Q249">
        <f t="shared" si="48"/>
        <v>15.309029820434677</v>
      </c>
      <c r="R249">
        <f t="shared" si="57"/>
        <v>2174.2408435719035</v>
      </c>
      <c r="S249">
        <f t="shared" si="49"/>
        <v>23.6</v>
      </c>
      <c r="T249">
        <f t="shared" si="58"/>
        <v>2662.7000000000007</v>
      </c>
      <c r="U249">
        <f t="shared" si="50"/>
        <v>0</v>
      </c>
      <c r="V249">
        <f t="shared" si="59"/>
        <v>1945.899999999999</v>
      </c>
      <c r="W249">
        <f t="shared" si="51"/>
        <v>247</v>
      </c>
      <c r="X249">
        <f t="shared" si="52"/>
        <v>2.7296699999999987</v>
      </c>
      <c r="Y249">
        <f t="shared" si="53"/>
        <v>1.1000000000000001</v>
      </c>
    </row>
    <row r="250" spans="8:25" x14ac:dyDescent="0.2">
      <c r="H250">
        <f t="shared" si="54"/>
        <v>248</v>
      </c>
      <c r="I250">
        <f t="shared" si="45"/>
        <v>399</v>
      </c>
      <c r="J250">
        <f>IFERROR(INDEX(clima!$C:$C,$I250),"")</f>
        <v>33</v>
      </c>
      <c r="K250">
        <f>IFERROR(INDEX(clima!$F:$F,$I250),"")</f>
        <v>25.8</v>
      </c>
      <c r="L250">
        <f>IFERROR(INDEX(clima!$J:$J,$I250),"")</f>
        <v>13.544882356193716</v>
      </c>
      <c r="M250">
        <f t="shared" si="46"/>
        <v>25.8</v>
      </c>
      <c r="N250">
        <f t="shared" si="55"/>
        <v>4063.4999999999977</v>
      </c>
      <c r="O250">
        <f t="shared" si="47"/>
        <v>25.8</v>
      </c>
      <c r="P250">
        <f t="shared" si="56"/>
        <v>3924.299999999997</v>
      </c>
      <c r="Q250">
        <f t="shared" si="48"/>
        <v>16.662088345673343</v>
      </c>
      <c r="R250">
        <f t="shared" si="57"/>
        <v>2190.902931917577</v>
      </c>
      <c r="S250">
        <f t="shared" si="49"/>
        <v>25.8</v>
      </c>
      <c r="T250">
        <f t="shared" si="58"/>
        <v>2688.5000000000009</v>
      </c>
      <c r="U250">
        <f t="shared" si="50"/>
        <v>0</v>
      </c>
      <c r="V250">
        <f t="shared" si="59"/>
        <v>1945.899999999999</v>
      </c>
      <c r="W250">
        <f t="shared" si="51"/>
        <v>248</v>
      </c>
      <c r="X250">
        <f t="shared" si="52"/>
        <v>2.7296699999999987</v>
      </c>
      <c r="Y250">
        <f t="shared" si="53"/>
        <v>1.1000000000000001</v>
      </c>
    </row>
    <row r="251" spans="8:25" x14ac:dyDescent="0.2">
      <c r="H251">
        <f t="shared" si="54"/>
        <v>249</v>
      </c>
      <c r="I251">
        <f t="shared" si="45"/>
        <v>400</v>
      </c>
      <c r="J251">
        <f>IFERROR(INDEX(clima!$C:$C,$I251),"")</f>
        <v>34</v>
      </c>
      <c r="K251">
        <f>IFERROR(INDEX(clima!$F:$F,$I251),"")</f>
        <v>26.7</v>
      </c>
      <c r="L251">
        <f>IFERROR(INDEX(clima!$J:$J,$I251),"")</f>
        <v>13.518276319954735</v>
      </c>
      <c r="M251">
        <f t="shared" si="46"/>
        <v>26.7</v>
      </c>
      <c r="N251">
        <f t="shared" si="55"/>
        <v>4090.1999999999975</v>
      </c>
      <c r="O251">
        <f t="shared" si="47"/>
        <v>26.7</v>
      </c>
      <c r="P251">
        <f t="shared" si="56"/>
        <v>3950.9999999999968</v>
      </c>
      <c r="Q251">
        <f t="shared" si="48"/>
        <v>17.165208233860906</v>
      </c>
      <c r="R251">
        <f t="shared" si="57"/>
        <v>2208.068140151438</v>
      </c>
      <c r="S251">
        <f t="shared" si="49"/>
        <v>26.7</v>
      </c>
      <c r="T251">
        <f t="shared" si="58"/>
        <v>2715.2000000000007</v>
      </c>
      <c r="U251">
        <f t="shared" si="50"/>
        <v>0</v>
      </c>
      <c r="V251">
        <f t="shared" si="59"/>
        <v>1945.899999999999</v>
      </c>
      <c r="W251">
        <f t="shared" si="51"/>
        <v>249</v>
      </c>
      <c r="X251">
        <f t="shared" si="52"/>
        <v>2.7296699999999987</v>
      </c>
      <c r="Y251">
        <f t="shared" si="53"/>
        <v>1.1000000000000001</v>
      </c>
    </row>
    <row r="252" spans="8:25" x14ac:dyDescent="0.2">
      <c r="H252">
        <f t="shared" si="54"/>
        <v>250</v>
      </c>
      <c r="I252">
        <f t="shared" si="45"/>
        <v>401</v>
      </c>
      <c r="J252">
        <f>IFERROR(INDEX(clima!$C:$C,$I252),"")</f>
        <v>35</v>
      </c>
      <c r="K252">
        <f>IFERROR(INDEX(clima!$F:$F,$I252),"")</f>
        <v>20.6</v>
      </c>
      <c r="L252">
        <f>IFERROR(INDEX(clima!$J:$J,$I252),"")</f>
        <v>13.491285022940758</v>
      </c>
      <c r="M252">
        <f t="shared" si="46"/>
        <v>20.6</v>
      </c>
      <c r="N252">
        <f t="shared" si="55"/>
        <v>4110.7999999999975</v>
      </c>
      <c r="O252">
        <f t="shared" si="47"/>
        <v>20.6</v>
      </c>
      <c r="P252">
        <f t="shared" si="56"/>
        <v>3971.5999999999967</v>
      </c>
      <c r="Q252">
        <f t="shared" si="48"/>
        <v>13.182173798730565</v>
      </c>
      <c r="R252">
        <f t="shared" si="57"/>
        <v>2221.2503139501687</v>
      </c>
      <c r="S252">
        <f t="shared" si="49"/>
        <v>20.6</v>
      </c>
      <c r="T252">
        <f t="shared" si="58"/>
        <v>2735.8000000000006</v>
      </c>
      <c r="U252">
        <f t="shared" si="50"/>
        <v>0</v>
      </c>
      <c r="V252">
        <f t="shared" si="59"/>
        <v>1945.899999999999</v>
      </c>
      <c r="W252">
        <f t="shared" si="51"/>
        <v>250</v>
      </c>
      <c r="X252">
        <f t="shared" si="52"/>
        <v>2.7296699999999987</v>
      </c>
      <c r="Y252">
        <f t="shared" si="53"/>
        <v>1.1000000000000001</v>
      </c>
    </row>
    <row r="253" spans="8:25" x14ac:dyDescent="0.2">
      <c r="H253">
        <f t="shared" si="54"/>
        <v>251</v>
      </c>
      <c r="I253">
        <f t="shared" si="45"/>
        <v>402</v>
      </c>
      <c r="J253">
        <f>IFERROR(INDEX(clima!$C:$C,$I253),"")</f>
        <v>36</v>
      </c>
      <c r="K253">
        <f>IFERROR(INDEX(clima!$F:$F,$I253),"")</f>
        <v>18.399999999999999</v>
      </c>
      <c r="L253">
        <f>IFERROR(INDEX(clima!$J:$J,$I253),"")</f>
        <v>13.46391953639824</v>
      </c>
      <c r="M253">
        <f t="shared" si="46"/>
        <v>18.399999999999999</v>
      </c>
      <c r="N253">
        <f t="shared" si="55"/>
        <v>4129.1999999999971</v>
      </c>
      <c r="O253">
        <f t="shared" si="47"/>
        <v>18.399999999999999</v>
      </c>
      <c r="P253">
        <f t="shared" si="56"/>
        <v>3989.9999999999968</v>
      </c>
      <c r="Q253">
        <f t="shared" si="48"/>
        <v>11.71853759990778</v>
      </c>
      <c r="R253">
        <f t="shared" si="57"/>
        <v>2232.9688515500766</v>
      </c>
      <c r="S253">
        <f t="shared" si="49"/>
        <v>18.399999999999999</v>
      </c>
      <c r="T253">
        <f t="shared" si="58"/>
        <v>2754.2000000000007</v>
      </c>
      <c r="U253">
        <f t="shared" si="50"/>
        <v>0</v>
      </c>
      <c r="V253">
        <f t="shared" si="59"/>
        <v>1945.899999999999</v>
      </c>
      <c r="W253">
        <f t="shared" si="51"/>
        <v>251</v>
      </c>
      <c r="X253">
        <f t="shared" si="52"/>
        <v>2.7296699999999987</v>
      </c>
      <c r="Y253">
        <f t="shared" si="53"/>
        <v>1.1000000000000001</v>
      </c>
    </row>
    <row r="254" spans="8:25" x14ac:dyDescent="0.2">
      <c r="H254">
        <f t="shared" si="54"/>
        <v>252</v>
      </c>
      <c r="I254">
        <f t="shared" si="45"/>
        <v>403</v>
      </c>
      <c r="J254">
        <f>IFERROR(INDEX(clima!$C:$C,$I254),"")</f>
        <v>37</v>
      </c>
      <c r="K254">
        <f>IFERROR(INDEX(clima!$F:$F,$I254),"")</f>
        <v>19.3</v>
      </c>
      <c r="L254">
        <f>IFERROR(INDEX(clima!$J:$J,$I254),"")</f>
        <v>13.436190842318164</v>
      </c>
      <c r="M254">
        <f t="shared" si="46"/>
        <v>19.3</v>
      </c>
      <c r="N254">
        <f t="shared" si="55"/>
        <v>4148.4999999999973</v>
      </c>
      <c r="O254">
        <f t="shared" si="47"/>
        <v>19.3</v>
      </c>
      <c r="P254">
        <f t="shared" si="56"/>
        <v>4009.299999999997</v>
      </c>
      <c r="Q254">
        <f t="shared" si="48"/>
        <v>12.232136952478335</v>
      </c>
      <c r="R254">
        <f t="shared" si="57"/>
        <v>2245.200988502555</v>
      </c>
      <c r="S254">
        <f t="shared" si="49"/>
        <v>19.3</v>
      </c>
      <c r="T254">
        <f t="shared" si="58"/>
        <v>2773.5000000000009</v>
      </c>
      <c r="U254">
        <f t="shared" si="50"/>
        <v>0</v>
      </c>
      <c r="V254">
        <f t="shared" si="59"/>
        <v>1945.899999999999</v>
      </c>
      <c r="W254">
        <f t="shared" si="51"/>
        <v>252</v>
      </c>
      <c r="X254">
        <f t="shared" si="52"/>
        <v>2.7296699999999987</v>
      </c>
      <c r="Y254">
        <f t="shared" si="53"/>
        <v>1.1000000000000001</v>
      </c>
    </row>
    <row r="255" spans="8:25" x14ac:dyDescent="0.2">
      <c r="H255">
        <f t="shared" si="54"/>
        <v>253</v>
      </c>
      <c r="I255">
        <f t="shared" si="45"/>
        <v>404</v>
      </c>
      <c r="J255">
        <f>IFERROR(INDEX(clima!$C:$C,$I255),"")</f>
        <v>38</v>
      </c>
      <c r="K255">
        <f>IFERROR(INDEX(clima!$F:$F,$I255),"")</f>
        <v>22.8</v>
      </c>
      <c r="L255">
        <f>IFERROR(INDEX(clima!$J:$J,$I255),"")</f>
        <v>13.408109824746559</v>
      </c>
      <c r="M255">
        <f t="shared" si="46"/>
        <v>22.8</v>
      </c>
      <c r="N255">
        <f t="shared" si="55"/>
        <v>4171.2999999999975</v>
      </c>
      <c r="O255">
        <f t="shared" si="47"/>
        <v>22.8</v>
      </c>
      <c r="P255">
        <f t="shared" si="56"/>
        <v>4032.0999999999972</v>
      </c>
      <c r="Q255">
        <f t="shared" si="48"/>
        <v>14.378805483191568</v>
      </c>
      <c r="R255">
        <f t="shared" si="57"/>
        <v>2259.5797939857466</v>
      </c>
      <c r="S255">
        <f t="shared" si="49"/>
        <v>22.8</v>
      </c>
      <c r="T255">
        <f t="shared" si="58"/>
        <v>2796.3000000000011</v>
      </c>
      <c r="U255">
        <f t="shared" si="50"/>
        <v>0</v>
      </c>
      <c r="V255">
        <f t="shared" si="59"/>
        <v>1945.899999999999</v>
      </c>
      <c r="W255">
        <f t="shared" si="51"/>
        <v>253</v>
      </c>
      <c r="X255">
        <f t="shared" si="52"/>
        <v>2.7296699999999987</v>
      </c>
      <c r="Y255">
        <f t="shared" si="53"/>
        <v>1.1000000000000001</v>
      </c>
    </row>
    <row r="256" spans="8:25" x14ac:dyDescent="0.2">
      <c r="H256">
        <f t="shared" si="54"/>
        <v>254</v>
      </c>
      <c r="I256">
        <f t="shared" si="45"/>
        <v>405</v>
      </c>
      <c r="J256">
        <f>IFERROR(INDEX(clima!$C:$C,$I256),"")</f>
        <v>39</v>
      </c>
      <c r="K256">
        <f>IFERROR(INDEX(clima!$F:$F,$I256),"")</f>
        <v>22.7</v>
      </c>
      <c r="L256">
        <f>IFERROR(INDEX(clima!$J:$J,$I256),"")</f>
        <v>13.379687261774583</v>
      </c>
      <c r="M256">
        <f t="shared" si="46"/>
        <v>22.7</v>
      </c>
      <c r="N256">
        <f t="shared" si="55"/>
        <v>4193.9999999999973</v>
      </c>
      <c r="O256">
        <f t="shared" si="47"/>
        <v>22.7</v>
      </c>
      <c r="P256">
        <f t="shared" si="56"/>
        <v>4054.799999999997</v>
      </c>
      <c r="Q256">
        <f t="shared" si="48"/>
        <v>14.243283061919017</v>
      </c>
      <c r="R256">
        <f t="shared" si="57"/>
        <v>2273.8230770476657</v>
      </c>
      <c r="S256">
        <f t="shared" si="49"/>
        <v>22.7</v>
      </c>
      <c r="T256">
        <f t="shared" si="58"/>
        <v>2819.0000000000009</v>
      </c>
      <c r="U256">
        <f t="shared" si="50"/>
        <v>0</v>
      </c>
      <c r="V256">
        <f t="shared" si="59"/>
        <v>1945.899999999999</v>
      </c>
      <c r="W256">
        <f t="shared" si="51"/>
        <v>254</v>
      </c>
      <c r="X256">
        <f t="shared" si="52"/>
        <v>2.7296699999999987</v>
      </c>
      <c r="Y256">
        <f t="shared" si="53"/>
        <v>1.1000000000000001</v>
      </c>
    </row>
    <row r="257" spans="8:25" x14ac:dyDescent="0.2">
      <c r="H257">
        <f t="shared" si="54"/>
        <v>255</v>
      </c>
      <c r="I257">
        <f t="shared" si="45"/>
        <v>406</v>
      </c>
      <c r="J257">
        <f>IFERROR(INDEX(clima!$C:$C,$I257),"")</f>
        <v>40</v>
      </c>
      <c r="K257">
        <f>IFERROR(INDEX(clima!$F:$F,$I257),"")</f>
        <v>25</v>
      </c>
      <c r="L257">
        <f>IFERROR(INDEX(clima!$J:$J,$I257),"")</f>
        <v>13.350933818204727</v>
      </c>
      <c r="M257">
        <f t="shared" si="46"/>
        <v>25</v>
      </c>
      <c r="N257">
        <f t="shared" si="55"/>
        <v>4218.9999999999973</v>
      </c>
      <c r="O257">
        <f t="shared" si="47"/>
        <v>25</v>
      </c>
      <c r="P257">
        <f t="shared" si="56"/>
        <v>4079.799999999997</v>
      </c>
      <c r="Q257">
        <f t="shared" si="48"/>
        <v>15.605357768397615</v>
      </c>
      <c r="R257">
        <f t="shared" si="57"/>
        <v>2289.4284348160631</v>
      </c>
      <c r="S257">
        <f t="shared" si="49"/>
        <v>25</v>
      </c>
      <c r="T257">
        <f t="shared" si="58"/>
        <v>2844.0000000000009</v>
      </c>
      <c r="U257">
        <f t="shared" si="50"/>
        <v>0</v>
      </c>
      <c r="V257">
        <f t="shared" si="59"/>
        <v>1945.899999999999</v>
      </c>
      <c r="W257">
        <f t="shared" si="51"/>
        <v>255</v>
      </c>
      <c r="X257">
        <f t="shared" si="52"/>
        <v>2.7296699999999987</v>
      </c>
      <c r="Y257">
        <f t="shared" si="53"/>
        <v>1.1000000000000001</v>
      </c>
    </row>
    <row r="258" spans="8:25" x14ac:dyDescent="0.2">
      <c r="H258">
        <f t="shared" si="54"/>
        <v>256</v>
      </c>
      <c r="I258">
        <f t="shared" ref="I258:I321" si="60">$F$26+H258</f>
        <v>407</v>
      </c>
      <c r="J258">
        <f>IFERROR(INDEX(clima!$C:$C,$I258),"")</f>
        <v>41</v>
      </c>
      <c r="K258">
        <f>IFERROR(INDEX(clima!$F:$F,$I258),"")</f>
        <v>25</v>
      </c>
      <c r="L258">
        <f>IFERROR(INDEX(clima!$J:$J,$I258),"")</f>
        <v>13.321860038887591</v>
      </c>
      <c r="M258">
        <f t="shared" ref="M258:M321" si="61">IF($K258="","",MAX(0,(IF($B$2="soja",MIN($K258,$F$4),$K258))-$F$2))</f>
        <v>25</v>
      </c>
      <c r="N258">
        <f t="shared" si="55"/>
        <v>4243.9999999999973</v>
      </c>
      <c r="O258">
        <f t="shared" ref="O258:O321" si="62">IF($K258="","",IF($I258&lt;$F$27,0,MAX(0,(IF($B$2="soja",MIN($K258,$F$4),$K258))-$F$3)))</f>
        <v>25</v>
      </c>
      <c r="P258">
        <f t="shared" si="56"/>
        <v>4104.7999999999975</v>
      </c>
      <c r="Q258">
        <f t="shared" ref="Q258:Q321" si="63">IF($K258="","",IF($I258&lt;$F$27,0,IF($B$2="trigo",MAX(0,$K258-$F$2)*MAX(0,(1-(((20-MIN(20,$L258))^2)*(0.01*$F$8)))),IF($B$2="maiz",MAX(0,$K258-$F$3),IF($B$2="soja",MAX(0,MIN($K258,$F$4)-$F$3)*MIN(1,MAX(0,1-MAX(0,($L258-$F$17))*0.3)),0)))))</f>
        <v>15.523019915206129</v>
      </c>
      <c r="R258">
        <f t="shared" si="57"/>
        <v>2304.9514547312692</v>
      </c>
      <c r="S258">
        <f t="shared" ref="S258:S321" si="64">IF($K258="","",IF($I258&lt;$F$28,0,IF($B$2="trigo",MAX(0,$K258),IF($B$2="soja",MAX(0,MIN($K258,$F$4)-$F$3)*MIN(1,MAX(0,1-MAX(0,($L258-$F$19))*0.3)),0))))</f>
        <v>25</v>
      </c>
      <c r="T258">
        <f t="shared" si="58"/>
        <v>2869.0000000000009</v>
      </c>
      <c r="U258">
        <f t="shared" ref="U258:U321" si="65">IF($K258="","",IF(OR($I258&lt;$F$27,$I258&gt;$F$42),0,MAX(0,$K258-$F$37)))</f>
        <v>0</v>
      </c>
      <c r="V258">
        <f t="shared" si="59"/>
        <v>1945.899999999999</v>
      </c>
      <c r="W258">
        <f t="shared" ref="W258:W321" si="66">H258</f>
        <v>256</v>
      </c>
      <c r="X258">
        <f t="shared" ref="X258:X321" si="67">IF($I258="","",IF($I258&lt;$F$27,$F$38,IF($I258&lt;=$F$42,$F$38+($F$39*$V258)/100,$F$38+($F$39*INDEX($V:$V,$F$42))/100)))</f>
        <v>2.7296699999999987</v>
      </c>
      <c r="Y258">
        <f t="shared" ref="Y258:Y321" si="68">IF($I258="","",IF($I258&lt;$F$27,0,IF($P258&lt;=$F$6,$F$40,IF($P258&gt;=$F$7,$F$41,$F$40+($F$41-$F$40)*($P258-$F$6)/($F$7-$F$6)))))</f>
        <v>1.1000000000000001</v>
      </c>
    </row>
    <row r="259" spans="8:25" x14ac:dyDescent="0.2">
      <c r="H259">
        <f t="shared" ref="H259:H322" si="69">H258+1</f>
        <v>257</v>
      </c>
      <c r="I259">
        <f t="shared" si="60"/>
        <v>408</v>
      </c>
      <c r="J259">
        <f>IFERROR(INDEX(clima!$C:$C,$I259),"")</f>
        <v>42</v>
      </c>
      <c r="K259">
        <f>IFERROR(INDEX(clima!$F:$F,$I259),"")</f>
        <v>22.2</v>
      </c>
      <c r="L259">
        <f>IFERROR(INDEX(clima!$J:$J,$I259),"")</f>
        <v>13.29247634272174</v>
      </c>
      <c r="M259">
        <f t="shared" si="61"/>
        <v>22.2</v>
      </c>
      <c r="N259">
        <f t="shared" ref="N259:N322" si="70">IF(M259="",N258,N258+M259)</f>
        <v>4266.1999999999971</v>
      </c>
      <c r="O259">
        <f t="shared" si="62"/>
        <v>22.2</v>
      </c>
      <c r="P259">
        <f t="shared" ref="P259:P322" si="71">IF(O259="",P258,P258+O259)</f>
        <v>4126.9999999999973</v>
      </c>
      <c r="Q259">
        <f t="shared" si="63"/>
        <v>13.710222149236801</v>
      </c>
      <c r="R259">
        <f t="shared" ref="R259:R322" si="72">IF(Q259="",R258,R258+Q259)</f>
        <v>2318.6616768805061</v>
      </c>
      <c r="S259">
        <f t="shared" si="64"/>
        <v>22.2</v>
      </c>
      <c r="T259">
        <f t="shared" ref="T259:T322" si="73">IF(S259="",T258,T258+S259)</f>
        <v>2891.2000000000007</v>
      </c>
      <c r="U259">
        <f t="shared" si="65"/>
        <v>0</v>
      </c>
      <c r="V259">
        <f t="shared" ref="V259:V322" si="74">IF(U259="",V258,V258+U259)</f>
        <v>1945.899999999999</v>
      </c>
      <c r="W259">
        <f t="shared" si="66"/>
        <v>257</v>
      </c>
      <c r="X259">
        <f t="shared" si="67"/>
        <v>2.7296699999999987</v>
      </c>
      <c r="Y259">
        <f t="shared" si="68"/>
        <v>1.1000000000000001</v>
      </c>
    </row>
    <row r="260" spans="8:25" x14ac:dyDescent="0.2">
      <c r="H260">
        <f t="shared" si="69"/>
        <v>258</v>
      </c>
      <c r="I260">
        <f t="shared" si="60"/>
        <v>409</v>
      </c>
      <c r="J260">
        <f>IFERROR(INDEX(clima!$C:$C,$I260),"")</f>
        <v>43</v>
      </c>
      <c r="K260">
        <f>IFERROR(INDEX(clima!$F:$F,$I260),"")</f>
        <v>22.2</v>
      </c>
      <c r="L260">
        <f>IFERROR(INDEX(clima!$J:$J,$I260),"")</f>
        <v>13.262793017307304</v>
      </c>
      <c r="M260">
        <f t="shared" si="61"/>
        <v>22.2</v>
      </c>
      <c r="N260">
        <f t="shared" si="70"/>
        <v>4288.3999999999969</v>
      </c>
      <c r="O260">
        <f t="shared" si="62"/>
        <v>22.2</v>
      </c>
      <c r="P260">
        <f t="shared" si="71"/>
        <v>4149.1999999999971</v>
      </c>
      <c r="Q260">
        <f t="shared" si="63"/>
        <v>13.634914939053726</v>
      </c>
      <c r="R260">
        <f t="shared" si="72"/>
        <v>2332.29659181956</v>
      </c>
      <c r="S260">
        <f t="shared" si="64"/>
        <v>22.2</v>
      </c>
      <c r="T260">
        <f t="shared" si="73"/>
        <v>2913.4000000000005</v>
      </c>
      <c r="U260">
        <f t="shared" si="65"/>
        <v>0</v>
      </c>
      <c r="V260">
        <f t="shared" si="74"/>
        <v>1945.899999999999</v>
      </c>
      <c r="W260">
        <f t="shared" si="66"/>
        <v>258</v>
      </c>
      <c r="X260">
        <f t="shared" si="67"/>
        <v>2.7296699999999987</v>
      </c>
      <c r="Y260">
        <f t="shared" si="68"/>
        <v>1.1000000000000001</v>
      </c>
    </row>
    <row r="261" spans="8:25" x14ac:dyDescent="0.2">
      <c r="H261">
        <f t="shared" si="69"/>
        <v>259</v>
      </c>
      <c r="I261">
        <f t="shared" si="60"/>
        <v>410</v>
      </c>
      <c r="J261">
        <f>IFERROR(INDEX(clima!$C:$C,$I261),"")</f>
        <v>44</v>
      </c>
      <c r="K261">
        <f>IFERROR(INDEX(clima!$F:$F,$I261),"")</f>
        <v>21.9</v>
      </c>
      <c r="L261">
        <f>IFERROR(INDEX(clima!$J:$J,$I261),"")</f>
        <v>13.232820214242395</v>
      </c>
      <c r="M261">
        <f t="shared" si="61"/>
        <v>21.9</v>
      </c>
      <c r="N261">
        <f t="shared" si="70"/>
        <v>4310.2999999999965</v>
      </c>
      <c r="O261">
        <f t="shared" si="62"/>
        <v>21.9</v>
      </c>
      <c r="P261">
        <f t="shared" si="71"/>
        <v>4171.0999999999967</v>
      </c>
      <c r="Q261">
        <f t="shared" si="63"/>
        <v>13.375312452647544</v>
      </c>
      <c r="R261">
        <f t="shared" si="72"/>
        <v>2345.6719042722075</v>
      </c>
      <c r="S261">
        <f t="shared" si="64"/>
        <v>21.9</v>
      </c>
      <c r="T261">
        <f t="shared" si="73"/>
        <v>2935.3000000000006</v>
      </c>
      <c r="U261">
        <f t="shared" si="65"/>
        <v>0</v>
      </c>
      <c r="V261">
        <f t="shared" si="74"/>
        <v>1945.899999999999</v>
      </c>
      <c r="W261">
        <f t="shared" si="66"/>
        <v>259</v>
      </c>
      <c r="X261">
        <f t="shared" si="67"/>
        <v>2.7296699999999987</v>
      </c>
      <c r="Y261">
        <f t="shared" si="68"/>
        <v>1.1000000000000001</v>
      </c>
    </row>
    <row r="262" spans="8:25" x14ac:dyDescent="0.2">
      <c r="H262">
        <f t="shared" si="69"/>
        <v>260</v>
      </c>
      <c r="I262">
        <f t="shared" si="60"/>
        <v>411</v>
      </c>
      <c r="J262">
        <f>IFERROR(INDEX(clima!$C:$C,$I262),"")</f>
        <v>45</v>
      </c>
      <c r="K262">
        <f>IFERROR(INDEX(clima!$F:$F,$I262),"")</f>
        <v>23.9</v>
      </c>
      <c r="L262">
        <f>IFERROR(INDEX(clima!$J:$J,$I262),"")</f>
        <v>13.202567945049918</v>
      </c>
      <c r="M262">
        <f t="shared" si="61"/>
        <v>23.9</v>
      </c>
      <c r="N262">
        <f t="shared" si="70"/>
        <v>4334.1999999999962</v>
      </c>
      <c r="O262">
        <f t="shared" si="62"/>
        <v>23.9</v>
      </c>
      <c r="P262">
        <f t="shared" si="71"/>
        <v>4194.9999999999964</v>
      </c>
      <c r="Q262">
        <f t="shared" si="63"/>
        <v>14.51343748166118</v>
      </c>
      <c r="R262">
        <f t="shared" si="72"/>
        <v>2360.1853417538687</v>
      </c>
      <c r="S262">
        <f t="shared" si="64"/>
        <v>23.9</v>
      </c>
      <c r="T262">
        <f t="shared" si="73"/>
        <v>2959.2000000000007</v>
      </c>
      <c r="U262">
        <f t="shared" si="65"/>
        <v>0</v>
      </c>
      <c r="V262">
        <f t="shared" si="74"/>
        <v>1945.899999999999</v>
      </c>
      <c r="W262">
        <f t="shared" si="66"/>
        <v>260</v>
      </c>
      <c r="X262">
        <f t="shared" si="67"/>
        <v>2.7296699999999987</v>
      </c>
      <c r="Y262">
        <f t="shared" si="68"/>
        <v>1.1000000000000001</v>
      </c>
    </row>
    <row r="263" spans="8:25" x14ac:dyDescent="0.2">
      <c r="H263">
        <f t="shared" si="69"/>
        <v>261</v>
      </c>
      <c r="I263">
        <f t="shared" si="60"/>
        <v>412</v>
      </c>
      <c r="J263">
        <f>IFERROR(INDEX(clima!$C:$C,$I263),"")</f>
        <v>46</v>
      </c>
      <c r="K263">
        <f>IFERROR(INDEX(clima!$F:$F,$I263),"")</f>
        <v>25.2</v>
      </c>
      <c r="L263">
        <f>IFERROR(INDEX(clima!$J:$J,$I263),"")</f>
        <v>13.172046077721072</v>
      </c>
      <c r="M263">
        <f t="shared" si="61"/>
        <v>25.2</v>
      </c>
      <c r="N263">
        <f t="shared" si="70"/>
        <v>4359.399999999996</v>
      </c>
      <c r="O263">
        <f t="shared" si="62"/>
        <v>25.2</v>
      </c>
      <c r="P263">
        <f t="shared" si="71"/>
        <v>4220.1999999999962</v>
      </c>
      <c r="Q263">
        <f t="shared" si="63"/>
        <v>15.213791489387507</v>
      </c>
      <c r="R263">
        <f t="shared" si="72"/>
        <v>2375.3991332432561</v>
      </c>
      <c r="S263">
        <f t="shared" si="64"/>
        <v>25.2</v>
      </c>
      <c r="T263">
        <f t="shared" si="73"/>
        <v>2984.4000000000005</v>
      </c>
      <c r="U263">
        <f t="shared" si="65"/>
        <v>0</v>
      </c>
      <c r="V263">
        <f t="shared" si="74"/>
        <v>1945.899999999999</v>
      </c>
      <c r="W263">
        <f t="shared" si="66"/>
        <v>261</v>
      </c>
      <c r="X263">
        <f t="shared" si="67"/>
        <v>2.7296699999999987</v>
      </c>
      <c r="Y263">
        <f t="shared" si="68"/>
        <v>1.1000000000000001</v>
      </c>
    </row>
    <row r="264" spans="8:25" x14ac:dyDescent="0.2">
      <c r="H264">
        <f t="shared" si="69"/>
        <v>262</v>
      </c>
      <c r="I264">
        <f t="shared" si="60"/>
        <v>413</v>
      </c>
      <c r="J264">
        <f>IFERROR(INDEX(clima!$C:$C,$I264),"")</f>
        <v>47</v>
      </c>
      <c r="K264">
        <f>IFERROR(INDEX(clima!$F:$F,$I264),"")</f>
        <v>26</v>
      </c>
      <c r="L264">
        <f>IFERROR(INDEX(clima!$J:$J,$I264),"")</f>
        <v>13.141264333860621</v>
      </c>
      <c r="M264">
        <f t="shared" si="61"/>
        <v>26</v>
      </c>
      <c r="N264">
        <f t="shared" si="70"/>
        <v>4385.399999999996</v>
      </c>
      <c r="O264">
        <f t="shared" si="62"/>
        <v>26</v>
      </c>
      <c r="P264">
        <f t="shared" si="71"/>
        <v>4246.1999999999962</v>
      </c>
      <c r="Q264">
        <f t="shared" si="63"/>
        <v>15.6036616587081</v>
      </c>
      <c r="R264">
        <f t="shared" si="72"/>
        <v>2391.0027949019641</v>
      </c>
      <c r="S264">
        <f t="shared" si="64"/>
        <v>26</v>
      </c>
      <c r="T264">
        <f t="shared" si="73"/>
        <v>3010.4000000000005</v>
      </c>
      <c r="U264">
        <f t="shared" si="65"/>
        <v>0</v>
      </c>
      <c r="V264">
        <f t="shared" si="74"/>
        <v>1945.899999999999</v>
      </c>
      <c r="W264">
        <f t="shared" si="66"/>
        <v>262</v>
      </c>
      <c r="X264">
        <f t="shared" si="67"/>
        <v>2.7296699999999987</v>
      </c>
      <c r="Y264">
        <f t="shared" si="68"/>
        <v>1.1000000000000001</v>
      </c>
    </row>
    <row r="265" spans="8:25" x14ac:dyDescent="0.2">
      <c r="H265">
        <f t="shared" si="69"/>
        <v>263</v>
      </c>
      <c r="I265">
        <f t="shared" si="60"/>
        <v>414</v>
      </c>
      <c r="J265">
        <f>IFERROR(INDEX(clima!$C:$C,$I265),"")</f>
        <v>48</v>
      </c>
      <c r="K265">
        <f>IFERROR(INDEX(clima!$F:$F,$I265),"")</f>
        <v>28</v>
      </c>
      <c r="L265">
        <f>IFERROR(INDEX(clima!$J:$J,$I265),"")</f>
        <v>13.110232286418043</v>
      </c>
      <c r="M265">
        <f t="shared" si="61"/>
        <v>28</v>
      </c>
      <c r="N265">
        <f t="shared" si="70"/>
        <v>4413.399999999996</v>
      </c>
      <c r="O265">
        <f t="shared" si="62"/>
        <v>28</v>
      </c>
      <c r="P265">
        <f t="shared" si="71"/>
        <v>4274.1999999999962</v>
      </c>
      <c r="Q265">
        <f t="shared" si="63"/>
        <v>16.702402002986311</v>
      </c>
      <c r="R265">
        <f t="shared" si="72"/>
        <v>2407.7051969049503</v>
      </c>
      <c r="S265">
        <f t="shared" si="64"/>
        <v>28</v>
      </c>
      <c r="T265">
        <f t="shared" si="73"/>
        <v>3038.4000000000005</v>
      </c>
      <c r="U265">
        <f t="shared" si="65"/>
        <v>0</v>
      </c>
      <c r="V265">
        <f t="shared" si="74"/>
        <v>1945.899999999999</v>
      </c>
      <c r="W265">
        <f t="shared" si="66"/>
        <v>263</v>
      </c>
      <c r="X265">
        <f t="shared" si="67"/>
        <v>2.7296699999999987</v>
      </c>
      <c r="Y265">
        <f t="shared" si="68"/>
        <v>1.1000000000000001</v>
      </c>
    </row>
    <row r="266" spans="8:25" x14ac:dyDescent="0.2">
      <c r="H266">
        <f t="shared" si="69"/>
        <v>264</v>
      </c>
      <c r="I266">
        <f t="shared" si="60"/>
        <v>415</v>
      </c>
      <c r="J266">
        <f>IFERROR(INDEX(clima!$C:$C,$I266),"")</f>
        <v>49</v>
      </c>
      <c r="K266">
        <f>IFERROR(INDEX(clima!$F:$F,$I266),"")</f>
        <v>26.5</v>
      </c>
      <c r="L266">
        <f>IFERROR(INDEX(clima!$J:$J,$I266),"")</f>
        <v>13.078959357987793</v>
      </c>
      <c r="M266">
        <f t="shared" si="61"/>
        <v>26.5</v>
      </c>
      <c r="N266">
        <f t="shared" si="70"/>
        <v>4439.899999999996</v>
      </c>
      <c r="O266">
        <f t="shared" si="62"/>
        <v>26.5</v>
      </c>
      <c r="P266">
        <f t="shared" si="71"/>
        <v>4300.6999999999962</v>
      </c>
      <c r="Q266">
        <f t="shared" si="63"/>
        <v>15.710343996221338</v>
      </c>
      <c r="R266">
        <f t="shared" si="72"/>
        <v>2423.4155409011714</v>
      </c>
      <c r="S266">
        <f t="shared" si="64"/>
        <v>26.5</v>
      </c>
      <c r="T266">
        <f t="shared" si="73"/>
        <v>3064.9000000000005</v>
      </c>
      <c r="U266">
        <f t="shared" si="65"/>
        <v>0</v>
      </c>
      <c r="V266">
        <f t="shared" si="74"/>
        <v>1945.899999999999</v>
      </c>
      <c r="W266">
        <f t="shared" si="66"/>
        <v>264</v>
      </c>
      <c r="X266">
        <f t="shared" si="67"/>
        <v>2.7296699999999987</v>
      </c>
      <c r="Y266">
        <f t="shared" si="68"/>
        <v>1.1000000000000001</v>
      </c>
    </row>
    <row r="267" spans="8:25" x14ac:dyDescent="0.2">
      <c r="H267">
        <f t="shared" si="69"/>
        <v>265</v>
      </c>
      <c r="I267">
        <f t="shared" si="60"/>
        <v>416</v>
      </c>
      <c r="J267">
        <f>IFERROR(INDEX(clima!$C:$C,$I267),"")</f>
        <v>50</v>
      </c>
      <c r="K267">
        <f>IFERROR(INDEX(clima!$F:$F,$I267),"")</f>
        <v>25</v>
      </c>
      <c r="L267">
        <f>IFERROR(INDEX(clima!$J:$J,$I267),"")</f>
        <v>13.04745481966115</v>
      </c>
      <c r="M267">
        <f t="shared" si="61"/>
        <v>25</v>
      </c>
      <c r="N267">
        <f t="shared" si="70"/>
        <v>4464.899999999996</v>
      </c>
      <c r="O267">
        <f t="shared" si="62"/>
        <v>25</v>
      </c>
      <c r="P267">
        <f t="shared" si="71"/>
        <v>4325.6999999999962</v>
      </c>
      <c r="Q267">
        <f t="shared" si="63"/>
        <v>14.728199547011242</v>
      </c>
      <c r="R267">
        <f t="shared" si="72"/>
        <v>2438.1437404481826</v>
      </c>
      <c r="S267">
        <f t="shared" si="64"/>
        <v>25</v>
      </c>
      <c r="T267">
        <f t="shared" si="73"/>
        <v>3089.9000000000005</v>
      </c>
      <c r="U267">
        <f t="shared" si="65"/>
        <v>0</v>
      </c>
      <c r="V267">
        <f t="shared" si="74"/>
        <v>1945.899999999999</v>
      </c>
      <c r="W267">
        <f t="shared" si="66"/>
        <v>265</v>
      </c>
      <c r="X267">
        <f t="shared" si="67"/>
        <v>2.7296699999999987</v>
      </c>
      <c r="Y267">
        <f t="shared" si="68"/>
        <v>1.1000000000000001</v>
      </c>
    </row>
    <row r="268" spans="8:25" x14ac:dyDescent="0.2">
      <c r="H268">
        <f t="shared" si="69"/>
        <v>266</v>
      </c>
      <c r="I268">
        <f t="shared" si="60"/>
        <v>417</v>
      </c>
      <c r="J268">
        <f>IFERROR(INDEX(clima!$C:$C,$I268),"")</f>
        <v>51</v>
      </c>
      <c r="K268">
        <f>IFERROR(INDEX(clima!$F:$F,$I268),"")</f>
        <v>24.5</v>
      </c>
      <c r="L268">
        <f>IFERROR(INDEX(clima!$J:$J,$I268),"")</f>
        <v>13.01572779041153</v>
      </c>
      <c r="M268">
        <f t="shared" si="61"/>
        <v>24.5</v>
      </c>
      <c r="N268">
        <f t="shared" si="70"/>
        <v>4489.399999999996</v>
      </c>
      <c r="O268">
        <f t="shared" si="62"/>
        <v>24.5</v>
      </c>
      <c r="P268">
        <f t="shared" si="71"/>
        <v>4350.1999999999962</v>
      </c>
      <c r="Q268">
        <f t="shared" si="63"/>
        <v>14.341552859518591</v>
      </c>
      <c r="R268">
        <f t="shared" si="72"/>
        <v>2452.4852933077013</v>
      </c>
      <c r="S268">
        <f t="shared" si="64"/>
        <v>24.5</v>
      </c>
      <c r="T268">
        <f t="shared" si="73"/>
        <v>3114.4000000000005</v>
      </c>
      <c r="U268">
        <f t="shared" si="65"/>
        <v>0</v>
      </c>
      <c r="V268">
        <f t="shared" si="74"/>
        <v>1945.899999999999</v>
      </c>
      <c r="W268">
        <f t="shared" si="66"/>
        <v>266</v>
      </c>
      <c r="X268">
        <f t="shared" si="67"/>
        <v>2.7296699999999987</v>
      </c>
      <c r="Y268">
        <f t="shared" si="68"/>
        <v>1.1000000000000001</v>
      </c>
    </row>
    <row r="269" spans="8:25" x14ac:dyDescent="0.2">
      <c r="H269">
        <f t="shared" si="69"/>
        <v>267</v>
      </c>
      <c r="I269">
        <f t="shared" si="60"/>
        <v>418</v>
      </c>
      <c r="J269">
        <f>IFERROR(INDEX(clima!$C:$C,$I269),"")</f>
        <v>52</v>
      </c>
      <c r="K269">
        <f>IFERROR(INDEX(clima!$F:$F,$I269),"")</f>
        <v>23.2</v>
      </c>
      <c r="L269">
        <f>IFERROR(INDEX(clima!$J:$J,$I269),"")</f>
        <v>12.983787236994655</v>
      </c>
      <c r="M269">
        <f t="shared" si="61"/>
        <v>23.2</v>
      </c>
      <c r="N269">
        <f t="shared" si="70"/>
        <v>4512.5999999999958</v>
      </c>
      <c r="O269">
        <f t="shared" si="62"/>
        <v>23.2</v>
      </c>
      <c r="P269">
        <f t="shared" si="71"/>
        <v>4373.399999999996</v>
      </c>
      <c r="Q269">
        <f t="shared" si="63"/>
        <v>13.492387969148304</v>
      </c>
      <c r="R269">
        <f t="shared" si="72"/>
        <v>2465.9776812768496</v>
      </c>
      <c r="S269">
        <f t="shared" si="64"/>
        <v>23.2</v>
      </c>
      <c r="T269">
        <f t="shared" si="73"/>
        <v>3137.6000000000004</v>
      </c>
      <c r="U269">
        <f t="shared" si="65"/>
        <v>0</v>
      </c>
      <c r="V269">
        <f t="shared" si="74"/>
        <v>1945.899999999999</v>
      </c>
      <c r="W269">
        <f t="shared" si="66"/>
        <v>267</v>
      </c>
      <c r="X269">
        <f t="shared" si="67"/>
        <v>2.7296699999999987</v>
      </c>
      <c r="Y269">
        <f t="shared" si="68"/>
        <v>1.1000000000000001</v>
      </c>
    </row>
    <row r="270" spans="8:25" x14ac:dyDescent="0.2">
      <c r="H270">
        <f t="shared" si="69"/>
        <v>268</v>
      </c>
      <c r="I270">
        <f t="shared" si="60"/>
        <v>419</v>
      </c>
      <c r="J270">
        <f>IFERROR(INDEX(clima!$C:$C,$I270),"")</f>
        <v>53</v>
      </c>
      <c r="K270">
        <f>IFERROR(INDEX(clima!$F:$F,$I270),"")</f>
        <v>24.4</v>
      </c>
      <c r="L270">
        <f>IFERROR(INDEX(clima!$J:$J,$I270),"")</f>
        <v>12.951641974344565</v>
      </c>
      <c r="M270">
        <f t="shared" si="61"/>
        <v>24.4</v>
      </c>
      <c r="N270">
        <f t="shared" si="70"/>
        <v>4536.9999999999955</v>
      </c>
      <c r="O270">
        <f t="shared" si="62"/>
        <v>24.4</v>
      </c>
      <c r="P270">
        <f t="shared" si="71"/>
        <v>4397.7999999999956</v>
      </c>
      <c r="Q270">
        <f t="shared" si="63"/>
        <v>14.096502632087841</v>
      </c>
      <c r="R270">
        <f t="shared" si="72"/>
        <v>2480.0741839089374</v>
      </c>
      <c r="S270">
        <f t="shared" si="64"/>
        <v>24.4</v>
      </c>
      <c r="T270">
        <f t="shared" si="73"/>
        <v>3162.0000000000005</v>
      </c>
      <c r="U270">
        <f t="shared" si="65"/>
        <v>0</v>
      </c>
      <c r="V270">
        <f t="shared" si="74"/>
        <v>1945.899999999999</v>
      </c>
      <c r="W270">
        <f t="shared" si="66"/>
        <v>268</v>
      </c>
      <c r="X270">
        <f t="shared" si="67"/>
        <v>2.7296699999999987</v>
      </c>
      <c r="Y270">
        <f t="shared" si="68"/>
        <v>1.1000000000000001</v>
      </c>
    </row>
    <row r="271" spans="8:25" x14ac:dyDescent="0.2">
      <c r="H271">
        <f t="shared" si="69"/>
        <v>269</v>
      </c>
      <c r="I271">
        <f t="shared" si="60"/>
        <v>420</v>
      </c>
      <c r="J271">
        <f>IFERROR(INDEX(clima!$C:$C,$I271),"")</f>
        <v>54</v>
      </c>
      <c r="K271">
        <f>IFERROR(INDEX(clima!$F:$F,$I271),"")</f>
        <v>25.3</v>
      </c>
      <c r="L271">
        <f>IFERROR(INDEX(clima!$J:$J,$I271),"")</f>
        <v>12.91930066644626</v>
      </c>
      <c r="M271">
        <f t="shared" si="61"/>
        <v>25.3</v>
      </c>
      <c r="N271">
        <f t="shared" si="70"/>
        <v>4562.2999999999956</v>
      </c>
      <c r="O271">
        <f t="shared" si="62"/>
        <v>25.3</v>
      </c>
      <c r="P271">
        <f t="shared" si="71"/>
        <v>4423.0999999999958</v>
      </c>
      <c r="Q271">
        <f t="shared" si="63"/>
        <v>14.518188028626888</v>
      </c>
      <c r="R271">
        <f t="shared" si="72"/>
        <v>2494.5923719375642</v>
      </c>
      <c r="S271">
        <f t="shared" si="64"/>
        <v>25.3</v>
      </c>
      <c r="T271">
        <f t="shared" si="73"/>
        <v>3187.3000000000006</v>
      </c>
      <c r="U271">
        <f t="shared" si="65"/>
        <v>0</v>
      </c>
      <c r="V271">
        <f t="shared" si="74"/>
        <v>1945.899999999999</v>
      </c>
      <c r="W271">
        <f t="shared" si="66"/>
        <v>269</v>
      </c>
      <c r="X271">
        <f t="shared" si="67"/>
        <v>2.7296699999999987</v>
      </c>
      <c r="Y271">
        <f t="shared" si="68"/>
        <v>1.1000000000000001</v>
      </c>
    </row>
    <row r="272" spans="8:25" x14ac:dyDescent="0.2">
      <c r="H272">
        <f t="shared" si="69"/>
        <v>270</v>
      </c>
      <c r="I272">
        <f t="shared" si="60"/>
        <v>421</v>
      </c>
      <c r="J272">
        <f>IFERROR(INDEX(clima!$C:$C,$I272),"")</f>
        <v>55</v>
      </c>
      <c r="K272">
        <f>IFERROR(INDEX(clima!$F:$F,$I272),"")</f>
        <v>22.4</v>
      </c>
      <c r="L272">
        <f>IFERROR(INDEX(clima!$J:$J,$I272),"")</f>
        <v>12.886771827665454</v>
      </c>
      <c r="M272">
        <f t="shared" si="61"/>
        <v>22.4</v>
      </c>
      <c r="N272">
        <f t="shared" si="70"/>
        <v>4584.6999999999953</v>
      </c>
      <c r="O272">
        <f t="shared" si="62"/>
        <v>22.4</v>
      </c>
      <c r="P272">
        <f t="shared" si="71"/>
        <v>4445.4999999999955</v>
      </c>
      <c r="Q272">
        <f t="shared" si="63"/>
        <v>12.766137937965485</v>
      </c>
      <c r="R272">
        <f t="shared" si="72"/>
        <v>2507.3585098755298</v>
      </c>
      <c r="S272">
        <f t="shared" si="64"/>
        <v>22.4</v>
      </c>
      <c r="T272">
        <f t="shared" si="73"/>
        <v>3209.7000000000007</v>
      </c>
      <c r="U272">
        <f t="shared" si="65"/>
        <v>0</v>
      </c>
      <c r="V272">
        <f t="shared" si="74"/>
        <v>1945.899999999999</v>
      </c>
      <c r="W272">
        <f t="shared" si="66"/>
        <v>270</v>
      </c>
      <c r="X272">
        <f t="shared" si="67"/>
        <v>2.7296699999999987</v>
      </c>
      <c r="Y272">
        <f t="shared" si="68"/>
        <v>1.1000000000000001</v>
      </c>
    </row>
    <row r="273" spans="8:25" x14ac:dyDescent="0.2">
      <c r="H273">
        <f t="shared" si="69"/>
        <v>271</v>
      </c>
      <c r="I273">
        <f t="shared" si="60"/>
        <v>422</v>
      </c>
      <c r="J273">
        <f>IFERROR(INDEX(clima!$C:$C,$I273),"")</f>
        <v>56</v>
      </c>
      <c r="K273">
        <f>IFERROR(INDEX(clima!$F:$F,$I273),"")</f>
        <v>25.5</v>
      </c>
      <c r="L273">
        <f>IFERROR(INDEX(clima!$J:$J,$I273),"")</f>
        <v>12.854063824515988</v>
      </c>
      <c r="M273">
        <f t="shared" si="61"/>
        <v>25.5</v>
      </c>
      <c r="N273">
        <f t="shared" si="70"/>
        <v>4610.1999999999953</v>
      </c>
      <c r="O273">
        <f t="shared" si="62"/>
        <v>25.5</v>
      </c>
      <c r="P273">
        <f t="shared" si="71"/>
        <v>4470.9999999999955</v>
      </c>
      <c r="Q273">
        <f t="shared" si="63"/>
        <v>14.431790471128261</v>
      </c>
      <c r="R273">
        <f t="shared" si="72"/>
        <v>2521.7903003466581</v>
      </c>
      <c r="S273">
        <f t="shared" si="64"/>
        <v>25.5</v>
      </c>
      <c r="T273">
        <f t="shared" si="73"/>
        <v>3235.2000000000007</v>
      </c>
      <c r="U273">
        <f t="shared" si="65"/>
        <v>0</v>
      </c>
      <c r="V273">
        <f t="shared" si="74"/>
        <v>1945.899999999999</v>
      </c>
      <c r="W273">
        <f t="shared" si="66"/>
        <v>271</v>
      </c>
      <c r="X273">
        <f t="shared" si="67"/>
        <v>2.7296699999999987</v>
      </c>
      <c r="Y273">
        <f t="shared" si="68"/>
        <v>1.1000000000000001</v>
      </c>
    </row>
    <row r="274" spans="8:25" x14ac:dyDescent="0.2">
      <c r="H274">
        <f t="shared" si="69"/>
        <v>272</v>
      </c>
      <c r="I274">
        <f t="shared" si="60"/>
        <v>423</v>
      </c>
      <c r="J274">
        <f>IFERROR(INDEX(clima!$C:$C,$I274),"")</f>
        <v>57</v>
      </c>
      <c r="K274">
        <f>IFERROR(INDEX(clima!$F:$F,$I274),"")</f>
        <v>21.8</v>
      </c>
      <c r="L274">
        <f>IFERROR(INDEX(clima!$J:$J,$I274),"")</f>
        <v>12.821184877845317</v>
      </c>
      <c r="M274">
        <f t="shared" si="61"/>
        <v>21.8</v>
      </c>
      <c r="N274">
        <f t="shared" si="70"/>
        <v>4631.9999999999955</v>
      </c>
      <c r="O274">
        <f t="shared" si="62"/>
        <v>21.8</v>
      </c>
      <c r="P274">
        <f t="shared" si="71"/>
        <v>4492.7999999999956</v>
      </c>
      <c r="Q274">
        <f t="shared" si="63"/>
        <v>12.250492870788378</v>
      </c>
      <c r="R274">
        <f t="shared" si="72"/>
        <v>2534.0407932174467</v>
      </c>
      <c r="S274">
        <f t="shared" si="64"/>
        <v>21.8</v>
      </c>
      <c r="T274">
        <f t="shared" si="73"/>
        <v>3257.0000000000009</v>
      </c>
      <c r="U274">
        <f t="shared" si="65"/>
        <v>0</v>
      </c>
      <c r="V274">
        <f t="shared" si="74"/>
        <v>1945.899999999999</v>
      </c>
      <c r="W274">
        <f t="shared" si="66"/>
        <v>272</v>
      </c>
      <c r="X274">
        <f t="shared" si="67"/>
        <v>2.7296699999999987</v>
      </c>
      <c r="Y274">
        <f t="shared" si="68"/>
        <v>1.1000000000000001</v>
      </c>
    </row>
    <row r="275" spans="8:25" x14ac:dyDescent="0.2">
      <c r="H275">
        <f t="shared" si="69"/>
        <v>273</v>
      </c>
      <c r="I275">
        <f t="shared" si="60"/>
        <v>424</v>
      </c>
      <c r="J275">
        <f>IFERROR(INDEX(clima!$C:$C,$I275),"")</f>
        <v>58</v>
      </c>
      <c r="K275">
        <f>IFERROR(INDEX(clima!$F:$F,$I275),"")</f>
        <v>21.7</v>
      </c>
      <c r="L275">
        <f>IFERROR(INDEX(clima!$J:$J,$I275),"")</f>
        <v>12.788143065418636</v>
      </c>
      <c r="M275">
        <f t="shared" si="61"/>
        <v>21.7</v>
      </c>
      <c r="N275">
        <f t="shared" si="70"/>
        <v>4653.6999999999953</v>
      </c>
      <c r="O275">
        <f t="shared" si="62"/>
        <v>21.7</v>
      </c>
      <c r="P275">
        <f t="shared" si="71"/>
        <v>4514.4999999999955</v>
      </c>
      <c r="Q275">
        <f t="shared" si="63"/>
        <v>12.106593101943854</v>
      </c>
      <c r="R275">
        <f t="shared" si="72"/>
        <v>2546.1473863193905</v>
      </c>
      <c r="S275">
        <f t="shared" si="64"/>
        <v>21.7</v>
      </c>
      <c r="T275">
        <f t="shared" si="73"/>
        <v>3278.7000000000007</v>
      </c>
      <c r="U275">
        <f t="shared" si="65"/>
        <v>0</v>
      </c>
      <c r="V275">
        <f t="shared" si="74"/>
        <v>1945.899999999999</v>
      </c>
      <c r="W275">
        <f t="shared" si="66"/>
        <v>273</v>
      </c>
      <c r="X275">
        <f t="shared" si="67"/>
        <v>2.7296699999999987</v>
      </c>
      <c r="Y275">
        <f t="shared" si="68"/>
        <v>1.1000000000000001</v>
      </c>
    </row>
    <row r="276" spans="8:25" x14ac:dyDescent="0.2">
      <c r="H276">
        <f t="shared" si="69"/>
        <v>274</v>
      </c>
      <c r="I276">
        <f t="shared" si="60"/>
        <v>425</v>
      </c>
      <c r="J276">
        <f>IFERROR(INDEX(clima!$C:$C,$I276),"")</f>
        <v>59</v>
      </c>
      <c r="K276">
        <f>IFERROR(INDEX(clima!$F:$F,$I276),"")</f>
        <v>21.7</v>
      </c>
      <c r="L276">
        <f>IFERROR(INDEX(clima!$J:$J,$I276),"")</f>
        <v>12.754946324882287</v>
      </c>
      <c r="M276">
        <f t="shared" si="61"/>
        <v>21.7</v>
      </c>
      <c r="N276">
        <f t="shared" si="70"/>
        <v>4675.3999999999951</v>
      </c>
      <c r="O276">
        <f t="shared" si="62"/>
        <v>21.7</v>
      </c>
      <c r="P276">
        <f t="shared" si="71"/>
        <v>4536.1999999999953</v>
      </c>
      <c r="Q276">
        <f t="shared" si="63"/>
        <v>12.01807143177815</v>
      </c>
      <c r="R276">
        <f t="shared" si="72"/>
        <v>2558.1654577511686</v>
      </c>
      <c r="S276">
        <f t="shared" si="64"/>
        <v>21.7</v>
      </c>
      <c r="T276">
        <f t="shared" si="73"/>
        <v>3300.4000000000005</v>
      </c>
      <c r="U276">
        <f t="shared" si="65"/>
        <v>0</v>
      </c>
      <c r="V276">
        <f t="shared" si="74"/>
        <v>1945.899999999999</v>
      </c>
      <c r="W276">
        <f t="shared" si="66"/>
        <v>274</v>
      </c>
      <c r="X276">
        <f t="shared" si="67"/>
        <v>2.7296699999999987</v>
      </c>
      <c r="Y276">
        <f t="shared" si="68"/>
        <v>1.1000000000000001</v>
      </c>
    </row>
    <row r="277" spans="8:25" x14ac:dyDescent="0.2">
      <c r="H277">
        <f t="shared" si="69"/>
        <v>275</v>
      </c>
      <c r="I277">
        <f t="shared" si="60"/>
        <v>426</v>
      </c>
      <c r="J277">
        <f>IFERROR(INDEX(clima!$C:$C,$I277),"")</f>
        <v>60</v>
      </c>
      <c r="K277">
        <f>IFERROR(INDEX(clima!$F:$F,$I277),"")</f>
        <v>21.4</v>
      </c>
      <c r="L277">
        <f>IFERROR(INDEX(clima!$J:$J,$I277),"")</f>
        <v>12.721602457087299</v>
      </c>
      <c r="M277">
        <f t="shared" si="61"/>
        <v>21.4</v>
      </c>
      <c r="N277">
        <f t="shared" si="70"/>
        <v>4696.7999999999947</v>
      </c>
      <c r="O277">
        <f t="shared" si="62"/>
        <v>21.4</v>
      </c>
      <c r="P277">
        <f t="shared" si="71"/>
        <v>4557.5999999999949</v>
      </c>
      <c r="Q277">
        <f t="shared" si="63"/>
        <v>11.763834622811935</v>
      </c>
      <c r="R277">
        <f t="shared" si="72"/>
        <v>2569.9292923739804</v>
      </c>
      <c r="S277">
        <f t="shared" si="64"/>
        <v>21.4</v>
      </c>
      <c r="T277">
        <f t="shared" si="73"/>
        <v>3321.8000000000006</v>
      </c>
      <c r="U277">
        <f t="shared" si="65"/>
        <v>0</v>
      </c>
      <c r="V277">
        <f t="shared" si="74"/>
        <v>1945.899999999999</v>
      </c>
      <c r="W277">
        <f t="shared" si="66"/>
        <v>275</v>
      </c>
      <c r="X277">
        <f t="shared" si="67"/>
        <v>2.7296699999999987</v>
      </c>
      <c r="Y277">
        <f t="shared" si="68"/>
        <v>1.1000000000000001</v>
      </c>
    </row>
    <row r="278" spans="8:25" x14ac:dyDescent="0.2">
      <c r="H278">
        <f t="shared" si="69"/>
        <v>276</v>
      </c>
      <c r="I278">
        <f t="shared" si="60"/>
        <v>427</v>
      </c>
      <c r="J278">
        <f>IFERROR(INDEX(clima!$C:$C,$I278),"")</f>
        <v>61</v>
      </c>
      <c r="K278">
        <f>IFERROR(INDEX(clima!$F:$F,$I278),"")</f>
        <v>22.6</v>
      </c>
      <c r="L278">
        <f>IFERROR(INDEX(clima!$J:$J,$I278),"")</f>
        <v>12.688119129754163</v>
      </c>
      <c r="M278">
        <f t="shared" si="61"/>
        <v>22.6</v>
      </c>
      <c r="N278">
        <f t="shared" si="70"/>
        <v>4719.3999999999951</v>
      </c>
      <c r="O278">
        <f t="shared" si="62"/>
        <v>22.6</v>
      </c>
      <c r="P278">
        <f t="shared" si="71"/>
        <v>4580.1999999999953</v>
      </c>
      <c r="Q278">
        <f t="shared" si="63"/>
        <v>12.329642082565867</v>
      </c>
      <c r="R278">
        <f t="shared" si="72"/>
        <v>2582.2589344565463</v>
      </c>
      <c r="S278">
        <f t="shared" si="64"/>
        <v>22.6</v>
      </c>
      <c r="T278">
        <f t="shared" si="73"/>
        <v>3344.4000000000005</v>
      </c>
      <c r="U278">
        <f t="shared" si="65"/>
        <v>0</v>
      </c>
      <c r="V278">
        <f t="shared" si="74"/>
        <v>1945.899999999999</v>
      </c>
      <c r="W278">
        <f t="shared" si="66"/>
        <v>276</v>
      </c>
      <c r="X278">
        <f t="shared" si="67"/>
        <v>2.7296699999999987</v>
      </c>
      <c r="Y278">
        <f t="shared" si="68"/>
        <v>1.1000000000000001</v>
      </c>
    </row>
    <row r="279" spans="8:25" x14ac:dyDescent="0.2">
      <c r="H279">
        <f t="shared" si="69"/>
        <v>277</v>
      </c>
      <c r="I279">
        <f t="shared" si="60"/>
        <v>428</v>
      </c>
      <c r="J279">
        <f>IFERROR(INDEX(clima!$C:$C,$I279),"")</f>
        <v>62</v>
      </c>
      <c r="K279">
        <f>IFERROR(INDEX(clima!$F:$F,$I279),"")</f>
        <v>22.8</v>
      </c>
      <c r="L279">
        <f>IFERROR(INDEX(clima!$J:$J,$I279),"")</f>
        <v>12.654503881460215</v>
      </c>
      <c r="M279">
        <f t="shared" si="61"/>
        <v>22.8</v>
      </c>
      <c r="N279">
        <f t="shared" si="70"/>
        <v>4742.1999999999953</v>
      </c>
      <c r="O279">
        <f t="shared" si="62"/>
        <v>22.8</v>
      </c>
      <c r="P279">
        <f t="shared" si="71"/>
        <v>4602.9999999999955</v>
      </c>
      <c r="Q279">
        <f t="shared" si="63"/>
        <v>12.343266496513786</v>
      </c>
      <c r="R279">
        <f t="shared" si="72"/>
        <v>2594.6022009530602</v>
      </c>
      <c r="S279">
        <f t="shared" si="64"/>
        <v>22.8</v>
      </c>
      <c r="T279">
        <f t="shared" si="73"/>
        <v>3367.2000000000007</v>
      </c>
      <c r="U279">
        <f t="shared" si="65"/>
        <v>0</v>
      </c>
      <c r="V279">
        <f t="shared" si="74"/>
        <v>1945.899999999999</v>
      </c>
      <c r="W279">
        <f t="shared" si="66"/>
        <v>277</v>
      </c>
      <c r="X279">
        <f t="shared" si="67"/>
        <v>2.7296699999999987</v>
      </c>
      <c r="Y279">
        <f t="shared" si="68"/>
        <v>1.1000000000000001</v>
      </c>
    </row>
    <row r="280" spans="8:25" x14ac:dyDescent="0.2">
      <c r="H280">
        <f t="shared" si="69"/>
        <v>278</v>
      </c>
      <c r="I280">
        <f t="shared" si="60"/>
        <v>429</v>
      </c>
      <c r="J280">
        <f>IFERROR(INDEX(clima!$C:$C,$I280),"")</f>
        <v>63</v>
      </c>
      <c r="K280">
        <f>IFERROR(INDEX(clima!$F:$F,$I280),"")</f>
        <v>23.9</v>
      </c>
      <c r="L280">
        <f>IFERROR(INDEX(clima!$J:$J,$I280),"")</f>
        <v>12.620764125931293</v>
      </c>
      <c r="M280">
        <f t="shared" si="61"/>
        <v>23.9</v>
      </c>
      <c r="N280">
        <f t="shared" si="70"/>
        <v>4766.0999999999949</v>
      </c>
      <c r="O280">
        <f t="shared" si="62"/>
        <v>23.9</v>
      </c>
      <c r="P280">
        <f t="shared" si="71"/>
        <v>4626.8999999999951</v>
      </c>
      <c r="Q280">
        <f t="shared" si="63"/>
        <v>12.83784824840329</v>
      </c>
      <c r="R280">
        <f t="shared" si="72"/>
        <v>2607.4400492014634</v>
      </c>
      <c r="S280">
        <f t="shared" si="64"/>
        <v>23.9</v>
      </c>
      <c r="T280">
        <f t="shared" si="73"/>
        <v>3391.1000000000008</v>
      </c>
      <c r="U280">
        <f t="shared" si="65"/>
        <v>0</v>
      </c>
      <c r="V280">
        <f t="shared" si="74"/>
        <v>1945.899999999999</v>
      </c>
      <c r="W280">
        <f t="shared" si="66"/>
        <v>278</v>
      </c>
      <c r="X280">
        <f t="shared" si="67"/>
        <v>2.7296699999999987</v>
      </c>
      <c r="Y280">
        <f t="shared" si="68"/>
        <v>1.1000000000000001</v>
      </c>
    </row>
    <row r="281" spans="8:25" x14ac:dyDescent="0.2">
      <c r="H281">
        <f t="shared" si="69"/>
        <v>279</v>
      </c>
      <c r="I281">
        <f t="shared" si="60"/>
        <v>430</v>
      </c>
      <c r="J281">
        <f>IFERROR(INDEX(clima!$C:$C,$I281),"")</f>
        <v>64</v>
      </c>
      <c r="K281">
        <f>IFERROR(INDEX(clima!$F:$F,$I281),"")</f>
        <v>24.9</v>
      </c>
      <c r="L281">
        <f>IFERROR(INDEX(clima!$J:$J,$I281),"")</f>
        <v>12.586907156619725</v>
      </c>
      <c r="M281">
        <f t="shared" si="61"/>
        <v>24.9</v>
      </c>
      <c r="N281">
        <f t="shared" si="70"/>
        <v>4790.9999999999945</v>
      </c>
      <c r="O281">
        <f t="shared" si="62"/>
        <v>24.9</v>
      </c>
      <c r="P281">
        <f t="shared" si="71"/>
        <v>4651.7999999999947</v>
      </c>
      <c r="Q281">
        <f t="shared" si="63"/>
        <v>13.268997433956519</v>
      </c>
      <c r="R281">
        <f t="shared" si="72"/>
        <v>2620.7090466354198</v>
      </c>
      <c r="S281">
        <f t="shared" si="64"/>
        <v>24.9</v>
      </c>
      <c r="T281">
        <f t="shared" si="73"/>
        <v>3416.0000000000009</v>
      </c>
      <c r="U281">
        <f t="shared" si="65"/>
        <v>0</v>
      </c>
      <c r="V281">
        <f t="shared" si="74"/>
        <v>1945.899999999999</v>
      </c>
      <c r="W281">
        <f t="shared" si="66"/>
        <v>279</v>
      </c>
      <c r="X281">
        <f t="shared" si="67"/>
        <v>2.7296699999999987</v>
      </c>
      <c r="Y281">
        <f t="shared" si="68"/>
        <v>1.1000000000000001</v>
      </c>
    </row>
    <row r="282" spans="8:25" x14ac:dyDescent="0.2">
      <c r="H282">
        <f t="shared" si="69"/>
        <v>280</v>
      </c>
      <c r="I282">
        <f t="shared" si="60"/>
        <v>431</v>
      </c>
      <c r="J282">
        <f>IFERROR(INDEX(clima!$C:$C,$I282),"")</f>
        <v>65</v>
      </c>
      <c r="K282">
        <f>IFERROR(INDEX(clima!$F:$F,$I282),"")</f>
        <v>25.4</v>
      </c>
      <c r="L282">
        <f>IFERROR(INDEX(clima!$J:$J,$I282),"")</f>
        <v>12.552940151551047</v>
      </c>
      <c r="M282">
        <f t="shared" si="61"/>
        <v>25.4</v>
      </c>
      <c r="N282">
        <f t="shared" si="70"/>
        <v>4816.3999999999942</v>
      </c>
      <c r="O282">
        <f t="shared" si="62"/>
        <v>25.4</v>
      </c>
      <c r="P282">
        <f t="shared" si="71"/>
        <v>4677.1999999999944</v>
      </c>
      <c r="Q282">
        <f t="shared" si="63"/>
        <v>13.426466586580439</v>
      </c>
      <c r="R282">
        <f t="shared" si="72"/>
        <v>2634.1355132220001</v>
      </c>
      <c r="S282">
        <f t="shared" si="64"/>
        <v>25.4</v>
      </c>
      <c r="T282">
        <f t="shared" si="73"/>
        <v>3441.400000000001</v>
      </c>
      <c r="U282">
        <f t="shared" si="65"/>
        <v>0</v>
      </c>
      <c r="V282">
        <f t="shared" si="74"/>
        <v>1945.899999999999</v>
      </c>
      <c r="W282">
        <f t="shared" si="66"/>
        <v>280</v>
      </c>
      <c r="X282">
        <f t="shared" si="67"/>
        <v>2.7296699999999987</v>
      </c>
      <c r="Y282">
        <f t="shared" si="68"/>
        <v>1.1000000000000001</v>
      </c>
    </row>
    <row r="283" spans="8:25" x14ac:dyDescent="0.2">
      <c r="H283">
        <f t="shared" si="69"/>
        <v>281</v>
      </c>
      <c r="I283">
        <f t="shared" si="60"/>
        <v>432</v>
      </c>
      <c r="J283">
        <f>IFERROR(INDEX(clima!$C:$C,$I283),"")</f>
        <v>66</v>
      </c>
      <c r="K283">
        <f>IFERROR(INDEX(clima!$F:$F,$I283),"")</f>
        <v>27</v>
      </c>
      <c r="L283">
        <f>IFERROR(INDEX(clima!$J:$J,$I283),"")</f>
        <v>12.518870178422228</v>
      </c>
      <c r="M283">
        <f t="shared" si="61"/>
        <v>27</v>
      </c>
      <c r="N283">
        <f t="shared" si="70"/>
        <v>4843.3999999999942</v>
      </c>
      <c r="O283">
        <f t="shared" si="62"/>
        <v>27</v>
      </c>
      <c r="P283">
        <f t="shared" si="71"/>
        <v>4704.1999999999944</v>
      </c>
      <c r="Q283">
        <f t="shared" si="63"/>
        <v>14.155503868024587</v>
      </c>
      <c r="R283">
        <f t="shared" si="72"/>
        <v>2648.2910170900245</v>
      </c>
      <c r="S283">
        <f t="shared" si="64"/>
        <v>27</v>
      </c>
      <c r="T283">
        <f t="shared" si="73"/>
        <v>3468.400000000001</v>
      </c>
      <c r="U283">
        <f t="shared" si="65"/>
        <v>0</v>
      </c>
      <c r="V283">
        <f t="shared" si="74"/>
        <v>1945.899999999999</v>
      </c>
      <c r="W283">
        <f t="shared" si="66"/>
        <v>281</v>
      </c>
      <c r="X283">
        <f t="shared" si="67"/>
        <v>2.7296699999999987</v>
      </c>
      <c r="Y283">
        <f t="shared" si="68"/>
        <v>1.1000000000000001</v>
      </c>
    </row>
    <row r="284" spans="8:25" x14ac:dyDescent="0.2">
      <c r="H284">
        <f t="shared" si="69"/>
        <v>282</v>
      </c>
      <c r="I284">
        <f t="shared" si="60"/>
        <v>433</v>
      </c>
      <c r="J284">
        <f>IFERROR(INDEX(clima!$C:$C,$I284),"")</f>
        <v>67</v>
      </c>
      <c r="K284">
        <f>IFERROR(INDEX(clima!$F:$F,$I284),"")</f>
        <v>26.9</v>
      </c>
      <c r="L284">
        <f>IFERROR(INDEX(clima!$J:$J,$I284),"")</f>
        <v>12.484704199934622</v>
      </c>
      <c r="M284">
        <f t="shared" si="61"/>
        <v>26.9</v>
      </c>
      <c r="N284">
        <f t="shared" si="70"/>
        <v>4870.2999999999938</v>
      </c>
      <c r="O284">
        <f t="shared" si="62"/>
        <v>26.9</v>
      </c>
      <c r="P284">
        <f t="shared" si="71"/>
        <v>4731.099999999994</v>
      </c>
      <c r="Q284">
        <f t="shared" si="63"/>
        <v>13.985923234428874</v>
      </c>
      <c r="R284">
        <f t="shared" si="72"/>
        <v>2662.2769403244533</v>
      </c>
      <c r="S284">
        <f t="shared" si="64"/>
        <v>26.9</v>
      </c>
      <c r="T284">
        <f t="shared" si="73"/>
        <v>3495.3000000000011</v>
      </c>
      <c r="U284">
        <f t="shared" si="65"/>
        <v>0</v>
      </c>
      <c r="V284">
        <f t="shared" si="74"/>
        <v>1945.899999999999</v>
      </c>
      <c r="W284">
        <f t="shared" si="66"/>
        <v>282</v>
      </c>
      <c r="X284">
        <f t="shared" si="67"/>
        <v>2.7296699999999987</v>
      </c>
      <c r="Y284">
        <f t="shared" si="68"/>
        <v>1.1000000000000001</v>
      </c>
    </row>
    <row r="285" spans="8:25" x14ac:dyDescent="0.2">
      <c r="H285">
        <f t="shared" si="69"/>
        <v>283</v>
      </c>
      <c r="I285">
        <f t="shared" si="60"/>
        <v>434</v>
      </c>
      <c r="J285">
        <f>IFERROR(INDEX(clima!$C:$C,$I285),"")</f>
        <v>68</v>
      </c>
      <c r="K285">
        <f>IFERROR(INDEX(clima!$F:$F,$I285),"")</f>
        <v>23.6</v>
      </c>
      <c r="L285">
        <f>IFERROR(INDEX(clima!$J:$J,$I285),"")</f>
        <v>12.450449079345194</v>
      </c>
      <c r="M285">
        <f t="shared" si="61"/>
        <v>23.6</v>
      </c>
      <c r="N285">
        <f t="shared" si="70"/>
        <v>4893.8999999999942</v>
      </c>
      <c r="O285">
        <f t="shared" si="62"/>
        <v>23.6</v>
      </c>
      <c r="P285">
        <f t="shared" si="71"/>
        <v>4754.6999999999944</v>
      </c>
      <c r="Q285">
        <f t="shared" si="63"/>
        <v>12.166658747825897</v>
      </c>
      <c r="R285">
        <f t="shared" si="72"/>
        <v>2674.4435990722791</v>
      </c>
      <c r="S285">
        <f t="shared" si="64"/>
        <v>23.6</v>
      </c>
      <c r="T285">
        <f t="shared" si="73"/>
        <v>3518.900000000001</v>
      </c>
      <c r="U285">
        <f t="shared" si="65"/>
        <v>0</v>
      </c>
      <c r="V285">
        <f t="shared" si="74"/>
        <v>1945.899999999999</v>
      </c>
      <c r="W285">
        <f t="shared" si="66"/>
        <v>283</v>
      </c>
      <c r="X285">
        <f t="shared" si="67"/>
        <v>2.7296699999999987</v>
      </c>
      <c r="Y285">
        <f t="shared" si="68"/>
        <v>1.1000000000000001</v>
      </c>
    </row>
    <row r="286" spans="8:25" x14ac:dyDescent="0.2">
      <c r="H286">
        <f t="shared" si="69"/>
        <v>284</v>
      </c>
      <c r="I286">
        <f t="shared" si="60"/>
        <v>435</v>
      </c>
      <c r="J286">
        <f>IFERROR(INDEX(clima!$C:$C,$I286),"")</f>
        <v>69</v>
      </c>
      <c r="K286">
        <f>IFERROR(INDEX(clima!$F:$F,$I286),"")</f>
        <v>19.3</v>
      </c>
      <c r="L286">
        <f>IFERROR(INDEX(clima!$J:$J,$I286),"")</f>
        <v>12.416111586220064</v>
      </c>
      <c r="M286">
        <f t="shared" si="61"/>
        <v>19.3</v>
      </c>
      <c r="N286">
        <f t="shared" si="70"/>
        <v>4913.1999999999944</v>
      </c>
      <c r="O286">
        <f t="shared" si="62"/>
        <v>19.3</v>
      </c>
      <c r="P286">
        <f t="shared" si="71"/>
        <v>4773.9999999999945</v>
      </c>
      <c r="Q286">
        <f t="shared" si="63"/>
        <v>9.8646046223092139</v>
      </c>
      <c r="R286">
        <f t="shared" si="72"/>
        <v>2684.3082036945884</v>
      </c>
      <c r="S286">
        <f t="shared" si="64"/>
        <v>19.3</v>
      </c>
      <c r="T286">
        <f t="shared" si="73"/>
        <v>3538.2000000000012</v>
      </c>
      <c r="U286">
        <f t="shared" si="65"/>
        <v>0</v>
      </c>
      <c r="V286">
        <f t="shared" si="74"/>
        <v>1945.899999999999</v>
      </c>
      <c r="W286">
        <f t="shared" si="66"/>
        <v>284</v>
      </c>
      <c r="X286">
        <f t="shared" si="67"/>
        <v>2.7296699999999987</v>
      </c>
      <c r="Y286">
        <f t="shared" si="68"/>
        <v>1.1000000000000001</v>
      </c>
    </row>
    <row r="287" spans="8:25" x14ac:dyDescent="0.2">
      <c r="H287">
        <f t="shared" si="69"/>
        <v>285</v>
      </c>
      <c r="I287">
        <f t="shared" si="60"/>
        <v>436</v>
      </c>
      <c r="J287">
        <f>IFERROR(INDEX(clima!$C:$C,$I287),"")</f>
        <v>70</v>
      </c>
      <c r="K287">
        <f>IFERROR(INDEX(clima!$F:$F,$I287),"")</f>
        <v>18.5</v>
      </c>
      <c r="L287">
        <f>IFERROR(INDEX(clima!$J:$J,$I287),"")</f>
        <v>12.381698402374724</v>
      </c>
      <c r="M287">
        <f t="shared" si="61"/>
        <v>18.5</v>
      </c>
      <c r="N287">
        <f t="shared" si="70"/>
        <v>4931.6999999999944</v>
      </c>
      <c r="O287">
        <f t="shared" si="62"/>
        <v>18.5</v>
      </c>
      <c r="P287">
        <f t="shared" si="71"/>
        <v>4792.4999999999945</v>
      </c>
      <c r="Q287">
        <f t="shared" si="63"/>
        <v>9.3734428507082708</v>
      </c>
      <c r="R287">
        <f t="shared" si="72"/>
        <v>2693.6816465452966</v>
      </c>
      <c r="S287">
        <f t="shared" si="64"/>
        <v>18.5</v>
      </c>
      <c r="T287">
        <f t="shared" si="73"/>
        <v>3556.7000000000012</v>
      </c>
      <c r="U287">
        <f t="shared" si="65"/>
        <v>0</v>
      </c>
      <c r="V287">
        <f t="shared" si="74"/>
        <v>1945.899999999999</v>
      </c>
      <c r="W287">
        <f t="shared" si="66"/>
        <v>285</v>
      </c>
      <c r="X287">
        <f t="shared" si="67"/>
        <v>2.7296699999999987</v>
      </c>
      <c r="Y287">
        <f t="shared" si="68"/>
        <v>1.1000000000000001</v>
      </c>
    </row>
    <row r="288" spans="8:25" x14ac:dyDescent="0.2">
      <c r="H288">
        <f t="shared" si="69"/>
        <v>286</v>
      </c>
      <c r="I288">
        <f t="shared" si="60"/>
        <v>437</v>
      </c>
      <c r="J288">
        <f>IFERROR(INDEX(clima!$C:$C,$I288),"")</f>
        <v>71</v>
      </c>
      <c r="K288">
        <f>IFERROR(INDEX(clima!$F:$F,$I288),"")</f>
        <v>21</v>
      </c>
      <c r="L288">
        <f>IFERROR(INDEX(clima!$J:$J,$I288),"")</f>
        <v>12.347216127985764</v>
      </c>
      <c r="M288">
        <f t="shared" si="61"/>
        <v>21</v>
      </c>
      <c r="N288">
        <f t="shared" si="70"/>
        <v>4952.6999999999944</v>
      </c>
      <c r="O288">
        <f t="shared" si="62"/>
        <v>21</v>
      </c>
      <c r="P288">
        <f t="shared" si="71"/>
        <v>4813.4999999999945</v>
      </c>
      <c r="Q288">
        <f t="shared" si="63"/>
        <v>10.546129472970623</v>
      </c>
      <c r="R288">
        <f t="shared" si="72"/>
        <v>2704.2277760182674</v>
      </c>
      <c r="S288">
        <f t="shared" si="64"/>
        <v>21</v>
      </c>
      <c r="T288">
        <f t="shared" si="73"/>
        <v>3577.7000000000012</v>
      </c>
      <c r="U288">
        <f t="shared" si="65"/>
        <v>0</v>
      </c>
      <c r="V288">
        <f t="shared" si="74"/>
        <v>1945.899999999999</v>
      </c>
      <c r="W288">
        <f t="shared" si="66"/>
        <v>286</v>
      </c>
      <c r="X288">
        <f t="shared" si="67"/>
        <v>2.7296699999999987</v>
      </c>
      <c r="Y288">
        <f t="shared" si="68"/>
        <v>1.1000000000000001</v>
      </c>
    </row>
    <row r="289" spans="8:25" x14ac:dyDescent="0.2">
      <c r="H289">
        <f t="shared" si="69"/>
        <v>287</v>
      </c>
      <c r="I289">
        <f t="shared" si="60"/>
        <v>438</v>
      </c>
      <c r="J289">
        <f>IFERROR(INDEX(clima!$C:$C,$I289),"")</f>
        <v>72</v>
      </c>
      <c r="K289">
        <f>IFERROR(INDEX(clima!$F:$F,$I289),"")</f>
        <v>22.9</v>
      </c>
      <c r="L289">
        <f>IFERROR(INDEX(clima!$J:$J,$I289),"")</f>
        <v>12.312671287859235</v>
      </c>
      <c r="M289">
        <f t="shared" si="61"/>
        <v>22.9</v>
      </c>
      <c r="N289">
        <f t="shared" si="70"/>
        <v>4975.599999999994</v>
      </c>
      <c r="O289">
        <f t="shared" si="62"/>
        <v>22.9</v>
      </c>
      <c r="P289">
        <f t="shared" si="71"/>
        <v>4836.3999999999942</v>
      </c>
      <c r="Q289">
        <f t="shared" si="63"/>
        <v>11.397153825896735</v>
      </c>
      <c r="R289">
        <f t="shared" si="72"/>
        <v>2715.6249298441639</v>
      </c>
      <c r="S289">
        <f t="shared" si="64"/>
        <v>22.9</v>
      </c>
      <c r="T289">
        <f t="shared" si="73"/>
        <v>3600.6000000000013</v>
      </c>
      <c r="U289">
        <f t="shared" si="65"/>
        <v>0</v>
      </c>
      <c r="V289">
        <f t="shared" si="74"/>
        <v>1945.899999999999</v>
      </c>
      <c r="W289">
        <f t="shared" si="66"/>
        <v>287</v>
      </c>
      <c r="X289">
        <f t="shared" si="67"/>
        <v>2.7296699999999987</v>
      </c>
      <c r="Y289">
        <f t="shared" si="68"/>
        <v>1.1000000000000001</v>
      </c>
    </row>
    <row r="290" spans="8:25" x14ac:dyDescent="0.2">
      <c r="H290">
        <f t="shared" si="69"/>
        <v>288</v>
      </c>
      <c r="I290">
        <f t="shared" si="60"/>
        <v>439</v>
      </c>
      <c r="J290">
        <f>IFERROR(INDEX(clima!$C:$C,$I290),"")</f>
        <v>73</v>
      </c>
      <c r="K290">
        <f>IFERROR(INDEX(clima!$F:$F,$I290),"")</f>
        <v>20.3</v>
      </c>
      <c r="L290">
        <f>IFERROR(INDEX(clima!$J:$J,$I290),"")</f>
        <v>12.278070337841221</v>
      </c>
      <c r="M290">
        <f t="shared" si="61"/>
        <v>20.3</v>
      </c>
      <c r="N290">
        <f t="shared" si="70"/>
        <v>4995.8999999999942</v>
      </c>
      <c r="O290">
        <f t="shared" si="62"/>
        <v>20.3</v>
      </c>
      <c r="P290">
        <f t="shared" si="71"/>
        <v>4856.6999999999944</v>
      </c>
      <c r="Q290">
        <f t="shared" si="63"/>
        <v>10.011154485600624</v>
      </c>
      <c r="R290">
        <f t="shared" si="72"/>
        <v>2725.6360843297643</v>
      </c>
      <c r="S290">
        <f t="shared" si="64"/>
        <v>20.3</v>
      </c>
      <c r="T290">
        <f t="shared" si="73"/>
        <v>3620.9000000000015</v>
      </c>
      <c r="U290">
        <f t="shared" si="65"/>
        <v>0</v>
      </c>
      <c r="V290">
        <f t="shared" si="74"/>
        <v>1945.899999999999</v>
      </c>
      <c r="W290">
        <f t="shared" si="66"/>
        <v>288</v>
      </c>
      <c r="X290">
        <f t="shared" si="67"/>
        <v>2.7296699999999987</v>
      </c>
      <c r="Y290">
        <f t="shared" si="68"/>
        <v>1.1000000000000001</v>
      </c>
    </row>
    <row r="291" spans="8:25" x14ac:dyDescent="0.2">
      <c r="H291">
        <f t="shared" si="69"/>
        <v>289</v>
      </c>
      <c r="I291">
        <f t="shared" si="60"/>
        <v>440</v>
      </c>
      <c r="J291">
        <f>IFERROR(INDEX(clima!$C:$C,$I291),"")</f>
        <v>74</v>
      </c>
      <c r="K291">
        <f>IFERROR(INDEX(clima!$F:$F,$I291),"")</f>
        <v>21.7</v>
      </c>
      <c r="L291">
        <f>IFERROR(INDEX(clima!$J:$J,$I291),"")</f>
        <v>12.243419671356486</v>
      </c>
      <c r="M291">
        <f t="shared" si="61"/>
        <v>21.7</v>
      </c>
      <c r="N291">
        <f t="shared" si="70"/>
        <v>5017.599999999994</v>
      </c>
      <c r="O291">
        <f t="shared" si="62"/>
        <v>21.7</v>
      </c>
      <c r="P291">
        <f t="shared" si="71"/>
        <v>4878.3999999999942</v>
      </c>
      <c r="Q291">
        <f t="shared" si="63"/>
        <v>10.602650893097673</v>
      </c>
      <c r="R291">
        <f t="shared" si="72"/>
        <v>2736.238735222862</v>
      </c>
      <c r="S291">
        <f t="shared" si="64"/>
        <v>21.7</v>
      </c>
      <c r="T291">
        <f t="shared" si="73"/>
        <v>3642.6000000000013</v>
      </c>
      <c r="U291">
        <f t="shared" si="65"/>
        <v>0</v>
      </c>
      <c r="V291">
        <f t="shared" si="74"/>
        <v>1945.899999999999</v>
      </c>
      <c r="W291">
        <f t="shared" si="66"/>
        <v>289</v>
      </c>
      <c r="X291">
        <f t="shared" si="67"/>
        <v>2.7296699999999987</v>
      </c>
      <c r="Y291">
        <f t="shared" si="68"/>
        <v>1.1000000000000001</v>
      </c>
    </row>
    <row r="292" spans="8:25" x14ac:dyDescent="0.2">
      <c r="H292">
        <f t="shared" si="69"/>
        <v>290</v>
      </c>
      <c r="I292">
        <f t="shared" si="60"/>
        <v>441</v>
      </c>
      <c r="J292">
        <f>IFERROR(INDEX(clima!$C:$C,$I292),"")</f>
        <v>75</v>
      </c>
      <c r="K292">
        <f>IFERROR(INDEX(clima!$F:$F,$I292),"")</f>
        <v>21.6</v>
      </c>
      <c r="L292">
        <f>IFERROR(INDEX(clima!$J:$J,$I292),"")</f>
        <v>12.208725626061408</v>
      </c>
      <c r="M292">
        <f t="shared" si="61"/>
        <v>21.6</v>
      </c>
      <c r="N292">
        <f t="shared" si="70"/>
        <v>5039.1999999999944</v>
      </c>
      <c r="O292">
        <f t="shared" si="62"/>
        <v>21.6</v>
      </c>
      <c r="P292">
        <f t="shared" si="71"/>
        <v>4899.9999999999945</v>
      </c>
      <c r="Q292">
        <f t="shared" si="63"/>
        <v>10.454753610469433</v>
      </c>
      <c r="R292">
        <f t="shared" si="72"/>
        <v>2746.6934888333317</v>
      </c>
      <c r="S292">
        <f t="shared" si="64"/>
        <v>21.6</v>
      </c>
      <c r="T292">
        <f t="shared" si="73"/>
        <v>3664.2000000000012</v>
      </c>
      <c r="U292">
        <f t="shared" si="65"/>
        <v>0</v>
      </c>
      <c r="V292">
        <f t="shared" si="74"/>
        <v>1945.899999999999</v>
      </c>
      <c r="W292">
        <f t="shared" si="66"/>
        <v>290</v>
      </c>
      <c r="X292">
        <f t="shared" si="67"/>
        <v>2.7296699999999987</v>
      </c>
      <c r="Y292">
        <f t="shared" si="68"/>
        <v>1.1000000000000001</v>
      </c>
    </row>
    <row r="293" spans="8:25" x14ac:dyDescent="0.2">
      <c r="H293">
        <f t="shared" si="69"/>
        <v>291</v>
      </c>
      <c r="I293">
        <f t="shared" si="60"/>
        <v>442</v>
      </c>
      <c r="J293">
        <f>IFERROR(INDEX(clima!$C:$C,$I293),"")</f>
        <v>76</v>
      </c>
      <c r="K293">
        <f>IFERROR(INDEX(clima!$F:$F,$I293),"")</f>
        <v>22.2</v>
      </c>
      <c r="L293">
        <f>IFERROR(INDEX(clima!$J:$J,$I293),"")</f>
        <v>12.173994490597721</v>
      </c>
      <c r="M293">
        <f t="shared" si="61"/>
        <v>22.2</v>
      </c>
      <c r="N293">
        <f t="shared" si="70"/>
        <v>5061.3999999999942</v>
      </c>
      <c r="O293">
        <f t="shared" si="62"/>
        <v>22.2</v>
      </c>
      <c r="P293">
        <f t="shared" si="71"/>
        <v>4922.1999999999944</v>
      </c>
      <c r="Q293">
        <f t="shared" si="63"/>
        <v>10.642811446596136</v>
      </c>
      <c r="R293">
        <f t="shared" si="72"/>
        <v>2757.3363002799279</v>
      </c>
      <c r="S293">
        <f t="shared" si="64"/>
        <v>22.2</v>
      </c>
      <c r="T293">
        <f t="shared" si="73"/>
        <v>3686.400000000001</v>
      </c>
      <c r="U293">
        <f t="shared" si="65"/>
        <v>0</v>
      </c>
      <c r="V293">
        <f t="shared" si="74"/>
        <v>1945.899999999999</v>
      </c>
      <c r="W293">
        <f t="shared" si="66"/>
        <v>291</v>
      </c>
      <c r="X293">
        <f t="shared" si="67"/>
        <v>2.7296699999999987</v>
      </c>
      <c r="Y293">
        <f t="shared" si="68"/>
        <v>1.1000000000000001</v>
      </c>
    </row>
    <row r="294" spans="8:25" x14ac:dyDescent="0.2">
      <c r="H294">
        <f t="shared" si="69"/>
        <v>292</v>
      </c>
      <c r="I294">
        <f t="shared" si="60"/>
        <v>443</v>
      </c>
      <c r="J294">
        <f>IFERROR(INDEX(clima!$C:$C,$I294),"")</f>
        <v>77</v>
      </c>
      <c r="K294">
        <f>IFERROR(INDEX(clima!$F:$F,$I294),"")</f>
        <v>20.8</v>
      </c>
      <c r="L294">
        <f>IFERROR(INDEX(clima!$J:$J,$I294),"")</f>
        <v>12.139232511433828</v>
      </c>
      <c r="M294">
        <f t="shared" si="61"/>
        <v>20.8</v>
      </c>
      <c r="N294">
        <f t="shared" si="70"/>
        <v>5082.1999999999944</v>
      </c>
      <c r="O294">
        <f t="shared" si="62"/>
        <v>20.8</v>
      </c>
      <c r="P294">
        <f t="shared" si="71"/>
        <v>4942.9999999999945</v>
      </c>
      <c r="Q294">
        <f t="shared" si="63"/>
        <v>9.8752335379559515</v>
      </c>
      <c r="R294">
        <f t="shared" si="72"/>
        <v>2767.2115338178837</v>
      </c>
      <c r="S294">
        <f t="shared" si="64"/>
        <v>20.8</v>
      </c>
      <c r="T294">
        <f t="shared" si="73"/>
        <v>3707.2000000000012</v>
      </c>
      <c r="U294">
        <f t="shared" si="65"/>
        <v>0</v>
      </c>
      <c r="V294">
        <f t="shared" si="74"/>
        <v>1945.899999999999</v>
      </c>
      <c r="W294">
        <f t="shared" si="66"/>
        <v>292</v>
      </c>
      <c r="X294">
        <f t="shared" si="67"/>
        <v>2.7296699999999987</v>
      </c>
      <c r="Y294">
        <f t="shared" si="68"/>
        <v>1.1000000000000001</v>
      </c>
    </row>
    <row r="295" spans="8:25" x14ac:dyDescent="0.2">
      <c r="H295">
        <f t="shared" si="69"/>
        <v>293</v>
      </c>
      <c r="I295">
        <f t="shared" si="60"/>
        <v>444</v>
      </c>
      <c r="J295">
        <f>IFERROR(INDEX(clima!$C:$C,$I295),"")</f>
        <v>78</v>
      </c>
      <c r="K295">
        <f>IFERROR(INDEX(clima!$F:$F,$I295),"")</f>
        <v>20.9</v>
      </c>
      <c r="L295">
        <f>IFERROR(INDEX(clima!$J:$J,$I295),"")</f>
        <v>12.104445899780719</v>
      </c>
      <c r="M295">
        <f t="shared" si="61"/>
        <v>20.9</v>
      </c>
      <c r="N295">
        <f t="shared" si="70"/>
        <v>5103.099999999994</v>
      </c>
      <c r="O295">
        <f t="shared" si="62"/>
        <v>20.9</v>
      </c>
      <c r="P295">
        <f t="shared" si="71"/>
        <v>4963.8999999999942</v>
      </c>
      <c r="Q295">
        <f t="shared" si="63"/>
        <v>9.8253390512831889</v>
      </c>
      <c r="R295">
        <f t="shared" si="72"/>
        <v>2777.0368728691669</v>
      </c>
      <c r="S295">
        <f t="shared" si="64"/>
        <v>20.9</v>
      </c>
      <c r="T295">
        <f t="shared" si="73"/>
        <v>3728.1000000000013</v>
      </c>
      <c r="U295">
        <f t="shared" si="65"/>
        <v>0</v>
      </c>
      <c r="V295">
        <f t="shared" si="74"/>
        <v>1945.899999999999</v>
      </c>
      <c r="W295">
        <f t="shared" si="66"/>
        <v>293</v>
      </c>
      <c r="X295">
        <f t="shared" si="67"/>
        <v>2.7296699999999987</v>
      </c>
      <c r="Y295">
        <f t="shared" si="68"/>
        <v>1.1000000000000001</v>
      </c>
    </row>
    <row r="296" spans="8:25" x14ac:dyDescent="0.2">
      <c r="H296">
        <f t="shared" si="69"/>
        <v>294</v>
      </c>
      <c r="I296">
        <f t="shared" si="60"/>
        <v>445</v>
      </c>
      <c r="J296">
        <f>IFERROR(INDEX(clima!$C:$C,$I296),"")</f>
        <v>79</v>
      </c>
      <c r="K296">
        <f>IFERROR(INDEX(clima!$F:$F,$I296),"")</f>
        <v>20.3</v>
      </c>
      <c r="L296">
        <f>IFERROR(INDEX(clima!$J:$J,$I296),"")</f>
        <v>12.069640838569725</v>
      </c>
      <c r="M296">
        <f t="shared" si="61"/>
        <v>20.3</v>
      </c>
      <c r="N296">
        <f t="shared" si="70"/>
        <v>5123.3999999999942</v>
      </c>
      <c r="O296">
        <f t="shared" si="62"/>
        <v>20.3</v>
      </c>
      <c r="P296">
        <f t="shared" si="71"/>
        <v>4984.1999999999944</v>
      </c>
      <c r="Q296">
        <f t="shared" si="63"/>
        <v>9.4482275861275475</v>
      </c>
      <c r="R296">
        <f t="shared" si="72"/>
        <v>2786.4851004552943</v>
      </c>
      <c r="S296">
        <f t="shared" si="64"/>
        <v>20.3</v>
      </c>
      <c r="T296">
        <f t="shared" si="73"/>
        <v>3748.4000000000015</v>
      </c>
      <c r="U296">
        <f t="shared" si="65"/>
        <v>0</v>
      </c>
      <c r="V296">
        <f t="shared" si="74"/>
        <v>1945.899999999999</v>
      </c>
      <c r="W296">
        <f t="shared" si="66"/>
        <v>294</v>
      </c>
      <c r="X296">
        <f t="shared" si="67"/>
        <v>2.7296699999999987</v>
      </c>
      <c r="Y296">
        <f t="shared" si="68"/>
        <v>1.1000000000000001</v>
      </c>
    </row>
    <row r="297" spans="8:25" x14ac:dyDescent="0.2">
      <c r="H297">
        <f t="shared" si="69"/>
        <v>295</v>
      </c>
      <c r="I297">
        <f t="shared" si="60"/>
        <v>446</v>
      </c>
      <c r="J297">
        <f>IFERROR(INDEX(clima!$C:$C,$I297),"")</f>
        <v>80</v>
      </c>
      <c r="K297">
        <f>IFERROR(INDEX(clima!$F:$F,$I297),"")</f>
        <v>20.9</v>
      </c>
      <c r="L297">
        <f>IFERROR(INDEX(clima!$J:$J,$I297),"")</f>
        <v>12.03482348947953</v>
      </c>
      <c r="M297">
        <f t="shared" si="61"/>
        <v>20.9</v>
      </c>
      <c r="N297">
        <f t="shared" si="70"/>
        <v>5144.2999999999938</v>
      </c>
      <c r="O297">
        <f t="shared" si="62"/>
        <v>20.9</v>
      </c>
      <c r="P297">
        <f t="shared" si="71"/>
        <v>5005.099999999994</v>
      </c>
      <c r="Q297">
        <f t="shared" si="63"/>
        <v>9.6291668547083358</v>
      </c>
      <c r="R297">
        <f t="shared" si="72"/>
        <v>2796.1142673100026</v>
      </c>
      <c r="S297">
        <f t="shared" si="64"/>
        <v>20.9</v>
      </c>
      <c r="T297">
        <f t="shared" si="73"/>
        <v>3769.3000000000015</v>
      </c>
      <c r="U297">
        <f t="shared" si="65"/>
        <v>0</v>
      </c>
      <c r="V297">
        <f t="shared" si="74"/>
        <v>1945.899999999999</v>
      </c>
      <c r="W297">
        <f t="shared" si="66"/>
        <v>295</v>
      </c>
      <c r="X297">
        <f t="shared" si="67"/>
        <v>2.7296699999999987</v>
      </c>
      <c r="Y297">
        <f t="shared" si="68"/>
        <v>1.1000000000000001</v>
      </c>
    </row>
    <row r="298" spans="8:25" x14ac:dyDescent="0.2">
      <c r="H298">
        <f t="shared" si="69"/>
        <v>296</v>
      </c>
      <c r="I298">
        <f t="shared" si="60"/>
        <v>447</v>
      </c>
      <c r="J298">
        <f>IFERROR(INDEX(clima!$C:$C,$I298),"")</f>
        <v>81</v>
      </c>
      <c r="K298">
        <f>IFERROR(INDEX(clima!$F:$F,$I298),"")</f>
        <v>21.2</v>
      </c>
      <c r="L298">
        <f>IFERROR(INDEX(clima!$J:$J,$I298),"")</f>
        <v>12</v>
      </c>
      <c r="M298">
        <f t="shared" si="61"/>
        <v>21.2</v>
      </c>
      <c r="N298">
        <f t="shared" si="70"/>
        <v>5165.4999999999936</v>
      </c>
      <c r="O298">
        <f t="shared" si="62"/>
        <v>21.2</v>
      </c>
      <c r="P298">
        <f t="shared" si="71"/>
        <v>5026.2999999999938</v>
      </c>
      <c r="Q298">
        <f t="shared" si="63"/>
        <v>9.6671999999999993</v>
      </c>
      <c r="R298">
        <f t="shared" si="72"/>
        <v>2805.7814673100024</v>
      </c>
      <c r="S298">
        <f t="shared" si="64"/>
        <v>21.2</v>
      </c>
      <c r="T298">
        <f t="shared" si="73"/>
        <v>3790.5000000000014</v>
      </c>
      <c r="U298">
        <f t="shared" si="65"/>
        <v>0</v>
      </c>
      <c r="V298">
        <f t="shared" si="74"/>
        <v>1945.899999999999</v>
      </c>
      <c r="W298">
        <f t="shared" si="66"/>
        <v>296</v>
      </c>
      <c r="X298">
        <f t="shared" si="67"/>
        <v>2.7296699999999987</v>
      </c>
      <c r="Y298">
        <f t="shared" si="68"/>
        <v>1.1000000000000001</v>
      </c>
    </row>
    <row r="299" spans="8:25" x14ac:dyDescent="0.2">
      <c r="H299">
        <f t="shared" si="69"/>
        <v>297</v>
      </c>
      <c r="I299">
        <f t="shared" si="60"/>
        <v>448</v>
      </c>
      <c r="J299">
        <f>IFERROR(INDEX(clima!$C:$C,$I299),"")</f>
        <v>82</v>
      </c>
      <c r="K299">
        <f>IFERROR(INDEX(clima!$F:$F,$I299),"")</f>
        <v>22.8</v>
      </c>
      <c r="L299">
        <f>IFERROR(INDEX(clima!$J:$J,$I299),"")</f>
        <v>11.96517651052047</v>
      </c>
      <c r="M299">
        <f t="shared" si="61"/>
        <v>22.8</v>
      </c>
      <c r="N299">
        <f t="shared" si="70"/>
        <v>5188.2999999999938</v>
      </c>
      <c r="O299">
        <f t="shared" si="62"/>
        <v>22.8</v>
      </c>
      <c r="P299">
        <f t="shared" si="71"/>
        <v>5049.099999999994</v>
      </c>
      <c r="Q299">
        <f t="shared" si="63"/>
        <v>10.288584307325566</v>
      </c>
      <c r="R299">
        <f t="shared" si="72"/>
        <v>2816.0700516173279</v>
      </c>
      <c r="S299">
        <f t="shared" si="64"/>
        <v>22.8</v>
      </c>
      <c r="T299">
        <f t="shared" si="73"/>
        <v>3813.3000000000015</v>
      </c>
      <c r="U299">
        <f t="shared" si="65"/>
        <v>0</v>
      </c>
      <c r="V299">
        <f t="shared" si="74"/>
        <v>1945.899999999999</v>
      </c>
      <c r="W299">
        <f t="shared" si="66"/>
        <v>297</v>
      </c>
      <c r="X299">
        <f t="shared" si="67"/>
        <v>2.7296699999999987</v>
      </c>
      <c r="Y299">
        <f t="shared" si="68"/>
        <v>1.1000000000000001</v>
      </c>
    </row>
    <row r="300" spans="8:25" x14ac:dyDescent="0.2">
      <c r="H300">
        <f t="shared" si="69"/>
        <v>298</v>
      </c>
      <c r="I300">
        <f t="shared" si="60"/>
        <v>449</v>
      </c>
      <c r="J300">
        <f>IFERROR(INDEX(clima!$C:$C,$I300),"")</f>
        <v>83</v>
      </c>
      <c r="K300">
        <f>IFERROR(INDEX(clima!$F:$F,$I300),"")</f>
        <v>23.5</v>
      </c>
      <c r="L300">
        <f>IFERROR(INDEX(clima!$J:$J,$I300),"")</f>
        <v>11.930359161430275</v>
      </c>
      <c r="M300">
        <f t="shared" si="61"/>
        <v>23.5</v>
      </c>
      <c r="N300">
        <f t="shared" si="70"/>
        <v>5211.7999999999938</v>
      </c>
      <c r="O300">
        <f t="shared" si="62"/>
        <v>23.5</v>
      </c>
      <c r="P300">
        <f t="shared" si="71"/>
        <v>5072.599999999994</v>
      </c>
      <c r="Q300">
        <f t="shared" si="63"/>
        <v>10.492459123113417</v>
      </c>
      <c r="R300">
        <f t="shared" si="72"/>
        <v>2826.5625107404412</v>
      </c>
      <c r="S300">
        <f t="shared" si="64"/>
        <v>23.5</v>
      </c>
      <c r="T300">
        <f t="shared" si="73"/>
        <v>3836.8000000000015</v>
      </c>
      <c r="U300">
        <f t="shared" si="65"/>
        <v>0</v>
      </c>
      <c r="V300">
        <f t="shared" si="74"/>
        <v>1945.899999999999</v>
      </c>
      <c r="W300">
        <f t="shared" si="66"/>
        <v>298</v>
      </c>
      <c r="X300">
        <f t="shared" si="67"/>
        <v>2.7296699999999987</v>
      </c>
      <c r="Y300">
        <f t="shared" si="68"/>
        <v>1.1000000000000001</v>
      </c>
    </row>
    <row r="301" spans="8:25" x14ac:dyDescent="0.2">
      <c r="H301">
        <f t="shared" si="69"/>
        <v>299</v>
      </c>
      <c r="I301">
        <f t="shared" si="60"/>
        <v>450</v>
      </c>
      <c r="J301">
        <f>IFERROR(INDEX(clima!$C:$C,$I301),"")</f>
        <v>84</v>
      </c>
      <c r="K301">
        <f>IFERROR(INDEX(clima!$F:$F,$I301),"")</f>
        <v>20.399999999999999</v>
      </c>
      <c r="L301">
        <f>IFERROR(INDEX(clima!$J:$J,$I301),"")</f>
        <v>11.895554100219279</v>
      </c>
      <c r="M301">
        <f t="shared" si="61"/>
        <v>20.399999999999999</v>
      </c>
      <c r="N301">
        <f t="shared" si="70"/>
        <v>5232.1999999999935</v>
      </c>
      <c r="O301">
        <f t="shared" si="62"/>
        <v>20.399999999999999</v>
      </c>
      <c r="P301">
        <f t="shared" si="71"/>
        <v>5092.9999999999936</v>
      </c>
      <c r="Q301">
        <f t="shared" si="63"/>
        <v>9.0107336844152606</v>
      </c>
      <c r="R301">
        <f t="shared" si="72"/>
        <v>2835.5732444248565</v>
      </c>
      <c r="S301">
        <f t="shared" si="64"/>
        <v>20.399999999999999</v>
      </c>
      <c r="T301">
        <f t="shared" si="73"/>
        <v>3857.2000000000016</v>
      </c>
      <c r="U301">
        <f t="shared" si="65"/>
        <v>0</v>
      </c>
      <c r="V301">
        <f t="shared" si="74"/>
        <v>1945.899999999999</v>
      </c>
      <c r="W301">
        <f t="shared" si="66"/>
        <v>299</v>
      </c>
      <c r="X301">
        <f t="shared" si="67"/>
        <v>2.7296699999999987</v>
      </c>
      <c r="Y301">
        <f t="shared" si="68"/>
        <v>1.1000000000000001</v>
      </c>
    </row>
    <row r="302" spans="8:25" x14ac:dyDescent="0.2">
      <c r="H302">
        <f t="shared" si="69"/>
        <v>300</v>
      </c>
      <c r="I302">
        <f t="shared" si="60"/>
        <v>451</v>
      </c>
      <c r="J302">
        <f>IFERROR(INDEX(clima!$C:$C,$I302),"")</f>
        <v>85</v>
      </c>
      <c r="K302">
        <f>IFERROR(INDEX(clima!$F:$F,$I302),"")</f>
        <v>19.7</v>
      </c>
      <c r="L302">
        <f>IFERROR(INDEX(clima!$J:$J,$I302),"")</f>
        <v>11.860767488566172</v>
      </c>
      <c r="M302">
        <f t="shared" si="61"/>
        <v>19.7</v>
      </c>
      <c r="N302">
        <f t="shared" si="70"/>
        <v>5251.8999999999933</v>
      </c>
      <c r="O302">
        <f t="shared" si="62"/>
        <v>19.7</v>
      </c>
      <c r="P302">
        <f t="shared" si="71"/>
        <v>5112.6999999999935</v>
      </c>
      <c r="Q302">
        <f t="shared" si="63"/>
        <v>8.6069221212008671</v>
      </c>
      <c r="R302">
        <f t="shared" si="72"/>
        <v>2844.1801665460575</v>
      </c>
      <c r="S302">
        <f t="shared" si="64"/>
        <v>19.7</v>
      </c>
      <c r="T302">
        <f t="shared" si="73"/>
        <v>3876.9000000000015</v>
      </c>
      <c r="U302">
        <f t="shared" si="65"/>
        <v>0</v>
      </c>
      <c r="V302">
        <f t="shared" si="74"/>
        <v>1945.899999999999</v>
      </c>
      <c r="W302">
        <f t="shared" si="66"/>
        <v>300</v>
      </c>
      <c r="X302">
        <f t="shared" si="67"/>
        <v>2.7296699999999987</v>
      </c>
      <c r="Y302">
        <f t="shared" si="68"/>
        <v>1.1000000000000001</v>
      </c>
    </row>
    <row r="303" spans="8:25" x14ac:dyDescent="0.2">
      <c r="H303">
        <f t="shared" si="69"/>
        <v>301</v>
      </c>
      <c r="I303">
        <f t="shared" si="60"/>
        <v>452</v>
      </c>
      <c r="J303">
        <f>IFERROR(INDEX(clima!$C:$C,$I303),"")</f>
        <v>86</v>
      </c>
      <c r="K303">
        <f>IFERROR(INDEX(clima!$F:$F,$I303),"")</f>
        <v>16.7</v>
      </c>
      <c r="L303">
        <f>IFERROR(INDEX(clima!$J:$J,$I303),"")</f>
        <v>11.826005509402279</v>
      </c>
      <c r="M303">
        <f t="shared" si="61"/>
        <v>16.7</v>
      </c>
      <c r="N303">
        <f t="shared" si="70"/>
        <v>5268.5999999999931</v>
      </c>
      <c r="O303">
        <f t="shared" si="62"/>
        <v>16.7</v>
      </c>
      <c r="P303">
        <f t="shared" si="71"/>
        <v>5129.3999999999933</v>
      </c>
      <c r="Q303">
        <f t="shared" si="63"/>
        <v>7.2157263069069062</v>
      </c>
      <c r="R303">
        <f t="shared" si="72"/>
        <v>2851.3958928529646</v>
      </c>
      <c r="S303">
        <f t="shared" si="64"/>
        <v>16.7</v>
      </c>
      <c r="T303">
        <f t="shared" si="73"/>
        <v>3893.6000000000013</v>
      </c>
      <c r="U303">
        <f t="shared" si="65"/>
        <v>0</v>
      </c>
      <c r="V303">
        <f t="shared" si="74"/>
        <v>1945.899999999999</v>
      </c>
      <c r="W303">
        <f t="shared" si="66"/>
        <v>301</v>
      </c>
      <c r="X303">
        <f t="shared" si="67"/>
        <v>2.7296699999999987</v>
      </c>
      <c r="Y303">
        <f t="shared" si="68"/>
        <v>1.1000000000000001</v>
      </c>
    </row>
    <row r="304" spans="8:25" x14ac:dyDescent="0.2">
      <c r="H304">
        <f t="shared" si="69"/>
        <v>302</v>
      </c>
      <c r="I304">
        <f t="shared" si="60"/>
        <v>453</v>
      </c>
      <c r="J304">
        <f>IFERROR(INDEX(clima!$C:$C,$I304),"")</f>
        <v>87</v>
      </c>
      <c r="K304">
        <f>IFERROR(INDEX(clima!$F:$F,$I304),"")</f>
        <v>19.7</v>
      </c>
      <c r="L304">
        <f>IFERROR(INDEX(clima!$J:$J,$I304),"")</f>
        <v>11.791274373938592</v>
      </c>
      <c r="M304">
        <f t="shared" si="61"/>
        <v>19.7</v>
      </c>
      <c r="N304">
        <f t="shared" si="70"/>
        <v>5288.2999999999929</v>
      </c>
      <c r="O304">
        <f t="shared" si="62"/>
        <v>19.7</v>
      </c>
      <c r="P304">
        <f t="shared" si="71"/>
        <v>5149.0999999999931</v>
      </c>
      <c r="Q304">
        <f t="shared" si="63"/>
        <v>8.4166871111573549</v>
      </c>
      <c r="R304">
        <f t="shared" si="72"/>
        <v>2859.8125799641221</v>
      </c>
      <c r="S304">
        <f t="shared" si="64"/>
        <v>19.7</v>
      </c>
      <c r="T304">
        <f t="shared" si="73"/>
        <v>3913.3000000000011</v>
      </c>
      <c r="U304">
        <f t="shared" si="65"/>
        <v>0</v>
      </c>
      <c r="V304">
        <f t="shared" si="74"/>
        <v>1945.899999999999</v>
      </c>
      <c r="W304">
        <f t="shared" si="66"/>
        <v>302</v>
      </c>
      <c r="X304">
        <f t="shared" si="67"/>
        <v>2.7296699999999987</v>
      </c>
      <c r="Y304">
        <f t="shared" si="68"/>
        <v>1.1000000000000001</v>
      </c>
    </row>
    <row r="305" spans="8:25" x14ac:dyDescent="0.2">
      <c r="H305">
        <f t="shared" si="69"/>
        <v>303</v>
      </c>
      <c r="I305">
        <f t="shared" si="60"/>
        <v>454</v>
      </c>
      <c r="J305">
        <f>IFERROR(INDEX(clima!$C:$C,$I305),"")</f>
        <v>88</v>
      </c>
      <c r="K305">
        <f>IFERROR(INDEX(clima!$F:$F,$I305),"")</f>
        <v>19.2</v>
      </c>
      <c r="L305">
        <f>IFERROR(INDEX(clima!$J:$J,$I305),"")</f>
        <v>11.756580328643514</v>
      </c>
      <c r="M305">
        <f t="shared" si="61"/>
        <v>19.2</v>
      </c>
      <c r="N305">
        <f t="shared" si="70"/>
        <v>5307.4999999999927</v>
      </c>
      <c r="O305">
        <f t="shared" si="62"/>
        <v>19.2</v>
      </c>
      <c r="P305">
        <f t="shared" si="71"/>
        <v>5168.2999999999929</v>
      </c>
      <c r="Q305">
        <f t="shared" si="63"/>
        <v>8.1099124422929236</v>
      </c>
      <c r="R305">
        <f t="shared" si="72"/>
        <v>2867.9224924064151</v>
      </c>
      <c r="S305">
        <f t="shared" si="64"/>
        <v>19.2</v>
      </c>
      <c r="T305">
        <f t="shared" si="73"/>
        <v>3932.5000000000009</v>
      </c>
      <c r="U305">
        <f t="shared" si="65"/>
        <v>0</v>
      </c>
      <c r="V305">
        <f t="shared" si="74"/>
        <v>1945.899999999999</v>
      </c>
      <c r="W305">
        <f t="shared" si="66"/>
        <v>303</v>
      </c>
      <c r="X305">
        <f t="shared" si="67"/>
        <v>2.7296699999999987</v>
      </c>
      <c r="Y305">
        <f t="shared" si="68"/>
        <v>1.1000000000000001</v>
      </c>
    </row>
    <row r="306" spans="8:25" x14ac:dyDescent="0.2">
      <c r="H306">
        <f t="shared" si="69"/>
        <v>304</v>
      </c>
      <c r="I306">
        <f t="shared" si="60"/>
        <v>455</v>
      </c>
      <c r="J306">
        <f>IFERROR(INDEX(clima!$C:$C,$I306),"")</f>
        <v>89</v>
      </c>
      <c r="K306">
        <f>IFERROR(INDEX(clima!$F:$F,$I306),"")</f>
        <v>15.3</v>
      </c>
      <c r="L306">
        <f>IFERROR(INDEX(clima!$J:$J,$I306),"")</f>
        <v>11.721929662158777</v>
      </c>
      <c r="M306">
        <f t="shared" si="61"/>
        <v>15.3</v>
      </c>
      <c r="N306">
        <f t="shared" si="70"/>
        <v>5322.7999999999929</v>
      </c>
      <c r="O306">
        <f t="shared" si="62"/>
        <v>15.3</v>
      </c>
      <c r="P306">
        <f t="shared" si="71"/>
        <v>5183.5999999999931</v>
      </c>
      <c r="Q306">
        <f t="shared" si="63"/>
        <v>6.3881353702020176</v>
      </c>
      <c r="R306">
        <f t="shared" si="72"/>
        <v>2874.3106277766174</v>
      </c>
      <c r="S306">
        <f t="shared" si="64"/>
        <v>15.3</v>
      </c>
      <c r="T306">
        <f t="shared" si="73"/>
        <v>3947.8000000000011</v>
      </c>
      <c r="U306">
        <f t="shared" si="65"/>
        <v>0</v>
      </c>
      <c r="V306">
        <f t="shared" si="74"/>
        <v>1945.899999999999</v>
      </c>
      <c r="W306">
        <f t="shared" si="66"/>
        <v>304</v>
      </c>
      <c r="X306">
        <f t="shared" si="67"/>
        <v>2.7296699999999987</v>
      </c>
      <c r="Y306">
        <f t="shared" si="68"/>
        <v>1.1000000000000001</v>
      </c>
    </row>
    <row r="307" spans="8:25" x14ac:dyDescent="0.2">
      <c r="H307">
        <f t="shared" si="69"/>
        <v>305</v>
      </c>
      <c r="I307">
        <f t="shared" si="60"/>
        <v>456</v>
      </c>
      <c r="J307">
        <f>IFERROR(INDEX(clima!$C:$C,$I307),"")</f>
        <v>90</v>
      </c>
      <c r="K307">
        <f>IFERROR(INDEX(clima!$F:$F,$I307),"")</f>
        <v>18</v>
      </c>
      <c r="L307">
        <f>IFERROR(INDEX(clima!$J:$J,$I307),"")</f>
        <v>11.687328712140763</v>
      </c>
      <c r="M307">
        <f t="shared" si="61"/>
        <v>18</v>
      </c>
      <c r="N307">
        <f t="shared" si="70"/>
        <v>5340.7999999999929</v>
      </c>
      <c r="O307">
        <f t="shared" si="62"/>
        <v>18</v>
      </c>
      <c r="P307">
        <f t="shared" si="71"/>
        <v>5201.5999999999931</v>
      </c>
      <c r="Q307">
        <f t="shared" si="63"/>
        <v>7.4276228971801004</v>
      </c>
      <c r="R307">
        <f t="shared" si="72"/>
        <v>2881.7382506737977</v>
      </c>
      <c r="S307">
        <f t="shared" si="64"/>
        <v>18</v>
      </c>
      <c r="T307">
        <f t="shared" si="73"/>
        <v>3965.8000000000011</v>
      </c>
      <c r="U307">
        <f t="shared" si="65"/>
        <v>0</v>
      </c>
      <c r="V307">
        <f t="shared" si="74"/>
        <v>1945.899999999999</v>
      </c>
      <c r="W307">
        <f t="shared" si="66"/>
        <v>305</v>
      </c>
      <c r="X307">
        <f t="shared" si="67"/>
        <v>2.7296699999999987</v>
      </c>
      <c r="Y307">
        <f t="shared" si="68"/>
        <v>1.1000000000000001</v>
      </c>
    </row>
    <row r="308" spans="8:25" x14ac:dyDescent="0.2">
      <c r="H308">
        <f t="shared" si="69"/>
        <v>306</v>
      </c>
      <c r="I308">
        <f t="shared" si="60"/>
        <v>457</v>
      </c>
      <c r="J308">
        <f>IFERROR(INDEX(clima!$C:$C,$I308),"")</f>
        <v>91</v>
      </c>
      <c r="K308">
        <f>IFERROR(INDEX(clima!$F:$F,$I308),"")</f>
        <v>16.5</v>
      </c>
      <c r="L308">
        <f>IFERROR(INDEX(clima!$J:$J,$I308),"")</f>
        <v>11.652783872014234</v>
      </c>
      <c r="M308">
        <f t="shared" si="61"/>
        <v>16.5</v>
      </c>
      <c r="N308">
        <f t="shared" si="70"/>
        <v>5357.2999999999929</v>
      </c>
      <c r="O308">
        <f t="shared" si="62"/>
        <v>16.5</v>
      </c>
      <c r="P308">
        <f t="shared" si="71"/>
        <v>5218.0999999999931</v>
      </c>
      <c r="Q308">
        <f t="shared" si="63"/>
        <v>6.7279386035053781</v>
      </c>
      <c r="R308">
        <f t="shared" si="72"/>
        <v>2888.4661892773029</v>
      </c>
      <c r="S308">
        <f t="shared" si="64"/>
        <v>16.5</v>
      </c>
      <c r="T308">
        <f t="shared" si="73"/>
        <v>3982.3000000000011</v>
      </c>
      <c r="U308">
        <f t="shared" si="65"/>
        <v>0</v>
      </c>
      <c r="V308">
        <f t="shared" si="74"/>
        <v>1945.899999999999</v>
      </c>
      <c r="W308">
        <f t="shared" si="66"/>
        <v>306</v>
      </c>
      <c r="X308">
        <f t="shared" si="67"/>
        <v>2.7296699999999987</v>
      </c>
      <c r="Y308">
        <f t="shared" si="68"/>
        <v>1.1000000000000001</v>
      </c>
    </row>
    <row r="309" spans="8:25" x14ac:dyDescent="0.2">
      <c r="H309">
        <f t="shared" si="69"/>
        <v>307</v>
      </c>
      <c r="I309">
        <f t="shared" si="60"/>
        <v>458</v>
      </c>
      <c r="J309">
        <f>IFERROR(INDEX(clima!$C:$C,$I309),"")</f>
        <v>92</v>
      </c>
      <c r="K309">
        <f>IFERROR(INDEX(clima!$F:$F,$I309),"")</f>
        <v>16.100000000000001</v>
      </c>
      <c r="L309">
        <f>IFERROR(INDEX(clima!$J:$J,$I309),"")</f>
        <v>11.618301597625276</v>
      </c>
      <c r="M309">
        <f t="shared" si="61"/>
        <v>16.100000000000001</v>
      </c>
      <c r="N309">
        <f t="shared" si="70"/>
        <v>5373.3999999999933</v>
      </c>
      <c r="O309">
        <f t="shared" si="62"/>
        <v>16.100000000000001</v>
      </c>
      <c r="P309">
        <f t="shared" si="71"/>
        <v>5234.1999999999935</v>
      </c>
      <c r="Q309">
        <f t="shared" si="63"/>
        <v>6.4858949993694273</v>
      </c>
      <c r="R309">
        <f t="shared" si="72"/>
        <v>2894.9520842766724</v>
      </c>
      <c r="S309">
        <f t="shared" si="64"/>
        <v>16.100000000000001</v>
      </c>
      <c r="T309">
        <f t="shared" si="73"/>
        <v>3998.400000000001</v>
      </c>
      <c r="U309">
        <f t="shared" si="65"/>
        <v>0</v>
      </c>
      <c r="V309">
        <f t="shared" si="74"/>
        <v>1945.899999999999</v>
      </c>
      <c r="W309">
        <f t="shared" si="66"/>
        <v>307</v>
      </c>
      <c r="X309">
        <f t="shared" si="67"/>
        <v>2.7296699999999987</v>
      </c>
      <c r="Y309">
        <f t="shared" si="68"/>
        <v>1.1000000000000001</v>
      </c>
    </row>
    <row r="310" spans="8:25" x14ac:dyDescent="0.2">
      <c r="H310">
        <f t="shared" si="69"/>
        <v>308</v>
      </c>
      <c r="I310">
        <f t="shared" si="60"/>
        <v>459</v>
      </c>
      <c r="J310">
        <f>IFERROR(INDEX(clima!$C:$C,$I310),"")</f>
        <v>93</v>
      </c>
      <c r="K310">
        <f>IFERROR(INDEX(clima!$F:$F,$I310),"")</f>
        <v>17.5</v>
      </c>
      <c r="L310">
        <f>IFERROR(INDEX(clima!$J:$J,$I310),"")</f>
        <v>11.583888413779935</v>
      </c>
      <c r="M310">
        <f t="shared" si="61"/>
        <v>17.5</v>
      </c>
      <c r="N310">
        <f t="shared" si="70"/>
        <v>5390.8999999999933</v>
      </c>
      <c r="O310">
        <f t="shared" si="62"/>
        <v>17.5</v>
      </c>
      <c r="P310">
        <f t="shared" si="71"/>
        <v>5251.6999999999935</v>
      </c>
      <c r="Q310">
        <f t="shared" si="63"/>
        <v>6.9638985330334897</v>
      </c>
      <c r="R310">
        <f t="shared" si="72"/>
        <v>2901.9159828097058</v>
      </c>
      <c r="S310">
        <f t="shared" si="64"/>
        <v>17.5</v>
      </c>
      <c r="T310">
        <f t="shared" si="73"/>
        <v>4015.900000000001</v>
      </c>
      <c r="U310">
        <f t="shared" si="65"/>
        <v>0</v>
      </c>
      <c r="V310">
        <f t="shared" si="74"/>
        <v>1945.899999999999</v>
      </c>
      <c r="W310">
        <f t="shared" si="66"/>
        <v>308</v>
      </c>
      <c r="X310">
        <f t="shared" si="67"/>
        <v>2.7296699999999987</v>
      </c>
      <c r="Y310">
        <f t="shared" si="68"/>
        <v>1.1000000000000001</v>
      </c>
    </row>
    <row r="311" spans="8:25" x14ac:dyDescent="0.2">
      <c r="H311">
        <f t="shared" si="69"/>
        <v>309</v>
      </c>
      <c r="I311">
        <f t="shared" si="60"/>
        <v>460</v>
      </c>
      <c r="J311">
        <f>IFERROR(INDEX(clima!$C:$C,$I311),"")</f>
        <v>94</v>
      </c>
      <c r="K311">
        <f>IFERROR(INDEX(clima!$F:$F,$I311),"")</f>
        <v>13</v>
      </c>
      <c r="L311">
        <f>IFERROR(INDEX(clima!$J:$J,$I311),"")</f>
        <v>11.549550920654806</v>
      </c>
      <c r="M311">
        <f t="shared" si="61"/>
        <v>13</v>
      </c>
      <c r="N311">
        <f t="shared" si="70"/>
        <v>5403.8999999999933</v>
      </c>
      <c r="O311">
        <f t="shared" si="62"/>
        <v>13</v>
      </c>
      <c r="P311">
        <f t="shared" si="71"/>
        <v>5264.6999999999935</v>
      </c>
      <c r="Q311">
        <f t="shared" si="63"/>
        <v>5.1091850944920321</v>
      </c>
      <c r="R311">
        <f t="shared" si="72"/>
        <v>2907.025167904198</v>
      </c>
      <c r="S311">
        <f t="shared" si="64"/>
        <v>13</v>
      </c>
      <c r="T311">
        <f t="shared" si="73"/>
        <v>4028.900000000001</v>
      </c>
      <c r="U311">
        <f t="shared" si="65"/>
        <v>0</v>
      </c>
      <c r="V311">
        <f t="shared" si="74"/>
        <v>1945.899999999999</v>
      </c>
      <c r="W311">
        <f t="shared" si="66"/>
        <v>309</v>
      </c>
      <c r="X311">
        <f t="shared" si="67"/>
        <v>2.7296699999999987</v>
      </c>
      <c r="Y311">
        <f t="shared" si="68"/>
        <v>1.1000000000000001</v>
      </c>
    </row>
    <row r="312" spans="8:25" x14ac:dyDescent="0.2">
      <c r="H312">
        <f t="shared" si="69"/>
        <v>310</v>
      </c>
      <c r="I312">
        <f t="shared" si="60"/>
        <v>461</v>
      </c>
      <c r="J312">
        <f>IFERROR(INDEX(clima!$C:$C,$I312),"")</f>
        <v>95</v>
      </c>
      <c r="K312">
        <f>IFERROR(INDEX(clima!$F:$F,$I312),"")</f>
        <v>13.1</v>
      </c>
      <c r="L312">
        <f>IFERROR(INDEX(clima!$J:$J,$I312),"")</f>
        <v>11.515295800065378</v>
      </c>
      <c r="M312">
        <f t="shared" si="61"/>
        <v>13.1</v>
      </c>
      <c r="N312">
        <f t="shared" si="70"/>
        <v>5416.9999999999936</v>
      </c>
      <c r="O312">
        <f t="shared" si="62"/>
        <v>13.1</v>
      </c>
      <c r="P312">
        <f t="shared" si="71"/>
        <v>5277.7999999999938</v>
      </c>
      <c r="Q312">
        <f t="shared" si="63"/>
        <v>5.0838906331207712</v>
      </c>
      <c r="R312">
        <f t="shared" si="72"/>
        <v>2912.109058537319</v>
      </c>
      <c r="S312">
        <f t="shared" si="64"/>
        <v>13.1</v>
      </c>
      <c r="T312">
        <f t="shared" si="73"/>
        <v>4042.0000000000009</v>
      </c>
      <c r="U312">
        <f t="shared" si="65"/>
        <v>0</v>
      </c>
      <c r="V312">
        <f t="shared" si="74"/>
        <v>1945.899999999999</v>
      </c>
      <c r="W312">
        <f t="shared" si="66"/>
        <v>310</v>
      </c>
      <c r="X312">
        <f t="shared" si="67"/>
        <v>2.7296699999999987</v>
      </c>
      <c r="Y312">
        <f t="shared" si="68"/>
        <v>1.1000000000000001</v>
      </c>
    </row>
    <row r="313" spans="8:25" x14ac:dyDescent="0.2">
      <c r="H313">
        <f t="shared" si="69"/>
        <v>311</v>
      </c>
      <c r="I313">
        <f t="shared" si="60"/>
        <v>462</v>
      </c>
      <c r="J313">
        <f>IFERROR(INDEX(clima!$C:$C,$I313),"")</f>
        <v>96</v>
      </c>
      <c r="K313">
        <f>IFERROR(INDEX(clima!$F:$F,$I313),"")</f>
        <v>15.9</v>
      </c>
      <c r="L313">
        <f>IFERROR(INDEX(clima!$J:$J,$I313),"")</f>
        <v>11.48112982157777</v>
      </c>
      <c r="M313">
        <f t="shared" si="61"/>
        <v>15.9</v>
      </c>
      <c r="N313">
        <f t="shared" si="70"/>
        <v>5432.8999999999933</v>
      </c>
      <c r="O313">
        <f t="shared" si="62"/>
        <v>15.9</v>
      </c>
      <c r="P313">
        <f t="shared" si="71"/>
        <v>5293.6999999999935</v>
      </c>
      <c r="Q313">
        <f t="shared" si="63"/>
        <v>6.0920091968629126</v>
      </c>
      <c r="R313">
        <f t="shared" si="72"/>
        <v>2918.2010677341818</v>
      </c>
      <c r="S313">
        <f t="shared" si="64"/>
        <v>15.9</v>
      </c>
      <c r="T313">
        <f t="shared" si="73"/>
        <v>4057.900000000001</v>
      </c>
      <c r="U313">
        <f t="shared" si="65"/>
        <v>0</v>
      </c>
      <c r="V313">
        <f t="shared" si="74"/>
        <v>1945.899999999999</v>
      </c>
      <c r="W313">
        <f t="shared" si="66"/>
        <v>311</v>
      </c>
      <c r="X313">
        <f t="shared" si="67"/>
        <v>2.7296699999999987</v>
      </c>
      <c r="Y313">
        <f t="shared" si="68"/>
        <v>1.1000000000000001</v>
      </c>
    </row>
    <row r="314" spans="8:25" x14ac:dyDescent="0.2">
      <c r="H314">
        <f t="shared" si="69"/>
        <v>312</v>
      </c>
      <c r="I314">
        <f t="shared" si="60"/>
        <v>463</v>
      </c>
      <c r="J314">
        <f>IFERROR(INDEX(clima!$C:$C,$I314),"")</f>
        <v>97</v>
      </c>
      <c r="K314">
        <f>IFERROR(INDEX(clima!$F:$F,$I314),"")</f>
        <v>14.8</v>
      </c>
      <c r="L314">
        <f>IFERROR(INDEX(clima!$J:$J,$I314),"")</f>
        <v>11.447059848448953</v>
      </c>
      <c r="M314">
        <f t="shared" si="61"/>
        <v>14.8</v>
      </c>
      <c r="N314">
        <f t="shared" si="70"/>
        <v>5447.6999999999935</v>
      </c>
      <c r="O314">
        <f t="shared" si="62"/>
        <v>14.8</v>
      </c>
      <c r="P314">
        <f t="shared" si="71"/>
        <v>5308.4999999999936</v>
      </c>
      <c r="Q314">
        <f t="shared" si="63"/>
        <v>5.5973796173094339</v>
      </c>
      <c r="R314">
        <f t="shared" si="72"/>
        <v>2923.7984473514912</v>
      </c>
      <c r="S314">
        <f t="shared" si="64"/>
        <v>14.8</v>
      </c>
      <c r="T314">
        <f t="shared" si="73"/>
        <v>4072.7000000000012</v>
      </c>
      <c r="U314">
        <f t="shared" si="65"/>
        <v>0</v>
      </c>
      <c r="V314">
        <f t="shared" si="74"/>
        <v>1945.899999999999</v>
      </c>
      <c r="W314">
        <f t="shared" si="66"/>
        <v>312</v>
      </c>
      <c r="X314">
        <f t="shared" si="67"/>
        <v>2.7296699999999987</v>
      </c>
      <c r="Y314">
        <f t="shared" si="68"/>
        <v>1.1000000000000001</v>
      </c>
    </row>
    <row r="315" spans="8:25" x14ac:dyDescent="0.2">
      <c r="H315">
        <f t="shared" si="69"/>
        <v>313</v>
      </c>
      <c r="I315">
        <f t="shared" si="60"/>
        <v>464</v>
      </c>
      <c r="J315">
        <f>IFERROR(INDEX(clima!$C:$C,$I315),"")</f>
        <v>98</v>
      </c>
      <c r="K315">
        <f>IFERROR(INDEX(clima!$F:$F,$I315),"")</f>
        <v>16.8</v>
      </c>
      <c r="L315">
        <f>IFERROR(INDEX(clima!$J:$J,$I315),"")</f>
        <v>11.413092843380273</v>
      </c>
      <c r="M315">
        <f t="shared" si="61"/>
        <v>16.8</v>
      </c>
      <c r="N315">
        <f t="shared" si="70"/>
        <v>5464.4999999999936</v>
      </c>
      <c r="O315">
        <f t="shared" si="62"/>
        <v>16.8</v>
      </c>
      <c r="P315">
        <f t="shared" si="71"/>
        <v>5325.2999999999938</v>
      </c>
      <c r="Q315">
        <f t="shared" si="63"/>
        <v>6.2706456390570695</v>
      </c>
      <c r="R315">
        <f t="shared" si="72"/>
        <v>2930.0690929905481</v>
      </c>
      <c r="S315">
        <f t="shared" si="64"/>
        <v>16.8</v>
      </c>
      <c r="T315">
        <f t="shared" si="73"/>
        <v>4089.5000000000014</v>
      </c>
      <c r="U315">
        <f t="shared" si="65"/>
        <v>0</v>
      </c>
      <c r="V315">
        <f t="shared" si="74"/>
        <v>1945.899999999999</v>
      </c>
      <c r="W315">
        <f t="shared" si="66"/>
        <v>313</v>
      </c>
      <c r="X315">
        <f t="shared" si="67"/>
        <v>2.7296699999999987</v>
      </c>
      <c r="Y315">
        <f t="shared" si="68"/>
        <v>1.1000000000000001</v>
      </c>
    </row>
    <row r="316" spans="8:25" x14ac:dyDescent="0.2">
      <c r="H316">
        <f t="shared" si="69"/>
        <v>314</v>
      </c>
      <c r="I316">
        <f t="shared" si="60"/>
        <v>465</v>
      </c>
      <c r="J316">
        <f>IFERROR(INDEX(clima!$C:$C,$I316),"")</f>
        <v>99</v>
      </c>
      <c r="K316">
        <f>IFERROR(INDEX(clima!$F:$F,$I316),"")</f>
        <v>18</v>
      </c>
      <c r="L316">
        <f>IFERROR(INDEX(clima!$J:$J,$I316),"")</f>
        <v>11.379235874068705</v>
      </c>
      <c r="M316">
        <f t="shared" si="61"/>
        <v>18</v>
      </c>
      <c r="N316">
        <f t="shared" si="70"/>
        <v>5482.4999999999936</v>
      </c>
      <c r="O316">
        <f t="shared" si="62"/>
        <v>18</v>
      </c>
      <c r="P316">
        <f t="shared" si="71"/>
        <v>5343.2999999999938</v>
      </c>
      <c r="Q316">
        <f t="shared" si="63"/>
        <v>6.6294111604135724</v>
      </c>
      <c r="R316">
        <f t="shared" si="72"/>
        <v>2936.6985041509615</v>
      </c>
      <c r="S316">
        <f t="shared" si="64"/>
        <v>18</v>
      </c>
      <c r="T316">
        <f t="shared" si="73"/>
        <v>4107.5000000000018</v>
      </c>
      <c r="U316">
        <f t="shared" si="65"/>
        <v>0</v>
      </c>
      <c r="V316">
        <f t="shared" si="74"/>
        <v>1945.899999999999</v>
      </c>
      <c r="W316">
        <f t="shared" si="66"/>
        <v>314</v>
      </c>
      <c r="X316">
        <f t="shared" si="67"/>
        <v>2.7296699999999987</v>
      </c>
      <c r="Y316">
        <f t="shared" si="68"/>
        <v>1.1000000000000001</v>
      </c>
    </row>
    <row r="317" spans="8:25" x14ac:dyDescent="0.2">
      <c r="H317">
        <f t="shared" si="69"/>
        <v>315</v>
      </c>
      <c r="I317">
        <f t="shared" si="60"/>
        <v>466</v>
      </c>
      <c r="J317">
        <f>IFERROR(INDEX(clima!$C:$C,$I317),"")</f>
        <v>100</v>
      </c>
      <c r="K317">
        <f>IFERROR(INDEX(clima!$F:$F,$I317),"")</f>
        <v>21.3</v>
      </c>
      <c r="L317">
        <f>IFERROR(INDEX(clima!$J:$J,$I317),"")</f>
        <v>11.345496118539783</v>
      </c>
      <c r="M317">
        <f t="shared" si="61"/>
        <v>21.3</v>
      </c>
      <c r="N317">
        <f t="shared" si="70"/>
        <v>5503.7999999999938</v>
      </c>
      <c r="O317">
        <f t="shared" si="62"/>
        <v>21.3</v>
      </c>
      <c r="P317">
        <f t="shared" si="71"/>
        <v>5364.599999999994</v>
      </c>
      <c r="Q317">
        <f t="shared" si="63"/>
        <v>7.7392758025362847</v>
      </c>
      <c r="R317">
        <f t="shared" si="72"/>
        <v>2944.4377799534977</v>
      </c>
      <c r="S317">
        <f t="shared" si="64"/>
        <v>21.3</v>
      </c>
      <c r="T317">
        <f t="shared" si="73"/>
        <v>4128.800000000002</v>
      </c>
      <c r="U317">
        <f t="shared" si="65"/>
        <v>0</v>
      </c>
      <c r="V317">
        <f t="shared" si="74"/>
        <v>1945.899999999999</v>
      </c>
      <c r="W317">
        <f t="shared" si="66"/>
        <v>315</v>
      </c>
      <c r="X317">
        <f t="shared" si="67"/>
        <v>2.7296699999999987</v>
      </c>
      <c r="Y317">
        <f t="shared" si="68"/>
        <v>1.1000000000000001</v>
      </c>
    </row>
    <row r="318" spans="8:25" x14ac:dyDescent="0.2">
      <c r="H318">
        <f t="shared" si="69"/>
        <v>316</v>
      </c>
      <c r="I318">
        <f t="shared" si="60"/>
        <v>467</v>
      </c>
      <c r="J318">
        <f>IFERROR(INDEX(clima!$C:$C,$I318),"")</f>
        <v>101</v>
      </c>
      <c r="K318">
        <f>IFERROR(INDEX(clima!$F:$F,$I318),"")</f>
        <v>22.1</v>
      </c>
      <c r="L318">
        <f>IFERROR(INDEX(clima!$J:$J,$I318),"")</f>
        <v>11.311880870245837</v>
      </c>
      <c r="M318">
        <f t="shared" si="61"/>
        <v>22.1</v>
      </c>
      <c r="N318">
        <f t="shared" si="70"/>
        <v>5525.8999999999942</v>
      </c>
      <c r="O318">
        <f t="shared" si="62"/>
        <v>22.1</v>
      </c>
      <c r="P318">
        <f t="shared" si="71"/>
        <v>5386.6999999999944</v>
      </c>
      <c r="Q318">
        <f t="shared" si="63"/>
        <v>7.9204406776954741</v>
      </c>
      <c r="R318">
        <f t="shared" si="72"/>
        <v>2952.358220631193</v>
      </c>
      <c r="S318">
        <f t="shared" si="64"/>
        <v>22.1</v>
      </c>
      <c r="T318">
        <f t="shared" si="73"/>
        <v>4150.9000000000024</v>
      </c>
      <c r="U318">
        <f t="shared" si="65"/>
        <v>0</v>
      </c>
      <c r="V318">
        <f t="shared" si="74"/>
        <v>1945.899999999999</v>
      </c>
      <c r="W318">
        <f t="shared" si="66"/>
        <v>316</v>
      </c>
      <c r="X318">
        <f t="shared" si="67"/>
        <v>2.7296699999999987</v>
      </c>
      <c r="Y318">
        <f t="shared" si="68"/>
        <v>1.1000000000000001</v>
      </c>
    </row>
    <row r="319" spans="8:25" x14ac:dyDescent="0.2">
      <c r="H319">
        <f t="shared" si="69"/>
        <v>317</v>
      </c>
      <c r="I319">
        <f t="shared" si="60"/>
        <v>468</v>
      </c>
      <c r="J319">
        <f>IFERROR(INDEX(clima!$C:$C,$I319),"")</f>
        <v>102</v>
      </c>
      <c r="K319">
        <f>IFERROR(INDEX(clima!$F:$F,$I319),"")</f>
        <v>23.8</v>
      </c>
      <c r="L319">
        <f>IFERROR(INDEX(clima!$J:$J,$I319),"")</f>
        <v>11.278397542912701</v>
      </c>
      <c r="M319">
        <f t="shared" si="61"/>
        <v>23.8</v>
      </c>
      <c r="N319">
        <f t="shared" si="70"/>
        <v>5549.6999999999944</v>
      </c>
      <c r="O319">
        <f t="shared" si="62"/>
        <v>23.8</v>
      </c>
      <c r="P319">
        <f t="shared" si="71"/>
        <v>5410.4999999999945</v>
      </c>
      <c r="Q319">
        <f t="shared" si="63"/>
        <v>8.4117775124409722</v>
      </c>
      <c r="R319">
        <f t="shared" si="72"/>
        <v>2960.769998143634</v>
      </c>
      <c r="S319">
        <f t="shared" si="64"/>
        <v>23.8</v>
      </c>
      <c r="T319">
        <f t="shared" si="73"/>
        <v>4174.7000000000025</v>
      </c>
      <c r="U319">
        <f t="shared" si="65"/>
        <v>0</v>
      </c>
      <c r="V319">
        <f t="shared" si="74"/>
        <v>1945.899999999999</v>
      </c>
      <c r="W319">
        <f t="shared" si="66"/>
        <v>317</v>
      </c>
      <c r="X319">
        <f t="shared" si="67"/>
        <v>2.7296699999999987</v>
      </c>
      <c r="Y319">
        <f t="shared" si="68"/>
        <v>1.1000000000000001</v>
      </c>
    </row>
    <row r="320" spans="8:25" x14ac:dyDescent="0.2">
      <c r="H320">
        <f t="shared" si="69"/>
        <v>318</v>
      </c>
      <c r="I320">
        <f t="shared" si="60"/>
        <v>469</v>
      </c>
      <c r="J320">
        <f>IFERROR(INDEX(clima!$C:$C,$I320),"")</f>
        <v>103</v>
      </c>
      <c r="K320">
        <f>IFERROR(INDEX(clima!$F:$F,$I320),"")</f>
        <v>22.1</v>
      </c>
      <c r="L320">
        <f>IFERROR(INDEX(clima!$J:$J,$I320),"")</f>
        <v>11.245053675117711</v>
      </c>
      <c r="M320">
        <f t="shared" si="61"/>
        <v>22.1</v>
      </c>
      <c r="N320">
        <f t="shared" si="70"/>
        <v>5571.7999999999947</v>
      </c>
      <c r="O320">
        <f t="shared" si="62"/>
        <v>22.1</v>
      </c>
      <c r="P320">
        <f t="shared" si="71"/>
        <v>5432.5999999999949</v>
      </c>
      <c r="Q320">
        <f t="shared" si="63"/>
        <v>7.701469354277596</v>
      </c>
      <c r="R320">
        <f t="shared" si="72"/>
        <v>2968.4714674979114</v>
      </c>
      <c r="S320">
        <f t="shared" si="64"/>
        <v>22.1</v>
      </c>
      <c r="T320">
        <f t="shared" si="73"/>
        <v>4196.8000000000029</v>
      </c>
      <c r="U320">
        <f t="shared" si="65"/>
        <v>0</v>
      </c>
      <c r="V320">
        <f t="shared" si="74"/>
        <v>1945.899999999999</v>
      </c>
      <c r="W320">
        <f t="shared" si="66"/>
        <v>318</v>
      </c>
      <c r="X320">
        <f t="shared" si="67"/>
        <v>2.7296699999999987</v>
      </c>
      <c r="Y320">
        <f t="shared" si="68"/>
        <v>1.1000000000000001</v>
      </c>
    </row>
    <row r="321" spans="8:25" x14ac:dyDescent="0.2">
      <c r="H321">
        <f t="shared" si="69"/>
        <v>319</v>
      </c>
      <c r="I321">
        <f t="shared" si="60"/>
        <v>470</v>
      </c>
      <c r="J321">
        <f>IFERROR(INDEX(clima!$C:$C,$I321),"")</f>
        <v>104</v>
      </c>
      <c r="K321">
        <f>IFERROR(INDEX(clima!$F:$F,$I321),"")</f>
        <v>21.6</v>
      </c>
      <c r="L321">
        <f>IFERROR(INDEX(clima!$J:$J,$I321),"")</f>
        <v>11.211856934581361</v>
      </c>
      <c r="M321">
        <f t="shared" si="61"/>
        <v>21.6</v>
      </c>
      <c r="N321">
        <f t="shared" si="70"/>
        <v>5593.3999999999951</v>
      </c>
      <c r="O321">
        <f t="shared" si="62"/>
        <v>21.6</v>
      </c>
      <c r="P321">
        <f t="shared" si="71"/>
        <v>5454.1999999999953</v>
      </c>
      <c r="Q321">
        <f t="shared" si="63"/>
        <v>7.4203042123744138</v>
      </c>
      <c r="R321">
        <f t="shared" si="72"/>
        <v>2975.8917717102859</v>
      </c>
      <c r="S321">
        <f t="shared" si="64"/>
        <v>21.6</v>
      </c>
      <c r="T321">
        <f t="shared" si="73"/>
        <v>4218.4000000000033</v>
      </c>
      <c r="U321">
        <f t="shared" si="65"/>
        <v>0</v>
      </c>
      <c r="V321">
        <f t="shared" si="74"/>
        <v>1945.899999999999</v>
      </c>
      <c r="W321">
        <f t="shared" si="66"/>
        <v>319</v>
      </c>
      <c r="X321">
        <f t="shared" si="67"/>
        <v>2.7296699999999987</v>
      </c>
      <c r="Y321">
        <f t="shared" si="68"/>
        <v>1.1000000000000001</v>
      </c>
    </row>
    <row r="322" spans="8:25" x14ac:dyDescent="0.2">
      <c r="H322">
        <f t="shared" si="69"/>
        <v>320</v>
      </c>
      <c r="I322">
        <f t="shared" ref="I322:I385" si="75">$F$26+H322</f>
        <v>471</v>
      </c>
      <c r="J322">
        <f>IFERROR(INDEX(clima!$C:$C,$I322),"")</f>
        <v>105</v>
      </c>
      <c r="K322">
        <f>IFERROR(INDEX(clima!$F:$F,$I322),"")</f>
        <v>20.8</v>
      </c>
      <c r="L322">
        <f>IFERROR(INDEX(clima!$J:$J,$I322),"")</f>
        <v>11.178815122154683</v>
      </c>
      <c r="M322">
        <f t="shared" ref="M322:M385" si="76">IF($K322="","",MAX(0,(IF($B$2="soja",MIN($K322,$F$4),$K322))-$F$2))</f>
        <v>20.8</v>
      </c>
      <c r="N322">
        <f t="shared" si="70"/>
        <v>5614.1999999999953</v>
      </c>
      <c r="O322">
        <f t="shared" ref="O322:O385" si="77">IF($K322="","",IF($I322&lt;$F$27,0,MAX(0,(IF($B$2="soja",MIN($K322,$F$4),$K322))-$F$3)))</f>
        <v>20.8</v>
      </c>
      <c r="P322">
        <f t="shared" si="71"/>
        <v>5474.9999999999955</v>
      </c>
      <c r="Q322">
        <f t="shared" ref="Q322:Q385" si="78">IF($K322="","",IF($I322&lt;$F$27,0,IF($B$2="trigo",MAX(0,$K322-$F$2)*MAX(0,(1-(((20-MIN(20,$L322))^2)*(0.01*$F$8)))),IF($B$2="maiz",MAX(0,$K322-$F$3),IF($B$2="soja",MAX(0,MIN($K322,$F$4)-$F$3)*MIN(1,MAX(0,1-MAX(0,($L322-$F$17))*0.3)),0)))))</f>
        <v>7.0426080916343645</v>
      </c>
      <c r="R322">
        <f t="shared" si="72"/>
        <v>2982.9343798019204</v>
      </c>
      <c r="S322">
        <f t="shared" ref="S322:S385" si="79">IF($K322="","",IF($I322&lt;$F$28,0,IF($B$2="trigo",MAX(0,$K322),IF($B$2="soja",MAX(0,MIN($K322,$F$4)-$F$3)*MIN(1,MAX(0,1-MAX(0,($L322-$F$19))*0.3)),0))))</f>
        <v>20.8</v>
      </c>
      <c r="T322">
        <f t="shared" si="73"/>
        <v>4239.2000000000035</v>
      </c>
      <c r="U322">
        <f t="shared" ref="U322:U385" si="80">IF($K322="","",IF(OR($I322&lt;$F$27,$I322&gt;$F$42),0,MAX(0,$K322-$F$37)))</f>
        <v>0</v>
      </c>
      <c r="V322">
        <f t="shared" si="74"/>
        <v>1945.899999999999</v>
      </c>
      <c r="W322">
        <f t="shared" ref="W322:W385" si="81">H322</f>
        <v>320</v>
      </c>
      <c r="X322">
        <f t="shared" ref="X322:X385" si="82">IF($I322="","",IF($I322&lt;$F$27,$F$38,IF($I322&lt;=$F$42,$F$38+($F$39*$V322)/100,$F$38+($F$39*INDEX($V:$V,$F$42))/100)))</f>
        <v>2.7296699999999987</v>
      </c>
      <c r="Y322">
        <f t="shared" ref="Y322:Y385" si="83">IF($I322="","",IF($I322&lt;$F$27,0,IF($P322&lt;=$F$6,$F$40,IF($P322&gt;=$F$7,$F$41,$F$40+($F$41-$F$40)*($P322-$F$6)/($F$7-$F$6)))))</f>
        <v>1.1000000000000001</v>
      </c>
    </row>
    <row r="323" spans="8:25" x14ac:dyDescent="0.2">
      <c r="H323">
        <f t="shared" ref="H323:H386" si="84">H322+1</f>
        <v>321</v>
      </c>
      <c r="I323">
        <f t="shared" si="75"/>
        <v>472</v>
      </c>
      <c r="J323">
        <f>IFERROR(INDEX(clima!$C:$C,$I323),"")</f>
        <v>106</v>
      </c>
      <c r="K323">
        <f>IFERROR(INDEX(clima!$F:$F,$I323),"")</f>
        <v>20.100000000000001</v>
      </c>
      <c r="L323">
        <f>IFERROR(INDEX(clima!$J:$J,$I323),"")</f>
        <v>11.145936175484012</v>
      </c>
      <c r="M323">
        <f t="shared" si="76"/>
        <v>20.100000000000001</v>
      </c>
      <c r="N323">
        <f t="shared" ref="N323:N386" si="85">IF(M323="",N322,N322+M323)</f>
        <v>5634.2999999999956</v>
      </c>
      <c r="O323">
        <f t="shared" si="77"/>
        <v>20.100000000000001</v>
      </c>
      <c r="P323">
        <f t="shared" ref="P323:P386" si="86">IF(O323="",P322,P322+O323)</f>
        <v>5495.0999999999958</v>
      </c>
      <c r="Q323">
        <f t="shared" si="78"/>
        <v>6.7063088652602305</v>
      </c>
      <c r="R323">
        <f t="shared" ref="R323:R386" si="87">IF(Q323="",R322,R322+Q323)</f>
        <v>2989.6406886671807</v>
      </c>
      <c r="S323">
        <f t="shared" si="79"/>
        <v>20.100000000000001</v>
      </c>
      <c r="T323">
        <f t="shared" ref="T323:T386" si="88">IF(S323="",T322,T322+S323)</f>
        <v>4259.3000000000038</v>
      </c>
      <c r="U323">
        <f t="shared" si="80"/>
        <v>0</v>
      </c>
      <c r="V323">
        <f t="shared" ref="V323:V386" si="89">IF(U323="",V322,V322+U323)</f>
        <v>1945.899999999999</v>
      </c>
      <c r="W323">
        <f t="shared" si="81"/>
        <v>321</v>
      </c>
      <c r="X323">
        <f t="shared" si="82"/>
        <v>2.7296699999999987</v>
      </c>
      <c r="Y323">
        <f t="shared" si="83"/>
        <v>1.1000000000000001</v>
      </c>
    </row>
    <row r="324" spans="8:25" x14ac:dyDescent="0.2">
      <c r="H324">
        <f t="shared" si="84"/>
        <v>322</v>
      </c>
      <c r="I324">
        <f t="shared" si="75"/>
        <v>473</v>
      </c>
      <c r="J324">
        <f>IFERROR(INDEX(clima!$C:$C,$I324),"")</f>
        <v>107</v>
      </c>
      <c r="K324">
        <f>IFERROR(INDEX(clima!$F:$F,$I324),"")</f>
        <v>13.4</v>
      </c>
      <c r="L324">
        <f>IFERROR(INDEX(clima!$J:$J,$I324),"")</f>
        <v>11.113228172334544</v>
      </c>
      <c r="M324">
        <f t="shared" si="76"/>
        <v>13.4</v>
      </c>
      <c r="N324">
        <f t="shared" si="85"/>
        <v>5647.6999999999953</v>
      </c>
      <c r="O324">
        <f t="shared" si="77"/>
        <v>13.4</v>
      </c>
      <c r="P324">
        <f t="shared" si="86"/>
        <v>5508.4999999999955</v>
      </c>
      <c r="Q324">
        <f t="shared" si="78"/>
        <v>4.404780130415018</v>
      </c>
      <c r="R324">
        <f t="shared" si="87"/>
        <v>2994.0454687975957</v>
      </c>
      <c r="S324">
        <f t="shared" si="79"/>
        <v>13.4</v>
      </c>
      <c r="T324">
        <f t="shared" si="88"/>
        <v>4272.7000000000035</v>
      </c>
      <c r="U324">
        <f t="shared" si="80"/>
        <v>0</v>
      </c>
      <c r="V324">
        <f t="shared" si="89"/>
        <v>1945.899999999999</v>
      </c>
      <c r="W324">
        <f t="shared" si="81"/>
        <v>322</v>
      </c>
      <c r="X324">
        <f t="shared" si="82"/>
        <v>2.7296699999999987</v>
      </c>
      <c r="Y324">
        <f t="shared" si="83"/>
        <v>1.1000000000000001</v>
      </c>
    </row>
    <row r="325" spans="8:25" x14ac:dyDescent="0.2">
      <c r="H325">
        <f t="shared" si="84"/>
        <v>323</v>
      </c>
      <c r="I325">
        <f t="shared" si="75"/>
        <v>474</v>
      </c>
      <c r="J325">
        <f>IFERROR(INDEX(clima!$C:$C,$I325),"")</f>
        <v>108</v>
      </c>
      <c r="K325">
        <f>IFERROR(INDEX(clima!$F:$F,$I325),"")</f>
        <v>11.3</v>
      </c>
      <c r="L325">
        <f>IFERROR(INDEX(clima!$J:$J,$I325),"")</f>
        <v>11.080699333553738</v>
      </c>
      <c r="M325">
        <f t="shared" si="76"/>
        <v>11.3</v>
      </c>
      <c r="N325">
        <f t="shared" si="85"/>
        <v>5658.9999999999955</v>
      </c>
      <c r="O325">
        <f t="shared" si="77"/>
        <v>11.3</v>
      </c>
      <c r="P325">
        <f t="shared" si="86"/>
        <v>5519.7999999999956</v>
      </c>
      <c r="Q325">
        <f t="shared" si="78"/>
        <v>3.6588455634480797</v>
      </c>
      <c r="R325">
        <f t="shared" si="87"/>
        <v>2997.704314361044</v>
      </c>
      <c r="S325">
        <f t="shared" si="79"/>
        <v>11.3</v>
      </c>
      <c r="T325">
        <f t="shared" si="88"/>
        <v>4284.0000000000036</v>
      </c>
      <c r="U325">
        <f t="shared" si="80"/>
        <v>0</v>
      </c>
      <c r="V325">
        <f t="shared" si="89"/>
        <v>1945.899999999999</v>
      </c>
      <c r="W325">
        <f t="shared" si="81"/>
        <v>323</v>
      </c>
      <c r="X325">
        <f t="shared" si="82"/>
        <v>2.7296699999999987</v>
      </c>
      <c r="Y325">
        <f t="shared" si="83"/>
        <v>1.1000000000000001</v>
      </c>
    </row>
    <row r="326" spans="8:25" x14ac:dyDescent="0.2">
      <c r="H326">
        <f t="shared" si="84"/>
        <v>324</v>
      </c>
      <c r="I326">
        <f t="shared" si="75"/>
        <v>475</v>
      </c>
      <c r="J326">
        <f>IFERROR(INDEX(clima!$C:$C,$I326),"")</f>
        <v>109</v>
      </c>
      <c r="K326">
        <f>IFERROR(INDEX(clima!$F:$F,$I326),"")</f>
        <v>13.7</v>
      </c>
      <c r="L326">
        <f>IFERROR(INDEX(clima!$J:$J,$I326),"")</f>
        <v>11.048358025655435</v>
      </c>
      <c r="M326">
        <f t="shared" si="76"/>
        <v>13.7</v>
      </c>
      <c r="N326">
        <f t="shared" si="85"/>
        <v>5672.6999999999953</v>
      </c>
      <c r="O326">
        <f t="shared" si="77"/>
        <v>13.7</v>
      </c>
      <c r="P326">
        <f t="shared" si="86"/>
        <v>5533.4999999999955</v>
      </c>
      <c r="Q326">
        <f t="shared" si="78"/>
        <v>4.3686409394091132</v>
      </c>
      <c r="R326">
        <f t="shared" si="87"/>
        <v>3002.072955300453</v>
      </c>
      <c r="S326">
        <f t="shared" si="79"/>
        <v>13.7</v>
      </c>
      <c r="T326">
        <f t="shared" si="88"/>
        <v>4297.7000000000035</v>
      </c>
      <c r="U326">
        <f t="shared" si="80"/>
        <v>0</v>
      </c>
      <c r="V326">
        <f t="shared" si="89"/>
        <v>1945.899999999999</v>
      </c>
      <c r="W326">
        <f t="shared" si="81"/>
        <v>324</v>
      </c>
      <c r="X326">
        <f t="shared" si="82"/>
        <v>2.7296699999999987</v>
      </c>
      <c r="Y326">
        <f t="shared" si="83"/>
        <v>1.1000000000000001</v>
      </c>
    </row>
    <row r="327" spans="8:25" x14ac:dyDescent="0.2">
      <c r="H327">
        <f t="shared" si="84"/>
        <v>325</v>
      </c>
      <c r="I327">
        <f t="shared" si="75"/>
        <v>476</v>
      </c>
      <c r="J327">
        <f>IFERROR(INDEX(clima!$C:$C,$I327),"")</f>
        <v>110</v>
      </c>
      <c r="K327">
        <f>IFERROR(INDEX(clima!$F:$F,$I327),"")</f>
        <v>15.2</v>
      </c>
      <c r="L327">
        <f>IFERROR(INDEX(clima!$J:$J,$I327),"")</f>
        <v>11.016212763005345</v>
      </c>
      <c r="M327">
        <f t="shared" si="76"/>
        <v>15.2</v>
      </c>
      <c r="N327">
        <f t="shared" si="85"/>
        <v>5687.8999999999951</v>
      </c>
      <c r="O327">
        <f t="shared" si="77"/>
        <v>15.2</v>
      </c>
      <c r="P327">
        <f t="shared" si="86"/>
        <v>5548.6999999999953</v>
      </c>
      <c r="Q327">
        <f t="shared" si="78"/>
        <v>4.7724704409492231</v>
      </c>
      <c r="R327">
        <f t="shared" si="87"/>
        <v>3006.8454257414023</v>
      </c>
      <c r="S327">
        <f t="shared" si="79"/>
        <v>15.2</v>
      </c>
      <c r="T327">
        <f t="shared" si="88"/>
        <v>4312.9000000000033</v>
      </c>
      <c r="U327">
        <f t="shared" si="80"/>
        <v>0</v>
      </c>
      <c r="V327">
        <f t="shared" si="89"/>
        <v>1945.899999999999</v>
      </c>
      <c r="W327">
        <f t="shared" si="81"/>
        <v>325</v>
      </c>
      <c r="X327">
        <f t="shared" si="82"/>
        <v>2.7296699999999987</v>
      </c>
      <c r="Y327">
        <f t="shared" si="83"/>
        <v>1.1000000000000001</v>
      </c>
    </row>
    <row r="328" spans="8:25" x14ac:dyDescent="0.2">
      <c r="H328">
        <f t="shared" si="84"/>
        <v>326</v>
      </c>
      <c r="I328">
        <f t="shared" si="75"/>
        <v>477</v>
      </c>
      <c r="J328">
        <f>IFERROR(INDEX(clima!$C:$C,$I328),"")</f>
        <v>111</v>
      </c>
      <c r="K328">
        <f>IFERROR(INDEX(clima!$F:$F,$I328),"")</f>
        <v>15.6</v>
      </c>
      <c r="L328">
        <f>IFERROR(INDEX(clima!$J:$J,$I328),"")</f>
        <v>10.98427220958847</v>
      </c>
      <c r="M328">
        <f t="shared" si="76"/>
        <v>15.6</v>
      </c>
      <c r="N328">
        <f t="shared" si="85"/>
        <v>5703.4999999999955</v>
      </c>
      <c r="O328">
        <f t="shared" si="77"/>
        <v>15.6</v>
      </c>
      <c r="P328">
        <f t="shared" si="86"/>
        <v>5564.2999999999956</v>
      </c>
      <c r="Q328">
        <f t="shared" si="78"/>
        <v>4.8218281094600819</v>
      </c>
      <c r="R328">
        <f t="shared" si="87"/>
        <v>3011.6672538508624</v>
      </c>
      <c r="S328">
        <f t="shared" si="79"/>
        <v>15.6</v>
      </c>
      <c r="T328">
        <f t="shared" si="88"/>
        <v>4328.5000000000036</v>
      </c>
      <c r="U328">
        <f t="shared" si="80"/>
        <v>0</v>
      </c>
      <c r="V328">
        <f t="shared" si="89"/>
        <v>1945.899999999999</v>
      </c>
      <c r="W328">
        <f t="shared" si="81"/>
        <v>326</v>
      </c>
      <c r="X328">
        <f t="shared" si="82"/>
        <v>2.7296699999999987</v>
      </c>
      <c r="Y328">
        <f t="shared" si="83"/>
        <v>1.1000000000000001</v>
      </c>
    </row>
    <row r="329" spans="8:25" x14ac:dyDescent="0.2">
      <c r="H329">
        <f t="shared" si="84"/>
        <v>327</v>
      </c>
      <c r="I329">
        <f t="shared" si="75"/>
        <v>478</v>
      </c>
      <c r="J329">
        <f>IFERROR(INDEX(clima!$C:$C,$I329),"")</f>
        <v>112</v>
      </c>
      <c r="K329">
        <f>IFERROR(INDEX(clima!$F:$F,$I329),"")</f>
        <v>16.8</v>
      </c>
      <c r="L329">
        <f>IFERROR(INDEX(clima!$J:$J,$I329),"")</f>
        <v>10.952545180338848</v>
      </c>
      <c r="M329">
        <f t="shared" si="76"/>
        <v>16.8</v>
      </c>
      <c r="N329">
        <f t="shared" si="85"/>
        <v>5720.2999999999956</v>
      </c>
      <c r="O329">
        <f t="shared" si="77"/>
        <v>16.8</v>
      </c>
      <c r="P329">
        <f t="shared" si="86"/>
        <v>5581.0999999999958</v>
      </c>
      <c r="Q329">
        <f t="shared" si="78"/>
        <v>5.1109005516679611</v>
      </c>
      <c r="R329">
        <f t="shared" si="87"/>
        <v>3016.7781544025302</v>
      </c>
      <c r="S329">
        <f t="shared" si="79"/>
        <v>16.8</v>
      </c>
      <c r="T329">
        <f t="shared" si="88"/>
        <v>4345.3000000000038</v>
      </c>
      <c r="U329">
        <f t="shared" si="80"/>
        <v>0</v>
      </c>
      <c r="V329">
        <f t="shared" si="89"/>
        <v>1945.899999999999</v>
      </c>
      <c r="W329">
        <f t="shared" si="81"/>
        <v>327</v>
      </c>
      <c r="X329">
        <f t="shared" si="82"/>
        <v>2.7296699999999987</v>
      </c>
      <c r="Y329">
        <f t="shared" si="83"/>
        <v>1.1000000000000001</v>
      </c>
    </row>
    <row r="330" spans="8:25" x14ac:dyDescent="0.2">
      <c r="H330">
        <f t="shared" si="84"/>
        <v>328</v>
      </c>
      <c r="I330">
        <f t="shared" si="75"/>
        <v>479</v>
      </c>
      <c r="J330">
        <f>IFERROR(INDEX(clima!$C:$C,$I330),"")</f>
        <v>113</v>
      </c>
      <c r="K330">
        <f>IFERROR(INDEX(clima!$F:$F,$I330),"")</f>
        <v>14.3</v>
      </c>
      <c r="L330">
        <f>IFERROR(INDEX(clima!$J:$J,$I330),"")</f>
        <v>10.921040642012207</v>
      </c>
      <c r="M330">
        <f t="shared" si="76"/>
        <v>14.3</v>
      </c>
      <c r="N330">
        <f t="shared" si="85"/>
        <v>5734.5999999999958</v>
      </c>
      <c r="O330">
        <f t="shared" si="77"/>
        <v>14.3</v>
      </c>
      <c r="P330">
        <f t="shared" si="86"/>
        <v>5595.399999999996</v>
      </c>
      <c r="Q330">
        <f t="shared" si="78"/>
        <v>4.2809370074335149</v>
      </c>
      <c r="R330">
        <f t="shared" si="87"/>
        <v>3021.0590914099635</v>
      </c>
      <c r="S330">
        <f t="shared" si="79"/>
        <v>14.3</v>
      </c>
      <c r="T330">
        <f t="shared" si="88"/>
        <v>4359.600000000004</v>
      </c>
      <c r="U330">
        <f t="shared" si="80"/>
        <v>0</v>
      </c>
      <c r="V330">
        <f t="shared" si="89"/>
        <v>1945.899999999999</v>
      </c>
      <c r="W330">
        <f t="shared" si="81"/>
        <v>328</v>
      </c>
      <c r="X330">
        <f t="shared" si="82"/>
        <v>2.7296699999999987</v>
      </c>
      <c r="Y330">
        <f t="shared" si="83"/>
        <v>1.1000000000000001</v>
      </c>
    </row>
    <row r="331" spans="8:25" x14ac:dyDescent="0.2">
      <c r="H331">
        <f t="shared" si="84"/>
        <v>329</v>
      </c>
      <c r="I331">
        <f t="shared" si="75"/>
        <v>480</v>
      </c>
      <c r="J331">
        <f>IFERROR(INDEX(clima!$C:$C,$I331),"")</f>
        <v>114</v>
      </c>
      <c r="K331">
        <f>IFERROR(INDEX(clima!$F:$F,$I331),"")</f>
        <v>13.8</v>
      </c>
      <c r="L331">
        <f>IFERROR(INDEX(clima!$J:$J,$I331),"")</f>
        <v>10.889767713581957</v>
      </c>
      <c r="M331">
        <f t="shared" si="76"/>
        <v>13.8</v>
      </c>
      <c r="N331">
        <f t="shared" si="85"/>
        <v>5748.399999999996</v>
      </c>
      <c r="O331">
        <f t="shared" si="77"/>
        <v>13.8</v>
      </c>
      <c r="P331">
        <f t="shared" si="86"/>
        <v>5609.1999999999962</v>
      </c>
      <c r="Q331">
        <f t="shared" si="78"/>
        <v>4.0645302197444861</v>
      </c>
      <c r="R331">
        <f t="shared" si="87"/>
        <v>3025.1236216297079</v>
      </c>
      <c r="S331">
        <f t="shared" si="79"/>
        <v>13.8</v>
      </c>
      <c r="T331">
        <f t="shared" si="88"/>
        <v>4373.4000000000042</v>
      </c>
      <c r="U331">
        <f t="shared" si="80"/>
        <v>0</v>
      </c>
      <c r="V331">
        <f t="shared" si="89"/>
        <v>1945.899999999999</v>
      </c>
      <c r="W331">
        <f t="shared" si="81"/>
        <v>329</v>
      </c>
      <c r="X331">
        <f t="shared" si="82"/>
        <v>2.7296699999999987</v>
      </c>
      <c r="Y331">
        <f t="shared" si="83"/>
        <v>1.1000000000000001</v>
      </c>
    </row>
    <row r="332" spans="8:25" x14ac:dyDescent="0.2">
      <c r="H332">
        <f t="shared" si="84"/>
        <v>330</v>
      </c>
      <c r="I332">
        <f t="shared" si="75"/>
        <v>481</v>
      </c>
      <c r="J332">
        <f>IFERROR(INDEX(clima!$C:$C,$I332),"")</f>
        <v>115</v>
      </c>
      <c r="K332">
        <f>IFERROR(INDEX(clima!$F:$F,$I332),"")</f>
        <v>10.3</v>
      </c>
      <c r="L332">
        <f>IFERROR(INDEX(clima!$J:$J,$I332),"")</f>
        <v>10.858735666139379</v>
      </c>
      <c r="M332">
        <f t="shared" si="76"/>
        <v>10.3</v>
      </c>
      <c r="N332">
        <f t="shared" si="85"/>
        <v>5758.6999999999962</v>
      </c>
      <c r="O332">
        <f t="shared" si="77"/>
        <v>10.3</v>
      </c>
      <c r="P332">
        <f t="shared" si="86"/>
        <v>5619.4999999999964</v>
      </c>
      <c r="Q332">
        <f t="shared" si="78"/>
        <v>2.984084422436601</v>
      </c>
      <c r="R332">
        <f t="shared" si="87"/>
        <v>3028.1077060521447</v>
      </c>
      <c r="S332">
        <f t="shared" si="79"/>
        <v>10.3</v>
      </c>
      <c r="T332">
        <f t="shared" si="88"/>
        <v>4383.7000000000044</v>
      </c>
      <c r="U332">
        <f t="shared" si="80"/>
        <v>0</v>
      </c>
      <c r="V332">
        <f t="shared" si="89"/>
        <v>1945.899999999999</v>
      </c>
      <c r="W332">
        <f t="shared" si="81"/>
        <v>330</v>
      </c>
      <c r="X332">
        <f t="shared" si="82"/>
        <v>2.7296699999999987</v>
      </c>
      <c r="Y332">
        <f t="shared" si="83"/>
        <v>1.1000000000000001</v>
      </c>
    </row>
    <row r="333" spans="8:25" x14ac:dyDescent="0.2">
      <c r="H333">
        <f t="shared" si="84"/>
        <v>331</v>
      </c>
      <c r="I333">
        <f t="shared" si="75"/>
        <v>482</v>
      </c>
      <c r="J333">
        <f>IFERROR(INDEX(clima!$C:$C,$I333),"")</f>
        <v>116</v>
      </c>
      <c r="K333">
        <f>IFERROR(INDEX(clima!$F:$F,$I333),"")</f>
        <v>12.6</v>
      </c>
      <c r="L333">
        <f>IFERROR(INDEX(clima!$J:$J,$I333),"")</f>
        <v>10.827953922278926</v>
      </c>
      <c r="M333">
        <f t="shared" si="76"/>
        <v>12.6</v>
      </c>
      <c r="N333">
        <f t="shared" si="85"/>
        <v>5771.2999999999965</v>
      </c>
      <c r="O333">
        <f t="shared" si="77"/>
        <v>12.6</v>
      </c>
      <c r="P333">
        <f t="shared" si="86"/>
        <v>5632.0999999999967</v>
      </c>
      <c r="Q333">
        <f t="shared" si="78"/>
        <v>3.590059427128093</v>
      </c>
      <c r="R333">
        <f t="shared" si="87"/>
        <v>3031.6977654792727</v>
      </c>
      <c r="S333">
        <f t="shared" si="79"/>
        <v>12.6</v>
      </c>
      <c r="T333">
        <f t="shared" si="88"/>
        <v>4396.3000000000047</v>
      </c>
      <c r="U333">
        <f t="shared" si="80"/>
        <v>0</v>
      </c>
      <c r="V333">
        <f t="shared" si="89"/>
        <v>1945.899999999999</v>
      </c>
      <c r="W333">
        <f t="shared" si="81"/>
        <v>331</v>
      </c>
      <c r="X333">
        <f t="shared" si="82"/>
        <v>2.7296699999999987</v>
      </c>
      <c r="Y333">
        <f t="shared" si="83"/>
        <v>1.1000000000000001</v>
      </c>
    </row>
    <row r="334" spans="8:25" x14ac:dyDescent="0.2">
      <c r="H334">
        <f t="shared" si="84"/>
        <v>332</v>
      </c>
      <c r="I334">
        <f t="shared" si="75"/>
        <v>483</v>
      </c>
      <c r="J334">
        <f>IFERROR(INDEX(clima!$C:$C,$I334),"")</f>
        <v>117</v>
      </c>
      <c r="K334">
        <f>IFERROR(INDEX(clima!$F:$F,$I334),"")</f>
        <v>15.7</v>
      </c>
      <c r="L334">
        <f>IFERROR(INDEX(clima!$J:$J,$I334),"")</f>
        <v>10.797432054950082</v>
      </c>
      <c r="M334">
        <f t="shared" si="76"/>
        <v>15.7</v>
      </c>
      <c r="N334">
        <f t="shared" si="85"/>
        <v>5786.9999999999964</v>
      </c>
      <c r="O334">
        <f t="shared" si="77"/>
        <v>15.7</v>
      </c>
      <c r="P334">
        <f t="shared" si="86"/>
        <v>5647.7999999999965</v>
      </c>
      <c r="Q334">
        <f t="shared" si="78"/>
        <v>4.3984855822739162</v>
      </c>
      <c r="R334">
        <f t="shared" si="87"/>
        <v>3036.0962510615468</v>
      </c>
      <c r="S334">
        <f t="shared" si="79"/>
        <v>15.7</v>
      </c>
      <c r="T334">
        <f t="shared" si="88"/>
        <v>4412.0000000000045</v>
      </c>
      <c r="U334">
        <f t="shared" si="80"/>
        <v>0</v>
      </c>
      <c r="V334">
        <f t="shared" si="89"/>
        <v>1945.899999999999</v>
      </c>
      <c r="W334">
        <f t="shared" si="81"/>
        <v>332</v>
      </c>
      <c r="X334">
        <f t="shared" si="82"/>
        <v>2.7296699999999987</v>
      </c>
      <c r="Y334">
        <f t="shared" si="83"/>
        <v>1.1000000000000001</v>
      </c>
    </row>
    <row r="335" spans="8:25" x14ac:dyDescent="0.2">
      <c r="H335">
        <f t="shared" si="84"/>
        <v>333</v>
      </c>
      <c r="I335">
        <f t="shared" si="75"/>
        <v>484</v>
      </c>
      <c r="J335">
        <f>IFERROR(INDEX(clima!$C:$C,$I335),"")</f>
        <v>118</v>
      </c>
      <c r="K335">
        <f>IFERROR(INDEX(clima!$F:$F,$I335),"")</f>
        <v>11.7</v>
      </c>
      <c r="L335">
        <f>IFERROR(INDEX(clima!$J:$J,$I335),"")</f>
        <v>10.767179785757605</v>
      </c>
      <c r="M335">
        <f t="shared" si="76"/>
        <v>11.7</v>
      </c>
      <c r="N335">
        <f t="shared" si="85"/>
        <v>5798.6999999999962</v>
      </c>
      <c r="O335">
        <f t="shared" si="77"/>
        <v>11.7</v>
      </c>
      <c r="P335">
        <f t="shared" si="86"/>
        <v>5659.4999999999964</v>
      </c>
      <c r="Q335">
        <f t="shared" si="78"/>
        <v>3.2223878221573883</v>
      </c>
      <c r="R335">
        <f t="shared" si="87"/>
        <v>3039.3186388837044</v>
      </c>
      <c r="S335">
        <f t="shared" si="79"/>
        <v>11.7</v>
      </c>
      <c r="T335">
        <f t="shared" si="88"/>
        <v>4423.7000000000044</v>
      </c>
      <c r="U335">
        <f t="shared" si="80"/>
        <v>0</v>
      </c>
      <c r="V335">
        <f t="shared" si="89"/>
        <v>1945.899999999999</v>
      </c>
      <c r="W335">
        <f t="shared" si="81"/>
        <v>333</v>
      </c>
      <c r="X335">
        <f t="shared" si="82"/>
        <v>2.7296699999999987</v>
      </c>
      <c r="Y335">
        <f t="shared" si="83"/>
        <v>1.1000000000000001</v>
      </c>
    </row>
    <row r="336" spans="8:25" x14ac:dyDescent="0.2">
      <c r="H336">
        <f t="shared" si="84"/>
        <v>334</v>
      </c>
      <c r="I336">
        <f t="shared" si="75"/>
        <v>485</v>
      </c>
      <c r="J336">
        <f>IFERROR(INDEX(clima!$C:$C,$I336),"")</f>
        <v>119</v>
      </c>
      <c r="K336">
        <f>IFERROR(INDEX(clima!$F:$F,$I336),"")</f>
        <v>12.5</v>
      </c>
      <c r="L336">
        <f>IFERROR(INDEX(clima!$J:$J,$I336),"")</f>
        <v>10.737206982692694</v>
      </c>
      <c r="M336">
        <f t="shared" si="76"/>
        <v>12.5</v>
      </c>
      <c r="N336">
        <f t="shared" si="85"/>
        <v>5811.1999999999962</v>
      </c>
      <c r="O336">
        <f t="shared" si="77"/>
        <v>12.5</v>
      </c>
      <c r="P336">
        <f t="shared" si="86"/>
        <v>5671.9999999999964</v>
      </c>
      <c r="Q336">
        <f t="shared" si="78"/>
        <v>3.3838207113430689</v>
      </c>
      <c r="R336">
        <f t="shared" si="87"/>
        <v>3042.7024595950475</v>
      </c>
      <c r="S336">
        <f t="shared" si="79"/>
        <v>12.5</v>
      </c>
      <c r="T336">
        <f t="shared" si="88"/>
        <v>4436.2000000000044</v>
      </c>
      <c r="U336">
        <f t="shared" si="80"/>
        <v>0</v>
      </c>
      <c r="V336">
        <f t="shared" si="89"/>
        <v>1945.899999999999</v>
      </c>
      <c r="W336">
        <f t="shared" si="81"/>
        <v>334</v>
      </c>
      <c r="X336">
        <f t="shared" si="82"/>
        <v>2.7296699999999987</v>
      </c>
      <c r="Y336">
        <f t="shared" si="83"/>
        <v>1.1000000000000001</v>
      </c>
    </row>
    <row r="337" spans="8:25" x14ac:dyDescent="0.2">
      <c r="H337">
        <f t="shared" si="84"/>
        <v>335</v>
      </c>
      <c r="I337">
        <f t="shared" si="75"/>
        <v>486</v>
      </c>
      <c r="J337">
        <f>IFERROR(INDEX(clima!$C:$C,$I337),"")</f>
        <v>120</v>
      </c>
      <c r="K337">
        <f>IFERROR(INDEX(clima!$F:$F,$I337),"")</f>
        <v>13.4</v>
      </c>
      <c r="L337">
        <f>IFERROR(INDEX(clima!$J:$J,$I337),"")</f>
        <v>10.707523657278259</v>
      </c>
      <c r="M337">
        <f t="shared" si="76"/>
        <v>13.4</v>
      </c>
      <c r="N337">
        <f t="shared" si="85"/>
        <v>5824.5999999999958</v>
      </c>
      <c r="O337">
        <f t="shared" si="77"/>
        <v>13.4</v>
      </c>
      <c r="P337">
        <f t="shared" si="86"/>
        <v>5685.399999999996</v>
      </c>
      <c r="Q337">
        <f t="shared" si="78"/>
        <v>3.5647217215330746</v>
      </c>
      <c r="R337">
        <f t="shared" si="87"/>
        <v>3046.2671813165807</v>
      </c>
      <c r="S337">
        <f t="shared" si="79"/>
        <v>13.4</v>
      </c>
      <c r="T337">
        <f t="shared" si="88"/>
        <v>4449.600000000004</v>
      </c>
      <c r="U337">
        <f t="shared" si="80"/>
        <v>0</v>
      </c>
      <c r="V337">
        <f t="shared" si="89"/>
        <v>1945.899999999999</v>
      </c>
      <c r="W337">
        <f t="shared" si="81"/>
        <v>335</v>
      </c>
      <c r="X337">
        <f t="shared" si="82"/>
        <v>2.7296699999999987</v>
      </c>
      <c r="Y337">
        <f t="shared" si="83"/>
        <v>1.1000000000000001</v>
      </c>
    </row>
    <row r="338" spans="8:25" x14ac:dyDescent="0.2">
      <c r="H338">
        <f t="shared" si="84"/>
        <v>336</v>
      </c>
      <c r="I338">
        <f t="shared" si="75"/>
        <v>487</v>
      </c>
      <c r="J338">
        <f>IFERROR(INDEX(clima!$C:$C,$I338),"")</f>
        <v>121</v>
      </c>
      <c r="K338">
        <f>IFERROR(INDEX(clima!$F:$F,$I338),"")</f>
        <v>10.199999999999999</v>
      </c>
      <c r="L338">
        <f>IFERROR(INDEX(clima!$J:$J,$I338),"")</f>
        <v>10.678139961112409</v>
      </c>
      <c r="M338">
        <f t="shared" si="76"/>
        <v>10.199999999999999</v>
      </c>
      <c r="N338">
        <f t="shared" si="85"/>
        <v>5834.7999999999956</v>
      </c>
      <c r="O338">
        <f t="shared" si="77"/>
        <v>10.199999999999999</v>
      </c>
      <c r="P338">
        <f t="shared" si="86"/>
        <v>5695.5999999999958</v>
      </c>
      <c r="Q338">
        <f t="shared" si="78"/>
        <v>2.6660236335143677</v>
      </c>
      <c r="R338">
        <f t="shared" si="87"/>
        <v>3048.9332049500949</v>
      </c>
      <c r="S338">
        <f t="shared" si="79"/>
        <v>10.199999999999999</v>
      </c>
      <c r="T338">
        <f t="shared" si="88"/>
        <v>4459.8000000000038</v>
      </c>
      <c r="U338">
        <f t="shared" si="80"/>
        <v>0</v>
      </c>
      <c r="V338">
        <f t="shared" si="89"/>
        <v>1945.899999999999</v>
      </c>
      <c r="W338">
        <f t="shared" si="81"/>
        <v>336</v>
      </c>
      <c r="X338">
        <f t="shared" si="82"/>
        <v>2.7296699999999987</v>
      </c>
      <c r="Y338">
        <f t="shared" si="83"/>
        <v>1.1000000000000001</v>
      </c>
    </row>
    <row r="339" spans="8:25" x14ac:dyDescent="0.2">
      <c r="H339">
        <f t="shared" si="84"/>
        <v>337</v>
      </c>
      <c r="I339">
        <f t="shared" si="75"/>
        <v>488</v>
      </c>
      <c r="J339">
        <f>IFERROR(INDEX(clima!$C:$C,$I339),"")</f>
        <v>122</v>
      </c>
      <c r="K339">
        <f>IFERROR(INDEX(clima!$F:$F,$I339),"")</f>
        <v>14.8</v>
      </c>
      <c r="L339">
        <f>IFERROR(INDEX(clima!$J:$J,$I339),"")</f>
        <v>10.649066181795273</v>
      </c>
      <c r="M339">
        <f t="shared" si="76"/>
        <v>14.8</v>
      </c>
      <c r="N339">
        <f t="shared" si="85"/>
        <v>5849.5999999999958</v>
      </c>
      <c r="O339">
        <f t="shared" si="77"/>
        <v>14.8</v>
      </c>
      <c r="P339">
        <f t="shared" si="86"/>
        <v>5710.399999999996</v>
      </c>
      <c r="Q339">
        <f t="shared" si="78"/>
        <v>3.80005262032644</v>
      </c>
      <c r="R339">
        <f t="shared" si="87"/>
        <v>3052.7332575704213</v>
      </c>
      <c r="S339">
        <f t="shared" si="79"/>
        <v>14.8</v>
      </c>
      <c r="T339">
        <f t="shared" si="88"/>
        <v>4474.600000000004</v>
      </c>
      <c r="U339">
        <f t="shared" si="80"/>
        <v>0</v>
      </c>
      <c r="V339">
        <f t="shared" si="89"/>
        <v>1945.899999999999</v>
      </c>
      <c r="W339">
        <f t="shared" si="81"/>
        <v>337</v>
      </c>
      <c r="X339">
        <f t="shared" si="82"/>
        <v>2.7296699999999987</v>
      </c>
      <c r="Y339">
        <f t="shared" si="83"/>
        <v>1.1000000000000001</v>
      </c>
    </row>
    <row r="340" spans="8:25" x14ac:dyDescent="0.2">
      <c r="H340">
        <f t="shared" si="84"/>
        <v>338</v>
      </c>
      <c r="I340">
        <f t="shared" si="75"/>
        <v>489</v>
      </c>
      <c r="J340">
        <f>IFERROR(INDEX(clima!$C:$C,$I340),"")</f>
        <v>123</v>
      </c>
      <c r="K340">
        <f>IFERROR(INDEX(clima!$F:$F,$I340),"")</f>
        <v>18.3</v>
      </c>
      <c r="L340">
        <f>IFERROR(INDEX(clima!$J:$J,$I340),"")</f>
        <v>10.620312738225415</v>
      </c>
      <c r="M340">
        <f t="shared" si="76"/>
        <v>18.3</v>
      </c>
      <c r="N340">
        <f t="shared" si="85"/>
        <v>5867.899999999996</v>
      </c>
      <c r="O340">
        <f t="shared" si="77"/>
        <v>18.3</v>
      </c>
      <c r="P340">
        <f t="shared" si="86"/>
        <v>5728.6999999999962</v>
      </c>
      <c r="Q340">
        <f t="shared" si="78"/>
        <v>4.6149391718312733</v>
      </c>
      <c r="R340">
        <f t="shared" si="87"/>
        <v>3057.3481967422526</v>
      </c>
      <c r="S340">
        <f t="shared" si="79"/>
        <v>18.3</v>
      </c>
      <c r="T340">
        <f t="shared" si="88"/>
        <v>4492.9000000000042</v>
      </c>
      <c r="U340">
        <f t="shared" si="80"/>
        <v>0</v>
      </c>
      <c r="V340">
        <f t="shared" si="89"/>
        <v>1945.899999999999</v>
      </c>
      <c r="W340">
        <f t="shared" si="81"/>
        <v>338</v>
      </c>
      <c r="X340">
        <f t="shared" si="82"/>
        <v>2.7296699999999987</v>
      </c>
      <c r="Y340">
        <f t="shared" si="83"/>
        <v>1.1000000000000001</v>
      </c>
    </row>
    <row r="341" spans="8:25" x14ac:dyDescent="0.2">
      <c r="H341">
        <f t="shared" si="84"/>
        <v>339</v>
      </c>
      <c r="I341">
        <f t="shared" si="75"/>
        <v>490</v>
      </c>
      <c r="J341">
        <f>IFERROR(INDEX(clima!$C:$C,$I341),"")</f>
        <v>124</v>
      </c>
      <c r="K341">
        <f>IFERROR(INDEX(clima!$F:$F,$I341),"")</f>
        <v>22</v>
      </c>
      <c r="L341">
        <f>IFERROR(INDEX(clima!$J:$J,$I341),"")</f>
        <v>10.59189017525344</v>
      </c>
      <c r="M341">
        <f t="shared" si="76"/>
        <v>22</v>
      </c>
      <c r="N341">
        <f t="shared" si="85"/>
        <v>5889.899999999996</v>
      </c>
      <c r="O341">
        <f t="shared" si="77"/>
        <v>22</v>
      </c>
      <c r="P341">
        <f t="shared" si="86"/>
        <v>5750.6999999999962</v>
      </c>
      <c r="Q341">
        <f t="shared" si="78"/>
        <v>5.4481568012698549</v>
      </c>
      <c r="R341">
        <f t="shared" si="87"/>
        <v>3062.7963535435224</v>
      </c>
      <c r="S341">
        <f t="shared" si="79"/>
        <v>22</v>
      </c>
      <c r="T341">
        <f t="shared" si="88"/>
        <v>4514.9000000000042</v>
      </c>
      <c r="U341">
        <f t="shared" si="80"/>
        <v>0</v>
      </c>
      <c r="V341">
        <f t="shared" si="89"/>
        <v>1945.899999999999</v>
      </c>
      <c r="W341">
        <f t="shared" si="81"/>
        <v>339</v>
      </c>
      <c r="X341">
        <f t="shared" si="82"/>
        <v>2.7296699999999987</v>
      </c>
      <c r="Y341">
        <f t="shared" si="83"/>
        <v>1.1000000000000001</v>
      </c>
    </row>
    <row r="342" spans="8:25" x14ac:dyDescent="0.2">
      <c r="H342">
        <f t="shared" si="84"/>
        <v>340</v>
      </c>
      <c r="I342">
        <f t="shared" si="75"/>
        <v>491</v>
      </c>
      <c r="J342">
        <f>IFERROR(INDEX(clima!$C:$C,$I342),"")</f>
        <v>125</v>
      </c>
      <c r="K342">
        <f>IFERROR(INDEX(clima!$F:$F,$I342),"")</f>
        <v>22.1</v>
      </c>
      <c r="L342">
        <f>IFERROR(INDEX(clima!$J:$J,$I342),"")</f>
        <v>10.563809157681836</v>
      </c>
      <c r="M342">
        <f t="shared" si="76"/>
        <v>22.1</v>
      </c>
      <c r="N342">
        <f t="shared" si="85"/>
        <v>5911.9999999999964</v>
      </c>
      <c r="O342">
        <f t="shared" si="77"/>
        <v>22.1</v>
      </c>
      <c r="P342">
        <f t="shared" si="86"/>
        <v>5772.7999999999965</v>
      </c>
      <c r="Q342">
        <f t="shared" si="78"/>
        <v>5.3735171034638514</v>
      </c>
      <c r="R342">
        <f t="shared" si="87"/>
        <v>3068.1698706469861</v>
      </c>
      <c r="S342">
        <f t="shared" si="79"/>
        <v>22.1</v>
      </c>
      <c r="T342">
        <f t="shared" si="88"/>
        <v>4537.0000000000045</v>
      </c>
      <c r="U342">
        <f t="shared" si="80"/>
        <v>0</v>
      </c>
      <c r="V342">
        <f t="shared" si="89"/>
        <v>1945.899999999999</v>
      </c>
      <c r="W342">
        <f t="shared" si="81"/>
        <v>340</v>
      </c>
      <c r="X342">
        <f t="shared" si="82"/>
        <v>2.7296699999999987</v>
      </c>
      <c r="Y342">
        <f t="shared" si="83"/>
        <v>1.1000000000000001</v>
      </c>
    </row>
    <row r="343" spans="8:25" x14ac:dyDescent="0.2">
      <c r="H343">
        <f t="shared" si="84"/>
        <v>341</v>
      </c>
      <c r="I343">
        <f t="shared" si="75"/>
        <v>492</v>
      </c>
      <c r="J343">
        <f>IFERROR(INDEX(clima!$C:$C,$I343),"")</f>
        <v>126</v>
      </c>
      <c r="K343">
        <f>IFERROR(INDEX(clima!$F:$F,$I343),"")</f>
        <v>14.1</v>
      </c>
      <c r="L343">
        <f>IFERROR(INDEX(clima!$J:$J,$I343),"")</f>
        <v>10.536080463601758</v>
      </c>
      <c r="M343">
        <f t="shared" si="76"/>
        <v>14.1</v>
      </c>
      <c r="N343">
        <f t="shared" si="85"/>
        <v>5926.0999999999967</v>
      </c>
      <c r="O343">
        <f t="shared" si="77"/>
        <v>14.1</v>
      </c>
      <c r="P343">
        <f t="shared" si="86"/>
        <v>5786.8999999999969</v>
      </c>
      <c r="Q343">
        <f t="shared" si="78"/>
        <v>3.3655421069782743</v>
      </c>
      <c r="R343">
        <f t="shared" si="87"/>
        <v>3071.5354127539645</v>
      </c>
      <c r="S343">
        <f t="shared" si="79"/>
        <v>14.1</v>
      </c>
      <c r="T343">
        <f t="shared" si="88"/>
        <v>4551.1000000000049</v>
      </c>
      <c r="U343">
        <f t="shared" si="80"/>
        <v>0</v>
      </c>
      <c r="V343">
        <f t="shared" si="89"/>
        <v>1945.899999999999</v>
      </c>
      <c r="W343">
        <f t="shared" si="81"/>
        <v>341</v>
      </c>
      <c r="X343">
        <f t="shared" si="82"/>
        <v>2.7296699999999987</v>
      </c>
      <c r="Y343">
        <f t="shared" si="83"/>
        <v>1.1000000000000001</v>
      </c>
    </row>
    <row r="344" spans="8:25" x14ac:dyDescent="0.2">
      <c r="H344">
        <f t="shared" si="84"/>
        <v>342</v>
      </c>
      <c r="I344">
        <f t="shared" si="75"/>
        <v>493</v>
      </c>
      <c r="J344">
        <f>IFERROR(INDEX(clima!$C:$C,$I344),"")</f>
        <v>127</v>
      </c>
      <c r="K344">
        <f>IFERROR(INDEX(clima!$F:$F,$I344),"")</f>
        <v>17.2</v>
      </c>
      <c r="L344">
        <f>IFERROR(INDEX(clima!$J:$J,$I344),"")</f>
        <v>10.508714977059242</v>
      </c>
      <c r="M344">
        <f t="shared" si="76"/>
        <v>17.2</v>
      </c>
      <c r="N344">
        <f t="shared" si="85"/>
        <v>5943.2999999999965</v>
      </c>
      <c r="O344">
        <f t="shared" si="77"/>
        <v>17.2</v>
      </c>
      <c r="P344">
        <f t="shared" si="86"/>
        <v>5804.0999999999967</v>
      </c>
      <c r="Q344">
        <f t="shared" si="78"/>
        <v>4.0296473592645237</v>
      </c>
      <c r="R344">
        <f t="shared" si="87"/>
        <v>3075.5650601132288</v>
      </c>
      <c r="S344">
        <f t="shared" si="79"/>
        <v>17.2</v>
      </c>
      <c r="T344">
        <f t="shared" si="88"/>
        <v>4568.3000000000047</v>
      </c>
      <c r="U344">
        <f t="shared" si="80"/>
        <v>0</v>
      </c>
      <c r="V344">
        <f t="shared" si="89"/>
        <v>1945.899999999999</v>
      </c>
      <c r="W344">
        <f t="shared" si="81"/>
        <v>342</v>
      </c>
      <c r="X344">
        <f t="shared" si="82"/>
        <v>2.7296699999999987</v>
      </c>
      <c r="Y344">
        <f t="shared" si="83"/>
        <v>1.1000000000000001</v>
      </c>
    </row>
    <row r="345" spans="8:25" x14ac:dyDescent="0.2">
      <c r="H345">
        <f t="shared" si="84"/>
        <v>343</v>
      </c>
      <c r="I345">
        <f t="shared" si="75"/>
        <v>494</v>
      </c>
      <c r="J345">
        <f>IFERROR(INDEX(clima!$C:$C,$I345),"")</f>
        <v>128</v>
      </c>
      <c r="K345">
        <f>IFERROR(INDEX(clima!$F:$F,$I345),"")</f>
        <v>12.1</v>
      </c>
      <c r="L345">
        <f>IFERROR(INDEX(clima!$J:$J,$I345),"")</f>
        <v>10.481723680045263</v>
      </c>
      <c r="M345">
        <f t="shared" si="76"/>
        <v>12.1</v>
      </c>
      <c r="N345">
        <f t="shared" si="85"/>
        <v>5955.3999999999969</v>
      </c>
      <c r="O345">
        <f t="shared" si="77"/>
        <v>12.1</v>
      </c>
      <c r="P345">
        <f t="shared" si="86"/>
        <v>5816.1999999999971</v>
      </c>
      <c r="Q345">
        <f t="shared" si="78"/>
        <v>2.7820384750053089</v>
      </c>
      <c r="R345">
        <f t="shared" si="87"/>
        <v>3078.3470985882341</v>
      </c>
      <c r="S345">
        <f t="shared" si="79"/>
        <v>12.1</v>
      </c>
      <c r="T345">
        <f t="shared" si="88"/>
        <v>4580.4000000000051</v>
      </c>
      <c r="U345">
        <f t="shared" si="80"/>
        <v>0</v>
      </c>
      <c r="V345">
        <f t="shared" si="89"/>
        <v>1945.899999999999</v>
      </c>
      <c r="W345">
        <f t="shared" si="81"/>
        <v>343</v>
      </c>
      <c r="X345">
        <f t="shared" si="82"/>
        <v>2.7296699999999987</v>
      </c>
      <c r="Y345">
        <f t="shared" si="83"/>
        <v>1.1000000000000001</v>
      </c>
    </row>
    <row r="346" spans="8:25" x14ac:dyDescent="0.2">
      <c r="H346">
        <f t="shared" si="84"/>
        <v>344</v>
      </c>
      <c r="I346">
        <f t="shared" si="75"/>
        <v>495</v>
      </c>
      <c r="J346">
        <f>IFERROR(INDEX(clima!$C:$C,$I346),"")</f>
        <v>129</v>
      </c>
      <c r="K346">
        <f>IFERROR(INDEX(clima!$F:$F,$I346),"")</f>
        <v>11.8</v>
      </c>
      <c r="L346">
        <f>IFERROR(INDEX(clima!$J:$J,$I346),"")</f>
        <v>10.455117643806283</v>
      </c>
      <c r="M346">
        <f t="shared" si="76"/>
        <v>11.8</v>
      </c>
      <c r="N346">
        <f t="shared" si="85"/>
        <v>5967.1999999999971</v>
      </c>
      <c r="O346">
        <f t="shared" si="77"/>
        <v>11.8</v>
      </c>
      <c r="P346">
        <f t="shared" si="86"/>
        <v>5827.9999999999973</v>
      </c>
      <c r="Q346">
        <f t="shared" si="78"/>
        <v>2.6621906468841114</v>
      </c>
      <c r="R346">
        <f t="shared" si="87"/>
        <v>3081.0092892351181</v>
      </c>
      <c r="S346">
        <f t="shared" si="79"/>
        <v>11.8</v>
      </c>
      <c r="T346">
        <f t="shared" si="88"/>
        <v>4592.2000000000053</v>
      </c>
      <c r="U346">
        <f t="shared" si="80"/>
        <v>0</v>
      </c>
      <c r="V346">
        <f t="shared" si="89"/>
        <v>1945.899999999999</v>
      </c>
      <c r="W346">
        <f t="shared" si="81"/>
        <v>344</v>
      </c>
      <c r="X346">
        <f t="shared" si="82"/>
        <v>2.7296699999999987</v>
      </c>
      <c r="Y346">
        <f t="shared" si="83"/>
        <v>1.1000000000000001</v>
      </c>
    </row>
    <row r="347" spans="8:25" x14ac:dyDescent="0.2">
      <c r="H347">
        <f t="shared" si="84"/>
        <v>345</v>
      </c>
      <c r="I347">
        <f t="shared" si="75"/>
        <v>496</v>
      </c>
      <c r="J347">
        <f>IFERROR(INDEX(clima!$C:$C,$I347),"")</f>
        <v>130</v>
      </c>
      <c r="K347">
        <f>IFERROR(INDEX(clima!$F:$F,$I347),"")</f>
        <v>14.7</v>
      </c>
      <c r="L347">
        <f>IFERROR(INDEX(clima!$J:$J,$I347),"")</f>
        <v>10.428908019474072</v>
      </c>
      <c r="M347">
        <f t="shared" si="76"/>
        <v>14.7</v>
      </c>
      <c r="N347">
        <f t="shared" si="85"/>
        <v>5981.8999999999969</v>
      </c>
      <c r="O347">
        <f t="shared" si="77"/>
        <v>14.7</v>
      </c>
      <c r="P347">
        <f t="shared" si="86"/>
        <v>5842.6999999999971</v>
      </c>
      <c r="Q347">
        <f t="shared" si="78"/>
        <v>3.2538550776240172</v>
      </c>
      <c r="R347">
        <f t="shared" si="87"/>
        <v>3084.263144312742</v>
      </c>
      <c r="S347">
        <f t="shared" si="79"/>
        <v>14.7</v>
      </c>
      <c r="T347">
        <f t="shared" si="88"/>
        <v>4606.9000000000051</v>
      </c>
      <c r="U347">
        <f t="shared" si="80"/>
        <v>0</v>
      </c>
      <c r="V347">
        <f t="shared" si="89"/>
        <v>1945.899999999999</v>
      </c>
      <c r="W347">
        <f t="shared" si="81"/>
        <v>345</v>
      </c>
      <c r="X347">
        <f t="shared" si="82"/>
        <v>2.7296699999999987</v>
      </c>
      <c r="Y347">
        <f t="shared" si="83"/>
        <v>1.1000000000000001</v>
      </c>
    </row>
    <row r="348" spans="8:25" x14ac:dyDescent="0.2">
      <c r="H348">
        <f t="shared" si="84"/>
        <v>346</v>
      </c>
      <c r="I348">
        <f t="shared" si="75"/>
        <v>497</v>
      </c>
      <c r="J348">
        <f>IFERROR(INDEX(clima!$C:$C,$I348),"")</f>
        <v>131</v>
      </c>
      <c r="K348">
        <f>IFERROR(INDEX(clima!$F:$F,$I348),"")</f>
        <v>10.6</v>
      </c>
      <c r="L348">
        <f>IFERROR(INDEX(clima!$J:$J,$I348),"")</f>
        <v>10.40310602801619</v>
      </c>
      <c r="M348">
        <f t="shared" si="76"/>
        <v>10.6</v>
      </c>
      <c r="N348">
        <f t="shared" si="85"/>
        <v>5992.4999999999973</v>
      </c>
      <c r="O348">
        <f t="shared" si="77"/>
        <v>10.6</v>
      </c>
      <c r="P348">
        <f t="shared" si="86"/>
        <v>5853.2999999999975</v>
      </c>
      <c r="Q348">
        <f t="shared" si="78"/>
        <v>2.3017563107541221</v>
      </c>
      <c r="R348">
        <f t="shared" si="87"/>
        <v>3086.5649006234962</v>
      </c>
      <c r="S348">
        <f t="shared" si="79"/>
        <v>10.6</v>
      </c>
      <c r="T348">
        <f t="shared" si="88"/>
        <v>4617.5000000000055</v>
      </c>
      <c r="U348">
        <f t="shared" si="80"/>
        <v>0</v>
      </c>
      <c r="V348">
        <f t="shared" si="89"/>
        <v>1945.899999999999</v>
      </c>
      <c r="W348">
        <f t="shared" si="81"/>
        <v>346</v>
      </c>
      <c r="X348">
        <f t="shared" si="82"/>
        <v>2.7296699999999987</v>
      </c>
      <c r="Y348">
        <f t="shared" si="83"/>
        <v>1.1000000000000001</v>
      </c>
    </row>
    <row r="349" spans="8:25" x14ac:dyDescent="0.2">
      <c r="H349">
        <f t="shared" si="84"/>
        <v>347</v>
      </c>
      <c r="I349">
        <f t="shared" si="75"/>
        <v>498</v>
      </c>
      <c r="J349">
        <f>IFERROR(INDEX(clima!$C:$C,$I349),"")</f>
        <v>132</v>
      </c>
      <c r="K349">
        <f>IFERROR(INDEX(clima!$F:$F,$I349),"")</f>
        <v>7.1</v>
      </c>
      <c r="L349">
        <f>IFERROR(INDEX(clima!$J:$J,$I349),"")</f>
        <v>10.377722949511027</v>
      </c>
      <c r="M349">
        <f t="shared" si="76"/>
        <v>7.1</v>
      </c>
      <c r="N349">
        <f t="shared" si="85"/>
        <v>5999.5999999999976</v>
      </c>
      <c r="O349">
        <f t="shared" si="77"/>
        <v>7.1</v>
      </c>
      <c r="P349">
        <f t="shared" si="86"/>
        <v>5860.3999999999978</v>
      </c>
      <c r="Q349">
        <f t="shared" si="78"/>
        <v>1.5123011863452644</v>
      </c>
      <c r="R349">
        <f t="shared" si="87"/>
        <v>3088.0772018098414</v>
      </c>
      <c r="S349">
        <f t="shared" si="79"/>
        <v>7.1</v>
      </c>
      <c r="T349">
        <f t="shared" si="88"/>
        <v>4624.6000000000058</v>
      </c>
      <c r="U349">
        <f t="shared" si="80"/>
        <v>0</v>
      </c>
      <c r="V349">
        <f t="shared" si="89"/>
        <v>1945.899999999999</v>
      </c>
      <c r="W349">
        <f t="shared" si="81"/>
        <v>347</v>
      </c>
      <c r="X349">
        <f t="shared" si="82"/>
        <v>2.7296699999999987</v>
      </c>
      <c r="Y349">
        <f t="shared" si="83"/>
        <v>1.1000000000000001</v>
      </c>
    </row>
    <row r="350" spans="8:25" x14ac:dyDescent="0.2">
      <c r="H350">
        <f t="shared" si="84"/>
        <v>348</v>
      </c>
      <c r="I350">
        <f t="shared" si="75"/>
        <v>499</v>
      </c>
      <c r="J350">
        <f>IFERROR(INDEX(clima!$C:$C,$I350),"")</f>
        <v>133</v>
      </c>
      <c r="K350">
        <f>IFERROR(INDEX(clima!$F:$F,$I350),"")</f>
        <v>7.4</v>
      </c>
      <c r="L350">
        <f>IFERROR(INDEX(clima!$J:$J,$I350),"")</f>
        <v>10.352770111754102</v>
      </c>
      <c r="M350">
        <f t="shared" si="76"/>
        <v>7.4</v>
      </c>
      <c r="N350">
        <f t="shared" si="85"/>
        <v>6006.9999999999973</v>
      </c>
      <c r="O350">
        <f t="shared" si="77"/>
        <v>7.4</v>
      </c>
      <c r="P350">
        <f t="shared" si="86"/>
        <v>5867.7999999999975</v>
      </c>
      <c r="Q350">
        <f t="shared" si="78"/>
        <v>1.5459570999017733</v>
      </c>
      <c r="R350">
        <f t="shared" si="87"/>
        <v>3089.6231589097433</v>
      </c>
      <c r="S350">
        <f t="shared" si="79"/>
        <v>7.4</v>
      </c>
      <c r="T350">
        <f t="shared" si="88"/>
        <v>4632.0000000000055</v>
      </c>
      <c r="U350">
        <f t="shared" si="80"/>
        <v>0</v>
      </c>
      <c r="V350">
        <f t="shared" si="89"/>
        <v>1945.899999999999</v>
      </c>
      <c r="W350">
        <f t="shared" si="81"/>
        <v>348</v>
      </c>
      <c r="X350">
        <f t="shared" si="82"/>
        <v>2.7296699999999987</v>
      </c>
      <c r="Y350">
        <f t="shared" si="83"/>
        <v>1.1000000000000001</v>
      </c>
    </row>
    <row r="351" spans="8:25" x14ac:dyDescent="0.2">
      <c r="H351">
        <f t="shared" si="84"/>
        <v>349</v>
      </c>
      <c r="I351">
        <f t="shared" si="75"/>
        <v>500</v>
      </c>
      <c r="J351">
        <f>IFERROR(INDEX(clima!$C:$C,$I351),"")</f>
        <v>134</v>
      </c>
      <c r="K351">
        <f>IFERROR(INDEX(clima!$F:$F,$I351),"")</f>
        <v>5.2</v>
      </c>
      <c r="L351">
        <f>IFERROR(INDEX(clima!$J:$J,$I351),"")</f>
        <v>10.328258878205206</v>
      </c>
      <c r="M351">
        <f t="shared" si="76"/>
        <v>5.2</v>
      </c>
      <c r="N351">
        <f t="shared" si="85"/>
        <v>6012.1999999999971</v>
      </c>
      <c r="O351">
        <f t="shared" si="77"/>
        <v>5.2</v>
      </c>
      <c r="P351">
        <f t="shared" si="86"/>
        <v>5872.9999999999973</v>
      </c>
      <c r="Q351">
        <f t="shared" si="78"/>
        <v>1.065418126345874</v>
      </c>
      <c r="R351">
        <f t="shared" si="87"/>
        <v>3090.6885770360891</v>
      </c>
      <c r="S351">
        <f t="shared" si="79"/>
        <v>5.2</v>
      </c>
      <c r="T351">
        <f t="shared" si="88"/>
        <v>4637.2000000000053</v>
      </c>
      <c r="U351">
        <f t="shared" si="80"/>
        <v>0</v>
      </c>
      <c r="V351">
        <f t="shared" si="89"/>
        <v>1945.899999999999</v>
      </c>
      <c r="W351">
        <f t="shared" si="81"/>
        <v>349</v>
      </c>
      <c r="X351">
        <f t="shared" si="82"/>
        <v>2.7296699999999987</v>
      </c>
      <c r="Y351">
        <f t="shared" si="83"/>
        <v>1.1000000000000001</v>
      </c>
    </row>
    <row r="352" spans="8:25" x14ac:dyDescent="0.2">
      <c r="H352">
        <f t="shared" si="84"/>
        <v>350</v>
      </c>
      <c r="I352">
        <f t="shared" si="75"/>
        <v>501</v>
      </c>
      <c r="J352">
        <f>IFERROR(INDEX(clima!$C:$C,$I352),"")</f>
        <v>135</v>
      </c>
      <c r="K352">
        <f>IFERROR(INDEX(clima!$F:$F,$I352),"")</f>
        <v>8.5</v>
      </c>
      <c r="L352">
        <f>IFERROR(INDEX(clima!$J:$J,$I352),"")</f>
        <v>10.304200635289048</v>
      </c>
      <c r="M352">
        <f t="shared" si="76"/>
        <v>8.5</v>
      </c>
      <c r="N352">
        <f t="shared" si="85"/>
        <v>6020.6999999999971</v>
      </c>
      <c r="O352">
        <f t="shared" si="77"/>
        <v>8.5</v>
      </c>
      <c r="P352">
        <f t="shared" si="86"/>
        <v>5881.4999999999973</v>
      </c>
      <c r="Q352">
        <f t="shared" si="78"/>
        <v>1.7078840455773074</v>
      </c>
      <c r="R352">
        <f t="shared" si="87"/>
        <v>3092.3964610816665</v>
      </c>
      <c r="S352">
        <f t="shared" si="79"/>
        <v>8.5</v>
      </c>
      <c r="T352">
        <f t="shared" si="88"/>
        <v>4645.7000000000053</v>
      </c>
      <c r="U352">
        <f t="shared" si="80"/>
        <v>0</v>
      </c>
      <c r="V352">
        <f t="shared" si="89"/>
        <v>1945.899999999999</v>
      </c>
      <c r="W352">
        <f t="shared" si="81"/>
        <v>350</v>
      </c>
      <c r="X352">
        <f t="shared" si="82"/>
        <v>2.7296699999999987</v>
      </c>
      <c r="Y352">
        <f t="shared" si="83"/>
        <v>1.1000000000000001</v>
      </c>
    </row>
    <row r="353" spans="8:25" x14ac:dyDescent="0.2">
      <c r="H353">
        <f t="shared" si="84"/>
        <v>351</v>
      </c>
      <c r="I353">
        <f t="shared" si="75"/>
        <v>502</v>
      </c>
      <c r="J353">
        <f>IFERROR(INDEX(clima!$C:$C,$I353),"")</f>
        <v>136</v>
      </c>
      <c r="K353">
        <f>IFERROR(INDEX(clima!$F:$F,$I353),"")</f>
        <v>5.5</v>
      </c>
      <c r="L353">
        <f>IFERROR(INDEX(clima!$J:$J,$I353),"")</f>
        <v>10.280606779065153</v>
      </c>
      <c r="M353">
        <f t="shared" si="76"/>
        <v>5.5</v>
      </c>
      <c r="N353">
        <f t="shared" si="85"/>
        <v>6026.1999999999971</v>
      </c>
      <c r="O353">
        <f t="shared" si="77"/>
        <v>5.5</v>
      </c>
      <c r="P353">
        <f t="shared" si="86"/>
        <v>5886.9999999999973</v>
      </c>
      <c r="Q353">
        <f t="shared" si="78"/>
        <v>1.0836862357375376</v>
      </c>
      <c r="R353">
        <f t="shared" si="87"/>
        <v>3093.4801473174039</v>
      </c>
      <c r="S353">
        <f t="shared" si="79"/>
        <v>5.5</v>
      </c>
      <c r="T353">
        <f t="shared" si="88"/>
        <v>4651.2000000000053</v>
      </c>
      <c r="U353">
        <f t="shared" si="80"/>
        <v>0</v>
      </c>
      <c r="V353">
        <f t="shared" si="89"/>
        <v>1945.899999999999</v>
      </c>
      <c r="W353">
        <f t="shared" si="81"/>
        <v>351</v>
      </c>
      <c r="X353">
        <f t="shared" si="82"/>
        <v>2.7296699999999987</v>
      </c>
      <c r="Y353">
        <f t="shared" si="83"/>
        <v>1.1000000000000001</v>
      </c>
    </row>
    <row r="354" spans="8:25" x14ac:dyDescent="0.2">
      <c r="H354">
        <f t="shared" si="84"/>
        <v>352</v>
      </c>
      <c r="I354">
        <f t="shared" si="75"/>
        <v>503</v>
      </c>
      <c r="J354">
        <f>IFERROR(INDEX(clima!$C:$C,$I354),"")</f>
        <v>137</v>
      </c>
      <c r="K354">
        <f>IFERROR(INDEX(clima!$F:$F,$I354),"")</f>
        <v>9.8000000000000007</v>
      </c>
      <c r="L354">
        <f>IFERROR(INDEX(clima!$J:$J,$I354),"")</f>
        <v>10.257488701286134</v>
      </c>
      <c r="M354">
        <f t="shared" si="76"/>
        <v>9.8000000000000007</v>
      </c>
      <c r="N354">
        <f t="shared" si="85"/>
        <v>6035.9999999999973</v>
      </c>
      <c r="O354">
        <f t="shared" si="77"/>
        <v>9.8000000000000007</v>
      </c>
      <c r="P354">
        <f t="shared" si="86"/>
        <v>5896.7999999999975</v>
      </c>
      <c r="Q354">
        <f t="shared" si="78"/>
        <v>1.8934533504162392</v>
      </c>
      <c r="R354">
        <f t="shared" si="87"/>
        <v>3095.37360066782</v>
      </c>
      <c r="S354">
        <f t="shared" si="79"/>
        <v>9.8000000000000007</v>
      </c>
      <c r="T354">
        <f t="shared" si="88"/>
        <v>4661.0000000000055</v>
      </c>
      <c r="U354">
        <f t="shared" si="80"/>
        <v>0</v>
      </c>
      <c r="V354">
        <f t="shared" si="89"/>
        <v>1945.899999999999</v>
      </c>
      <c r="W354">
        <f t="shared" si="81"/>
        <v>352</v>
      </c>
      <c r="X354">
        <f t="shared" si="82"/>
        <v>2.7296699999999987</v>
      </c>
      <c r="Y354">
        <f t="shared" si="83"/>
        <v>1.1000000000000001</v>
      </c>
    </row>
    <row r="355" spans="8:25" x14ac:dyDescent="0.2">
      <c r="H355">
        <f t="shared" si="84"/>
        <v>353</v>
      </c>
      <c r="I355">
        <f t="shared" si="75"/>
        <v>504</v>
      </c>
      <c r="J355">
        <f>IFERROR(INDEX(clima!$C:$C,$I355),"")</f>
        <v>138</v>
      </c>
      <c r="K355">
        <f>IFERROR(INDEX(clima!$F:$F,$I355),"")</f>
        <v>12.8</v>
      </c>
      <c r="L355">
        <f>IFERROR(INDEX(clima!$J:$J,$I355),"")</f>
        <v>10.234857774866711</v>
      </c>
      <c r="M355">
        <f t="shared" si="76"/>
        <v>12.8</v>
      </c>
      <c r="N355">
        <f t="shared" si="85"/>
        <v>6048.7999999999975</v>
      </c>
      <c r="O355">
        <f t="shared" si="77"/>
        <v>12.8</v>
      </c>
      <c r="P355">
        <f t="shared" si="86"/>
        <v>5909.5999999999976</v>
      </c>
      <c r="Q355">
        <f t="shared" si="78"/>
        <v>2.4250493087335743</v>
      </c>
      <c r="R355">
        <f t="shared" si="87"/>
        <v>3097.7986499765534</v>
      </c>
      <c r="S355">
        <f t="shared" si="79"/>
        <v>12.8</v>
      </c>
      <c r="T355">
        <f t="shared" si="88"/>
        <v>4673.8000000000056</v>
      </c>
      <c r="U355">
        <f t="shared" si="80"/>
        <v>0</v>
      </c>
      <c r="V355">
        <f t="shared" si="89"/>
        <v>1945.899999999999</v>
      </c>
      <c r="W355">
        <f t="shared" si="81"/>
        <v>353</v>
      </c>
      <c r="X355">
        <f t="shared" si="82"/>
        <v>2.7296699999999987</v>
      </c>
      <c r="Y355">
        <f t="shared" si="83"/>
        <v>1.1000000000000001</v>
      </c>
    </row>
    <row r="356" spans="8:25" x14ac:dyDescent="0.2">
      <c r="H356">
        <f t="shared" si="84"/>
        <v>354</v>
      </c>
      <c r="I356">
        <f t="shared" si="75"/>
        <v>505</v>
      </c>
      <c r="J356">
        <f>IFERROR(INDEX(clima!$C:$C,$I356),"")</f>
        <v>139</v>
      </c>
      <c r="K356">
        <f>IFERROR(INDEX(clima!$F:$F,$I356),"")</f>
        <v>14.4</v>
      </c>
      <c r="L356">
        <f>IFERROR(INDEX(clima!$J:$J,$I356),"")</f>
        <v>10.212725338789349</v>
      </c>
      <c r="M356">
        <f t="shared" si="76"/>
        <v>14.4</v>
      </c>
      <c r="N356">
        <f t="shared" si="85"/>
        <v>6063.1999999999971</v>
      </c>
      <c r="O356">
        <f t="shared" si="77"/>
        <v>14.4</v>
      </c>
      <c r="P356">
        <f t="shared" si="86"/>
        <v>5923.9999999999973</v>
      </c>
      <c r="Q356">
        <f t="shared" si="78"/>
        <v>2.6752127760173297</v>
      </c>
      <c r="R356">
        <f t="shared" si="87"/>
        <v>3100.4738627525708</v>
      </c>
      <c r="S356">
        <f t="shared" si="79"/>
        <v>14.4</v>
      </c>
      <c r="T356">
        <f t="shared" si="88"/>
        <v>4688.2000000000053</v>
      </c>
      <c r="U356">
        <f t="shared" si="80"/>
        <v>0</v>
      </c>
      <c r="V356">
        <f t="shared" si="89"/>
        <v>1945.899999999999</v>
      </c>
      <c r="W356">
        <f t="shared" si="81"/>
        <v>354</v>
      </c>
      <c r="X356">
        <f t="shared" si="82"/>
        <v>2.7296699999999987</v>
      </c>
      <c r="Y356">
        <f t="shared" si="83"/>
        <v>1.1000000000000001</v>
      </c>
    </row>
    <row r="357" spans="8:25" x14ac:dyDescent="0.2">
      <c r="H357">
        <f t="shared" si="84"/>
        <v>355</v>
      </c>
      <c r="I357">
        <f t="shared" si="75"/>
        <v>506</v>
      </c>
      <c r="J357">
        <f>IFERROR(INDEX(clima!$C:$C,$I357),"")</f>
        <v>140</v>
      </c>
      <c r="K357">
        <f>IFERROR(INDEX(clima!$F:$F,$I357),"")</f>
        <v>10.199999999999999</v>
      </c>
      <c r="L357">
        <f>IFERROR(INDEX(clima!$J:$J,$I357),"")</f>
        <v>10.19110268247587</v>
      </c>
      <c r="M357">
        <f t="shared" si="76"/>
        <v>10.199999999999999</v>
      </c>
      <c r="N357">
        <f t="shared" si="85"/>
        <v>6073.3999999999969</v>
      </c>
      <c r="O357">
        <f t="shared" si="77"/>
        <v>10.199999999999999</v>
      </c>
      <c r="P357">
        <f t="shared" si="86"/>
        <v>5934.1999999999971</v>
      </c>
      <c r="Q357">
        <f t="shared" si="78"/>
        <v>1.8582057470170292</v>
      </c>
      <c r="R357">
        <f t="shared" si="87"/>
        <v>3102.3320684995879</v>
      </c>
      <c r="S357">
        <f t="shared" si="79"/>
        <v>10.199999999999999</v>
      </c>
      <c r="T357">
        <f t="shared" si="88"/>
        <v>4698.4000000000051</v>
      </c>
      <c r="U357">
        <f t="shared" si="80"/>
        <v>0</v>
      </c>
      <c r="V357">
        <f t="shared" si="89"/>
        <v>1945.899999999999</v>
      </c>
      <c r="W357">
        <f t="shared" si="81"/>
        <v>355</v>
      </c>
      <c r="X357">
        <f t="shared" si="82"/>
        <v>2.7296699999999987</v>
      </c>
      <c r="Y357">
        <f t="shared" si="83"/>
        <v>1.1000000000000001</v>
      </c>
    </row>
    <row r="358" spans="8:25" x14ac:dyDescent="0.2">
      <c r="H358">
        <f t="shared" si="84"/>
        <v>356</v>
      </c>
      <c r="I358">
        <f t="shared" si="75"/>
        <v>507</v>
      </c>
      <c r="J358">
        <f>IFERROR(INDEX(clima!$C:$C,$I358),"")</f>
        <v>141</v>
      </c>
      <c r="K358">
        <f>IFERROR(INDEX(clima!$F:$F,$I358),"")</f>
        <v>14.8</v>
      </c>
      <c r="L358">
        <f>IFERROR(INDEX(clima!$J:$J,$I358),"")</f>
        <v>10.170001029657911</v>
      </c>
      <c r="M358">
        <f t="shared" si="76"/>
        <v>14.8</v>
      </c>
      <c r="N358">
        <f t="shared" si="85"/>
        <v>6088.1999999999971</v>
      </c>
      <c r="O358">
        <f t="shared" si="77"/>
        <v>14.8</v>
      </c>
      <c r="P358">
        <f t="shared" si="86"/>
        <v>5948.9999999999973</v>
      </c>
      <c r="Q358">
        <f t="shared" si="78"/>
        <v>2.6440869265786415</v>
      </c>
      <c r="R358">
        <f t="shared" si="87"/>
        <v>3104.9761554261663</v>
      </c>
      <c r="S358">
        <f t="shared" si="79"/>
        <v>14.8</v>
      </c>
      <c r="T358">
        <f t="shared" si="88"/>
        <v>4713.2000000000053</v>
      </c>
      <c r="U358">
        <f t="shared" si="80"/>
        <v>0</v>
      </c>
      <c r="V358">
        <f t="shared" si="89"/>
        <v>1945.899999999999</v>
      </c>
      <c r="W358">
        <f t="shared" si="81"/>
        <v>356</v>
      </c>
      <c r="X358">
        <f t="shared" si="82"/>
        <v>2.7296699999999987</v>
      </c>
      <c r="Y358">
        <f t="shared" si="83"/>
        <v>1.1000000000000001</v>
      </c>
    </row>
    <row r="359" spans="8:25" x14ac:dyDescent="0.2">
      <c r="H359">
        <f t="shared" si="84"/>
        <v>357</v>
      </c>
      <c r="I359">
        <f t="shared" si="75"/>
        <v>508</v>
      </c>
      <c r="J359">
        <f>IFERROR(INDEX(clima!$C:$C,$I359),"")</f>
        <v>142</v>
      </c>
      <c r="K359">
        <f>IFERROR(INDEX(clima!$F:$F,$I359),"")</f>
        <v>17.100000000000001</v>
      </c>
      <c r="L359">
        <f>IFERROR(INDEX(clima!$J:$J,$I359),"")</f>
        <v>10.149431521782612</v>
      </c>
      <c r="M359">
        <f t="shared" si="76"/>
        <v>17.100000000000001</v>
      </c>
      <c r="N359">
        <f t="shared" si="85"/>
        <v>6105.2999999999975</v>
      </c>
      <c r="O359">
        <f t="shared" si="77"/>
        <v>17.100000000000001</v>
      </c>
      <c r="P359">
        <f t="shared" si="86"/>
        <v>5966.0999999999976</v>
      </c>
      <c r="Q359">
        <f t="shared" si="78"/>
        <v>2.996151800342326</v>
      </c>
      <c r="R359">
        <f t="shared" si="87"/>
        <v>3107.9723072265087</v>
      </c>
      <c r="S359">
        <f t="shared" si="79"/>
        <v>17.100000000000001</v>
      </c>
      <c r="T359">
        <f t="shared" si="88"/>
        <v>4730.3000000000056</v>
      </c>
      <c r="U359">
        <f t="shared" si="80"/>
        <v>0</v>
      </c>
      <c r="V359">
        <f t="shared" si="89"/>
        <v>1945.899999999999</v>
      </c>
      <c r="W359">
        <f t="shared" si="81"/>
        <v>357</v>
      </c>
      <c r="X359">
        <f t="shared" si="82"/>
        <v>2.7296699999999987</v>
      </c>
      <c r="Y359">
        <f t="shared" si="83"/>
        <v>1.1000000000000001</v>
      </c>
    </row>
    <row r="360" spans="8:25" x14ac:dyDescent="0.2">
      <c r="H360">
        <f t="shared" si="84"/>
        <v>358</v>
      </c>
      <c r="I360">
        <f t="shared" si="75"/>
        <v>509</v>
      </c>
      <c r="J360">
        <f>IFERROR(INDEX(clima!$C:$C,$I360),"")</f>
        <v>143</v>
      </c>
      <c r="K360">
        <f>IFERROR(INDEX(clima!$F:$F,$I360),"")</f>
        <v>16.899999999999999</v>
      </c>
      <c r="L360">
        <f>IFERROR(INDEX(clima!$J:$J,$I360),"")</f>
        <v>10.129405200993459</v>
      </c>
      <c r="M360">
        <f t="shared" si="76"/>
        <v>16.899999999999999</v>
      </c>
      <c r="N360">
        <f t="shared" si="85"/>
        <v>6122.1999999999971</v>
      </c>
      <c r="O360">
        <f t="shared" si="77"/>
        <v>16.899999999999999</v>
      </c>
      <c r="P360">
        <f t="shared" si="86"/>
        <v>5982.9999999999973</v>
      </c>
      <c r="Q360">
        <f t="shared" si="78"/>
        <v>2.9043756217809631</v>
      </c>
      <c r="R360">
        <f t="shared" si="87"/>
        <v>3110.8766828482899</v>
      </c>
      <c r="S360">
        <f t="shared" si="79"/>
        <v>16.899999999999999</v>
      </c>
      <c r="T360">
        <f t="shared" si="88"/>
        <v>4747.2000000000053</v>
      </c>
      <c r="U360">
        <f t="shared" si="80"/>
        <v>0</v>
      </c>
      <c r="V360">
        <f t="shared" si="89"/>
        <v>1945.899999999999</v>
      </c>
      <c r="W360">
        <f t="shared" si="81"/>
        <v>358</v>
      </c>
      <c r="X360">
        <f t="shared" si="82"/>
        <v>2.7296699999999987</v>
      </c>
      <c r="Y360">
        <f t="shared" si="83"/>
        <v>1.1000000000000001</v>
      </c>
    </row>
    <row r="361" spans="8:25" x14ac:dyDescent="0.2">
      <c r="H361">
        <f t="shared" si="84"/>
        <v>359</v>
      </c>
      <c r="I361">
        <f t="shared" si="75"/>
        <v>510</v>
      </c>
      <c r="J361">
        <f>IFERROR(INDEX(clima!$C:$C,$I361),"")</f>
        <v>144</v>
      </c>
      <c r="K361">
        <f>IFERROR(INDEX(clima!$F:$F,$I361),"")</f>
        <v>16.5</v>
      </c>
      <c r="L361">
        <f>IFERROR(INDEX(clima!$J:$J,$I361),"")</f>
        <v>10.109932992729703</v>
      </c>
      <c r="M361">
        <f t="shared" si="76"/>
        <v>16.5</v>
      </c>
      <c r="N361">
        <f t="shared" si="85"/>
        <v>6138.6999999999971</v>
      </c>
      <c r="O361">
        <f t="shared" si="77"/>
        <v>16.5</v>
      </c>
      <c r="P361">
        <f t="shared" si="86"/>
        <v>5999.4999999999973</v>
      </c>
      <c r="Q361">
        <f t="shared" si="78"/>
        <v>2.7816670864864226</v>
      </c>
      <c r="R361">
        <f t="shared" si="87"/>
        <v>3113.6583499347762</v>
      </c>
      <c r="S361">
        <f t="shared" si="79"/>
        <v>16.5</v>
      </c>
      <c r="T361">
        <f t="shared" si="88"/>
        <v>4763.7000000000053</v>
      </c>
      <c r="U361">
        <f t="shared" si="80"/>
        <v>0</v>
      </c>
      <c r="V361">
        <f t="shared" si="89"/>
        <v>1945.899999999999</v>
      </c>
      <c r="W361">
        <f t="shared" si="81"/>
        <v>359</v>
      </c>
      <c r="X361">
        <f t="shared" si="82"/>
        <v>2.7296699999999987</v>
      </c>
      <c r="Y361">
        <f t="shared" si="83"/>
        <v>1.1000000000000001</v>
      </c>
    </row>
    <row r="362" spans="8:25" x14ac:dyDescent="0.2">
      <c r="H362">
        <f t="shared" si="84"/>
        <v>360</v>
      </c>
      <c r="I362">
        <f t="shared" si="75"/>
        <v>511</v>
      </c>
      <c r="J362">
        <f>IFERROR(INDEX(clima!$C:$C,$I362),"")</f>
        <v>145</v>
      </c>
      <c r="K362">
        <f>IFERROR(INDEX(clima!$F:$F,$I362),"")</f>
        <v>14.2</v>
      </c>
      <c r="L362">
        <f>IFERROR(INDEX(clima!$J:$J,$I362),"")</f>
        <v>10.091025687991099</v>
      </c>
      <c r="M362">
        <f t="shared" si="76"/>
        <v>14.2</v>
      </c>
      <c r="N362">
        <f t="shared" si="85"/>
        <v>6152.8999999999969</v>
      </c>
      <c r="O362">
        <f t="shared" si="77"/>
        <v>14.2</v>
      </c>
      <c r="P362">
        <f t="shared" si="86"/>
        <v>6013.6999999999971</v>
      </c>
      <c r="Q362">
        <f t="shared" si="78"/>
        <v>2.3487359297324897</v>
      </c>
      <c r="R362">
        <f t="shared" si="87"/>
        <v>3116.0070858645086</v>
      </c>
      <c r="S362">
        <f t="shared" si="79"/>
        <v>14.2</v>
      </c>
      <c r="T362">
        <f t="shared" si="88"/>
        <v>4777.9000000000051</v>
      </c>
      <c r="U362">
        <f t="shared" si="80"/>
        <v>0</v>
      </c>
      <c r="V362">
        <f t="shared" si="89"/>
        <v>1945.899999999999</v>
      </c>
      <c r="W362">
        <f t="shared" si="81"/>
        <v>360</v>
      </c>
      <c r="X362">
        <f t="shared" si="82"/>
        <v>2.7296699999999987</v>
      </c>
      <c r="Y362">
        <f t="shared" si="83"/>
        <v>1.1000000000000001</v>
      </c>
    </row>
    <row r="363" spans="8:25" x14ac:dyDescent="0.2">
      <c r="H363">
        <f t="shared" si="84"/>
        <v>361</v>
      </c>
      <c r="I363">
        <f t="shared" si="75"/>
        <v>512</v>
      </c>
      <c r="J363">
        <f>IFERROR(INDEX(clima!$C:$C,$I363),"")</f>
        <v>146</v>
      </c>
      <c r="K363">
        <f>IFERROR(INDEX(clima!$F:$F,$I363),"")</f>
        <v>17.399999999999999</v>
      </c>
      <c r="L363">
        <f>IFERROR(INDEX(clima!$J:$J,$I363),"")</f>
        <v>10.072693925318104</v>
      </c>
      <c r="M363">
        <f t="shared" si="76"/>
        <v>17.399999999999999</v>
      </c>
      <c r="N363">
        <f t="shared" si="85"/>
        <v>6170.2999999999965</v>
      </c>
      <c r="O363">
        <f t="shared" si="77"/>
        <v>17.399999999999999</v>
      </c>
      <c r="P363">
        <f t="shared" si="86"/>
        <v>6031.0999999999967</v>
      </c>
      <c r="Q363">
        <f t="shared" si="78"/>
        <v>2.8242470673284616</v>
      </c>
      <c r="R363">
        <f t="shared" si="87"/>
        <v>3118.8313329318371</v>
      </c>
      <c r="S363">
        <f t="shared" si="79"/>
        <v>17.399999999999999</v>
      </c>
      <c r="T363">
        <f t="shared" si="88"/>
        <v>4795.3000000000047</v>
      </c>
      <c r="U363">
        <f t="shared" si="80"/>
        <v>0</v>
      </c>
      <c r="V363">
        <f t="shared" si="89"/>
        <v>1945.899999999999</v>
      </c>
      <c r="W363">
        <f t="shared" si="81"/>
        <v>361</v>
      </c>
      <c r="X363">
        <f t="shared" si="82"/>
        <v>2.7296699999999987</v>
      </c>
      <c r="Y363">
        <f t="shared" si="83"/>
        <v>1.1000000000000001</v>
      </c>
    </row>
    <row r="364" spans="8:25" x14ac:dyDescent="0.2">
      <c r="H364">
        <f t="shared" si="84"/>
        <v>362</v>
      </c>
      <c r="I364">
        <f t="shared" si="75"/>
        <v>513</v>
      </c>
      <c r="J364">
        <f>IFERROR(INDEX(clima!$C:$C,$I364),"")</f>
        <v>147</v>
      </c>
      <c r="K364">
        <f>IFERROR(INDEX(clima!$F:$F,$I364),"")</f>
        <v>18.8</v>
      </c>
      <c r="L364">
        <f>IFERROR(INDEX(clima!$J:$J,$I364),"")</f>
        <v>10.054948172540776</v>
      </c>
      <c r="M364">
        <f t="shared" si="76"/>
        <v>18.8</v>
      </c>
      <c r="N364">
        <f t="shared" si="85"/>
        <v>6189.0999999999967</v>
      </c>
      <c r="O364">
        <f t="shared" si="77"/>
        <v>18.8</v>
      </c>
      <c r="P364">
        <f t="shared" si="86"/>
        <v>6049.8999999999969</v>
      </c>
      <c r="Q364">
        <f t="shared" si="78"/>
        <v>2.9951318750341605</v>
      </c>
      <c r="R364">
        <f t="shared" si="87"/>
        <v>3121.8264648068712</v>
      </c>
      <c r="S364">
        <f t="shared" si="79"/>
        <v>18.8</v>
      </c>
      <c r="T364">
        <f t="shared" si="88"/>
        <v>4814.1000000000049</v>
      </c>
      <c r="U364">
        <f t="shared" si="80"/>
        <v>0</v>
      </c>
      <c r="V364">
        <f t="shared" si="89"/>
        <v>1945.899999999999</v>
      </c>
      <c r="W364">
        <f t="shared" si="81"/>
        <v>362</v>
      </c>
      <c r="X364">
        <f t="shared" si="82"/>
        <v>2.7296699999999987</v>
      </c>
      <c r="Y364">
        <f t="shared" si="83"/>
        <v>1.1000000000000001</v>
      </c>
    </row>
    <row r="365" spans="8:25" x14ac:dyDescent="0.2">
      <c r="H365">
        <f t="shared" si="84"/>
        <v>363</v>
      </c>
      <c r="I365">
        <f t="shared" si="75"/>
        <v>514</v>
      </c>
      <c r="J365">
        <f>IFERROR(INDEX(clima!$C:$C,$I365),"")</f>
        <v>148</v>
      </c>
      <c r="K365">
        <f>IFERROR(INDEX(clima!$F:$F,$I365),"")</f>
        <v>17.3</v>
      </c>
      <c r="L365">
        <f>IFERROR(INDEX(clima!$J:$J,$I365),"")</f>
        <v>10.037798708352666</v>
      </c>
      <c r="M365">
        <f t="shared" si="76"/>
        <v>17.3</v>
      </c>
      <c r="N365">
        <f t="shared" si="85"/>
        <v>6206.3999999999969</v>
      </c>
      <c r="O365">
        <f t="shared" si="77"/>
        <v>17.3</v>
      </c>
      <c r="P365">
        <f t="shared" si="86"/>
        <v>6067.1999999999971</v>
      </c>
      <c r="Q365">
        <f t="shared" si="78"/>
        <v>2.7059559047021615</v>
      </c>
      <c r="R365">
        <f t="shared" si="87"/>
        <v>3124.5324207115732</v>
      </c>
      <c r="S365">
        <f t="shared" si="79"/>
        <v>17.3</v>
      </c>
      <c r="T365">
        <f t="shared" si="88"/>
        <v>4831.4000000000051</v>
      </c>
      <c r="U365">
        <f t="shared" si="80"/>
        <v>0</v>
      </c>
      <c r="V365">
        <f t="shared" si="89"/>
        <v>1945.899999999999</v>
      </c>
      <c r="W365">
        <f t="shared" si="81"/>
        <v>363</v>
      </c>
      <c r="X365">
        <f t="shared" si="82"/>
        <v>2.7296699999999987</v>
      </c>
      <c r="Y365">
        <f t="shared" si="83"/>
        <v>1.1000000000000001</v>
      </c>
    </row>
    <row r="366" spans="8:25" x14ac:dyDescent="0.2">
      <c r="H366">
        <f t="shared" si="84"/>
        <v>364</v>
      </c>
      <c r="I366">
        <f t="shared" si="75"/>
        <v>515</v>
      </c>
      <c r="J366">
        <f>IFERROR(INDEX(clima!$C:$C,$I366),"")</f>
        <v>149</v>
      </c>
      <c r="K366">
        <f>IFERROR(INDEX(clima!$F:$F,$I366),"")</f>
        <v>14.8</v>
      </c>
      <c r="L366">
        <f>IFERROR(INDEX(clima!$J:$J,$I366),"")</f>
        <v>10.021255603768768</v>
      </c>
      <c r="M366">
        <f t="shared" si="76"/>
        <v>14.8</v>
      </c>
      <c r="N366">
        <f t="shared" si="85"/>
        <v>6221.1999999999971</v>
      </c>
      <c r="O366">
        <f t="shared" si="77"/>
        <v>14.8</v>
      </c>
      <c r="P366">
        <f t="shared" si="86"/>
        <v>6081.9999999999973</v>
      </c>
      <c r="Q366">
        <f t="shared" si="78"/>
        <v>2.2734222625552203</v>
      </c>
      <c r="R366">
        <f t="shared" si="87"/>
        <v>3126.8058429741286</v>
      </c>
      <c r="S366">
        <f t="shared" si="79"/>
        <v>14.8</v>
      </c>
      <c r="T366">
        <f t="shared" si="88"/>
        <v>4846.2000000000053</v>
      </c>
      <c r="U366">
        <f t="shared" si="80"/>
        <v>0</v>
      </c>
      <c r="V366">
        <f t="shared" si="89"/>
        <v>1945.899999999999</v>
      </c>
      <c r="W366">
        <f t="shared" si="81"/>
        <v>364</v>
      </c>
      <c r="X366">
        <f t="shared" si="82"/>
        <v>2.7296699999999987</v>
      </c>
      <c r="Y366">
        <f t="shared" si="83"/>
        <v>1.1000000000000001</v>
      </c>
    </row>
    <row r="367" spans="8:25" x14ac:dyDescent="0.2">
      <c r="H367">
        <f t="shared" si="84"/>
        <v>365</v>
      </c>
      <c r="I367">
        <f t="shared" si="75"/>
        <v>516</v>
      </c>
      <c r="J367">
        <f>IFERROR(INDEX(clima!$C:$C,$I367),"")</f>
        <v>150</v>
      </c>
      <c r="K367">
        <f>IFERROR(INDEX(clima!$F:$F,$I367),"")</f>
        <v>8.6999999999999993</v>
      </c>
      <c r="L367">
        <f>IFERROR(INDEX(clima!$J:$J,$I367),"")</f>
        <v>10.005328703529235</v>
      </c>
      <c r="M367">
        <f t="shared" si="76"/>
        <v>8.6999999999999993</v>
      </c>
      <c r="N367">
        <f t="shared" si="85"/>
        <v>6229.8999999999969</v>
      </c>
      <c r="O367">
        <f t="shared" si="77"/>
        <v>8.6999999999999993</v>
      </c>
      <c r="P367">
        <f t="shared" si="86"/>
        <v>6090.6999999999971</v>
      </c>
      <c r="Q367">
        <f t="shared" si="78"/>
        <v>1.3128790527034757</v>
      </c>
      <c r="R367">
        <f t="shared" si="87"/>
        <v>3128.1187220268321</v>
      </c>
      <c r="S367">
        <f t="shared" si="79"/>
        <v>8.6999999999999993</v>
      </c>
      <c r="T367">
        <f t="shared" si="88"/>
        <v>4854.9000000000051</v>
      </c>
      <c r="U367">
        <f t="shared" si="80"/>
        <v>0</v>
      </c>
      <c r="V367">
        <f t="shared" si="89"/>
        <v>1945.899999999999</v>
      </c>
      <c r="W367">
        <f t="shared" si="81"/>
        <v>365</v>
      </c>
      <c r="X367">
        <f t="shared" si="82"/>
        <v>2.7296699999999987</v>
      </c>
      <c r="Y367">
        <f t="shared" si="83"/>
        <v>1.1000000000000001</v>
      </c>
    </row>
    <row r="368" spans="8:25" x14ac:dyDescent="0.2">
      <c r="H368">
        <f t="shared" si="84"/>
        <v>366</v>
      </c>
      <c r="I368">
        <f t="shared" si="75"/>
        <v>517</v>
      </c>
      <c r="J368">
        <f>IFERROR(INDEX(clima!$C:$C,$I368),"")</f>
        <v>151</v>
      </c>
      <c r="K368">
        <f>IFERROR(INDEX(clima!$F:$F,$I368),"")</f>
        <v>8</v>
      </c>
      <c r="L368">
        <f>IFERROR(INDEX(clima!$J:$J,$I368),"")</f>
        <v>9.9900276075128343</v>
      </c>
      <c r="M368">
        <f t="shared" si="76"/>
        <v>8</v>
      </c>
      <c r="N368">
        <f t="shared" si="85"/>
        <v>6237.8999999999969</v>
      </c>
      <c r="O368">
        <f t="shared" si="77"/>
        <v>8</v>
      </c>
      <c r="P368">
        <f t="shared" si="86"/>
        <v>6098.6999999999971</v>
      </c>
      <c r="Q368">
        <f t="shared" si="78"/>
        <v>1.1864307837118444</v>
      </c>
      <c r="R368">
        <f t="shared" si="87"/>
        <v>3129.3051528105439</v>
      </c>
      <c r="S368">
        <f t="shared" si="79"/>
        <v>8</v>
      </c>
      <c r="T368">
        <f t="shared" si="88"/>
        <v>4862.9000000000051</v>
      </c>
      <c r="U368">
        <f t="shared" si="80"/>
        <v>0</v>
      </c>
      <c r="V368">
        <f t="shared" si="89"/>
        <v>1945.899999999999</v>
      </c>
      <c r="W368">
        <f t="shared" si="81"/>
        <v>366</v>
      </c>
      <c r="X368">
        <f t="shared" si="82"/>
        <v>2.7296699999999987</v>
      </c>
      <c r="Y368">
        <f t="shared" si="83"/>
        <v>1.1000000000000001</v>
      </c>
    </row>
    <row r="369" spans="8:25" x14ac:dyDescent="0.2">
      <c r="H369">
        <f t="shared" si="84"/>
        <v>367</v>
      </c>
      <c r="I369">
        <f t="shared" si="75"/>
        <v>518</v>
      </c>
      <c r="J369">
        <f>IFERROR(INDEX(clima!$C:$C,$I369),"")</f>
        <v>152</v>
      </c>
      <c r="K369">
        <f>IFERROR(INDEX(clima!$F:$F,$I369),"")</f>
        <v>12.8</v>
      </c>
      <c r="L369">
        <f>IFERROR(INDEX(clima!$J:$J,$I369),"")</f>
        <v>9.9753616522262352</v>
      </c>
      <c r="M369">
        <f t="shared" si="76"/>
        <v>12.8</v>
      </c>
      <c r="N369">
        <f t="shared" si="85"/>
        <v>6250.6999999999971</v>
      </c>
      <c r="O369">
        <f t="shared" si="77"/>
        <v>12.8</v>
      </c>
      <c r="P369">
        <f t="shared" si="86"/>
        <v>6111.4999999999973</v>
      </c>
      <c r="Q369">
        <f t="shared" si="78"/>
        <v>1.866320908402193</v>
      </c>
      <c r="R369">
        <f t="shared" si="87"/>
        <v>3131.1714737189459</v>
      </c>
      <c r="S369">
        <f t="shared" si="79"/>
        <v>12.8</v>
      </c>
      <c r="T369">
        <f t="shared" si="88"/>
        <v>4875.7000000000053</v>
      </c>
      <c r="U369">
        <f t="shared" si="80"/>
        <v>0</v>
      </c>
      <c r="V369">
        <f t="shared" si="89"/>
        <v>1945.899999999999</v>
      </c>
      <c r="W369">
        <f t="shared" si="81"/>
        <v>367</v>
      </c>
      <c r="X369">
        <f t="shared" si="82"/>
        <v>2.7296699999999987</v>
      </c>
      <c r="Y369">
        <f t="shared" si="83"/>
        <v>1.1000000000000001</v>
      </c>
    </row>
    <row r="370" spans="8:25" x14ac:dyDescent="0.2">
      <c r="H370">
        <f t="shared" si="84"/>
        <v>368</v>
      </c>
      <c r="I370">
        <f t="shared" si="75"/>
        <v>519</v>
      </c>
      <c r="J370">
        <f>IFERROR(INDEX(clima!$C:$C,$I370),"")</f>
        <v>153</v>
      </c>
      <c r="K370">
        <f>IFERROR(INDEX(clima!$F:$F,$I370),"")</f>
        <v>13.9</v>
      </c>
      <c r="L370">
        <f>IFERROR(INDEX(clima!$J:$J,$I370),"")</f>
        <v>9.9613398924368681</v>
      </c>
      <c r="M370">
        <f t="shared" si="76"/>
        <v>13.9</v>
      </c>
      <c r="N370">
        <f t="shared" si="85"/>
        <v>6264.5999999999967</v>
      </c>
      <c r="O370">
        <f t="shared" si="77"/>
        <v>13.9</v>
      </c>
      <c r="P370">
        <f t="shared" si="86"/>
        <v>6125.3999999999969</v>
      </c>
      <c r="Q370">
        <f t="shared" si="78"/>
        <v>1.9934695783755485</v>
      </c>
      <c r="R370">
        <f t="shared" si="87"/>
        <v>3133.1649432973213</v>
      </c>
      <c r="S370">
        <f t="shared" si="79"/>
        <v>13.9</v>
      </c>
      <c r="T370">
        <f t="shared" si="88"/>
        <v>4889.6000000000049</v>
      </c>
      <c r="U370">
        <f t="shared" si="80"/>
        <v>0</v>
      </c>
      <c r="V370">
        <f t="shared" si="89"/>
        <v>1945.899999999999</v>
      </c>
      <c r="W370">
        <f t="shared" si="81"/>
        <v>368</v>
      </c>
      <c r="X370">
        <f t="shared" si="82"/>
        <v>2.7296699999999987</v>
      </c>
      <c r="Y370">
        <f t="shared" si="83"/>
        <v>1.1000000000000001</v>
      </c>
    </row>
    <row r="371" spans="8:25" x14ac:dyDescent="0.2">
      <c r="H371">
        <f t="shared" si="84"/>
        <v>369</v>
      </c>
      <c r="I371">
        <f t="shared" si="75"/>
        <v>520</v>
      </c>
      <c r="J371">
        <f>IFERROR(INDEX(clima!$C:$C,$I371),"")</f>
        <v>154</v>
      </c>
      <c r="K371">
        <f>IFERROR(INDEX(clima!$F:$F,$I371),"")</f>
        <v>11</v>
      </c>
      <c r="L371">
        <f>IFERROR(INDEX(clima!$J:$J,$I371),"")</f>
        <v>9.9479710830185741</v>
      </c>
      <c r="M371">
        <f t="shared" si="76"/>
        <v>11</v>
      </c>
      <c r="N371">
        <f t="shared" si="85"/>
        <v>6275.5999999999967</v>
      </c>
      <c r="O371">
        <f t="shared" si="77"/>
        <v>11</v>
      </c>
      <c r="P371">
        <f t="shared" si="86"/>
        <v>6136.3999999999969</v>
      </c>
      <c r="Q371">
        <f t="shared" si="78"/>
        <v>1.5524528199778218</v>
      </c>
      <c r="R371">
        <f t="shared" si="87"/>
        <v>3134.7173961172994</v>
      </c>
      <c r="S371">
        <f t="shared" si="79"/>
        <v>11</v>
      </c>
      <c r="T371">
        <f t="shared" si="88"/>
        <v>4900.6000000000049</v>
      </c>
      <c r="U371">
        <f t="shared" si="80"/>
        <v>0</v>
      </c>
      <c r="V371">
        <f t="shared" si="89"/>
        <v>1945.899999999999</v>
      </c>
      <c r="W371">
        <f t="shared" si="81"/>
        <v>369</v>
      </c>
      <c r="X371">
        <f t="shared" si="82"/>
        <v>2.7296699999999987</v>
      </c>
      <c r="Y371">
        <f t="shared" si="83"/>
        <v>1.1000000000000001</v>
      </c>
    </row>
    <row r="372" spans="8:25" x14ac:dyDescent="0.2">
      <c r="H372">
        <f t="shared" si="84"/>
        <v>370</v>
      </c>
      <c r="I372">
        <f t="shared" si="75"/>
        <v>521</v>
      </c>
      <c r="J372">
        <f>IFERROR(INDEX(clima!$C:$C,$I372),"")</f>
        <v>155</v>
      </c>
      <c r="K372">
        <f>IFERROR(INDEX(clima!$F:$F,$I372),"")</f>
        <v>5.5</v>
      </c>
      <c r="L372">
        <f>IFERROR(INDEX(clima!$J:$J,$I372),"")</f>
        <v>9.9352636610801781</v>
      </c>
      <c r="M372">
        <f t="shared" si="76"/>
        <v>5.5</v>
      </c>
      <c r="N372">
        <f t="shared" si="85"/>
        <v>6281.0999999999967</v>
      </c>
      <c r="O372">
        <f t="shared" si="77"/>
        <v>5.5</v>
      </c>
      <c r="P372">
        <f t="shared" si="86"/>
        <v>6141.8999999999969</v>
      </c>
      <c r="Q372">
        <f t="shared" si="78"/>
        <v>0.76427560351025381</v>
      </c>
      <c r="R372">
        <f t="shared" si="87"/>
        <v>3135.4816717208096</v>
      </c>
      <c r="S372">
        <f t="shared" si="79"/>
        <v>5.5</v>
      </c>
      <c r="T372">
        <f t="shared" si="88"/>
        <v>4906.1000000000049</v>
      </c>
      <c r="U372">
        <f t="shared" si="80"/>
        <v>0</v>
      </c>
      <c r="V372">
        <f t="shared" si="89"/>
        <v>1945.899999999999</v>
      </c>
      <c r="W372">
        <f t="shared" si="81"/>
        <v>370</v>
      </c>
      <c r="X372">
        <f t="shared" si="82"/>
        <v>2.7296699999999987</v>
      </c>
      <c r="Y372">
        <f t="shared" si="83"/>
        <v>1.1000000000000001</v>
      </c>
    </row>
    <row r="373" spans="8:25" x14ac:dyDescent="0.2">
      <c r="H373">
        <f t="shared" si="84"/>
        <v>371</v>
      </c>
      <c r="I373">
        <f t="shared" si="75"/>
        <v>522</v>
      </c>
      <c r="J373">
        <f>IFERROR(INDEX(clima!$C:$C,$I373),"")</f>
        <v>156</v>
      </c>
      <c r="K373">
        <f>IFERROR(INDEX(clima!$F:$F,$I373),"")</f>
        <v>6.9</v>
      </c>
      <c r="L373">
        <f>IFERROR(INDEX(clima!$J:$J,$I373),"")</f>
        <v>9.9232257284478305</v>
      </c>
      <c r="M373">
        <f t="shared" si="76"/>
        <v>6.9</v>
      </c>
      <c r="N373">
        <f t="shared" si="85"/>
        <v>6287.9999999999964</v>
      </c>
      <c r="O373">
        <f t="shared" si="77"/>
        <v>6.9</v>
      </c>
      <c r="P373">
        <f t="shared" si="86"/>
        <v>6148.7999999999965</v>
      </c>
      <c r="Q373">
        <f t="shared" si="78"/>
        <v>0.94459807943280572</v>
      </c>
      <c r="R373">
        <f t="shared" si="87"/>
        <v>3136.4262698002422</v>
      </c>
      <c r="S373">
        <f t="shared" si="79"/>
        <v>6.9</v>
      </c>
      <c r="T373">
        <f t="shared" si="88"/>
        <v>4913.0000000000045</v>
      </c>
      <c r="U373">
        <f t="shared" si="80"/>
        <v>0</v>
      </c>
      <c r="V373">
        <f t="shared" si="89"/>
        <v>1945.899999999999</v>
      </c>
      <c r="W373">
        <f t="shared" si="81"/>
        <v>371</v>
      </c>
      <c r="X373">
        <f t="shared" si="82"/>
        <v>2.7296699999999987</v>
      </c>
      <c r="Y373">
        <f t="shared" si="83"/>
        <v>1.1000000000000001</v>
      </c>
    </row>
    <row r="374" spans="8:25" x14ac:dyDescent="0.2">
      <c r="H374">
        <f t="shared" si="84"/>
        <v>372</v>
      </c>
      <c r="I374">
        <f t="shared" si="75"/>
        <v>523</v>
      </c>
      <c r="J374">
        <f>IFERROR(INDEX(clima!$C:$C,$I374),"")</f>
        <v>157</v>
      </c>
      <c r="K374">
        <f>IFERROR(INDEX(clima!$F:$F,$I374),"")</f>
        <v>7.7</v>
      </c>
      <c r="L374">
        <f>IFERROR(INDEX(clima!$J:$J,$I374),"")</f>
        <v>9.9118650345721147</v>
      </c>
      <c r="M374">
        <f t="shared" si="76"/>
        <v>7.7</v>
      </c>
      <c r="N374">
        <f t="shared" si="85"/>
        <v>6295.6999999999962</v>
      </c>
      <c r="O374">
        <f t="shared" si="77"/>
        <v>7.7</v>
      </c>
      <c r="P374">
        <f t="shared" si="86"/>
        <v>6156.4999999999964</v>
      </c>
      <c r="Q374">
        <f t="shared" si="78"/>
        <v>1.0391229295689257</v>
      </c>
      <c r="R374">
        <f t="shared" si="87"/>
        <v>3137.4653927298109</v>
      </c>
      <c r="S374">
        <f t="shared" si="79"/>
        <v>7.7</v>
      </c>
      <c r="T374">
        <f t="shared" si="88"/>
        <v>4920.7000000000044</v>
      </c>
      <c r="U374">
        <f t="shared" si="80"/>
        <v>0</v>
      </c>
      <c r="V374">
        <f t="shared" si="89"/>
        <v>1945.899999999999</v>
      </c>
      <c r="W374">
        <f t="shared" si="81"/>
        <v>372</v>
      </c>
      <c r="X374">
        <f t="shared" si="82"/>
        <v>2.7296699999999987</v>
      </c>
      <c r="Y374">
        <f t="shared" si="83"/>
        <v>1.1000000000000001</v>
      </c>
    </row>
    <row r="375" spans="8:25" x14ac:dyDescent="0.2">
      <c r="H375">
        <f t="shared" si="84"/>
        <v>373</v>
      </c>
      <c r="I375">
        <f t="shared" si="75"/>
        <v>524</v>
      </c>
      <c r="J375">
        <f>IFERROR(INDEX(clima!$C:$C,$I375),"")</f>
        <v>158</v>
      </c>
      <c r="K375">
        <f>IFERROR(INDEX(clima!$F:$F,$I375),"")</f>
        <v>7</v>
      </c>
      <c r="L375">
        <f>IFERROR(INDEX(clima!$J:$J,$I375),"")</f>
        <v>9.9011889599307317</v>
      </c>
      <c r="M375">
        <f t="shared" si="76"/>
        <v>7</v>
      </c>
      <c r="N375">
        <f t="shared" si="85"/>
        <v>6302.6999999999962</v>
      </c>
      <c r="O375">
        <f t="shared" si="77"/>
        <v>7</v>
      </c>
      <c r="P375">
        <f t="shared" si="86"/>
        <v>6163.4999999999964</v>
      </c>
      <c r="Q375">
        <f t="shared" si="78"/>
        <v>0.93183392683001653</v>
      </c>
      <c r="R375">
        <f t="shared" si="87"/>
        <v>3138.3972266566411</v>
      </c>
      <c r="S375">
        <f t="shared" si="79"/>
        <v>7</v>
      </c>
      <c r="T375">
        <f t="shared" si="88"/>
        <v>4927.7000000000044</v>
      </c>
      <c r="U375">
        <f t="shared" si="80"/>
        <v>0</v>
      </c>
      <c r="V375">
        <f t="shared" si="89"/>
        <v>1945.899999999999</v>
      </c>
      <c r="W375">
        <f t="shared" si="81"/>
        <v>373</v>
      </c>
      <c r="X375">
        <f t="shared" si="82"/>
        <v>2.7296699999999987</v>
      </c>
      <c r="Y375">
        <f t="shared" si="83"/>
        <v>1.1000000000000001</v>
      </c>
    </row>
    <row r="376" spans="8:25" x14ac:dyDescent="0.2">
      <c r="H376">
        <f t="shared" si="84"/>
        <v>374</v>
      </c>
      <c r="I376">
        <f t="shared" si="75"/>
        <v>525</v>
      </c>
      <c r="J376">
        <f>IFERROR(INDEX(clima!$C:$C,$I376),"")</f>
        <v>159</v>
      </c>
      <c r="K376">
        <f>IFERROR(INDEX(clima!$F:$F,$I376),"")</f>
        <v>5.7</v>
      </c>
      <c r="L376">
        <f>IFERROR(INDEX(clima!$J:$J,$I376),"")</f>
        <v>9.8912044999968813</v>
      </c>
      <c r="M376">
        <f t="shared" si="76"/>
        <v>5.7</v>
      </c>
      <c r="N376">
        <f t="shared" si="85"/>
        <v>6308.399999999996</v>
      </c>
      <c r="O376">
        <f t="shared" si="77"/>
        <v>5.7</v>
      </c>
      <c r="P376">
        <f t="shared" si="86"/>
        <v>6169.1999999999962</v>
      </c>
      <c r="Q376">
        <f t="shared" si="78"/>
        <v>0.74900368397020334</v>
      </c>
      <c r="R376">
        <f t="shared" si="87"/>
        <v>3139.1462303406115</v>
      </c>
      <c r="S376">
        <f t="shared" si="79"/>
        <v>5.7</v>
      </c>
      <c r="T376">
        <f t="shared" si="88"/>
        <v>4933.4000000000042</v>
      </c>
      <c r="U376">
        <f t="shared" si="80"/>
        <v>0</v>
      </c>
      <c r="V376">
        <f t="shared" si="89"/>
        <v>1945.899999999999</v>
      </c>
      <c r="W376">
        <f t="shared" si="81"/>
        <v>374</v>
      </c>
      <c r="X376">
        <f t="shared" si="82"/>
        <v>2.7296699999999987</v>
      </c>
      <c r="Y376">
        <f t="shared" si="83"/>
        <v>1.1000000000000001</v>
      </c>
    </row>
    <row r="377" spans="8:25" x14ac:dyDescent="0.2">
      <c r="H377">
        <f t="shared" si="84"/>
        <v>375</v>
      </c>
      <c r="I377">
        <f t="shared" si="75"/>
        <v>526</v>
      </c>
      <c r="J377">
        <f>IFERROR(INDEX(clima!$C:$C,$I377),"")</f>
        <v>160</v>
      </c>
      <c r="K377">
        <f>IFERROR(INDEX(clima!$F:$F,$I377),"")</f>
        <v>7.2</v>
      </c>
      <c r="L377">
        <f>IFERROR(INDEX(clima!$J:$J,$I377),"")</f>
        <v>9.881918249842343</v>
      </c>
      <c r="M377">
        <f t="shared" si="76"/>
        <v>7.2</v>
      </c>
      <c r="N377">
        <f t="shared" si="85"/>
        <v>6315.5999999999958</v>
      </c>
      <c r="O377">
        <f t="shared" si="77"/>
        <v>7.2</v>
      </c>
      <c r="P377">
        <f t="shared" si="86"/>
        <v>6176.399999999996</v>
      </c>
      <c r="Q377">
        <f t="shared" si="78"/>
        <v>0.93461460786414519</v>
      </c>
      <c r="R377">
        <f t="shared" si="87"/>
        <v>3140.0808449484757</v>
      </c>
      <c r="S377">
        <f t="shared" si="79"/>
        <v>7.2</v>
      </c>
      <c r="T377">
        <f t="shared" si="88"/>
        <v>4940.600000000004</v>
      </c>
      <c r="U377">
        <f t="shared" si="80"/>
        <v>0</v>
      </c>
      <c r="V377">
        <f t="shared" si="89"/>
        <v>1945.899999999999</v>
      </c>
      <c r="W377">
        <f t="shared" si="81"/>
        <v>375</v>
      </c>
      <c r="X377">
        <f t="shared" si="82"/>
        <v>2.7296699999999987</v>
      </c>
      <c r="Y377">
        <f t="shared" si="83"/>
        <v>1.1000000000000001</v>
      </c>
    </row>
    <row r="378" spans="8:25" x14ac:dyDescent="0.2">
      <c r="H378">
        <f t="shared" si="84"/>
        <v>376</v>
      </c>
      <c r="I378">
        <f t="shared" si="75"/>
        <v>527</v>
      </c>
      <c r="J378">
        <f>IFERROR(INDEX(clima!$C:$C,$I378),"")</f>
        <v>161</v>
      </c>
      <c r="K378">
        <f>IFERROR(INDEX(clima!$F:$F,$I378),"")</f>
        <v>6.8</v>
      </c>
      <c r="L378">
        <f>IFERROR(INDEX(clima!$J:$J,$I378),"")</f>
        <v>9.8733363894427484</v>
      </c>
      <c r="M378">
        <f t="shared" si="76"/>
        <v>6.8</v>
      </c>
      <c r="N378">
        <f t="shared" si="85"/>
        <v>6322.399999999996</v>
      </c>
      <c r="O378">
        <f t="shared" si="77"/>
        <v>6.8</v>
      </c>
      <c r="P378">
        <f t="shared" si="86"/>
        <v>6183.1999999999962</v>
      </c>
      <c r="Q378">
        <f t="shared" si="78"/>
        <v>0.87264954205597955</v>
      </c>
      <c r="R378">
        <f t="shared" si="87"/>
        <v>3140.9534944905317</v>
      </c>
      <c r="S378">
        <f t="shared" si="79"/>
        <v>6.8</v>
      </c>
      <c r="T378">
        <f t="shared" si="88"/>
        <v>4947.4000000000042</v>
      </c>
      <c r="U378">
        <f t="shared" si="80"/>
        <v>0</v>
      </c>
      <c r="V378">
        <f t="shared" si="89"/>
        <v>1945.899999999999</v>
      </c>
      <c r="W378">
        <f t="shared" si="81"/>
        <v>376</v>
      </c>
      <c r="X378">
        <f t="shared" si="82"/>
        <v>2.7296699999999987</v>
      </c>
      <c r="Y378">
        <f t="shared" si="83"/>
        <v>1.1000000000000001</v>
      </c>
    </row>
    <row r="379" spans="8:25" x14ac:dyDescent="0.2">
      <c r="H379">
        <f t="shared" si="84"/>
        <v>377</v>
      </c>
      <c r="I379">
        <f t="shared" si="75"/>
        <v>528</v>
      </c>
      <c r="J379">
        <f>IFERROR(INDEX(clima!$C:$C,$I379),"")</f>
        <v>162</v>
      </c>
      <c r="K379">
        <f>IFERROR(INDEX(clima!$F:$F,$I379),"")</f>
        <v>9.9</v>
      </c>
      <c r="L379">
        <f>IFERROR(INDEX(clima!$J:$J,$I379),"")</f>
        <v>9.8654646697503487</v>
      </c>
      <c r="M379">
        <f t="shared" si="76"/>
        <v>9.9</v>
      </c>
      <c r="N379">
        <f t="shared" si="85"/>
        <v>6332.2999999999956</v>
      </c>
      <c r="O379">
        <f t="shared" si="77"/>
        <v>9.9</v>
      </c>
      <c r="P379">
        <f t="shared" si="86"/>
        <v>6193.0999999999958</v>
      </c>
      <c r="Q379">
        <f t="shared" si="78"/>
        <v>1.2570539447994014</v>
      </c>
      <c r="R379">
        <f t="shared" si="87"/>
        <v>3142.210548435331</v>
      </c>
      <c r="S379">
        <f t="shared" si="79"/>
        <v>9.9</v>
      </c>
      <c r="T379">
        <f t="shared" si="88"/>
        <v>4957.3000000000038</v>
      </c>
      <c r="U379">
        <f t="shared" si="80"/>
        <v>0</v>
      </c>
      <c r="V379">
        <f t="shared" si="89"/>
        <v>1945.899999999999</v>
      </c>
      <c r="W379">
        <f t="shared" si="81"/>
        <v>377</v>
      </c>
      <c r="X379">
        <f t="shared" si="82"/>
        <v>2.7296699999999987</v>
      </c>
      <c r="Y379">
        <f t="shared" si="83"/>
        <v>1.1000000000000001</v>
      </c>
    </row>
    <row r="380" spans="8:25" x14ac:dyDescent="0.2">
      <c r="H380">
        <f t="shared" si="84"/>
        <v>378</v>
      </c>
      <c r="I380">
        <f t="shared" si="75"/>
        <v>529</v>
      </c>
      <c r="J380">
        <f>IFERROR(INDEX(clima!$C:$C,$I380),"")</f>
        <v>163</v>
      </c>
      <c r="K380">
        <f>IFERROR(INDEX(clima!$F:$F,$I380),"")</f>
        <v>9.8000000000000007</v>
      </c>
      <c r="L380">
        <f>IFERROR(INDEX(clima!$J:$J,$I380),"")</f>
        <v>9.8583083995972665</v>
      </c>
      <c r="M380">
        <f t="shared" si="76"/>
        <v>9.8000000000000007</v>
      </c>
      <c r="N380">
        <f t="shared" si="85"/>
        <v>6342.0999999999958</v>
      </c>
      <c r="O380">
        <f t="shared" si="77"/>
        <v>9.8000000000000007</v>
      </c>
      <c r="P380">
        <f t="shared" si="86"/>
        <v>6202.899999999996</v>
      </c>
      <c r="Q380">
        <f t="shared" si="78"/>
        <v>1.2322694204773088</v>
      </c>
      <c r="R380">
        <f t="shared" si="87"/>
        <v>3143.4428178558082</v>
      </c>
      <c r="S380">
        <f t="shared" si="79"/>
        <v>9.8000000000000007</v>
      </c>
      <c r="T380">
        <f t="shared" si="88"/>
        <v>4967.100000000004</v>
      </c>
      <c r="U380">
        <f t="shared" si="80"/>
        <v>0</v>
      </c>
      <c r="V380">
        <f t="shared" si="89"/>
        <v>1945.899999999999</v>
      </c>
      <c r="W380">
        <f t="shared" si="81"/>
        <v>378</v>
      </c>
      <c r="X380">
        <f t="shared" si="82"/>
        <v>2.7296699999999987</v>
      </c>
      <c r="Y380">
        <f t="shared" si="83"/>
        <v>1.1000000000000001</v>
      </c>
    </row>
    <row r="381" spans="8:25" x14ac:dyDescent="0.2">
      <c r="H381">
        <f t="shared" si="84"/>
        <v>379</v>
      </c>
      <c r="I381">
        <f t="shared" si="75"/>
        <v>530</v>
      </c>
      <c r="J381">
        <f>IFERROR(INDEX(clima!$C:$C,$I381),"")</f>
        <v>164</v>
      </c>
      <c r="K381">
        <f>IFERROR(INDEX(clima!$F:$F,$I381),"")</f>
        <v>7.2</v>
      </c>
      <c r="L381">
        <f>IFERROR(INDEX(clima!$J:$J,$I381),"")</f>
        <v>9.851872433489115</v>
      </c>
      <c r="M381">
        <f t="shared" si="76"/>
        <v>7.2</v>
      </c>
      <c r="N381">
        <f t="shared" si="85"/>
        <v>6349.2999999999956</v>
      </c>
      <c r="O381">
        <f t="shared" si="77"/>
        <v>7.2</v>
      </c>
      <c r="P381">
        <f t="shared" si="86"/>
        <v>6210.0999999999958</v>
      </c>
      <c r="Q381">
        <f t="shared" si="78"/>
        <v>0.89734902190189769</v>
      </c>
      <c r="R381">
        <f t="shared" si="87"/>
        <v>3144.3401668777101</v>
      </c>
      <c r="S381">
        <f t="shared" si="79"/>
        <v>7.2</v>
      </c>
      <c r="T381">
        <f t="shared" si="88"/>
        <v>4974.3000000000038</v>
      </c>
      <c r="U381">
        <f t="shared" si="80"/>
        <v>0</v>
      </c>
      <c r="V381">
        <f t="shared" si="89"/>
        <v>1945.899999999999</v>
      </c>
      <c r="W381">
        <f t="shared" si="81"/>
        <v>379</v>
      </c>
      <c r="X381">
        <f t="shared" si="82"/>
        <v>2.7296699999999987</v>
      </c>
      <c r="Y381">
        <f t="shared" si="83"/>
        <v>1.1000000000000001</v>
      </c>
    </row>
    <row r="382" spans="8:25" x14ac:dyDescent="0.2">
      <c r="H382">
        <f t="shared" si="84"/>
        <v>380</v>
      </c>
      <c r="I382">
        <f t="shared" si="75"/>
        <v>531</v>
      </c>
      <c r="J382">
        <f>IFERROR(INDEX(clima!$C:$C,$I382),"")</f>
        <v>165</v>
      </c>
      <c r="K382">
        <f>IFERROR(INDEX(clima!$F:$F,$I382),"")</f>
        <v>6.8</v>
      </c>
      <c r="L382">
        <f>IFERROR(INDEX(clima!$J:$J,$I382),"")</f>
        <v>9.8461611603456127</v>
      </c>
      <c r="M382">
        <f t="shared" si="76"/>
        <v>6.8</v>
      </c>
      <c r="N382">
        <f t="shared" si="85"/>
        <v>6356.0999999999958</v>
      </c>
      <c r="O382">
        <f t="shared" si="77"/>
        <v>6.8</v>
      </c>
      <c r="P382">
        <f t="shared" si="86"/>
        <v>6216.899999999996</v>
      </c>
      <c r="Q382">
        <f t="shared" si="78"/>
        <v>0.84079438409924534</v>
      </c>
      <c r="R382">
        <f t="shared" si="87"/>
        <v>3145.1809612618094</v>
      </c>
      <c r="S382">
        <f t="shared" si="79"/>
        <v>6.8</v>
      </c>
      <c r="T382">
        <f t="shared" si="88"/>
        <v>4981.100000000004</v>
      </c>
      <c r="U382">
        <f t="shared" si="80"/>
        <v>0</v>
      </c>
      <c r="V382">
        <f t="shared" si="89"/>
        <v>1945.899999999999</v>
      </c>
      <c r="W382">
        <f t="shared" si="81"/>
        <v>380</v>
      </c>
      <c r="X382">
        <f t="shared" si="82"/>
        <v>2.7296699999999987</v>
      </c>
      <c r="Y382">
        <f t="shared" si="83"/>
        <v>1.1000000000000001</v>
      </c>
    </row>
    <row r="383" spans="8:25" x14ac:dyDescent="0.2">
      <c r="H383">
        <f t="shared" si="84"/>
        <v>381</v>
      </c>
      <c r="I383">
        <f t="shared" si="75"/>
        <v>532</v>
      </c>
      <c r="J383">
        <f>IFERROR(INDEX(clima!$C:$C,$I383),"")</f>
        <v>166</v>
      </c>
      <c r="K383">
        <f>IFERROR(INDEX(clima!$F:$F,$I383),"")</f>
        <v>8.4</v>
      </c>
      <c r="L383">
        <f>IFERROR(INDEX(clima!$J:$J,$I383),"")</f>
        <v>9.8411784932408803</v>
      </c>
      <c r="M383">
        <f t="shared" si="76"/>
        <v>8.4</v>
      </c>
      <c r="N383">
        <f t="shared" si="85"/>
        <v>6364.4999999999955</v>
      </c>
      <c r="O383">
        <f t="shared" si="77"/>
        <v>8.4</v>
      </c>
      <c r="P383">
        <f t="shared" si="86"/>
        <v>6225.2999999999956</v>
      </c>
      <c r="Q383">
        <f t="shared" si="78"/>
        <v>1.0314018753979164</v>
      </c>
      <c r="R383">
        <f t="shared" si="87"/>
        <v>3146.2123631372074</v>
      </c>
      <c r="S383">
        <f t="shared" si="79"/>
        <v>8.4</v>
      </c>
      <c r="T383">
        <f t="shared" si="88"/>
        <v>4989.5000000000036</v>
      </c>
      <c r="U383">
        <f t="shared" si="80"/>
        <v>0</v>
      </c>
      <c r="V383">
        <f t="shared" si="89"/>
        <v>1945.899999999999</v>
      </c>
      <c r="W383">
        <f t="shared" si="81"/>
        <v>381</v>
      </c>
      <c r="X383">
        <f t="shared" si="82"/>
        <v>2.7296699999999987</v>
      </c>
      <c r="Y383">
        <f t="shared" si="83"/>
        <v>1.1000000000000001</v>
      </c>
    </row>
    <row r="384" spans="8:25" x14ac:dyDescent="0.2">
      <c r="H384">
        <f t="shared" si="84"/>
        <v>382</v>
      </c>
      <c r="I384">
        <f t="shared" si="75"/>
        <v>533</v>
      </c>
      <c r="J384">
        <f>IFERROR(INDEX(clima!$C:$C,$I384),"")</f>
        <v>167</v>
      </c>
      <c r="K384">
        <f>IFERROR(INDEX(clima!$F:$F,$I384),"")</f>
        <v>8.9</v>
      </c>
      <c r="L384">
        <f>IFERROR(INDEX(clima!$J:$J,$I384),"")</f>
        <v>9.8369278601920609</v>
      </c>
      <c r="M384">
        <f t="shared" si="76"/>
        <v>8.9</v>
      </c>
      <c r="N384">
        <f t="shared" si="85"/>
        <v>6373.3999999999951</v>
      </c>
      <c r="O384">
        <f t="shared" si="77"/>
        <v>8.9</v>
      </c>
      <c r="P384">
        <f t="shared" si="86"/>
        <v>6234.1999999999953</v>
      </c>
      <c r="Q384">
        <f t="shared" si="78"/>
        <v>1.0862601281221642</v>
      </c>
      <c r="R384">
        <f t="shared" si="87"/>
        <v>3147.2986232653298</v>
      </c>
      <c r="S384">
        <f t="shared" si="79"/>
        <v>8.9</v>
      </c>
      <c r="T384">
        <f t="shared" si="88"/>
        <v>4998.4000000000033</v>
      </c>
      <c r="U384">
        <f t="shared" si="80"/>
        <v>0</v>
      </c>
      <c r="V384">
        <f t="shared" si="89"/>
        <v>1945.899999999999</v>
      </c>
      <c r="W384">
        <f t="shared" si="81"/>
        <v>382</v>
      </c>
      <c r="X384">
        <f t="shared" si="82"/>
        <v>2.7296699999999987</v>
      </c>
      <c r="Y384">
        <f t="shared" si="83"/>
        <v>1.1000000000000001</v>
      </c>
    </row>
    <row r="385" spans="8:25" x14ac:dyDescent="0.2">
      <c r="H385">
        <f t="shared" si="84"/>
        <v>383</v>
      </c>
      <c r="I385">
        <f t="shared" si="75"/>
        <v>534</v>
      </c>
      <c r="J385">
        <f>IFERROR(INDEX(clima!$C:$C,$I385),"")</f>
        <v>168</v>
      </c>
      <c r="K385">
        <f>IFERROR(INDEX(clima!$F:$F,$I385),"")</f>
        <v>11.2</v>
      </c>
      <c r="L385">
        <f>IFERROR(INDEX(clima!$J:$J,$I385),"")</f>
        <v>9.8334121960401895</v>
      </c>
      <c r="M385">
        <f t="shared" si="76"/>
        <v>11.2</v>
      </c>
      <c r="N385">
        <f t="shared" si="85"/>
        <v>6384.5999999999949</v>
      </c>
      <c r="O385">
        <f t="shared" si="77"/>
        <v>11.2</v>
      </c>
      <c r="P385">
        <f t="shared" si="86"/>
        <v>6245.3999999999951</v>
      </c>
      <c r="Q385">
        <f t="shared" si="78"/>
        <v>1.3601748788005597</v>
      </c>
      <c r="R385">
        <f t="shared" si="87"/>
        <v>3148.6587981441303</v>
      </c>
      <c r="S385">
        <f t="shared" si="79"/>
        <v>11.2</v>
      </c>
      <c r="T385">
        <f t="shared" si="88"/>
        <v>5009.6000000000031</v>
      </c>
      <c r="U385">
        <f t="shared" si="80"/>
        <v>0</v>
      </c>
      <c r="V385">
        <f t="shared" si="89"/>
        <v>1945.899999999999</v>
      </c>
      <c r="W385">
        <f t="shared" si="81"/>
        <v>383</v>
      </c>
      <c r="X385">
        <f t="shared" si="82"/>
        <v>2.7296699999999987</v>
      </c>
      <c r="Y385">
        <f t="shared" si="83"/>
        <v>1.1000000000000001</v>
      </c>
    </row>
    <row r="386" spans="8:25" x14ac:dyDescent="0.2">
      <c r="H386">
        <f t="shared" si="84"/>
        <v>384</v>
      </c>
      <c r="I386">
        <f t="shared" ref="I386:I449" si="90">$F$26+H386</f>
        <v>535</v>
      </c>
      <c r="J386">
        <f>IFERROR(INDEX(clima!$C:$C,$I386),"")</f>
        <v>169</v>
      </c>
      <c r="K386">
        <f>IFERROR(INDEX(clima!$F:$F,$I386),"")</f>
        <v>11.2</v>
      </c>
      <c r="L386">
        <f>IFERROR(INDEX(clima!$J:$J,$I386),"")</f>
        <v>9.8306339354624104</v>
      </c>
      <c r="M386">
        <f t="shared" ref="M386:M449" si="91">IF($K386="","",MAX(0,(IF($B$2="soja",MIN($K386,$F$4),$K386))-$F$2))</f>
        <v>11.2</v>
      </c>
      <c r="N386">
        <f t="shared" si="85"/>
        <v>6395.7999999999947</v>
      </c>
      <c r="O386">
        <f t="shared" ref="O386:O449" si="92">IF($K386="","",IF($I386&lt;$F$27,0,MAX(0,(IF($B$2="soja",MIN($K386,$F$4),$K386))-$F$3)))</f>
        <v>11.2</v>
      </c>
      <c r="P386">
        <f t="shared" si="86"/>
        <v>6256.5999999999949</v>
      </c>
      <c r="Q386">
        <f t="shared" ref="Q386:Q449" si="93">IF($K386="","",IF($I386&lt;$F$27,0,IF($B$2="trigo",MAX(0,$K386-$F$2)*MAX(0,(1-(((20-MIN(20,$L386))^2)*(0.01*$F$8)))),IF($B$2="maiz",MAX(0,$K386-$F$3),IF($B$2="soja",MAX(0,MIN($K386,$F$4)-$F$3)*MIN(1,MAX(0,1-MAX(0,($L386-$F$17))*0.3)),0)))))</f>
        <v>1.3547962140850545</v>
      </c>
      <c r="R386">
        <f t="shared" si="87"/>
        <v>3150.0135943582154</v>
      </c>
      <c r="S386">
        <f t="shared" ref="S386:S449" si="94">IF($K386="","",IF($I386&lt;$F$28,0,IF($B$2="trigo",MAX(0,$K386),IF($B$2="soja",MAX(0,MIN($K386,$F$4)-$F$3)*MIN(1,MAX(0,1-MAX(0,($L386-$F$19))*0.3)),0))))</f>
        <v>11.2</v>
      </c>
      <c r="T386">
        <f t="shared" si="88"/>
        <v>5020.8000000000029</v>
      </c>
      <c r="U386">
        <f t="shared" ref="U386:U449" si="95">IF($K386="","",IF(OR($I386&lt;$F$27,$I386&gt;$F$42),0,MAX(0,$K386-$F$37)))</f>
        <v>0</v>
      </c>
      <c r="V386">
        <f t="shared" si="89"/>
        <v>1945.899999999999</v>
      </c>
      <c r="W386">
        <f t="shared" ref="W386:W449" si="96">H386</f>
        <v>384</v>
      </c>
      <c r="X386">
        <f t="shared" ref="X386:X449" si="97">IF($I386="","",IF($I386&lt;$F$27,$F$38,IF($I386&lt;=$F$42,$F$38+($F$39*$V386)/100,$F$38+($F$39*INDEX($V:$V,$F$42))/100)))</f>
        <v>2.7296699999999987</v>
      </c>
      <c r="Y386">
        <f t="shared" ref="Y386:Y449" si="98">IF($I386="","",IF($I386&lt;$F$27,0,IF($P386&lt;=$F$6,$F$40,IF($P386&gt;=$F$7,$F$41,$F$40+($F$41-$F$40)*($P386-$F$6)/($F$7-$F$6)))))</f>
        <v>1.1000000000000001</v>
      </c>
    </row>
    <row r="387" spans="8:25" x14ac:dyDescent="0.2">
      <c r="H387">
        <f t="shared" ref="H387:H450" si="99">H386+1</f>
        <v>385</v>
      </c>
      <c r="I387">
        <f t="shared" si="90"/>
        <v>536</v>
      </c>
      <c r="J387">
        <f>IFERROR(INDEX(clima!$C:$C,$I387),"")</f>
        <v>170</v>
      </c>
      <c r="K387">
        <f>IFERROR(INDEX(clima!$F:$F,$I387),"")</f>
        <v>11.2</v>
      </c>
      <c r="L387">
        <f>IFERROR(INDEX(clima!$J:$J,$I387),"")</f>
        <v>9.8285950071493939</v>
      </c>
      <c r="M387">
        <f t="shared" si="91"/>
        <v>11.2</v>
      </c>
      <c r="N387">
        <f t="shared" ref="N387:N450" si="100">IF(M387="",N386,N386+M387)</f>
        <v>6406.9999999999945</v>
      </c>
      <c r="O387">
        <f t="shared" si="92"/>
        <v>11.2</v>
      </c>
      <c r="P387">
        <f t="shared" ref="P387:P450" si="101">IF(O387="",P386,P386+O387)</f>
        <v>6267.7999999999947</v>
      </c>
      <c r="Q387">
        <f t="shared" si="93"/>
        <v>1.3508479488785898</v>
      </c>
      <c r="R387">
        <f t="shared" ref="R387:R450" si="102">IF(Q387="",R386,R386+Q387)</f>
        <v>3151.3644423070941</v>
      </c>
      <c r="S387">
        <f t="shared" si="94"/>
        <v>11.2</v>
      </c>
      <c r="T387">
        <f t="shared" ref="T387:T450" si="103">IF(S387="",T386,T386+S387)</f>
        <v>5032.0000000000027</v>
      </c>
      <c r="U387">
        <f t="shared" si="95"/>
        <v>0</v>
      </c>
      <c r="V387">
        <f t="shared" ref="V387:V450" si="104">IF(U387="",V386,V386+U387)</f>
        <v>1945.899999999999</v>
      </c>
      <c r="W387">
        <f t="shared" si="96"/>
        <v>385</v>
      </c>
      <c r="X387">
        <f t="shared" si="97"/>
        <v>2.7296699999999987</v>
      </c>
      <c r="Y387">
        <f t="shared" si="98"/>
        <v>1.1000000000000001</v>
      </c>
    </row>
    <row r="388" spans="8:25" x14ac:dyDescent="0.2">
      <c r="H388">
        <f t="shared" si="99"/>
        <v>386</v>
      </c>
      <c r="I388">
        <f t="shared" si="90"/>
        <v>537</v>
      </c>
      <c r="J388">
        <f>IFERROR(INDEX(clima!$C:$C,$I388),"")</f>
        <v>171</v>
      </c>
      <c r="K388">
        <f>IFERROR(INDEX(clima!$F:$F,$I388),"")</f>
        <v>11.7</v>
      </c>
      <c r="L388">
        <f>IFERROR(INDEX(clima!$J:$J,$I388),"")</f>
        <v>9.8272968291763068</v>
      </c>
      <c r="M388">
        <f t="shared" si="91"/>
        <v>11.7</v>
      </c>
      <c r="N388">
        <f t="shared" si="100"/>
        <v>6418.6999999999944</v>
      </c>
      <c r="O388">
        <f t="shared" si="92"/>
        <v>11.7</v>
      </c>
      <c r="P388">
        <f t="shared" si="101"/>
        <v>6279.4999999999945</v>
      </c>
      <c r="Q388">
        <f t="shared" si="93"/>
        <v>1.4085271592222846</v>
      </c>
      <c r="R388">
        <f t="shared" si="102"/>
        <v>3152.7729694663162</v>
      </c>
      <c r="S388">
        <f t="shared" si="94"/>
        <v>11.7</v>
      </c>
      <c r="T388">
        <f t="shared" si="103"/>
        <v>5043.7000000000025</v>
      </c>
      <c r="U388">
        <f t="shared" si="95"/>
        <v>0</v>
      </c>
      <c r="V388">
        <f t="shared" si="104"/>
        <v>1945.899999999999</v>
      </c>
      <c r="W388">
        <f t="shared" si="96"/>
        <v>386</v>
      </c>
      <c r="X388">
        <f t="shared" si="97"/>
        <v>2.7296699999999987</v>
      </c>
      <c r="Y388">
        <f t="shared" si="98"/>
        <v>1.1000000000000001</v>
      </c>
    </row>
    <row r="389" spans="8:25" x14ac:dyDescent="0.2">
      <c r="H389">
        <f t="shared" si="99"/>
        <v>387</v>
      </c>
      <c r="I389">
        <f t="shared" si="90"/>
        <v>538</v>
      </c>
      <c r="J389">
        <f>IFERROR(INDEX(clima!$C:$C,$I389),"")</f>
        <v>172</v>
      </c>
      <c r="K389">
        <f>IFERROR(INDEX(clima!$F:$F,$I389),"")</f>
        <v>12.2</v>
      </c>
      <c r="L389">
        <f>IFERROR(INDEX(clima!$J:$J,$I389),"")</f>
        <v>9.8267403055900093</v>
      </c>
      <c r="M389">
        <f t="shared" si="91"/>
        <v>12.2</v>
      </c>
      <c r="N389">
        <f t="shared" si="100"/>
        <v>6430.8999999999942</v>
      </c>
      <c r="O389">
        <f t="shared" si="92"/>
        <v>12.2</v>
      </c>
      <c r="P389">
        <f t="shared" si="101"/>
        <v>6291.6999999999944</v>
      </c>
      <c r="Q389">
        <f t="shared" si="93"/>
        <v>1.4675464316126574</v>
      </c>
      <c r="R389">
        <f t="shared" si="102"/>
        <v>3154.2405158979291</v>
      </c>
      <c r="S389">
        <f t="shared" si="94"/>
        <v>12.2</v>
      </c>
      <c r="T389">
        <f t="shared" si="103"/>
        <v>5055.9000000000024</v>
      </c>
      <c r="U389">
        <f t="shared" si="95"/>
        <v>0</v>
      </c>
      <c r="V389">
        <f t="shared" si="104"/>
        <v>1945.899999999999</v>
      </c>
      <c r="W389">
        <f t="shared" si="96"/>
        <v>387</v>
      </c>
      <c r="X389">
        <f t="shared" si="97"/>
        <v>2.7296699999999987</v>
      </c>
      <c r="Y389">
        <f t="shared" si="98"/>
        <v>1.1000000000000001</v>
      </c>
    </row>
    <row r="390" spans="8:25" x14ac:dyDescent="0.2">
      <c r="H390">
        <f t="shared" si="99"/>
        <v>388</v>
      </c>
      <c r="I390">
        <f t="shared" si="90"/>
        <v>539</v>
      </c>
      <c r="J390">
        <f>IFERROR(INDEX(clima!$C:$C,$I390),"")</f>
        <v>173</v>
      </c>
      <c r="K390">
        <f>IFERROR(INDEX(clima!$F:$F,$I390),"")</f>
        <v>12.8</v>
      </c>
      <c r="L390">
        <f>IFERROR(INDEX(clima!$J:$J,$I390),"")</f>
        <v>9.8269258242292015</v>
      </c>
      <c r="M390">
        <f t="shared" si="91"/>
        <v>12.8</v>
      </c>
      <c r="N390">
        <f t="shared" si="100"/>
        <v>6443.6999999999944</v>
      </c>
      <c r="O390">
        <f t="shared" si="92"/>
        <v>12.8</v>
      </c>
      <c r="P390">
        <f t="shared" si="101"/>
        <v>6304.4999999999945</v>
      </c>
      <c r="Q390">
        <f t="shared" si="93"/>
        <v>1.5401315253920629</v>
      </c>
      <c r="R390">
        <f t="shared" si="102"/>
        <v>3155.7806474233212</v>
      </c>
      <c r="S390">
        <f t="shared" si="94"/>
        <v>12.8</v>
      </c>
      <c r="T390">
        <f t="shared" si="103"/>
        <v>5068.7000000000025</v>
      </c>
      <c r="U390">
        <f t="shared" si="95"/>
        <v>0</v>
      </c>
      <c r="V390">
        <f t="shared" si="104"/>
        <v>1945.899999999999</v>
      </c>
      <c r="W390">
        <f t="shared" si="96"/>
        <v>388</v>
      </c>
      <c r="X390">
        <f t="shared" si="97"/>
        <v>2.7296699999999987</v>
      </c>
      <c r="Y390">
        <f t="shared" si="98"/>
        <v>1.1000000000000001</v>
      </c>
    </row>
    <row r="391" spans="8:25" x14ac:dyDescent="0.2">
      <c r="H391">
        <f t="shared" si="99"/>
        <v>389</v>
      </c>
      <c r="I391">
        <f t="shared" si="90"/>
        <v>540</v>
      </c>
      <c r="J391">
        <f>IFERROR(INDEX(clima!$C:$C,$I391),"")</f>
        <v>174</v>
      </c>
      <c r="K391">
        <f>IFERROR(INDEX(clima!$F:$F,$I391),"")</f>
        <v>7.4</v>
      </c>
      <c r="L391">
        <f>IFERROR(INDEX(clima!$J:$J,$I391),"")</f>
        <v>9.8278532557882929</v>
      </c>
      <c r="M391">
        <f t="shared" si="91"/>
        <v>7.4</v>
      </c>
      <c r="N391">
        <f t="shared" si="100"/>
        <v>6451.099999999994</v>
      </c>
      <c r="O391">
        <f t="shared" si="92"/>
        <v>7.4</v>
      </c>
      <c r="P391">
        <f t="shared" si="101"/>
        <v>6311.8999999999942</v>
      </c>
      <c r="Q391">
        <f t="shared" si="93"/>
        <v>0.89157538563463623</v>
      </c>
      <c r="R391">
        <f t="shared" si="102"/>
        <v>3156.6722228089557</v>
      </c>
      <c r="S391">
        <f t="shared" si="94"/>
        <v>7.4</v>
      </c>
      <c r="T391">
        <f t="shared" si="103"/>
        <v>5076.1000000000022</v>
      </c>
      <c r="U391">
        <f t="shared" si="95"/>
        <v>0</v>
      </c>
      <c r="V391">
        <f t="shared" si="104"/>
        <v>1945.899999999999</v>
      </c>
      <c r="W391">
        <f t="shared" si="96"/>
        <v>389</v>
      </c>
      <c r="X391">
        <f t="shared" si="97"/>
        <v>2.7296699999999987</v>
      </c>
      <c r="Y391">
        <f t="shared" si="98"/>
        <v>1.1000000000000001</v>
      </c>
    </row>
    <row r="392" spans="8:25" x14ac:dyDescent="0.2">
      <c r="H392">
        <f t="shared" si="99"/>
        <v>390</v>
      </c>
      <c r="I392">
        <f t="shared" si="90"/>
        <v>541</v>
      </c>
      <c r="J392">
        <f>IFERROR(INDEX(clima!$C:$C,$I392),"")</f>
        <v>175</v>
      </c>
      <c r="K392">
        <f>IFERROR(INDEX(clima!$F:$F,$I392),"")</f>
        <v>5.3</v>
      </c>
      <c r="L392">
        <f>IFERROR(INDEX(clima!$J:$J,$I392),"")</f>
        <v>9.8295219541295769</v>
      </c>
      <c r="M392">
        <f t="shared" si="91"/>
        <v>5.3</v>
      </c>
      <c r="N392">
        <f t="shared" si="100"/>
        <v>6456.3999999999942</v>
      </c>
      <c r="O392">
        <f t="shared" si="92"/>
        <v>5.3</v>
      </c>
      <c r="P392">
        <f t="shared" si="101"/>
        <v>6317.1999999999944</v>
      </c>
      <c r="Q392">
        <f t="shared" si="93"/>
        <v>0.64009000314697106</v>
      </c>
      <c r="R392">
        <f t="shared" si="102"/>
        <v>3157.3123128121028</v>
      </c>
      <c r="S392">
        <f t="shared" si="94"/>
        <v>5.3</v>
      </c>
      <c r="T392">
        <f t="shared" si="103"/>
        <v>5081.4000000000024</v>
      </c>
      <c r="U392">
        <f t="shared" si="95"/>
        <v>0</v>
      </c>
      <c r="V392">
        <f t="shared" si="104"/>
        <v>1945.899999999999</v>
      </c>
      <c r="W392">
        <f t="shared" si="96"/>
        <v>390</v>
      </c>
      <c r="X392">
        <f t="shared" si="97"/>
        <v>2.7296699999999987</v>
      </c>
      <c r="Y392">
        <f t="shared" si="98"/>
        <v>1.1000000000000001</v>
      </c>
    </row>
    <row r="393" spans="8:25" x14ac:dyDescent="0.2">
      <c r="H393">
        <f t="shared" si="99"/>
        <v>391</v>
      </c>
      <c r="I393">
        <f t="shared" si="90"/>
        <v>542</v>
      </c>
      <c r="J393">
        <f>IFERROR(INDEX(clima!$C:$C,$I393),"")</f>
        <v>176</v>
      </c>
      <c r="K393">
        <f>IFERROR(INDEX(clima!$F:$F,$I393),"")</f>
        <v>10.1</v>
      </c>
      <c r="L393">
        <f>IFERROR(INDEX(clima!$J:$J,$I393),"")</f>
        <v>9.8319307578421764</v>
      </c>
      <c r="M393">
        <f t="shared" si="91"/>
        <v>10.1</v>
      </c>
      <c r="N393">
        <f t="shared" si="100"/>
        <v>6466.4999999999945</v>
      </c>
      <c r="O393">
        <f t="shared" si="92"/>
        <v>10.1</v>
      </c>
      <c r="P393">
        <f t="shared" si="101"/>
        <v>6327.2999999999947</v>
      </c>
      <c r="Q393">
        <f t="shared" si="93"/>
        <v>1.2240000830718216</v>
      </c>
      <c r="R393">
        <f t="shared" si="102"/>
        <v>3158.5363128951749</v>
      </c>
      <c r="S393">
        <f t="shared" si="94"/>
        <v>10.1</v>
      </c>
      <c r="T393">
        <f t="shared" si="103"/>
        <v>5091.5000000000027</v>
      </c>
      <c r="U393">
        <f t="shared" si="95"/>
        <v>0</v>
      </c>
      <c r="V393">
        <f t="shared" si="104"/>
        <v>1945.899999999999</v>
      </c>
      <c r="W393">
        <f t="shared" si="96"/>
        <v>391</v>
      </c>
      <c r="X393">
        <f t="shared" si="97"/>
        <v>2.7296699999999987</v>
      </c>
      <c r="Y393">
        <f t="shared" si="98"/>
        <v>1.1000000000000001</v>
      </c>
    </row>
    <row r="394" spans="8:25" x14ac:dyDescent="0.2">
      <c r="H394">
        <f t="shared" si="99"/>
        <v>392</v>
      </c>
      <c r="I394">
        <f t="shared" si="90"/>
        <v>543</v>
      </c>
      <c r="J394">
        <f>IFERROR(INDEX(clima!$C:$C,$I394),"")</f>
        <v>177</v>
      </c>
      <c r="K394">
        <f>IFERROR(INDEX(clima!$F:$F,$I394),"")</f>
        <v>7.1</v>
      </c>
      <c r="L394">
        <f>IFERROR(INDEX(clima!$J:$J,$I394),"")</f>
        <v>9.8350779930400947</v>
      </c>
      <c r="M394">
        <f t="shared" si="91"/>
        <v>7.1</v>
      </c>
      <c r="N394">
        <f t="shared" si="100"/>
        <v>6473.5999999999949</v>
      </c>
      <c r="O394">
        <f t="shared" si="92"/>
        <v>7.1</v>
      </c>
      <c r="P394">
        <f t="shared" si="101"/>
        <v>6334.3999999999951</v>
      </c>
      <c r="Q394">
        <f t="shared" si="93"/>
        <v>0.8642976617526793</v>
      </c>
      <c r="R394">
        <f t="shared" si="102"/>
        <v>3159.4006105569274</v>
      </c>
      <c r="S394">
        <f t="shared" si="94"/>
        <v>7.1</v>
      </c>
      <c r="T394">
        <f t="shared" si="103"/>
        <v>5098.6000000000031</v>
      </c>
      <c r="U394">
        <f t="shared" si="95"/>
        <v>0</v>
      </c>
      <c r="V394">
        <f t="shared" si="104"/>
        <v>1945.899999999999</v>
      </c>
      <c r="W394">
        <f t="shared" si="96"/>
        <v>392</v>
      </c>
      <c r="X394">
        <f t="shared" si="97"/>
        <v>2.7296699999999987</v>
      </c>
      <c r="Y394">
        <f t="shared" si="98"/>
        <v>1.1000000000000001</v>
      </c>
    </row>
    <row r="395" spans="8:25" x14ac:dyDescent="0.2">
      <c r="H395">
        <f t="shared" si="99"/>
        <v>393</v>
      </c>
      <c r="I395">
        <f t="shared" si="90"/>
        <v>544</v>
      </c>
      <c r="J395">
        <f>IFERROR(INDEX(clima!$C:$C,$I395),"")</f>
        <v>178</v>
      </c>
      <c r="K395">
        <f>IFERROR(INDEX(clima!$F:$F,$I395),"")</f>
        <v>5.9</v>
      </c>
      <c r="L395">
        <f>IFERROR(INDEX(clima!$J:$J,$I395),"")</f>
        <v>9.8389614773856007</v>
      </c>
      <c r="M395">
        <f t="shared" si="91"/>
        <v>5.9</v>
      </c>
      <c r="N395">
        <f t="shared" si="100"/>
        <v>6479.4999999999945</v>
      </c>
      <c r="O395">
        <f t="shared" si="92"/>
        <v>5.9</v>
      </c>
      <c r="P395">
        <f t="shared" si="101"/>
        <v>6340.2999999999947</v>
      </c>
      <c r="Q395">
        <f t="shared" si="93"/>
        <v>0.72217780151860056</v>
      </c>
      <c r="R395">
        <f t="shared" si="102"/>
        <v>3160.1227883584461</v>
      </c>
      <c r="S395">
        <f t="shared" si="94"/>
        <v>5.9</v>
      </c>
      <c r="T395">
        <f t="shared" si="103"/>
        <v>5104.5000000000027</v>
      </c>
      <c r="U395">
        <f t="shared" si="95"/>
        <v>0</v>
      </c>
      <c r="V395">
        <f t="shared" si="104"/>
        <v>1945.899999999999</v>
      </c>
      <c r="W395">
        <f t="shared" si="96"/>
        <v>393</v>
      </c>
      <c r="X395">
        <f t="shared" si="97"/>
        <v>2.7296699999999987</v>
      </c>
      <c r="Y395">
        <f t="shared" si="98"/>
        <v>1.1000000000000001</v>
      </c>
    </row>
    <row r="396" spans="8:25" x14ac:dyDescent="0.2">
      <c r="H396">
        <f t="shared" si="99"/>
        <v>394</v>
      </c>
      <c r="I396">
        <f t="shared" si="90"/>
        <v>545</v>
      </c>
      <c r="J396">
        <f>IFERROR(INDEX(clima!$C:$C,$I396),"")</f>
        <v>179</v>
      </c>
      <c r="K396">
        <f>IFERROR(INDEX(clima!$F:$F,$I396),"")</f>
        <v>1.5</v>
      </c>
      <c r="L396">
        <f>IFERROR(INDEX(clima!$J:$J,$I396),"")</f>
        <v>9.8435785253182253</v>
      </c>
      <c r="M396">
        <f t="shared" si="91"/>
        <v>1.5</v>
      </c>
      <c r="N396">
        <f t="shared" si="100"/>
        <v>6480.9999999999945</v>
      </c>
      <c r="O396">
        <f t="shared" si="92"/>
        <v>1.5</v>
      </c>
      <c r="P396">
        <f t="shared" si="101"/>
        <v>6341.7999999999947</v>
      </c>
      <c r="Q396">
        <f t="shared" si="93"/>
        <v>0.18480056106494164</v>
      </c>
      <c r="R396">
        <f t="shared" si="102"/>
        <v>3160.3075889195111</v>
      </c>
      <c r="S396">
        <f t="shared" si="94"/>
        <v>1.5</v>
      </c>
      <c r="T396">
        <f t="shared" si="103"/>
        <v>5106.0000000000027</v>
      </c>
      <c r="U396">
        <f t="shared" si="95"/>
        <v>0</v>
      </c>
      <c r="V396">
        <f t="shared" si="104"/>
        <v>1945.899999999999</v>
      </c>
      <c r="W396">
        <f t="shared" si="96"/>
        <v>394</v>
      </c>
      <c r="X396">
        <f t="shared" si="97"/>
        <v>2.7296699999999987</v>
      </c>
      <c r="Y396">
        <f t="shared" si="98"/>
        <v>1.1000000000000001</v>
      </c>
    </row>
    <row r="397" spans="8:25" x14ac:dyDescent="0.2">
      <c r="H397">
        <f t="shared" si="99"/>
        <v>395</v>
      </c>
      <c r="I397">
        <f t="shared" si="90"/>
        <v>546</v>
      </c>
      <c r="J397">
        <f>IFERROR(INDEX(clima!$C:$C,$I397),"")</f>
        <v>180</v>
      </c>
      <c r="K397">
        <f>IFERROR(INDEX(clima!$F:$F,$I397),"")</f>
        <v>4.4000000000000004</v>
      </c>
      <c r="L397">
        <f>IFERROR(INDEX(clima!$J:$J,$I397),"")</f>
        <v>9.8489259544638426</v>
      </c>
      <c r="M397">
        <f t="shared" si="91"/>
        <v>4.4000000000000004</v>
      </c>
      <c r="N397">
        <f t="shared" si="100"/>
        <v>6485.3999999999942</v>
      </c>
      <c r="O397">
        <f t="shared" si="92"/>
        <v>4.4000000000000004</v>
      </c>
      <c r="P397">
        <f t="shared" si="101"/>
        <v>6346.1999999999944</v>
      </c>
      <c r="Q397">
        <f t="shared" si="93"/>
        <v>0.54614302000437775</v>
      </c>
      <c r="R397">
        <f t="shared" si="102"/>
        <v>3160.8537319395155</v>
      </c>
      <c r="S397">
        <f t="shared" si="94"/>
        <v>4.4000000000000004</v>
      </c>
      <c r="T397">
        <f t="shared" si="103"/>
        <v>5110.4000000000024</v>
      </c>
      <c r="U397">
        <f t="shared" si="95"/>
        <v>0</v>
      </c>
      <c r="V397">
        <f t="shared" si="104"/>
        <v>1945.899999999999</v>
      </c>
      <c r="W397">
        <f t="shared" si="96"/>
        <v>395</v>
      </c>
      <c r="X397">
        <f t="shared" si="97"/>
        <v>2.7296699999999987</v>
      </c>
      <c r="Y397">
        <f t="shared" si="98"/>
        <v>1.1000000000000001</v>
      </c>
    </row>
    <row r="398" spans="8:25" x14ac:dyDescent="0.2">
      <c r="H398">
        <f t="shared" si="99"/>
        <v>396</v>
      </c>
      <c r="I398">
        <f t="shared" si="90"/>
        <v>547</v>
      </c>
      <c r="J398">
        <f>IFERROR(INDEX(clima!$C:$C,$I398),"")</f>
        <v>181</v>
      </c>
      <c r="K398">
        <f>IFERROR(INDEX(clima!$F:$F,$I398),"")</f>
        <v>7.5</v>
      </c>
      <c r="L398">
        <f>IFERROR(INDEX(clima!$J:$J,$I398),"")</f>
        <v>9.8550000931926878</v>
      </c>
      <c r="M398">
        <f t="shared" si="91"/>
        <v>7.5</v>
      </c>
      <c r="N398">
        <f t="shared" si="100"/>
        <v>6492.8999999999942</v>
      </c>
      <c r="O398">
        <f t="shared" si="92"/>
        <v>7.5</v>
      </c>
      <c r="P398">
        <f t="shared" si="101"/>
        <v>6353.6999999999944</v>
      </c>
      <c r="Q398">
        <f t="shared" si="93"/>
        <v>0.93878477679357553</v>
      </c>
      <c r="R398">
        <f t="shared" si="102"/>
        <v>3161.7925167163089</v>
      </c>
      <c r="S398">
        <f t="shared" si="94"/>
        <v>7.5</v>
      </c>
      <c r="T398">
        <f t="shared" si="103"/>
        <v>5117.9000000000024</v>
      </c>
      <c r="U398">
        <f t="shared" si="95"/>
        <v>0</v>
      </c>
      <c r="V398">
        <f t="shared" si="104"/>
        <v>1945.899999999999</v>
      </c>
      <c r="W398">
        <f t="shared" si="96"/>
        <v>396</v>
      </c>
      <c r="X398">
        <f t="shared" si="97"/>
        <v>2.7296699999999987</v>
      </c>
      <c r="Y398">
        <f t="shared" si="98"/>
        <v>1.1000000000000001</v>
      </c>
    </row>
    <row r="399" spans="8:25" x14ac:dyDescent="0.2">
      <c r="H399">
        <f t="shared" si="99"/>
        <v>397</v>
      </c>
      <c r="I399">
        <f t="shared" si="90"/>
        <v>548</v>
      </c>
      <c r="J399">
        <f>IFERROR(INDEX(clima!$C:$C,$I399),"")</f>
        <v>182</v>
      </c>
      <c r="K399">
        <f>IFERROR(INDEX(clima!$F:$F,$I399),"")</f>
        <v>12.8</v>
      </c>
      <c r="L399">
        <f>IFERROR(INDEX(clima!$J:$J,$I399),"")</f>
        <v>9.8617967892898104</v>
      </c>
      <c r="M399">
        <f t="shared" si="91"/>
        <v>12.8</v>
      </c>
      <c r="N399">
        <f t="shared" si="100"/>
        <v>6505.6999999999944</v>
      </c>
      <c r="O399">
        <f t="shared" si="92"/>
        <v>12.8</v>
      </c>
      <c r="P399">
        <f t="shared" si="101"/>
        <v>6366.4999999999945</v>
      </c>
      <c r="Q399">
        <f t="shared" si="93"/>
        <v>1.6171917196280008</v>
      </c>
      <c r="R399">
        <f t="shared" si="102"/>
        <v>3163.4097084359369</v>
      </c>
      <c r="S399">
        <f t="shared" si="94"/>
        <v>12.8</v>
      </c>
      <c r="T399">
        <f t="shared" si="103"/>
        <v>5130.7000000000025</v>
      </c>
      <c r="U399">
        <f t="shared" si="95"/>
        <v>0</v>
      </c>
      <c r="V399">
        <f t="shared" si="104"/>
        <v>1945.899999999999</v>
      </c>
      <c r="W399">
        <f t="shared" si="96"/>
        <v>397</v>
      </c>
      <c r="X399">
        <f t="shared" si="97"/>
        <v>2.7296699999999987</v>
      </c>
      <c r="Y399">
        <f t="shared" si="98"/>
        <v>1.1000000000000001</v>
      </c>
    </row>
    <row r="400" spans="8:25" x14ac:dyDescent="0.2">
      <c r="H400">
        <f t="shared" si="99"/>
        <v>398</v>
      </c>
      <c r="I400">
        <f t="shared" si="90"/>
        <v>549</v>
      </c>
      <c r="J400">
        <f>IFERROR(INDEX(clima!$C:$C,$I400),"")</f>
        <v>0</v>
      </c>
      <c r="K400">
        <f>IFERROR(INDEX(clima!$F:$F,$I400),"")</f>
        <v>0</v>
      </c>
      <c r="L400">
        <f>IFERROR(INDEX(clima!$J:$J,$I400),"")</f>
        <v>0</v>
      </c>
      <c r="M400">
        <f t="shared" si="91"/>
        <v>0</v>
      </c>
      <c r="N400">
        <f t="shared" si="100"/>
        <v>6505.6999999999944</v>
      </c>
      <c r="O400">
        <f t="shared" si="92"/>
        <v>0</v>
      </c>
      <c r="P400">
        <f t="shared" si="101"/>
        <v>6366.4999999999945</v>
      </c>
      <c r="Q400">
        <f t="shared" si="93"/>
        <v>0</v>
      </c>
      <c r="R400">
        <f t="shared" si="102"/>
        <v>3163.4097084359369</v>
      </c>
      <c r="S400">
        <f t="shared" si="94"/>
        <v>0</v>
      </c>
      <c r="T400">
        <f t="shared" si="103"/>
        <v>5130.7000000000025</v>
      </c>
      <c r="U400">
        <f t="shared" si="95"/>
        <v>0</v>
      </c>
      <c r="V400">
        <f t="shared" si="104"/>
        <v>1945.899999999999</v>
      </c>
      <c r="W400">
        <f t="shared" si="96"/>
        <v>398</v>
      </c>
      <c r="X400">
        <f t="shared" si="97"/>
        <v>2.7296699999999987</v>
      </c>
      <c r="Y400">
        <f t="shared" si="98"/>
        <v>1.1000000000000001</v>
      </c>
    </row>
    <row r="401" spans="8:25" x14ac:dyDescent="0.2">
      <c r="H401">
        <f t="shared" si="99"/>
        <v>399</v>
      </c>
      <c r="I401">
        <f t="shared" si="90"/>
        <v>550</v>
      </c>
      <c r="J401">
        <f>IFERROR(INDEX(clima!$C:$C,$I401),"")</f>
        <v>0</v>
      </c>
      <c r="K401">
        <f>IFERROR(INDEX(clima!$F:$F,$I401),"")</f>
        <v>0</v>
      </c>
      <c r="L401">
        <f>IFERROR(INDEX(clima!$J:$J,$I401),"")</f>
        <v>0</v>
      </c>
      <c r="M401">
        <f t="shared" si="91"/>
        <v>0</v>
      </c>
      <c r="N401">
        <f t="shared" si="100"/>
        <v>6505.6999999999944</v>
      </c>
      <c r="O401">
        <f t="shared" si="92"/>
        <v>0</v>
      </c>
      <c r="P401">
        <f t="shared" si="101"/>
        <v>6366.4999999999945</v>
      </c>
      <c r="Q401">
        <f t="shared" si="93"/>
        <v>0</v>
      </c>
      <c r="R401">
        <f t="shared" si="102"/>
        <v>3163.4097084359369</v>
      </c>
      <c r="S401">
        <f t="shared" si="94"/>
        <v>0</v>
      </c>
      <c r="T401">
        <f t="shared" si="103"/>
        <v>5130.7000000000025</v>
      </c>
      <c r="U401">
        <f t="shared" si="95"/>
        <v>0</v>
      </c>
      <c r="V401">
        <f t="shared" si="104"/>
        <v>1945.899999999999</v>
      </c>
      <c r="W401">
        <f t="shared" si="96"/>
        <v>399</v>
      </c>
      <c r="X401">
        <f t="shared" si="97"/>
        <v>2.7296699999999987</v>
      </c>
      <c r="Y401">
        <f t="shared" si="98"/>
        <v>1.1000000000000001</v>
      </c>
    </row>
    <row r="402" spans="8:25" x14ac:dyDescent="0.2">
      <c r="H402">
        <f t="shared" si="99"/>
        <v>400</v>
      </c>
      <c r="I402">
        <f t="shared" si="90"/>
        <v>551</v>
      </c>
      <c r="J402">
        <f>IFERROR(INDEX(clima!$C:$C,$I402),"")</f>
        <v>0</v>
      </c>
      <c r="K402">
        <f>IFERROR(INDEX(clima!$F:$F,$I402),"")</f>
        <v>0</v>
      </c>
      <c r="L402">
        <f>IFERROR(INDEX(clima!$J:$J,$I402),"")</f>
        <v>0</v>
      </c>
      <c r="M402">
        <f t="shared" si="91"/>
        <v>0</v>
      </c>
      <c r="N402">
        <f t="shared" si="100"/>
        <v>6505.6999999999944</v>
      </c>
      <c r="O402">
        <f t="shared" si="92"/>
        <v>0</v>
      </c>
      <c r="P402">
        <f t="shared" si="101"/>
        <v>6366.4999999999945</v>
      </c>
      <c r="Q402">
        <f t="shared" si="93"/>
        <v>0</v>
      </c>
      <c r="R402">
        <f t="shared" si="102"/>
        <v>3163.4097084359369</v>
      </c>
      <c r="S402">
        <f t="shared" si="94"/>
        <v>0</v>
      </c>
      <c r="T402">
        <f t="shared" si="103"/>
        <v>5130.7000000000025</v>
      </c>
      <c r="U402">
        <f t="shared" si="95"/>
        <v>0</v>
      </c>
      <c r="V402">
        <f t="shared" si="104"/>
        <v>1945.899999999999</v>
      </c>
      <c r="W402">
        <f t="shared" si="96"/>
        <v>400</v>
      </c>
      <c r="X402">
        <f t="shared" si="97"/>
        <v>2.7296699999999987</v>
      </c>
      <c r="Y402">
        <f t="shared" si="98"/>
        <v>1.1000000000000001</v>
      </c>
    </row>
    <row r="403" spans="8:25" x14ac:dyDescent="0.2">
      <c r="H403">
        <f t="shared" si="99"/>
        <v>401</v>
      </c>
      <c r="I403">
        <f t="shared" si="90"/>
        <v>552</v>
      </c>
      <c r="J403">
        <f>IFERROR(INDEX(clima!$C:$C,$I403),"")</f>
        <v>0</v>
      </c>
      <c r="K403">
        <f>IFERROR(INDEX(clima!$F:$F,$I403),"")</f>
        <v>0</v>
      </c>
      <c r="L403">
        <f>IFERROR(INDEX(clima!$J:$J,$I403),"")</f>
        <v>0</v>
      </c>
      <c r="M403">
        <f t="shared" si="91"/>
        <v>0</v>
      </c>
      <c r="N403">
        <f t="shared" si="100"/>
        <v>6505.6999999999944</v>
      </c>
      <c r="O403">
        <f t="shared" si="92"/>
        <v>0</v>
      </c>
      <c r="P403">
        <f t="shared" si="101"/>
        <v>6366.4999999999945</v>
      </c>
      <c r="Q403">
        <f t="shared" si="93"/>
        <v>0</v>
      </c>
      <c r="R403">
        <f t="shared" si="102"/>
        <v>3163.4097084359369</v>
      </c>
      <c r="S403">
        <f t="shared" si="94"/>
        <v>0</v>
      </c>
      <c r="T403">
        <f t="shared" si="103"/>
        <v>5130.7000000000025</v>
      </c>
      <c r="U403">
        <f t="shared" si="95"/>
        <v>0</v>
      </c>
      <c r="V403">
        <f t="shared" si="104"/>
        <v>1945.899999999999</v>
      </c>
      <c r="W403">
        <f t="shared" si="96"/>
        <v>401</v>
      </c>
      <c r="X403">
        <f t="shared" si="97"/>
        <v>2.7296699999999987</v>
      </c>
      <c r="Y403">
        <f t="shared" si="98"/>
        <v>1.1000000000000001</v>
      </c>
    </row>
    <row r="404" spans="8:25" x14ac:dyDescent="0.2">
      <c r="H404">
        <f t="shared" si="99"/>
        <v>402</v>
      </c>
      <c r="I404">
        <f t="shared" si="90"/>
        <v>553</v>
      </c>
      <c r="J404">
        <f>IFERROR(INDEX(clima!$C:$C,$I404),"")</f>
        <v>0</v>
      </c>
      <c r="K404">
        <f>IFERROR(INDEX(clima!$F:$F,$I404),"")</f>
        <v>0</v>
      </c>
      <c r="L404">
        <f>IFERROR(INDEX(clima!$J:$J,$I404),"")</f>
        <v>0</v>
      </c>
      <c r="M404">
        <f t="shared" si="91"/>
        <v>0</v>
      </c>
      <c r="N404">
        <f t="shared" si="100"/>
        <v>6505.6999999999944</v>
      </c>
      <c r="O404">
        <f t="shared" si="92"/>
        <v>0</v>
      </c>
      <c r="P404">
        <f t="shared" si="101"/>
        <v>6366.4999999999945</v>
      </c>
      <c r="Q404">
        <f t="shared" si="93"/>
        <v>0</v>
      </c>
      <c r="R404">
        <f t="shared" si="102"/>
        <v>3163.4097084359369</v>
      </c>
      <c r="S404">
        <f t="shared" si="94"/>
        <v>0</v>
      </c>
      <c r="T404">
        <f t="shared" si="103"/>
        <v>5130.7000000000025</v>
      </c>
      <c r="U404">
        <f t="shared" si="95"/>
        <v>0</v>
      </c>
      <c r="V404">
        <f t="shared" si="104"/>
        <v>1945.899999999999</v>
      </c>
      <c r="W404">
        <f t="shared" si="96"/>
        <v>402</v>
      </c>
      <c r="X404">
        <f t="shared" si="97"/>
        <v>2.7296699999999987</v>
      </c>
      <c r="Y404">
        <f t="shared" si="98"/>
        <v>1.1000000000000001</v>
      </c>
    </row>
    <row r="405" spans="8:25" x14ac:dyDescent="0.2">
      <c r="H405">
        <f t="shared" si="99"/>
        <v>403</v>
      </c>
      <c r="I405">
        <f t="shared" si="90"/>
        <v>554</v>
      </c>
      <c r="J405">
        <f>IFERROR(INDEX(clima!$C:$C,$I405),"")</f>
        <v>0</v>
      </c>
      <c r="K405">
        <f>IFERROR(INDEX(clima!$F:$F,$I405),"")</f>
        <v>0</v>
      </c>
      <c r="L405">
        <f>IFERROR(INDEX(clima!$J:$J,$I405),"")</f>
        <v>0</v>
      </c>
      <c r="M405">
        <f t="shared" si="91"/>
        <v>0</v>
      </c>
      <c r="N405">
        <f t="shared" si="100"/>
        <v>6505.6999999999944</v>
      </c>
      <c r="O405">
        <f t="shared" si="92"/>
        <v>0</v>
      </c>
      <c r="P405">
        <f t="shared" si="101"/>
        <v>6366.4999999999945</v>
      </c>
      <c r="Q405">
        <f t="shared" si="93"/>
        <v>0</v>
      </c>
      <c r="R405">
        <f t="shared" si="102"/>
        <v>3163.4097084359369</v>
      </c>
      <c r="S405">
        <f t="shared" si="94"/>
        <v>0</v>
      </c>
      <c r="T405">
        <f t="shared" si="103"/>
        <v>5130.7000000000025</v>
      </c>
      <c r="U405">
        <f t="shared" si="95"/>
        <v>0</v>
      </c>
      <c r="V405">
        <f t="shared" si="104"/>
        <v>1945.899999999999</v>
      </c>
      <c r="W405">
        <f t="shared" si="96"/>
        <v>403</v>
      </c>
      <c r="X405">
        <f t="shared" si="97"/>
        <v>2.7296699999999987</v>
      </c>
      <c r="Y405">
        <f t="shared" si="98"/>
        <v>1.1000000000000001</v>
      </c>
    </row>
    <row r="406" spans="8:25" x14ac:dyDescent="0.2">
      <c r="H406">
        <f t="shared" si="99"/>
        <v>404</v>
      </c>
      <c r="I406">
        <f t="shared" si="90"/>
        <v>555</v>
      </c>
      <c r="J406">
        <f>IFERROR(INDEX(clima!$C:$C,$I406),"")</f>
        <v>0</v>
      </c>
      <c r="K406">
        <f>IFERROR(INDEX(clima!$F:$F,$I406),"")</f>
        <v>0</v>
      </c>
      <c r="L406">
        <f>IFERROR(INDEX(clima!$J:$J,$I406),"")</f>
        <v>0</v>
      </c>
      <c r="M406">
        <f t="shared" si="91"/>
        <v>0</v>
      </c>
      <c r="N406">
        <f t="shared" si="100"/>
        <v>6505.6999999999944</v>
      </c>
      <c r="O406">
        <f t="shared" si="92"/>
        <v>0</v>
      </c>
      <c r="P406">
        <f t="shared" si="101"/>
        <v>6366.4999999999945</v>
      </c>
      <c r="Q406">
        <f t="shared" si="93"/>
        <v>0</v>
      </c>
      <c r="R406">
        <f t="shared" si="102"/>
        <v>3163.4097084359369</v>
      </c>
      <c r="S406">
        <f t="shared" si="94"/>
        <v>0</v>
      </c>
      <c r="T406">
        <f t="shared" si="103"/>
        <v>5130.7000000000025</v>
      </c>
      <c r="U406">
        <f t="shared" si="95"/>
        <v>0</v>
      </c>
      <c r="V406">
        <f t="shared" si="104"/>
        <v>1945.899999999999</v>
      </c>
      <c r="W406">
        <f t="shared" si="96"/>
        <v>404</v>
      </c>
      <c r="X406">
        <f t="shared" si="97"/>
        <v>2.7296699999999987</v>
      </c>
      <c r="Y406">
        <f t="shared" si="98"/>
        <v>1.1000000000000001</v>
      </c>
    </row>
    <row r="407" spans="8:25" x14ac:dyDescent="0.2">
      <c r="H407">
        <f t="shared" si="99"/>
        <v>405</v>
      </c>
      <c r="I407">
        <f t="shared" si="90"/>
        <v>556</v>
      </c>
      <c r="J407">
        <f>IFERROR(INDEX(clima!$C:$C,$I407),"")</f>
        <v>0</v>
      </c>
      <c r="K407">
        <f>IFERROR(INDEX(clima!$F:$F,$I407),"")</f>
        <v>0</v>
      </c>
      <c r="L407">
        <f>IFERROR(INDEX(clima!$J:$J,$I407),"")</f>
        <v>0</v>
      </c>
      <c r="M407">
        <f t="shared" si="91"/>
        <v>0</v>
      </c>
      <c r="N407">
        <f t="shared" si="100"/>
        <v>6505.6999999999944</v>
      </c>
      <c r="O407">
        <f t="shared" si="92"/>
        <v>0</v>
      </c>
      <c r="P407">
        <f t="shared" si="101"/>
        <v>6366.4999999999945</v>
      </c>
      <c r="Q407">
        <f t="shared" si="93"/>
        <v>0</v>
      </c>
      <c r="R407">
        <f t="shared" si="102"/>
        <v>3163.4097084359369</v>
      </c>
      <c r="S407">
        <f t="shared" si="94"/>
        <v>0</v>
      </c>
      <c r="T407">
        <f t="shared" si="103"/>
        <v>5130.7000000000025</v>
      </c>
      <c r="U407">
        <f t="shared" si="95"/>
        <v>0</v>
      </c>
      <c r="V407">
        <f t="shared" si="104"/>
        <v>1945.899999999999</v>
      </c>
      <c r="W407">
        <f t="shared" si="96"/>
        <v>405</v>
      </c>
      <c r="X407">
        <f t="shared" si="97"/>
        <v>2.7296699999999987</v>
      </c>
      <c r="Y407">
        <f t="shared" si="98"/>
        <v>1.1000000000000001</v>
      </c>
    </row>
    <row r="408" spans="8:25" x14ac:dyDescent="0.2">
      <c r="H408">
        <f t="shared" si="99"/>
        <v>406</v>
      </c>
      <c r="I408">
        <f t="shared" si="90"/>
        <v>557</v>
      </c>
      <c r="J408">
        <f>IFERROR(INDEX(clima!$C:$C,$I408),"")</f>
        <v>0</v>
      </c>
      <c r="K408">
        <f>IFERROR(INDEX(clima!$F:$F,$I408),"")</f>
        <v>0</v>
      </c>
      <c r="L408">
        <f>IFERROR(INDEX(clima!$J:$J,$I408),"")</f>
        <v>0</v>
      </c>
      <c r="M408">
        <f t="shared" si="91"/>
        <v>0</v>
      </c>
      <c r="N408">
        <f t="shared" si="100"/>
        <v>6505.6999999999944</v>
      </c>
      <c r="O408">
        <f t="shared" si="92"/>
        <v>0</v>
      </c>
      <c r="P408">
        <f t="shared" si="101"/>
        <v>6366.4999999999945</v>
      </c>
      <c r="Q408">
        <f t="shared" si="93"/>
        <v>0</v>
      </c>
      <c r="R408">
        <f t="shared" si="102"/>
        <v>3163.4097084359369</v>
      </c>
      <c r="S408">
        <f t="shared" si="94"/>
        <v>0</v>
      </c>
      <c r="T408">
        <f t="shared" si="103"/>
        <v>5130.7000000000025</v>
      </c>
      <c r="U408">
        <f t="shared" si="95"/>
        <v>0</v>
      </c>
      <c r="V408">
        <f t="shared" si="104"/>
        <v>1945.899999999999</v>
      </c>
      <c r="W408">
        <f t="shared" si="96"/>
        <v>406</v>
      </c>
      <c r="X408">
        <f t="shared" si="97"/>
        <v>2.7296699999999987</v>
      </c>
      <c r="Y408">
        <f t="shared" si="98"/>
        <v>1.1000000000000001</v>
      </c>
    </row>
    <row r="409" spans="8:25" x14ac:dyDescent="0.2">
      <c r="H409">
        <f t="shared" si="99"/>
        <v>407</v>
      </c>
      <c r="I409">
        <f t="shared" si="90"/>
        <v>558</v>
      </c>
      <c r="J409">
        <f>IFERROR(INDEX(clima!$C:$C,$I409),"")</f>
        <v>0</v>
      </c>
      <c r="K409">
        <f>IFERROR(INDEX(clima!$F:$F,$I409),"")</f>
        <v>0</v>
      </c>
      <c r="L409">
        <f>IFERROR(INDEX(clima!$J:$J,$I409),"")</f>
        <v>0</v>
      </c>
      <c r="M409">
        <f t="shared" si="91"/>
        <v>0</v>
      </c>
      <c r="N409">
        <f t="shared" si="100"/>
        <v>6505.6999999999944</v>
      </c>
      <c r="O409">
        <f t="shared" si="92"/>
        <v>0</v>
      </c>
      <c r="P409">
        <f t="shared" si="101"/>
        <v>6366.4999999999945</v>
      </c>
      <c r="Q409">
        <f t="shared" si="93"/>
        <v>0</v>
      </c>
      <c r="R409">
        <f t="shared" si="102"/>
        <v>3163.4097084359369</v>
      </c>
      <c r="S409">
        <f t="shared" si="94"/>
        <v>0</v>
      </c>
      <c r="T409">
        <f t="shared" si="103"/>
        <v>5130.7000000000025</v>
      </c>
      <c r="U409">
        <f t="shared" si="95"/>
        <v>0</v>
      </c>
      <c r="V409">
        <f t="shared" si="104"/>
        <v>1945.899999999999</v>
      </c>
      <c r="W409">
        <f t="shared" si="96"/>
        <v>407</v>
      </c>
      <c r="X409">
        <f t="shared" si="97"/>
        <v>2.7296699999999987</v>
      </c>
      <c r="Y409">
        <f t="shared" si="98"/>
        <v>1.1000000000000001</v>
      </c>
    </row>
    <row r="410" spans="8:25" x14ac:dyDescent="0.2">
      <c r="H410">
        <f t="shared" si="99"/>
        <v>408</v>
      </c>
      <c r="I410">
        <f t="shared" si="90"/>
        <v>559</v>
      </c>
      <c r="J410">
        <f>IFERROR(INDEX(clima!$C:$C,$I410),"")</f>
        <v>0</v>
      </c>
      <c r="K410">
        <f>IFERROR(INDEX(clima!$F:$F,$I410),"")</f>
        <v>0</v>
      </c>
      <c r="L410">
        <f>IFERROR(INDEX(clima!$J:$J,$I410),"")</f>
        <v>0</v>
      </c>
      <c r="M410">
        <f t="shared" si="91"/>
        <v>0</v>
      </c>
      <c r="N410">
        <f t="shared" si="100"/>
        <v>6505.6999999999944</v>
      </c>
      <c r="O410">
        <f t="shared" si="92"/>
        <v>0</v>
      </c>
      <c r="P410">
        <f t="shared" si="101"/>
        <v>6366.4999999999945</v>
      </c>
      <c r="Q410">
        <f t="shared" si="93"/>
        <v>0</v>
      </c>
      <c r="R410">
        <f t="shared" si="102"/>
        <v>3163.4097084359369</v>
      </c>
      <c r="S410">
        <f t="shared" si="94"/>
        <v>0</v>
      </c>
      <c r="T410">
        <f t="shared" si="103"/>
        <v>5130.7000000000025</v>
      </c>
      <c r="U410">
        <f t="shared" si="95"/>
        <v>0</v>
      </c>
      <c r="V410">
        <f t="shared" si="104"/>
        <v>1945.899999999999</v>
      </c>
      <c r="W410">
        <f t="shared" si="96"/>
        <v>408</v>
      </c>
      <c r="X410">
        <f t="shared" si="97"/>
        <v>2.7296699999999987</v>
      </c>
      <c r="Y410">
        <f t="shared" si="98"/>
        <v>1.1000000000000001</v>
      </c>
    </row>
    <row r="411" spans="8:25" x14ac:dyDescent="0.2">
      <c r="H411">
        <f t="shared" si="99"/>
        <v>409</v>
      </c>
      <c r="I411">
        <f t="shared" si="90"/>
        <v>560</v>
      </c>
      <c r="J411">
        <f>IFERROR(INDEX(clima!$C:$C,$I411),"")</f>
        <v>0</v>
      </c>
      <c r="K411">
        <f>IFERROR(INDEX(clima!$F:$F,$I411),"")</f>
        <v>0</v>
      </c>
      <c r="L411">
        <f>IFERROR(INDEX(clima!$J:$J,$I411),"")</f>
        <v>0</v>
      </c>
      <c r="M411">
        <f t="shared" si="91"/>
        <v>0</v>
      </c>
      <c r="N411">
        <f t="shared" si="100"/>
        <v>6505.6999999999944</v>
      </c>
      <c r="O411">
        <f t="shared" si="92"/>
        <v>0</v>
      </c>
      <c r="P411">
        <f t="shared" si="101"/>
        <v>6366.4999999999945</v>
      </c>
      <c r="Q411">
        <f t="shared" si="93"/>
        <v>0</v>
      </c>
      <c r="R411">
        <f t="shared" si="102"/>
        <v>3163.4097084359369</v>
      </c>
      <c r="S411">
        <f t="shared" si="94"/>
        <v>0</v>
      </c>
      <c r="T411">
        <f t="shared" si="103"/>
        <v>5130.7000000000025</v>
      </c>
      <c r="U411">
        <f t="shared" si="95"/>
        <v>0</v>
      </c>
      <c r="V411">
        <f t="shared" si="104"/>
        <v>1945.899999999999</v>
      </c>
      <c r="W411">
        <f t="shared" si="96"/>
        <v>409</v>
      </c>
      <c r="X411">
        <f t="shared" si="97"/>
        <v>2.7296699999999987</v>
      </c>
      <c r="Y411">
        <f t="shared" si="98"/>
        <v>1.1000000000000001</v>
      </c>
    </row>
    <row r="412" spans="8:25" x14ac:dyDescent="0.2">
      <c r="H412">
        <f t="shared" si="99"/>
        <v>410</v>
      </c>
      <c r="I412">
        <f t="shared" si="90"/>
        <v>561</v>
      </c>
      <c r="J412">
        <f>IFERROR(INDEX(clima!$C:$C,$I412),"")</f>
        <v>0</v>
      </c>
      <c r="K412">
        <f>IFERROR(INDEX(clima!$F:$F,$I412),"")</f>
        <v>0</v>
      </c>
      <c r="L412">
        <f>IFERROR(INDEX(clima!$J:$J,$I412),"")</f>
        <v>0</v>
      </c>
      <c r="M412">
        <f t="shared" si="91"/>
        <v>0</v>
      </c>
      <c r="N412">
        <f t="shared" si="100"/>
        <v>6505.6999999999944</v>
      </c>
      <c r="O412">
        <f t="shared" si="92"/>
        <v>0</v>
      </c>
      <c r="P412">
        <f t="shared" si="101"/>
        <v>6366.4999999999945</v>
      </c>
      <c r="Q412">
        <f t="shared" si="93"/>
        <v>0</v>
      </c>
      <c r="R412">
        <f t="shared" si="102"/>
        <v>3163.4097084359369</v>
      </c>
      <c r="S412">
        <f t="shared" si="94"/>
        <v>0</v>
      </c>
      <c r="T412">
        <f t="shared" si="103"/>
        <v>5130.7000000000025</v>
      </c>
      <c r="U412">
        <f t="shared" si="95"/>
        <v>0</v>
      </c>
      <c r="V412">
        <f t="shared" si="104"/>
        <v>1945.899999999999</v>
      </c>
      <c r="W412">
        <f t="shared" si="96"/>
        <v>410</v>
      </c>
      <c r="X412">
        <f t="shared" si="97"/>
        <v>2.7296699999999987</v>
      </c>
      <c r="Y412">
        <f t="shared" si="98"/>
        <v>1.1000000000000001</v>
      </c>
    </row>
    <row r="413" spans="8:25" x14ac:dyDescent="0.2">
      <c r="H413">
        <f t="shared" si="99"/>
        <v>411</v>
      </c>
      <c r="I413">
        <f t="shared" si="90"/>
        <v>562</v>
      </c>
      <c r="J413">
        <f>IFERROR(INDEX(clima!$C:$C,$I413),"")</f>
        <v>0</v>
      </c>
      <c r="K413">
        <f>IFERROR(INDEX(clima!$F:$F,$I413),"")</f>
        <v>0</v>
      </c>
      <c r="L413">
        <f>IFERROR(INDEX(clima!$J:$J,$I413),"")</f>
        <v>0</v>
      </c>
      <c r="M413">
        <f t="shared" si="91"/>
        <v>0</v>
      </c>
      <c r="N413">
        <f t="shared" si="100"/>
        <v>6505.6999999999944</v>
      </c>
      <c r="O413">
        <f t="shared" si="92"/>
        <v>0</v>
      </c>
      <c r="P413">
        <f t="shared" si="101"/>
        <v>6366.4999999999945</v>
      </c>
      <c r="Q413">
        <f t="shared" si="93"/>
        <v>0</v>
      </c>
      <c r="R413">
        <f t="shared" si="102"/>
        <v>3163.4097084359369</v>
      </c>
      <c r="S413">
        <f t="shared" si="94"/>
        <v>0</v>
      </c>
      <c r="T413">
        <f t="shared" si="103"/>
        <v>5130.7000000000025</v>
      </c>
      <c r="U413">
        <f t="shared" si="95"/>
        <v>0</v>
      </c>
      <c r="V413">
        <f t="shared" si="104"/>
        <v>1945.899999999999</v>
      </c>
      <c r="W413">
        <f t="shared" si="96"/>
        <v>411</v>
      </c>
      <c r="X413">
        <f t="shared" si="97"/>
        <v>2.7296699999999987</v>
      </c>
      <c r="Y413">
        <f t="shared" si="98"/>
        <v>1.1000000000000001</v>
      </c>
    </row>
    <row r="414" spans="8:25" x14ac:dyDescent="0.2">
      <c r="H414">
        <f t="shared" si="99"/>
        <v>412</v>
      </c>
      <c r="I414">
        <f t="shared" si="90"/>
        <v>563</v>
      </c>
      <c r="J414">
        <f>IFERROR(INDEX(clima!$C:$C,$I414),"")</f>
        <v>0</v>
      </c>
      <c r="K414">
        <f>IFERROR(INDEX(clima!$F:$F,$I414),"")</f>
        <v>0</v>
      </c>
      <c r="L414">
        <f>IFERROR(INDEX(clima!$J:$J,$I414),"")</f>
        <v>0</v>
      </c>
      <c r="M414">
        <f t="shared" si="91"/>
        <v>0</v>
      </c>
      <c r="N414">
        <f t="shared" si="100"/>
        <v>6505.6999999999944</v>
      </c>
      <c r="O414">
        <f t="shared" si="92"/>
        <v>0</v>
      </c>
      <c r="P414">
        <f t="shared" si="101"/>
        <v>6366.4999999999945</v>
      </c>
      <c r="Q414">
        <f t="shared" si="93"/>
        <v>0</v>
      </c>
      <c r="R414">
        <f t="shared" si="102"/>
        <v>3163.4097084359369</v>
      </c>
      <c r="S414">
        <f t="shared" si="94"/>
        <v>0</v>
      </c>
      <c r="T414">
        <f t="shared" si="103"/>
        <v>5130.7000000000025</v>
      </c>
      <c r="U414">
        <f t="shared" si="95"/>
        <v>0</v>
      </c>
      <c r="V414">
        <f t="shared" si="104"/>
        <v>1945.899999999999</v>
      </c>
      <c r="W414">
        <f t="shared" si="96"/>
        <v>412</v>
      </c>
      <c r="X414">
        <f t="shared" si="97"/>
        <v>2.7296699999999987</v>
      </c>
      <c r="Y414">
        <f t="shared" si="98"/>
        <v>1.1000000000000001</v>
      </c>
    </row>
    <row r="415" spans="8:25" x14ac:dyDescent="0.2">
      <c r="H415">
        <f t="shared" si="99"/>
        <v>413</v>
      </c>
      <c r="I415">
        <f t="shared" si="90"/>
        <v>564</v>
      </c>
      <c r="J415">
        <f>IFERROR(INDEX(clima!$C:$C,$I415),"")</f>
        <v>0</v>
      </c>
      <c r="K415">
        <f>IFERROR(INDEX(clima!$F:$F,$I415),"")</f>
        <v>0</v>
      </c>
      <c r="L415">
        <f>IFERROR(INDEX(clima!$J:$J,$I415),"")</f>
        <v>0</v>
      </c>
      <c r="M415">
        <f t="shared" si="91"/>
        <v>0</v>
      </c>
      <c r="N415">
        <f t="shared" si="100"/>
        <v>6505.6999999999944</v>
      </c>
      <c r="O415">
        <f t="shared" si="92"/>
        <v>0</v>
      </c>
      <c r="P415">
        <f t="shared" si="101"/>
        <v>6366.4999999999945</v>
      </c>
      <c r="Q415">
        <f t="shared" si="93"/>
        <v>0</v>
      </c>
      <c r="R415">
        <f t="shared" si="102"/>
        <v>3163.4097084359369</v>
      </c>
      <c r="S415">
        <f t="shared" si="94"/>
        <v>0</v>
      </c>
      <c r="T415">
        <f t="shared" si="103"/>
        <v>5130.7000000000025</v>
      </c>
      <c r="U415">
        <f t="shared" si="95"/>
        <v>0</v>
      </c>
      <c r="V415">
        <f t="shared" si="104"/>
        <v>1945.899999999999</v>
      </c>
      <c r="W415">
        <f t="shared" si="96"/>
        <v>413</v>
      </c>
      <c r="X415">
        <f t="shared" si="97"/>
        <v>2.7296699999999987</v>
      </c>
      <c r="Y415">
        <f t="shared" si="98"/>
        <v>1.1000000000000001</v>
      </c>
    </row>
    <row r="416" spans="8:25" x14ac:dyDescent="0.2">
      <c r="H416">
        <f t="shared" si="99"/>
        <v>414</v>
      </c>
      <c r="I416">
        <f t="shared" si="90"/>
        <v>565</v>
      </c>
      <c r="J416">
        <f>IFERROR(INDEX(clima!$C:$C,$I416),"")</f>
        <v>0</v>
      </c>
      <c r="K416">
        <f>IFERROR(INDEX(clima!$F:$F,$I416),"")</f>
        <v>0</v>
      </c>
      <c r="L416">
        <f>IFERROR(INDEX(clima!$J:$J,$I416),"")</f>
        <v>0</v>
      </c>
      <c r="M416">
        <f t="shared" si="91"/>
        <v>0</v>
      </c>
      <c r="N416">
        <f t="shared" si="100"/>
        <v>6505.6999999999944</v>
      </c>
      <c r="O416">
        <f t="shared" si="92"/>
        <v>0</v>
      </c>
      <c r="P416">
        <f t="shared" si="101"/>
        <v>6366.4999999999945</v>
      </c>
      <c r="Q416">
        <f t="shared" si="93"/>
        <v>0</v>
      </c>
      <c r="R416">
        <f t="shared" si="102"/>
        <v>3163.4097084359369</v>
      </c>
      <c r="S416">
        <f t="shared" si="94"/>
        <v>0</v>
      </c>
      <c r="T416">
        <f t="shared" si="103"/>
        <v>5130.7000000000025</v>
      </c>
      <c r="U416">
        <f t="shared" si="95"/>
        <v>0</v>
      </c>
      <c r="V416">
        <f t="shared" si="104"/>
        <v>1945.899999999999</v>
      </c>
      <c r="W416">
        <f t="shared" si="96"/>
        <v>414</v>
      </c>
      <c r="X416">
        <f t="shared" si="97"/>
        <v>2.7296699999999987</v>
      </c>
      <c r="Y416">
        <f t="shared" si="98"/>
        <v>1.1000000000000001</v>
      </c>
    </row>
    <row r="417" spans="8:25" x14ac:dyDescent="0.2">
      <c r="H417">
        <f t="shared" si="99"/>
        <v>415</v>
      </c>
      <c r="I417">
        <f t="shared" si="90"/>
        <v>566</v>
      </c>
      <c r="J417">
        <f>IFERROR(INDEX(clima!$C:$C,$I417),"")</f>
        <v>0</v>
      </c>
      <c r="K417">
        <f>IFERROR(INDEX(clima!$F:$F,$I417),"")</f>
        <v>0</v>
      </c>
      <c r="L417">
        <f>IFERROR(INDEX(clima!$J:$J,$I417),"")</f>
        <v>0</v>
      </c>
      <c r="M417">
        <f t="shared" si="91"/>
        <v>0</v>
      </c>
      <c r="N417">
        <f t="shared" si="100"/>
        <v>6505.6999999999944</v>
      </c>
      <c r="O417">
        <f t="shared" si="92"/>
        <v>0</v>
      </c>
      <c r="P417">
        <f t="shared" si="101"/>
        <v>6366.4999999999945</v>
      </c>
      <c r="Q417">
        <f t="shared" si="93"/>
        <v>0</v>
      </c>
      <c r="R417">
        <f t="shared" si="102"/>
        <v>3163.4097084359369</v>
      </c>
      <c r="S417">
        <f t="shared" si="94"/>
        <v>0</v>
      </c>
      <c r="T417">
        <f t="shared" si="103"/>
        <v>5130.7000000000025</v>
      </c>
      <c r="U417">
        <f t="shared" si="95"/>
        <v>0</v>
      </c>
      <c r="V417">
        <f t="shared" si="104"/>
        <v>1945.899999999999</v>
      </c>
      <c r="W417">
        <f t="shared" si="96"/>
        <v>415</v>
      </c>
      <c r="X417">
        <f t="shared" si="97"/>
        <v>2.7296699999999987</v>
      </c>
      <c r="Y417">
        <f t="shared" si="98"/>
        <v>1.1000000000000001</v>
      </c>
    </row>
    <row r="418" spans="8:25" x14ac:dyDescent="0.2">
      <c r="H418">
        <f t="shared" si="99"/>
        <v>416</v>
      </c>
      <c r="I418">
        <f t="shared" si="90"/>
        <v>567</v>
      </c>
      <c r="J418">
        <f>IFERROR(INDEX(clima!$C:$C,$I418),"")</f>
        <v>0</v>
      </c>
      <c r="K418">
        <f>IFERROR(INDEX(clima!$F:$F,$I418),"")</f>
        <v>0</v>
      </c>
      <c r="L418">
        <f>IFERROR(INDEX(clima!$J:$J,$I418),"")</f>
        <v>0</v>
      </c>
      <c r="M418">
        <f t="shared" si="91"/>
        <v>0</v>
      </c>
      <c r="N418">
        <f t="shared" si="100"/>
        <v>6505.6999999999944</v>
      </c>
      <c r="O418">
        <f t="shared" si="92"/>
        <v>0</v>
      </c>
      <c r="P418">
        <f t="shared" si="101"/>
        <v>6366.4999999999945</v>
      </c>
      <c r="Q418">
        <f t="shared" si="93"/>
        <v>0</v>
      </c>
      <c r="R418">
        <f t="shared" si="102"/>
        <v>3163.4097084359369</v>
      </c>
      <c r="S418">
        <f t="shared" si="94"/>
        <v>0</v>
      </c>
      <c r="T418">
        <f t="shared" si="103"/>
        <v>5130.7000000000025</v>
      </c>
      <c r="U418">
        <f t="shared" si="95"/>
        <v>0</v>
      </c>
      <c r="V418">
        <f t="shared" si="104"/>
        <v>1945.899999999999</v>
      </c>
      <c r="W418">
        <f t="shared" si="96"/>
        <v>416</v>
      </c>
      <c r="X418">
        <f t="shared" si="97"/>
        <v>2.7296699999999987</v>
      </c>
      <c r="Y418">
        <f t="shared" si="98"/>
        <v>1.1000000000000001</v>
      </c>
    </row>
    <row r="419" spans="8:25" x14ac:dyDescent="0.2">
      <c r="H419">
        <f t="shared" si="99"/>
        <v>417</v>
      </c>
      <c r="I419">
        <f t="shared" si="90"/>
        <v>568</v>
      </c>
      <c r="J419">
        <f>IFERROR(INDEX(clima!$C:$C,$I419),"")</f>
        <v>0</v>
      </c>
      <c r="K419">
        <f>IFERROR(INDEX(clima!$F:$F,$I419),"")</f>
        <v>0</v>
      </c>
      <c r="L419">
        <f>IFERROR(INDEX(clima!$J:$J,$I419),"")</f>
        <v>0</v>
      </c>
      <c r="M419">
        <f t="shared" si="91"/>
        <v>0</v>
      </c>
      <c r="N419">
        <f t="shared" si="100"/>
        <v>6505.6999999999944</v>
      </c>
      <c r="O419">
        <f t="shared" si="92"/>
        <v>0</v>
      </c>
      <c r="P419">
        <f t="shared" si="101"/>
        <v>6366.4999999999945</v>
      </c>
      <c r="Q419">
        <f t="shared" si="93"/>
        <v>0</v>
      </c>
      <c r="R419">
        <f t="shared" si="102"/>
        <v>3163.4097084359369</v>
      </c>
      <c r="S419">
        <f t="shared" si="94"/>
        <v>0</v>
      </c>
      <c r="T419">
        <f t="shared" si="103"/>
        <v>5130.7000000000025</v>
      </c>
      <c r="U419">
        <f t="shared" si="95"/>
        <v>0</v>
      </c>
      <c r="V419">
        <f t="shared" si="104"/>
        <v>1945.899999999999</v>
      </c>
      <c r="W419">
        <f t="shared" si="96"/>
        <v>417</v>
      </c>
      <c r="X419">
        <f t="shared" si="97"/>
        <v>2.7296699999999987</v>
      </c>
      <c r="Y419">
        <f t="shared" si="98"/>
        <v>1.1000000000000001</v>
      </c>
    </row>
    <row r="420" spans="8:25" x14ac:dyDescent="0.2">
      <c r="H420">
        <f t="shared" si="99"/>
        <v>418</v>
      </c>
      <c r="I420">
        <f t="shared" si="90"/>
        <v>569</v>
      </c>
      <c r="J420">
        <f>IFERROR(INDEX(clima!$C:$C,$I420),"")</f>
        <v>0</v>
      </c>
      <c r="K420">
        <f>IFERROR(INDEX(clima!$F:$F,$I420),"")</f>
        <v>0</v>
      </c>
      <c r="L420">
        <f>IFERROR(INDEX(clima!$J:$J,$I420),"")</f>
        <v>0</v>
      </c>
      <c r="M420">
        <f t="shared" si="91"/>
        <v>0</v>
      </c>
      <c r="N420">
        <f t="shared" si="100"/>
        <v>6505.6999999999944</v>
      </c>
      <c r="O420">
        <f t="shared" si="92"/>
        <v>0</v>
      </c>
      <c r="P420">
        <f t="shared" si="101"/>
        <v>6366.4999999999945</v>
      </c>
      <c r="Q420">
        <f t="shared" si="93"/>
        <v>0</v>
      </c>
      <c r="R420">
        <f t="shared" si="102"/>
        <v>3163.4097084359369</v>
      </c>
      <c r="S420">
        <f t="shared" si="94"/>
        <v>0</v>
      </c>
      <c r="T420">
        <f t="shared" si="103"/>
        <v>5130.7000000000025</v>
      </c>
      <c r="U420">
        <f t="shared" si="95"/>
        <v>0</v>
      </c>
      <c r="V420">
        <f t="shared" si="104"/>
        <v>1945.899999999999</v>
      </c>
      <c r="W420">
        <f t="shared" si="96"/>
        <v>418</v>
      </c>
      <c r="X420">
        <f t="shared" si="97"/>
        <v>2.7296699999999987</v>
      </c>
      <c r="Y420">
        <f t="shared" si="98"/>
        <v>1.1000000000000001</v>
      </c>
    </row>
    <row r="421" spans="8:25" x14ac:dyDescent="0.2">
      <c r="H421">
        <f t="shared" si="99"/>
        <v>419</v>
      </c>
      <c r="I421">
        <f t="shared" si="90"/>
        <v>570</v>
      </c>
      <c r="J421">
        <f>IFERROR(INDEX(clima!$C:$C,$I421),"")</f>
        <v>0</v>
      </c>
      <c r="K421">
        <f>IFERROR(INDEX(clima!$F:$F,$I421),"")</f>
        <v>0</v>
      </c>
      <c r="L421">
        <f>IFERROR(INDEX(clima!$J:$J,$I421),"")</f>
        <v>0</v>
      </c>
      <c r="M421">
        <f t="shared" si="91"/>
        <v>0</v>
      </c>
      <c r="N421">
        <f t="shared" si="100"/>
        <v>6505.6999999999944</v>
      </c>
      <c r="O421">
        <f t="shared" si="92"/>
        <v>0</v>
      </c>
      <c r="P421">
        <f t="shared" si="101"/>
        <v>6366.4999999999945</v>
      </c>
      <c r="Q421">
        <f t="shared" si="93"/>
        <v>0</v>
      </c>
      <c r="R421">
        <f t="shared" si="102"/>
        <v>3163.4097084359369</v>
      </c>
      <c r="S421">
        <f t="shared" si="94"/>
        <v>0</v>
      </c>
      <c r="T421">
        <f t="shared" si="103"/>
        <v>5130.7000000000025</v>
      </c>
      <c r="U421">
        <f t="shared" si="95"/>
        <v>0</v>
      </c>
      <c r="V421">
        <f t="shared" si="104"/>
        <v>1945.899999999999</v>
      </c>
      <c r="W421">
        <f t="shared" si="96"/>
        <v>419</v>
      </c>
      <c r="X421">
        <f t="shared" si="97"/>
        <v>2.7296699999999987</v>
      </c>
      <c r="Y421">
        <f t="shared" si="98"/>
        <v>1.1000000000000001</v>
      </c>
    </row>
    <row r="422" spans="8:25" x14ac:dyDescent="0.2">
      <c r="H422">
        <f t="shared" si="99"/>
        <v>420</v>
      </c>
      <c r="I422">
        <f t="shared" si="90"/>
        <v>571</v>
      </c>
      <c r="J422">
        <f>IFERROR(INDEX(clima!$C:$C,$I422),"")</f>
        <v>0</v>
      </c>
      <c r="K422">
        <f>IFERROR(INDEX(clima!$F:$F,$I422),"")</f>
        <v>0</v>
      </c>
      <c r="L422">
        <f>IFERROR(INDEX(clima!$J:$J,$I422),"")</f>
        <v>0</v>
      </c>
      <c r="M422">
        <f t="shared" si="91"/>
        <v>0</v>
      </c>
      <c r="N422">
        <f t="shared" si="100"/>
        <v>6505.6999999999944</v>
      </c>
      <c r="O422">
        <f t="shared" si="92"/>
        <v>0</v>
      </c>
      <c r="P422">
        <f t="shared" si="101"/>
        <v>6366.4999999999945</v>
      </c>
      <c r="Q422">
        <f t="shared" si="93"/>
        <v>0</v>
      </c>
      <c r="R422">
        <f t="shared" si="102"/>
        <v>3163.4097084359369</v>
      </c>
      <c r="S422">
        <f t="shared" si="94"/>
        <v>0</v>
      </c>
      <c r="T422">
        <f t="shared" si="103"/>
        <v>5130.7000000000025</v>
      </c>
      <c r="U422">
        <f t="shared" si="95"/>
        <v>0</v>
      </c>
      <c r="V422">
        <f t="shared" si="104"/>
        <v>1945.899999999999</v>
      </c>
      <c r="W422">
        <f t="shared" si="96"/>
        <v>420</v>
      </c>
      <c r="X422">
        <f t="shared" si="97"/>
        <v>2.7296699999999987</v>
      </c>
      <c r="Y422">
        <f t="shared" si="98"/>
        <v>1.1000000000000001</v>
      </c>
    </row>
    <row r="423" spans="8:25" x14ac:dyDescent="0.2">
      <c r="H423">
        <f t="shared" si="99"/>
        <v>421</v>
      </c>
      <c r="I423">
        <f t="shared" si="90"/>
        <v>572</v>
      </c>
      <c r="J423">
        <f>IFERROR(INDEX(clima!$C:$C,$I423),"")</f>
        <v>0</v>
      </c>
      <c r="K423">
        <f>IFERROR(INDEX(clima!$F:$F,$I423),"")</f>
        <v>0</v>
      </c>
      <c r="L423">
        <f>IFERROR(INDEX(clima!$J:$J,$I423),"")</f>
        <v>0</v>
      </c>
      <c r="M423">
        <f t="shared" si="91"/>
        <v>0</v>
      </c>
      <c r="N423">
        <f t="shared" si="100"/>
        <v>6505.6999999999944</v>
      </c>
      <c r="O423">
        <f t="shared" si="92"/>
        <v>0</v>
      </c>
      <c r="P423">
        <f t="shared" si="101"/>
        <v>6366.4999999999945</v>
      </c>
      <c r="Q423">
        <f t="shared" si="93"/>
        <v>0</v>
      </c>
      <c r="R423">
        <f t="shared" si="102"/>
        <v>3163.4097084359369</v>
      </c>
      <c r="S423">
        <f t="shared" si="94"/>
        <v>0</v>
      </c>
      <c r="T423">
        <f t="shared" si="103"/>
        <v>5130.7000000000025</v>
      </c>
      <c r="U423">
        <f t="shared" si="95"/>
        <v>0</v>
      </c>
      <c r="V423">
        <f t="shared" si="104"/>
        <v>1945.899999999999</v>
      </c>
      <c r="W423">
        <f t="shared" si="96"/>
        <v>421</v>
      </c>
      <c r="X423">
        <f t="shared" si="97"/>
        <v>2.7296699999999987</v>
      </c>
      <c r="Y423">
        <f t="shared" si="98"/>
        <v>1.1000000000000001</v>
      </c>
    </row>
    <row r="424" spans="8:25" x14ac:dyDescent="0.2">
      <c r="H424">
        <f t="shared" si="99"/>
        <v>422</v>
      </c>
      <c r="I424">
        <f t="shared" si="90"/>
        <v>573</v>
      </c>
      <c r="J424">
        <f>IFERROR(INDEX(clima!$C:$C,$I424),"")</f>
        <v>0</v>
      </c>
      <c r="K424">
        <f>IFERROR(INDEX(clima!$F:$F,$I424),"")</f>
        <v>0</v>
      </c>
      <c r="L424">
        <f>IFERROR(INDEX(clima!$J:$J,$I424),"")</f>
        <v>0</v>
      </c>
      <c r="M424">
        <f t="shared" si="91"/>
        <v>0</v>
      </c>
      <c r="N424">
        <f t="shared" si="100"/>
        <v>6505.6999999999944</v>
      </c>
      <c r="O424">
        <f t="shared" si="92"/>
        <v>0</v>
      </c>
      <c r="P424">
        <f t="shared" si="101"/>
        <v>6366.4999999999945</v>
      </c>
      <c r="Q424">
        <f t="shared" si="93"/>
        <v>0</v>
      </c>
      <c r="R424">
        <f t="shared" si="102"/>
        <v>3163.4097084359369</v>
      </c>
      <c r="S424">
        <f t="shared" si="94"/>
        <v>0</v>
      </c>
      <c r="T424">
        <f t="shared" si="103"/>
        <v>5130.7000000000025</v>
      </c>
      <c r="U424">
        <f t="shared" si="95"/>
        <v>0</v>
      </c>
      <c r="V424">
        <f t="shared" si="104"/>
        <v>1945.899999999999</v>
      </c>
      <c r="W424">
        <f t="shared" si="96"/>
        <v>422</v>
      </c>
      <c r="X424">
        <f t="shared" si="97"/>
        <v>2.7296699999999987</v>
      </c>
      <c r="Y424">
        <f t="shared" si="98"/>
        <v>1.1000000000000001</v>
      </c>
    </row>
    <row r="425" spans="8:25" x14ac:dyDescent="0.2">
      <c r="H425">
        <f t="shared" si="99"/>
        <v>423</v>
      </c>
      <c r="I425">
        <f t="shared" si="90"/>
        <v>574</v>
      </c>
      <c r="J425">
        <f>IFERROR(INDEX(clima!$C:$C,$I425),"")</f>
        <v>0</v>
      </c>
      <c r="K425">
        <f>IFERROR(INDEX(clima!$F:$F,$I425),"")</f>
        <v>0</v>
      </c>
      <c r="L425">
        <f>IFERROR(INDEX(clima!$J:$J,$I425),"")</f>
        <v>0</v>
      </c>
      <c r="M425">
        <f t="shared" si="91"/>
        <v>0</v>
      </c>
      <c r="N425">
        <f t="shared" si="100"/>
        <v>6505.6999999999944</v>
      </c>
      <c r="O425">
        <f t="shared" si="92"/>
        <v>0</v>
      </c>
      <c r="P425">
        <f t="shared" si="101"/>
        <v>6366.4999999999945</v>
      </c>
      <c r="Q425">
        <f t="shared" si="93"/>
        <v>0</v>
      </c>
      <c r="R425">
        <f t="shared" si="102"/>
        <v>3163.4097084359369</v>
      </c>
      <c r="S425">
        <f t="shared" si="94"/>
        <v>0</v>
      </c>
      <c r="T425">
        <f t="shared" si="103"/>
        <v>5130.7000000000025</v>
      </c>
      <c r="U425">
        <f t="shared" si="95"/>
        <v>0</v>
      </c>
      <c r="V425">
        <f t="shared" si="104"/>
        <v>1945.899999999999</v>
      </c>
      <c r="W425">
        <f t="shared" si="96"/>
        <v>423</v>
      </c>
      <c r="X425">
        <f t="shared" si="97"/>
        <v>2.7296699999999987</v>
      </c>
      <c r="Y425">
        <f t="shared" si="98"/>
        <v>1.1000000000000001</v>
      </c>
    </row>
    <row r="426" spans="8:25" x14ac:dyDescent="0.2">
      <c r="H426">
        <f t="shared" si="99"/>
        <v>424</v>
      </c>
      <c r="I426">
        <f t="shared" si="90"/>
        <v>575</v>
      </c>
      <c r="J426">
        <f>IFERROR(INDEX(clima!$C:$C,$I426),"")</f>
        <v>0</v>
      </c>
      <c r="K426">
        <f>IFERROR(INDEX(clima!$F:$F,$I426),"")</f>
        <v>0</v>
      </c>
      <c r="L426">
        <f>IFERROR(INDEX(clima!$J:$J,$I426),"")</f>
        <v>0</v>
      </c>
      <c r="M426">
        <f t="shared" si="91"/>
        <v>0</v>
      </c>
      <c r="N426">
        <f t="shared" si="100"/>
        <v>6505.6999999999944</v>
      </c>
      <c r="O426">
        <f t="shared" si="92"/>
        <v>0</v>
      </c>
      <c r="P426">
        <f t="shared" si="101"/>
        <v>6366.4999999999945</v>
      </c>
      <c r="Q426">
        <f t="shared" si="93"/>
        <v>0</v>
      </c>
      <c r="R426">
        <f t="shared" si="102"/>
        <v>3163.4097084359369</v>
      </c>
      <c r="S426">
        <f t="shared" si="94"/>
        <v>0</v>
      </c>
      <c r="T426">
        <f t="shared" si="103"/>
        <v>5130.7000000000025</v>
      </c>
      <c r="U426">
        <f t="shared" si="95"/>
        <v>0</v>
      </c>
      <c r="V426">
        <f t="shared" si="104"/>
        <v>1945.899999999999</v>
      </c>
      <c r="W426">
        <f t="shared" si="96"/>
        <v>424</v>
      </c>
      <c r="X426">
        <f t="shared" si="97"/>
        <v>2.7296699999999987</v>
      </c>
      <c r="Y426">
        <f t="shared" si="98"/>
        <v>1.1000000000000001</v>
      </c>
    </row>
    <row r="427" spans="8:25" x14ac:dyDescent="0.2">
      <c r="H427">
        <f t="shared" si="99"/>
        <v>425</v>
      </c>
      <c r="I427">
        <f t="shared" si="90"/>
        <v>576</v>
      </c>
      <c r="J427">
        <f>IFERROR(INDEX(clima!$C:$C,$I427),"")</f>
        <v>0</v>
      </c>
      <c r="K427">
        <f>IFERROR(INDEX(clima!$F:$F,$I427),"")</f>
        <v>0</v>
      </c>
      <c r="L427">
        <f>IFERROR(INDEX(clima!$J:$J,$I427),"")</f>
        <v>0</v>
      </c>
      <c r="M427">
        <f t="shared" si="91"/>
        <v>0</v>
      </c>
      <c r="N427">
        <f t="shared" si="100"/>
        <v>6505.6999999999944</v>
      </c>
      <c r="O427">
        <f t="shared" si="92"/>
        <v>0</v>
      </c>
      <c r="P427">
        <f t="shared" si="101"/>
        <v>6366.4999999999945</v>
      </c>
      <c r="Q427">
        <f t="shared" si="93"/>
        <v>0</v>
      </c>
      <c r="R427">
        <f t="shared" si="102"/>
        <v>3163.4097084359369</v>
      </c>
      <c r="S427">
        <f t="shared" si="94"/>
        <v>0</v>
      </c>
      <c r="T427">
        <f t="shared" si="103"/>
        <v>5130.7000000000025</v>
      </c>
      <c r="U427">
        <f t="shared" si="95"/>
        <v>0</v>
      </c>
      <c r="V427">
        <f t="shared" si="104"/>
        <v>1945.899999999999</v>
      </c>
      <c r="W427">
        <f t="shared" si="96"/>
        <v>425</v>
      </c>
      <c r="X427">
        <f t="shared" si="97"/>
        <v>2.7296699999999987</v>
      </c>
      <c r="Y427">
        <f t="shared" si="98"/>
        <v>1.1000000000000001</v>
      </c>
    </row>
    <row r="428" spans="8:25" x14ac:dyDescent="0.2">
      <c r="H428">
        <f t="shared" si="99"/>
        <v>426</v>
      </c>
      <c r="I428">
        <f t="shared" si="90"/>
        <v>577</v>
      </c>
      <c r="J428">
        <f>IFERROR(INDEX(clima!$C:$C,$I428),"")</f>
        <v>0</v>
      </c>
      <c r="K428">
        <f>IFERROR(INDEX(clima!$F:$F,$I428),"")</f>
        <v>0</v>
      </c>
      <c r="L428">
        <f>IFERROR(INDEX(clima!$J:$J,$I428),"")</f>
        <v>0</v>
      </c>
      <c r="M428">
        <f t="shared" si="91"/>
        <v>0</v>
      </c>
      <c r="N428">
        <f t="shared" si="100"/>
        <v>6505.6999999999944</v>
      </c>
      <c r="O428">
        <f t="shared" si="92"/>
        <v>0</v>
      </c>
      <c r="P428">
        <f t="shared" si="101"/>
        <v>6366.4999999999945</v>
      </c>
      <c r="Q428">
        <f t="shared" si="93"/>
        <v>0</v>
      </c>
      <c r="R428">
        <f t="shared" si="102"/>
        <v>3163.4097084359369</v>
      </c>
      <c r="S428">
        <f t="shared" si="94"/>
        <v>0</v>
      </c>
      <c r="T428">
        <f t="shared" si="103"/>
        <v>5130.7000000000025</v>
      </c>
      <c r="U428">
        <f t="shared" si="95"/>
        <v>0</v>
      </c>
      <c r="V428">
        <f t="shared" si="104"/>
        <v>1945.899999999999</v>
      </c>
      <c r="W428">
        <f t="shared" si="96"/>
        <v>426</v>
      </c>
      <c r="X428">
        <f t="shared" si="97"/>
        <v>2.7296699999999987</v>
      </c>
      <c r="Y428">
        <f t="shared" si="98"/>
        <v>1.1000000000000001</v>
      </c>
    </row>
    <row r="429" spans="8:25" x14ac:dyDescent="0.2">
      <c r="H429">
        <f t="shared" si="99"/>
        <v>427</v>
      </c>
      <c r="I429">
        <f t="shared" si="90"/>
        <v>578</v>
      </c>
      <c r="J429">
        <f>IFERROR(INDEX(clima!$C:$C,$I429),"")</f>
        <v>0</v>
      </c>
      <c r="K429">
        <f>IFERROR(INDEX(clima!$F:$F,$I429),"")</f>
        <v>0</v>
      </c>
      <c r="L429">
        <f>IFERROR(INDEX(clima!$J:$J,$I429),"")</f>
        <v>0</v>
      </c>
      <c r="M429">
        <f t="shared" si="91"/>
        <v>0</v>
      </c>
      <c r="N429">
        <f t="shared" si="100"/>
        <v>6505.6999999999944</v>
      </c>
      <c r="O429">
        <f t="shared" si="92"/>
        <v>0</v>
      </c>
      <c r="P429">
        <f t="shared" si="101"/>
        <v>6366.4999999999945</v>
      </c>
      <c r="Q429">
        <f t="shared" si="93"/>
        <v>0</v>
      </c>
      <c r="R429">
        <f t="shared" si="102"/>
        <v>3163.4097084359369</v>
      </c>
      <c r="S429">
        <f t="shared" si="94"/>
        <v>0</v>
      </c>
      <c r="T429">
        <f t="shared" si="103"/>
        <v>5130.7000000000025</v>
      </c>
      <c r="U429">
        <f t="shared" si="95"/>
        <v>0</v>
      </c>
      <c r="V429">
        <f t="shared" si="104"/>
        <v>1945.899999999999</v>
      </c>
      <c r="W429">
        <f t="shared" si="96"/>
        <v>427</v>
      </c>
      <c r="X429">
        <f t="shared" si="97"/>
        <v>2.7296699999999987</v>
      </c>
      <c r="Y429">
        <f t="shared" si="98"/>
        <v>1.1000000000000001</v>
      </c>
    </row>
    <row r="430" spans="8:25" x14ac:dyDescent="0.2">
      <c r="H430">
        <f t="shared" si="99"/>
        <v>428</v>
      </c>
      <c r="I430">
        <f t="shared" si="90"/>
        <v>579</v>
      </c>
      <c r="J430">
        <f>IFERROR(INDEX(clima!$C:$C,$I430),"")</f>
        <v>0</v>
      </c>
      <c r="K430">
        <f>IFERROR(INDEX(clima!$F:$F,$I430),"")</f>
        <v>0</v>
      </c>
      <c r="L430">
        <f>IFERROR(INDEX(clima!$J:$J,$I430),"")</f>
        <v>0</v>
      </c>
      <c r="M430">
        <f t="shared" si="91"/>
        <v>0</v>
      </c>
      <c r="N430">
        <f t="shared" si="100"/>
        <v>6505.6999999999944</v>
      </c>
      <c r="O430">
        <f t="shared" si="92"/>
        <v>0</v>
      </c>
      <c r="P430">
        <f t="shared" si="101"/>
        <v>6366.4999999999945</v>
      </c>
      <c r="Q430">
        <f t="shared" si="93"/>
        <v>0</v>
      </c>
      <c r="R430">
        <f t="shared" si="102"/>
        <v>3163.4097084359369</v>
      </c>
      <c r="S430">
        <f t="shared" si="94"/>
        <v>0</v>
      </c>
      <c r="T430">
        <f t="shared" si="103"/>
        <v>5130.7000000000025</v>
      </c>
      <c r="U430">
        <f t="shared" si="95"/>
        <v>0</v>
      </c>
      <c r="V430">
        <f t="shared" si="104"/>
        <v>1945.899999999999</v>
      </c>
      <c r="W430">
        <f t="shared" si="96"/>
        <v>428</v>
      </c>
      <c r="X430">
        <f t="shared" si="97"/>
        <v>2.7296699999999987</v>
      </c>
      <c r="Y430">
        <f t="shared" si="98"/>
        <v>1.1000000000000001</v>
      </c>
    </row>
    <row r="431" spans="8:25" x14ac:dyDescent="0.2">
      <c r="H431">
        <f t="shared" si="99"/>
        <v>429</v>
      </c>
      <c r="I431">
        <f t="shared" si="90"/>
        <v>580</v>
      </c>
      <c r="J431">
        <f>IFERROR(INDEX(clima!$C:$C,$I431),"")</f>
        <v>0</v>
      </c>
      <c r="K431">
        <f>IFERROR(INDEX(clima!$F:$F,$I431),"")</f>
        <v>0</v>
      </c>
      <c r="L431">
        <f>IFERROR(INDEX(clima!$J:$J,$I431),"")</f>
        <v>0</v>
      </c>
      <c r="M431">
        <f t="shared" si="91"/>
        <v>0</v>
      </c>
      <c r="N431">
        <f t="shared" si="100"/>
        <v>6505.6999999999944</v>
      </c>
      <c r="O431">
        <f t="shared" si="92"/>
        <v>0</v>
      </c>
      <c r="P431">
        <f t="shared" si="101"/>
        <v>6366.4999999999945</v>
      </c>
      <c r="Q431">
        <f t="shared" si="93"/>
        <v>0</v>
      </c>
      <c r="R431">
        <f t="shared" si="102"/>
        <v>3163.4097084359369</v>
      </c>
      <c r="S431">
        <f t="shared" si="94"/>
        <v>0</v>
      </c>
      <c r="T431">
        <f t="shared" si="103"/>
        <v>5130.7000000000025</v>
      </c>
      <c r="U431">
        <f t="shared" si="95"/>
        <v>0</v>
      </c>
      <c r="V431">
        <f t="shared" si="104"/>
        <v>1945.899999999999</v>
      </c>
      <c r="W431">
        <f t="shared" si="96"/>
        <v>429</v>
      </c>
      <c r="X431">
        <f t="shared" si="97"/>
        <v>2.7296699999999987</v>
      </c>
      <c r="Y431">
        <f t="shared" si="98"/>
        <v>1.1000000000000001</v>
      </c>
    </row>
    <row r="432" spans="8:25" x14ac:dyDescent="0.2">
      <c r="H432">
        <f t="shared" si="99"/>
        <v>430</v>
      </c>
      <c r="I432">
        <f t="shared" si="90"/>
        <v>581</v>
      </c>
      <c r="J432">
        <f>IFERROR(INDEX(clima!$C:$C,$I432),"")</f>
        <v>0</v>
      </c>
      <c r="K432">
        <f>IFERROR(INDEX(clima!$F:$F,$I432),"")</f>
        <v>0</v>
      </c>
      <c r="L432">
        <f>IFERROR(INDEX(clima!$J:$J,$I432),"")</f>
        <v>0</v>
      </c>
      <c r="M432">
        <f t="shared" si="91"/>
        <v>0</v>
      </c>
      <c r="N432">
        <f t="shared" si="100"/>
        <v>6505.6999999999944</v>
      </c>
      <c r="O432">
        <f t="shared" si="92"/>
        <v>0</v>
      </c>
      <c r="P432">
        <f t="shared" si="101"/>
        <v>6366.4999999999945</v>
      </c>
      <c r="Q432">
        <f t="shared" si="93"/>
        <v>0</v>
      </c>
      <c r="R432">
        <f t="shared" si="102"/>
        <v>3163.4097084359369</v>
      </c>
      <c r="S432">
        <f t="shared" si="94"/>
        <v>0</v>
      </c>
      <c r="T432">
        <f t="shared" si="103"/>
        <v>5130.7000000000025</v>
      </c>
      <c r="U432">
        <f t="shared" si="95"/>
        <v>0</v>
      </c>
      <c r="V432">
        <f t="shared" si="104"/>
        <v>1945.899999999999</v>
      </c>
      <c r="W432">
        <f t="shared" si="96"/>
        <v>430</v>
      </c>
      <c r="X432">
        <f t="shared" si="97"/>
        <v>2.7296699999999987</v>
      </c>
      <c r="Y432">
        <f t="shared" si="98"/>
        <v>1.1000000000000001</v>
      </c>
    </row>
    <row r="433" spans="8:25" x14ac:dyDescent="0.2">
      <c r="H433">
        <f t="shared" si="99"/>
        <v>431</v>
      </c>
      <c r="I433">
        <f t="shared" si="90"/>
        <v>582</v>
      </c>
      <c r="J433">
        <f>IFERROR(INDEX(clima!$C:$C,$I433),"")</f>
        <v>0</v>
      </c>
      <c r="K433">
        <f>IFERROR(INDEX(clima!$F:$F,$I433),"")</f>
        <v>0</v>
      </c>
      <c r="L433">
        <f>IFERROR(INDEX(clima!$J:$J,$I433),"")</f>
        <v>0</v>
      </c>
      <c r="M433">
        <f t="shared" si="91"/>
        <v>0</v>
      </c>
      <c r="N433">
        <f t="shared" si="100"/>
        <v>6505.6999999999944</v>
      </c>
      <c r="O433">
        <f t="shared" si="92"/>
        <v>0</v>
      </c>
      <c r="P433">
        <f t="shared" si="101"/>
        <v>6366.4999999999945</v>
      </c>
      <c r="Q433">
        <f t="shared" si="93"/>
        <v>0</v>
      </c>
      <c r="R433">
        <f t="shared" si="102"/>
        <v>3163.4097084359369</v>
      </c>
      <c r="S433">
        <f t="shared" si="94"/>
        <v>0</v>
      </c>
      <c r="T433">
        <f t="shared" si="103"/>
        <v>5130.7000000000025</v>
      </c>
      <c r="U433">
        <f t="shared" si="95"/>
        <v>0</v>
      </c>
      <c r="V433">
        <f t="shared" si="104"/>
        <v>1945.899999999999</v>
      </c>
      <c r="W433">
        <f t="shared" si="96"/>
        <v>431</v>
      </c>
      <c r="X433">
        <f t="shared" si="97"/>
        <v>2.7296699999999987</v>
      </c>
      <c r="Y433">
        <f t="shared" si="98"/>
        <v>1.1000000000000001</v>
      </c>
    </row>
    <row r="434" spans="8:25" x14ac:dyDescent="0.2">
      <c r="H434">
        <f t="shared" si="99"/>
        <v>432</v>
      </c>
      <c r="I434">
        <f t="shared" si="90"/>
        <v>583</v>
      </c>
      <c r="J434">
        <f>IFERROR(INDEX(clima!$C:$C,$I434),"")</f>
        <v>0</v>
      </c>
      <c r="K434">
        <f>IFERROR(INDEX(clima!$F:$F,$I434),"")</f>
        <v>0</v>
      </c>
      <c r="L434">
        <f>IFERROR(INDEX(clima!$J:$J,$I434),"")</f>
        <v>0</v>
      </c>
      <c r="M434">
        <f t="shared" si="91"/>
        <v>0</v>
      </c>
      <c r="N434">
        <f t="shared" si="100"/>
        <v>6505.6999999999944</v>
      </c>
      <c r="O434">
        <f t="shared" si="92"/>
        <v>0</v>
      </c>
      <c r="P434">
        <f t="shared" si="101"/>
        <v>6366.4999999999945</v>
      </c>
      <c r="Q434">
        <f t="shared" si="93"/>
        <v>0</v>
      </c>
      <c r="R434">
        <f t="shared" si="102"/>
        <v>3163.4097084359369</v>
      </c>
      <c r="S434">
        <f t="shared" si="94"/>
        <v>0</v>
      </c>
      <c r="T434">
        <f t="shared" si="103"/>
        <v>5130.7000000000025</v>
      </c>
      <c r="U434">
        <f t="shared" si="95"/>
        <v>0</v>
      </c>
      <c r="V434">
        <f t="shared" si="104"/>
        <v>1945.899999999999</v>
      </c>
      <c r="W434">
        <f t="shared" si="96"/>
        <v>432</v>
      </c>
      <c r="X434">
        <f t="shared" si="97"/>
        <v>2.7296699999999987</v>
      </c>
      <c r="Y434">
        <f t="shared" si="98"/>
        <v>1.1000000000000001</v>
      </c>
    </row>
    <row r="435" spans="8:25" x14ac:dyDescent="0.2">
      <c r="H435">
        <f t="shared" si="99"/>
        <v>433</v>
      </c>
      <c r="I435">
        <f t="shared" si="90"/>
        <v>584</v>
      </c>
      <c r="J435">
        <f>IFERROR(INDEX(clima!$C:$C,$I435),"")</f>
        <v>0</v>
      </c>
      <c r="K435">
        <f>IFERROR(INDEX(clima!$F:$F,$I435),"")</f>
        <v>0</v>
      </c>
      <c r="L435">
        <f>IFERROR(INDEX(clima!$J:$J,$I435),"")</f>
        <v>0</v>
      </c>
      <c r="M435">
        <f t="shared" si="91"/>
        <v>0</v>
      </c>
      <c r="N435">
        <f t="shared" si="100"/>
        <v>6505.6999999999944</v>
      </c>
      <c r="O435">
        <f t="shared" si="92"/>
        <v>0</v>
      </c>
      <c r="P435">
        <f t="shared" si="101"/>
        <v>6366.4999999999945</v>
      </c>
      <c r="Q435">
        <f t="shared" si="93"/>
        <v>0</v>
      </c>
      <c r="R435">
        <f t="shared" si="102"/>
        <v>3163.4097084359369</v>
      </c>
      <c r="S435">
        <f t="shared" si="94"/>
        <v>0</v>
      </c>
      <c r="T435">
        <f t="shared" si="103"/>
        <v>5130.7000000000025</v>
      </c>
      <c r="U435">
        <f t="shared" si="95"/>
        <v>0</v>
      </c>
      <c r="V435">
        <f t="shared" si="104"/>
        <v>1945.899999999999</v>
      </c>
      <c r="W435">
        <f t="shared" si="96"/>
        <v>433</v>
      </c>
      <c r="X435">
        <f t="shared" si="97"/>
        <v>2.7296699999999987</v>
      </c>
      <c r="Y435">
        <f t="shared" si="98"/>
        <v>1.1000000000000001</v>
      </c>
    </row>
    <row r="436" spans="8:25" x14ac:dyDescent="0.2">
      <c r="H436">
        <f t="shared" si="99"/>
        <v>434</v>
      </c>
      <c r="I436">
        <f t="shared" si="90"/>
        <v>585</v>
      </c>
      <c r="J436">
        <f>IFERROR(INDEX(clima!$C:$C,$I436),"")</f>
        <v>0</v>
      </c>
      <c r="K436">
        <f>IFERROR(INDEX(clima!$F:$F,$I436),"")</f>
        <v>0</v>
      </c>
      <c r="L436">
        <f>IFERROR(INDEX(clima!$J:$J,$I436),"")</f>
        <v>0</v>
      </c>
      <c r="M436">
        <f t="shared" si="91"/>
        <v>0</v>
      </c>
      <c r="N436">
        <f t="shared" si="100"/>
        <v>6505.6999999999944</v>
      </c>
      <c r="O436">
        <f t="shared" si="92"/>
        <v>0</v>
      </c>
      <c r="P436">
        <f t="shared" si="101"/>
        <v>6366.4999999999945</v>
      </c>
      <c r="Q436">
        <f t="shared" si="93"/>
        <v>0</v>
      </c>
      <c r="R436">
        <f t="shared" si="102"/>
        <v>3163.4097084359369</v>
      </c>
      <c r="S436">
        <f t="shared" si="94"/>
        <v>0</v>
      </c>
      <c r="T436">
        <f t="shared" si="103"/>
        <v>5130.7000000000025</v>
      </c>
      <c r="U436">
        <f t="shared" si="95"/>
        <v>0</v>
      </c>
      <c r="V436">
        <f t="shared" si="104"/>
        <v>1945.899999999999</v>
      </c>
      <c r="W436">
        <f t="shared" si="96"/>
        <v>434</v>
      </c>
      <c r="X436">
        <f t="shared" si="97"/>
        <v>2.7296699999999987</v>
      </c>
      <c r="Y436">
        <f t="shared" si="98"/>
        <v>1.1000000000000001</v>
      </c>
    </row>
    <row r="437" spans="8:25" x14ac:dyDescent="0.2">
      <c r="H437">
        <f t="shared" si="99"/>
        <v>435</v>
      </c>
      <c r="I437">
        <f t="shared" si="90"/>
        <v>586</v>
      </c>
      <c r="J437">
        <f>IFERROR(INDEX(clima!$C:$C,$I437),"")</f>
        <v>0</v>
      </c>
      <c r="K437">
        <f>IFERROR(INDEX(clima!$F:$F,$I437),"")</f>
        <v>0</v>
      </c>
      <c r="L437">
        <f>IFERROR(INDEX(clima!$J:$J,$I437),"")</f>
        <v>0</v>
      </c>
      <c r="M437">
        <f t="shared" si="91"/>
        <v>0</v>
      </c>
      <c r="N437">
        <f t="shared" si="100"/>
        <v>6505.6999999999944</v>
      </c>
      <c r="O437">
        <f t="shared" si="92"/>
        <v>0</v>
      </c>
      <c r="P437">
        <f t="shared" si="101"/>
        <v>6366.4999999999945</v>
      </c>
      <c r="Q437">
        <f t="shared" si="93"/>
        <v>0</v>
      </c>
      <c r="R437">
        <f t="shared" si="102"/>
        <v>3163.4097084359369</v>
      </c>
      <c r="S437">
        <f t="shared" si="94"/>
        <v>0</v>
      </c>
      <c r="T437">
        <f t="shared" si="103"/>
        <v>5130.7000000000025</v>
      </c>
      <c r="U437">
        <f t="shared" si="95"/>
        <v>0</v>
      </c>
      <c r="V437">
        <f t="shared" si="104"/>
        <v>1945.899999999999</v>
      </c>
      <c r="W437">
        <f t="shared" si="96"/>
        <v>435</v>
      </c>
      <c r="X437">
        <f t="shared" si="97"/>
        <v>2.7296699999999987</v>
      </c>
      <c r="Y437">
        <f t="shared" si="98"/>
        <v>1.1000000000000001</v>
      </c>
    </row>
    <row r="438" spans="8:25" x14ac:dyDescent="0.2">
      <c r="H438">
        <f t="shared" si="99"/>
        <v>436</v>
      </c>
      <c r="I438">
        <f t="shared" si="90"/>
        <v>587</v>
      </c>
      <c r="J438">
        <f>IFERROR(INDEX(clima!$C:$C,$I438),"")</f>
        <v>0</v>
      </c>
      <c r="K438">
        <f>IFERROR(INDEX(clima!$F:$F,$I438),"")</f>
        <v>0</v>
      </c>
      <c r="L438">
        <f>IFERROR(INDEX(clima!$J:$J,$I438),"")</f>
        <v>0</v>
      </c>
      <c r="M438">
        <f t="shared" si="91"/>
        <v>0</v>
      </c>
      <c r="N438">
        <f t="shared" si="100"/>
        <v>6505.6999999999944</v>
      </c>
      <c r="O438">
        <f t="shared" si="92"/>
        <v>0</v>
      </c>
      <c r="P438">
        <f t="shared" si="101"/>
        <v>6366.4999999999945</v>
      </c>
      <c r="Q438">
        <f t="shared" si="93"/>
        <v>0</v>
      </c>
      <c r="R438">
        <f t="shared" si="102"/>
        <v>3163.4097084359369</v>
      </c>
      <c r="S438">
        <f t="shared" si="94"/>
        <v>0</v>
      </c>
      <c r="T438">
        <f t="shared" si="103"/>
        <v>5130.7000000000025</v>
      </c>
      <c r="U438">
        <f t="shared" si="95"/>
        <v>0</v>
      </c>
      <c r="V438">
        <f t="shared" si="104"/>
        <v>1945.899999999999</v>
      </c>
      <c r="W438">
        <f t="shared" si="96"/>
        <v>436</v>
      </c>
      <c r="X438">
        <f t="shared" si="97"/>
        <v>2.7296699999999987</v>
      </c>
      <c r="Y438">
        <f t="shared" si="98"/>
        <v>1.1000000000000001</v>
      </c>
    </row>
    <row r="439" spans="8:25" x14ac:dyDescent="0.2">
      <c r="H439">
        <f t="shared" si="99"/>
        <v>437</v>
      </c>
      <c r="I439">
        <f t="shared" si="90"/>
        <v>588</v>
      </c>
      <c r="J439">
        <f>IFERROR(INDEX(clima!$C:$C,$I439),"")</f>
        <v>0</v>
      </c>
      <c r="K439">
        <f>IFERROR(INDEX(clima!$F:$F,$I439),"")</f>
        <v>0</v>
      </c>
      <c r="L439">
        <f>IFERROR(INDEX(clima!$J:$J,$I439),"")</f>
        <v>0</v>
      </c>
      <c r="M439">
        <f t="shared" si="91"/>
        <v>0</v>
      </c>
      <c r="N439">
        <f t="shared" si="100"/>
        <v>6505.6999999999944</v>
      </c>
      <c r="O439">
        <f t="shared" si="92"/>
        <v>0</v>
      </c>
      <c r="P439">
        <f t="shared" si="101"/>
        <v>6366.4999999999945</v>
      </c>
      <c r="Q439">
        <f t="shared" si="93"/>
        <v>0</v>
      </c>
      <c r="R439">
        <f t="shared" si="102"/>
        <v>3163.4097084359369</v>
      </c>
      <c r="S439">
        <f t="shared" si="94"/>
        <v>0</v>
      </c>
      <c r="T439">
        <f t="shared" si="103"/>
        <v>5130.7000000000025</v>
      </c>
      <c r="U439">
        <f t="shared" si="95"/>
        <v>0</v>
      </c>
      <c r="V439">
        <f t="shared" si="104"/>
        <v>1945.899999999999</v>
      </c>
      <c r="W439">
        <f t="shared" si="96"/>
        <v>437</v>
      </c>
      <c r="X439">
        <f t="shared" si="97"/>
        <v>2.7296699999999987</v>
      </c>
      <c r="Y439">
        <f t="shared" si="98"/>
        <v>1.1000000000000001</v>
      </c>
    </row>
    <row r="440" spans="8:25" x14ac:dyDescent="0.2">
      <c r="H440">
        <f t="shared" si="99"/>
        <v>438</v>
      </c>
      <c r="I440">
        <f t="shared" si="90"/>
        <v>589</v>
      </c>
      <c r="J440">
        <f>IFERROR(INDEX(clima!$C:$C,$I440),"")</f>
        <v>0</v>
      </c>
      <c r="K440">
        <f>IFERROR(INDEX(clima!$F:$F,$I440),"")</f>
        <v>0</v>
      </c>
      <c r="L440">
        <f>IFERROR(INDEX(clima!$J:$J,$I440),"")</f>
        <v>0</v>
      </c>
      <c r="M440">
        <f t="shared" si="91"/>
        <v>0</v>
      </c>
      <c r="N440">
        <f t="shared" si="100"/>
        <v>6505.6999999999944</v>
      </c>
      <c r="O440">
        <f t="shared" si="92"/>
        <v>0</v>
      </c>
      <c r="P440">
        <f t="shared" si="101"/>
        <v>6366.4999999999945</v>
      </c>
      <c r="Q440">
        <f t="shared" si="93"/>
        <v>0</v>
      </c>
      <c r="R440">
        <f t="shared" si="102"/>
        <v>3163.4097084359369</v>
      </c>
      <c r="S440">
        <f t="shared" si="94"/>
        <v>0</v>
      </c>
      <c r="T440">
        <f t="shared" si="103"/>
        <v>5130.7000000000025</v>
      </c>
      <c r="U440">
        <f t="shared" si="95"/>
        <v>0</v>
      </c>
      <c r="V440">
        <f t="shared" si="104"/>
        <v>1945.899999999999</v>
      </c>
      <c r="W440">
        <f t="shared" si="96"/>
        <v>438</v>
      </c>
      <c r="X440">
        <f t="shared" si="97"/>
        <v>2.7296699999999987</v>
      </c>
      <c r="Y440">
        <f t="shared" si="98"/>
        <v>1.1000000000000001</v>
      </c>
    </row>
    <row r="441" spans="8:25" x14ac:dyDescent="0.2">
      <c r="H441">
        <f t="shared" si="99"/>
        <v>439</v>
      </c>
      <c r="I441">
        <f t="shared" si="90"/>
        <v>590</v>
      </c>
      <c r="J441">
        <f>IFERROR(INDEX(clima!$C:$C,$I441),"")</f>
        <v>0</v>
      </c>
      <c r="K441">
        <f>IFERROR(INDEX(clima!$F:$F,$I441),"")</f>
        <v>0</v>
      </c>
      <c r="L441">
        <f>IFERROR(INDEX(clima!$J:$J,$I441),"")</f>
        <v>0</v>
      </c>
      <c r="M441">
        <f t="shared" si="91"/>
        <v>0</v>
      </c>
      <c r="N441">
        <f t="shared" si="100"/>
        <v>6505.6999999999944</v>
      </c>
      <c r="O441">
        <f t="shared" si="92"/>
        <v>0</v>
      </c>
      <c r="P441">
        <f t="shared" si="101"/>
        <v>6366.4999999999945</v>
      </c>
      <c r="Q441">
        <f t="shared" si="93"/>
        <v>0</v>
      </c>
      <c r="R441">
        <f t="shared" si="102"/>
        <v>3163.4097084359369</v>
      </c>
      <c r="S441">
        <f t="shared" si="94"/>
        <v>0</v>
      </c>
      <c r="T441">
        <f t="shared" si="103"/>
        <v>5130.7000000000025</v>
      </c>
      <c r="U441">
        <f t="shared" si="95"/>
        <v>0</v>
      </c>
      <c r="V441">
        <f t="shared" si="104"/>
        <v>1945.899999999999</v>
      </c>
      <c r="W441">
        <f t="shared" si="96"/>
        <v>439</v>
      </c>
      <c r="X441">
        <f t="shared" si="97"/>
        <v>2.7296699999999987</v>
      </c>
      <c r="Y441">
        <f t="shared" si="98"/>
        <v>1.1000000000000001</v>
      </c>
    </row>
    <row r="442" spans="8:25" x14ac:dyDescent="0.2">
      <c r="H442">
        <f t="shared" si="99"/>
        <v>440</v>
      </c>
      <c r="I442">
        <f t="shared" si="90"/>
        <v>591</v>
      </c>
      <c r="J442">
        <f>IFERROR(INDEX(clima!$C:$C,$I442),"")</f>
        <v>0</v>
      </c>
      <c r="K442">
        <f>IFERROR(INDEX(clima!$F:$F,$I442),"")</f>
        <v>0</v>
      </c>
      <c r="L442">
        <f>IFERROR(INDEX(clima!$J:$J,$I442),"")</f>
        <v>0</v>
      </c>
      <c r="M442">
        <f t="shared" si="91"/>
        <v>0</v>
      </c>
      <c r="N442">
        <f t="shared" si="100"/>
        <v>6505.6999999999944</v>
      </c>
      <c r="O442">
        <f t="shared" si="92"/>
        <v>0</v>
      </c>
      <c r="P442">
        <f t="shared" si="101"/>
        <v>6366.4999999999945</v>
      </c>
      <c r="Q442">
        <f t="shared" si="93"/>
        <v>0</v>
      </c>
      <c r="R442">
        <f t="shared" si="102"/>
        <v>3163.4097084359369</v>
      </c>
      <c r="S442">
        <f t="shared" si="94"/>
        <v>0</v>
      </c>
      <c r="T442">
        <f t="shared" si="103"/>
        <v>5130.7000000000025</v>
      </c>
      <c r="U442">
        <f t="shared" si="95"/>
        <v>0</v>
      </c>
      <c r="V442">
        <f t="shared" si="104"/>
        <v>1945.899999999999</v>
      </c>
      <c r="W442">
        <f t="shared" si="96"/>
        <v>440</v>
      </c>
      <c r="X442">
        <f t="shared" si="97"/>
        <v>2.7296699999999987</v>
      </c>
      <c r="Y442">
        <f t="shared" si="98"/>
        <v>1.1000000000000001</v>
      </c>
    </row>
    <row r="443" spans="8:25" x14ac:dyDescent="0.2">
      <c r="H443">
        <f t="shared" si="99"/>
        <v>441</v>
      </c>
      <c r="I443">
        <f t="shared" si="90"/>
        <v>592</v>
      </c>
      <c r="J443">
        <f>IFERROR(INDEX(clima!$C:$C,$I443),"")</f>
        <v>0</v>
      </c>
      <c r="K443">
        <f>IFERROR(INDEX(clima!$F:$F,$I443),"")</f>
        <v>0</v>
      </c>
      <c r="L443">
        <f>IFERROR(INDEX(clima!$J:$J,$I443),"")</f>
        <v>0</v>
      </c>
      <c r="M443">
        <f t="shared" si="91"/>
        <v>0</v>
      </c>
      <c r="N443">
        <f t="shared" si="100"/>
        <v>6505.6999999999944</v>
      </c>
      <c r="O443">
        <f t="shared" si="92"/>
        <v>0</v>
      </c>
      <c r="P443">
        <f t="shared" si="101"/>
        <v>6366.4999999999945</v>
      </c>
      <c r="Q443">
        <f t="shared" si="93"/>
        <v>0</v>
      </c>
      <c r="R443">
        <f t="shared" si="102"/>
        <v>3163.4097084359369</v>
      </c>
      <c r="S443">
        <f t="shared" si="94"/>
        <v>0</v>
      </c>
      <c r="T443">
        <f t="shared" si="103"/>
        <v>5130.7000000000025</v>
      </c>
      <c r="U443">
        <f t="shared" si="95"/>
        <v>0</v>
      </c>
      <c r="V443">
        <f t="shared" si="104"/>
        <v>1945.899999999999</v>
      </c>
      <c r="W443">
        <f t="shared" si="96"/>
        <v>441</v>
      </c>
      <c r="X443">
        <f t="shared" si="97"/>
        <v>2.7296699999999987</v>
      </c>
      <c r="Y443">
        <f t="shared" si="98"/>
        <v>1.1000000000000001</v>
      </c>
    </row>
    <row r="444" spans="8:25" x14ac:dyDescent="0.2">
      <c r="H444">
        <f t="shared" si="99"/>
        <v>442</v>
      </c>
      <c r="I444">
        <f t="shared" si="90"/>
        <v>593</v>
      </c>
      <c r="J444">
        <f>IFERROR(INDEX(clima!$C:$C,$I444),"")</f>
        <v>0</v>
      </c>
      <c r="K444">
        <f>IFERROR(INDEX(clima!$F:$F,$I444),"")</f>
        <v>0</v>
      </c>
      <c r="L444">
        <f>IFERROR(INDEX(clima!$J:$J,$I444),"")</f>
        <v>0</v>
      </c>
      <c r="M444">
        <f t="shared" si="91"/>
        <v>0</v>
      </c>
      <c r="N444">
        <f t="shared" si="100"/>
        <v>6505.6999999999944</v>
      </c>
      <c r="O444">
        <f t="shared" si="92"/>
        <v>0</v>
      </c>
      <c r="P444">
        <f t="shared" si="101"/>
        <v>6366.4999999999945</v>
      </c>
      <c r="Q444">
        <f t="shared" si="93"/>
        <v>0</v>
      </c>
      <c r="R444">
        <f t="shared" si="102"/>
        <v>3163.4097084359369</v>
      </c>
      <c r="S444">
        <f t="shared" si="94"/>
        <v>0</v>
      </c>
      <c r="T444">
        <f t="shared" si="103"/>
        <v>5130.7000000000025</v>
      </c>
      <c r="U444">
        <f t="shared" si="95"/>
        <v>0</v>
      </c>
      <c r="V444">
        <f t="shared" si="104"/>
        <v>1945.899999999999</v>
      </c>
      <c r="W444">
        <f t="shared" si="96"/>
        <v>442</v>
      </c>
      <c r="X444">
        <f t="shared" si="97"/>
        <v>2.7296699999999987</v>
      </c>
      <c r="Y444">
        <f t="shared" si="98"/>
        <v>1.1000000000000001</v>
      </c>
    </row>
    <row r="445" spans="8:25" x14ac:dyDescent="0.2">
      <c r="H445">
        <f t="shared" si="99"/>
        <v>443</v>
      </c>
      <c r="I445">
        <f t="shared" si="90"/>
        <v>594</v>
      </c>
      <c r="J445">
        <f>IFERROR(INDEX(clima!$C:$C,$I445),"")</f>
        <v>0</v>
      </c>
      <c r="K445">
        <f>IFERROR(INDEX(clima!$F:$F,$I445),"")</f>
        <v>0</v>
      </c>
      <c r="L445">
        <f>IFERROR(INDEX(clima!$J:$J,$I445),"")</f>
        <v>0</v>
      </c>
      <c r="M445">
        <f t="shared" si="91"/>
        <v>0</v>
      </c>
      <c r="N445">
        <f t="shared" si="100"/>
        <v>6505.6999999999944</v>
      </c>
      <c r="O445">
        <f t="shared" si="92"/>
        <v>0</v>
      </c>
      <c r="P445">
        <f t="shared" si="101"/>
        <v>6366.4999999999945</v>
      </c>
      <c r="Q445">
        <f t="shared" si="93"/>
        <v>0</v>
      </c>
      <c r="R445">
        <f t="shared" si="102"/>
        <v>3163.4097084359369</v>
      </c>
      <c r="S445">
        <f t="shared" si="94"/>
        <v>0</v>
      </c>
      <c r="T445">
        <f t="shared" si="103"/>
        <v>5130.7000000000025</v>
      </c>
      <c r="U445">
        <f t="shared" si="95"/>
        <v>0</v>
      </c>
      <c r="V445">
        <f t="shared" si="104"/>
        <v>1945.899999999999</v>
      </c>
      <c r="W445">
        <f t="shared" si="96"/>
        <v>443</v>
      </c>
      <c r="X445">
        <f t="shared" si="97"/>
        <v>2.7296699999999987</v>
      </c>
      <c r="Y445">
        <f t="shared" si="98"/>
        <v>1.1000000000000001</v>
      </c>
    </row>
    <row r="446" spans="8:25" x14ac:dyDescent="0.2">
      <c r="H446">
        <f t="shared" si="99"/>
        <v>444</v>
      </c>
      <c r="I446">
        <f t="shared" si="90"/>
        <v>595</v>
      </c>
      <c r="J446">
        <f>IFERROR(INDEX(clima!$C:$C,$I446),"")</f>
        <v>0</v>
      </c>
      <c r="K446">
        <f>IFERROR(INDEX(clima!$F:$F,$I446),"")</f>
        <v>0</v>
      </c>
      <c r="L446">
        <f>IFERROR(INDEX(clima!$J:$J,$I446),"")</f>
        <v>0</v>
      </c>
      <c r="M446">
        <f t="shared" si="91"/>
        <v>0</v>
      </c>
      <c r="N446">
        <f t="shared" si="100"/>
        <v>6505.6999999999944</v>
      </c>
      <c r="O446">
        <f t="shared" si="92"/>
        <v>0</v>
      </c>
      <c r="P446">
        <f t="shared" si="101"/>
        <v>6366.4999999999945</v>
      </c>
      <c r="Q446">
        <f t="shared" si="93"/>
        <v>0</v>
      </c>
      <c r="R446">
        <f t="shared" si="102"/>
        <v>3163.4097084359369</v>
      </c>
      <c r="S446">
        <f t="shared" si="94"/>
        <v>0</v>
      </c>
      <c r="T446">
        <f t="shared" si="103"/>
        <v>5130.7000000000025</v>
      </c>
      <c r="U446">
        <f t="shared" si="95"/>
        <v>0</v>
      </c>
      <c r="V446">
        <f t="shared" si="104"/>
        <v>1945.899999999999</v>
      </c>
      <c r="W446">
        <f t="shared" si="96"/>
        <v>444</v>
      </c>
      <c r="X446">
        <f t="shared" si="97"/>
        <v>2.7296699999999987</v>
      </c>
      <c r="Y446">
        <f t="shared" si="98"/>
        <v>1.1000000000000001</v>
      </c>
    </row>
    <row r="447" spans="8:25" x14ac:dyDescent="0.2">
      <c r="H447">
        <f t="shared" si="99"/>
        <v>445</v>
      </c>
      <c r="I447">
        <f t="shared" si="90"/>
        <v>596</v>
      </c>
      <c r="J447">
        <f>IFERROR(INDEX(clima!$C:$C,$I447),"")</f>
        <v>0</v>
      </c>
      <c r="K447">
        <f>IFERROR(INDEX(clima!$F:$F,$I447),"")</f>
        <v>0</v>
      </c>
      <c r="L447">
        <f>IFERROR(INDEX(clima!$J:$J,$I447),"")</f>
        <v>0</v>
      </c>
      <c r="M447">
        <f t="shared" si="91"/>
        <v>0</v>
      </c>
      <c r="N447">
        <f t="shared" si="100"/>
        <v>6505.6999999999944</v>
      </c>
      <c r="O447">
        <f t="shared" si="92"/>
        <v>0</v>
      </c>
      <c r="P447">
        <f t="shared" si="101"/>
        <v>6366.4999999999945</v>
      </c>
      <c r="Q447">
        <f t="shared" si="93"/>
        <v>0</v>
      </c>
      <c r="R447">
        <f t="shared" si="102"/>
        <v>3163.4097084359369</v>
      </c>
      <c r="S447">
        <f t="shared" si="94"/>
        <v>0</v>
      </c>
      <c r="T447">
        <f t="shared" si="103"/>
        <v>5130.7000000000025</v>
      </c>
      <c r="U447">
        <f t="shared" si="95"/>
        <v>0</v>
      </c>
      <c r="V447">
        <f t="shared" si="104"/>
        <v>1945.899999999999</v>
      </c>
      <c r="W447">
        <f t="shared" si="96"/>
        <v>445</v>
      </c>
      <c r="X447">
        <f t="shared" si="97"/>
        <v>2.7296699999999987</v>
      </c>
      <c r="Y447">
        <f t="shared" si="98"/>
        <v>1.1000000000000001</v>
      </c>
    </row>
    <row r="448" spans="8:25" x14ac:dyDescent="0.2">
      <c r="H448">
        <f t="shared" si="99"/>
        <v>446</v>
      </c>
      <c r="I448">
        <f t="shared" si="90"/>
        <v>597</v>
      </c>
      <c r="J448">
        <f>IFERROR(INDEX(clima!$C:$C,$I448),"")</f>
        <v>0</v>
      </c>
      <c r="K448">
        <f>IFERROR(INDEX(clima!$F:$F,$I448),"")</f>
        <v>0</v>
      </c>
      <c r="L448">
        <f>IFERROR(INDEX(clima!$J:$J,$I448),"")</f>
        <v>0</v>
      </c>
      <c r="M448">
        <f t="shared" si="91"/>
        <v>0</v>
      </c>
      <c r="N448">
        <f t="shared" si="100"/>
        <v>6505.6999999999944</v>
      </c>
      <c r="O448">
        <f t="shared" si="92"/>
        <v>0</v>
      </c>
      <c r="P448">
        <f t="shared" si="101"/>
        <v>6366.4999999999945</v>
      </c>
      <c r="Q448">
        <f t="shared" si="93"/>
        <v>0</v>
      </c>
      <c r="R448">
        <f t="shared" si="102"/>
        <v>3163.4097084359369</v>
      </c>
      <c r="S448">
        <f t="shared" si="94"/>
        <v>0</v>
      </c>
      <c r="T448">
        <f t="shared" si="103"/>
        <v>5130.7000000000025</v>
      </c>
      <c r="U448">
        <f t="shared" si="95"/>
        <v>0</v>
      </c>
      <c r="V448">
        <f t="shared" si="104"/>
        <v>1945.899999999999</v>
      </c>
      <c r="W448">
        <f t="shared" si="96"/>
        <v>446</v>
      </c>
      <c r="X448">
        <f t="shared" si="97"/>
        <v>2.7296699999999987</v>
      </c>
      <c r="Y448">
        <f t="shared" si="98"/>
        <v>1.1000000000000001</v>
      </c>
    </row>
    <row r="449" spans="8:25" x14ac:dyDescent="0.2">
      <c r="H449">
        <f t="shared" si="99"/>
        <v>447</v>
      </c>
      <c r="I449">
        <f t="shared" si="90"/>
        <v>598</v>
      </c>
      <c r="J449">
        <f>IFERROR(INDEX(clima!$C:$C,$I449),"")</f>
        <v>0</v>
      </c>
      <c r="K449">
        <f>IFERROR(INDEX(clima!$F:$F,$I449),"")</f>
        <v>0</v>
      </c>
      <c r="L449">
        <f>IFERROR(INDEX(clima!$J:$J,$I449),"")</f>
        <v>0</v>
      </c>
      <c r="M449">
        <f t="shared" si="91"/>
        <v>0</v>
      </c>
      <c r="N449">
        <f t="shared" si="100"/>
        <v>6505.6999999999944</v>
      </c>
      <c r="O449">
        <f t="shared" si="92"/>
        <v>0</v>
      </c>
      <c r="P449">
        <f t="shared" si="101"/>
        <v>6366.4999999999945</v>
      </c>
      <c r="Q449">
        <f t="shared" si="93"/>
        <v>0</v>
      </c>
      <c r="R449">
        <f t="shared" si="102"/>
        <v>3163.4097084359369</v>
      </c>
      <c r="S449">
        <f t="shared" si="94"/>
        <v>0</v>
      </c>
      <c r="T449">
        <f t="shared" si="103"/>
        <v>5130.7000000000025</v>
      </c>
      <c r="U449">
        <f t="shared" si="95"/>
        <v>0</v>
      </c>
      <c r="V449">
        <f t="shared" si="104"/>
        <v>1945.899999999999</v>
      </c>
      <c r="W449">
        <f t="shared" si="96"/>
        <v>447</v>
      </c>
      <c r="X449">
        <f t="shared" si="97"/>
        <v>2.7296699999999987</v>
      </c>
      <c r="Y449">
        <f t="shared" si="98"/>
        <v>1.1000000000000001</v>
      </c>
    </row>
    <row r="450" spans="8:25" x14ac:dyDescent="0.2">
      <c r="H450">
        <f t="shared" si="99"/>
        <v>448</v>
      </c>
      <c r="I450">
        <f t="shared" ref="I450:I513" si="105">$F$26+H450</f>
        <v>599</v>
      </c>
      <c r="J450">
        <f>IFERROR(INDEX(clima!$C:$C,$I450),"")</f>
        <v>0</v>
      </c>
      <c r="K450">
        <f>IFERROR(INDEX(clima!$F:$F,$I450),"")</f>
        <v>0</v>
      </c>
      <c r="L450">
        <f>IFERROR(INDEX(clima!$J:$J,$I450),"")</f>
        <v>0</v>
      </c>
      <c r="M450">
        <f t="shared" ref="M450:M501" si="106">IF($K450="","",MAX(0,(IF($B$2="soja",MIN($K450,$F$4),$K450))-$F$2))</f>
        <v>0</v>
      </c>
      <c r="N450">
        <f t="shared" si="100"/>
        <v>6505.6999999999944</v>
      </c>
      <c r="O450">
        <f t="shared" ref="O450:O501" si="107">IF($K450="","",IF($I450&lt;$F$27,0,MAX(0,(IF($B$2="soja",MIN($K450,$F$4),$K450))-$F$3)))</f>
        <v>0</v>
      </c>
      <c r="P450">
        <f t="shared" si="101"/>
        <v>6366.4999999999945</v>
      </c>
      <c r="Q450">
        <f t="shared" ref="Q450:Q501" si="108">IF($K450="","",IF($I450&lt;$F$27,0,IF($B$2="trigo",MAX(0,$K450-$F$2)*MAX(0,(1-(((20-MIN(20,$L450))^2)*(0.01*$F$8)))),IF($B$2="maiz",MAX(0,$K450-$F$3),IF($B$2="soja",MAX(0,MIN($K450,$F$4)-$F$3)*MIN(1,MAX(0,1-MAX(0,($L450-$F$17))*0.3)),0)))))</f>
        <v>0</v>
      </c>
      <c r="R450">
        <f t="shared" si="102"/>
        <v>3163.4097084359369</v>
      </c>
      <c r="S450">
        <f t="shared" ref="S450:S501" si="109">IF($K450="","",IF($I450&lt;$F$28,0,IF($B$2="trigo",MAX(0,$K450),IF($B$2="soja",MAX(0,MIN($K450,$F$4)-$F$3)*MIN(1,MAX(0,1-MAX(0,($L450-$F$19))*0.3)),0))))</f>
        <v>0</v>
      </c>
      <c r="T450">
        <f t="shared" si="103"/>
        <v>5130.7000000000025</v>
      </c>
      <c r="U450">
        <f t="shared" ref="U450:U501" si="110">IF($K450="","",IF(OR($I450&lt;$F$27,$I450&gt;$F$42),0,MAX(0,$K450-$F$37)))</f>
        <v>0</v>
      </c>
      <c r="V450">
        <f t="shared" si="104"/>
        <v>1945.899999999999</v>
      </c>
      <c r="W450">
        <f t="shared" ref="W450:W501" si="111">H450</f>
        <v>448</v>
      </c>
      <c r="X450">
        <f t="shared" ref="X450:X501" si="112">IF($I450="","",IF($I450&lt;$F$27,$F$38,IF($I450&lt;=$F$42,$F$38+($F$39*$V450)/100,$F$38+($F$39*INDEX($V:$V,$F$42))/100)))</f>
        <v>2.7296699999999987</v>
      </c>
      <c r="Y450">
        <f t="shared" ref="Y450:Y501" si="113">IF($I450="","",IF($I450&lt;$F$27,0,IF($P450&lt;=$F$6,$F$40,IF($P450&gt;=$F$7,$F$41,$F$40+($F$41-$F$40)*($P450-$F$6)/($F$7-$F$6)))))</f>
        <v>1.1000000000000001</v>
      </c>
    </row>
    <row r="451" spans="8:25" x14ac:dyDescent="0.2">
      <c r="H451">
        <f t="shared" ref="H451:H501" si="114">H450+1</f>
        <v>449</v>
      </c>
      <c r="I451">
        <f t="shared" si="105"/>
        <v>600</v>
      </c>
      <c r="J451">
        <f>IFERROR(INDEX(clima!$C:$C,$I451),"")</f>
        <v>0</v>
      </c>
      <c r="K451">
        <f>IFERROR(INDEX(clima!$F:$F,$I451),"")</f>
        <v>0</v>
      </c>
      <c r="L451">
        <f>IFERROR(INDEX(clima!$J:$J,$I451),"")</f>
        <v>0</v>
      </c>
      <c r="M451">
        <f t="shared" si="106"/>
        <v>0</v>
      </c>
      <c r="N451">
        <f t="shared" ref="N451:N514" si="115">IF(M451="",N450,N450+M451)</f>
        <v>6505.6999999999944</v>
      </c>
      <c r="O451">
        <f t="shared" si="107"/>
        <v>0</v>
      </c>
      <c r="P451">
        <f t="shared" ref="P451:P514" si="116">IF(O451="",P450,P450+O451)</f>
        <v>6366.4999999999945</v>
      </c>
      <c r="Q451">
        <f t="shared" si="108"/>
        <v>0</v>
      </c>
      <c r="R451">
        <f t="shared" ref="R451:R514" si="117">IF(Q451="",R450,R450+Q451)</f>
        <v>3163.4097084359369</v>
      </c>
      <c r="S451">
        <f t="shared" si="109"/>
        <v>0</v>
      </c>
      <c r="T451">
        <f t="shared" ref="T451:T514" si="118">IF(S451="",T450,T450+S451)</f>
        <v>5130.7000000000025</v>
      </c>
      <c r="U451">
        <f t="shared" si="110"/>
        <v>0</v>
      </c>
      <c r="V451">
        <f t="shared" ref="V451:V514" si="119">IF(U451="",V450,V450+U451)</f>
        <v>1945.899999999999</v>
      </c>
      <c r="W451">
        <f t="shared" si="111"/>
        <v>449</v>
      </c>
      <c r="X451">
        <f t="shared" si="112"/>
        <v>2.7296699999999987</v>
      </c>
      <c r="Y451">
        <f t="shared" si="113"/>
        <v>1.1000000000000001</v>
      </c>
    </row>
    <row r="452" spans="8:25" x14ac:dyDescent="0.2">
      <c r="H452">
        <f t="shared" si="114"/>
        <v>450</v>
      </c>
      <c r="I452">
        <f t="shared" si="105"/>
        <v>601</v>
      </c>
      <c r="J452">
        <f>IFERROR(INDEX(clima!$C:$C,$I452),"")</f>
        <v>0</v>
      </c>
      <c r="K452">
        <f>IFERROR(INDEX(clima!$F:$F,$I452),"")</f>
        <v>0</v>
      </c>
      <c r="L452">
        <f>IFERROR(INDEX(clima!$J:$J,$I452),"")</f>
        <v>0</v>
      </c>
      <c r="M452">
        <f t="shared" si="106"/>
        <v>0</v>
      </c>
      <c r="N452">
        <f t="shared" si="115"/>
        <v>6505.6999999999944</v>
      </c>
      <c r="O452">
        <f t="shared" si="107"/>
        <v>0</v>
      </c>
      <c r="P452">
        <f t="shared" si="116"/>
        <v>6366.4999999999945</v>
      </c>
      <c r="Q452">
        <f t="shared" si="108"/>
        <v>0</v>
      </c>
      <c r="R452">
        <f t="shared" si="117"/>
        <v>3163.4097084359369</v>
      </c>
      <c r="S452">
        <f t="shared" si="109"/>
        <v>0</v>
      </c>
      <c r="T452">
        <f t="shared" si="118"/>
        <v>5130.7000000000025</v>
      </c>
      <c r="U452">
        <f t="shared" si="110"/>
        <v>0</v>
      </c>
      <c r="V452">
        <f t="shared" si="119"/>
        <v>1945.899999999999</v>
      </c>
      <c r="W452">
        <f t="shared" si="111"/>
        <v>450</v>
      </c>
      <c r="X452">
        <f t="shared" si="112"/>
        <v>2.7296699999999987</v>
      </c>
      <c r="Y452">
        <f t="shared" si="113"/>
        <v>1.1000000000000001</v>
      </c>
    </row>
    <row r="453" spans="8:25" x14ac:dyDescent="0.2">
      <c r="H453">
        <f t="shared" si="114"/>
        <v>451</v>
      </c>
      <c r="I453">
        <f t="shared" si="105"/>
        <v>602</v>
      </c>
      <c r="J453">
        <f>IFERROR(INDEX(clima!$C:$C,$I453),"")</f>
        <v>0</v>
      </c>
      <c r="K453">
        <f>IFERROR(INDEX(clima!$F:$F,$I453),"")</f>
        <v>0</v>
      </c>
      <c r="L453">
        <f>IFERROR(INDEX(clima!$J:$J,$I453),"")</f>
        <v>0</v>
      </c>
      <c r="M453">
        <f t="shared" si="106"/>
        <v>0</v>
      </c>
      <c r="N453">
        <f t="shared" si="115"/>
        <v>6505.6999999999944</v>
      </c>
      <c r="O453">
        <f t="shared" si="107"/>
        <v>0</v>
      </c>
      <c r="P453">
        <f t="shared" si="116"/>
        <v>6366.4999999999945</v>
      </c>
      <c r="Q453">
        <f t="shared" si="108"/>
        <v>0</v>
      </c>
      <c r="R453">
        <f t="shared" si="117"/>
        <v>3163.4097084359369</v>
      </c>
      <c r="S453">
        <f t="shared" si="109"/>
        <v>0</v>
      </c>
      <c r="T453">
        <f t="shared" si="118"/>
        <v>5130.7000000000025</v>
      </c>
      <c r="U453">
        <f t="shared" si="110"/>
        <v>0</v>
      </c>
      <c r="V453">
        <f t="shared" si="119"/>
        <v>1945.899999999999</v>
      </c>
      <c r="W453">
        <f t="shared" si="111"/>
        <v>451</v>
      </c>
      <c r="X453">
        <f t="shared" si="112"/>
        <v>2.7296699999999987</v>
      </c>
      <c r="Y453">
        <f t="shared" si="113"/>
        <v>1.1000000000000001</v>
      </c>
    </row>
    <row r="454" spans="8:25" x14ac:dyDescent="0.2">
      <c r="H454">
        <f t="shared" si="114"/>
        <v>452</v>
      </c>
      <c r="I454">
        <f t="shared" si="105"/>
        <v>603</v>
      </c>
      <c r="J454">
        <f>IFERROR(INDEX(clima!$C:$C,$I454),"")</f>
        <v>0</v>
      </c>
      <c r="K454">
        <f>IFERROR(INDEX(clima!$F:$F,$I454),"")</f>
        <v>0</v>
      </c>
      <c r="L454">
        <f>IFERROR(INDEX(clima!$J:$J,$I454),"")</f>
        <v>0</v>
      </c>
      <c r="M454">
        <f t="shared" si="106"/>
        <v>0</v>
      </c>
      <c r="N454">
        <f t="shared" si="115"/>
        <v>6505.6999999999944</v>
      </c>
      <c r="O454">
        <f t="shared" si="107"/>
        <v>0</v>
      </c>
      <c r="P454">
        <f t="shared" si="116"/>
        <v>6366.4999999999945</v>
      </c>
      <c r="Q454">
        <f t="shared" si="108"/>
        <v>0</v>
      </c>
      <c r="R454">
        <f t="shared" si="117"/>
        <v>3163.4097084359369</v>
      </c>
      <c r="S454">
        <f t="shared" si="109"/>
        <v>0</v>
      </c>
      <c r="T454">
        <f t="shared" si="118"/>
        <v>5130.7000000000025</v>
      </c>
      <c r="U454">
        <f t="shared" si="110"/>
        <v>0</v>
      </c>
      <c r="V454">
        <f t="shared" si="119"/>
        <v>1945.899999999999</v>
      </c>
      <c r="W454">
        <f t="shared" si="111"/>
        <v>452</v>
      </c>
      <c r="X454">
        <f t="shared" si="112"/>
        <v>2.7296699999999987</v>
      </c>
      <c r="Y454">
        <f t="shared" si="113"/>
        <v>1.1000000000000001</v>
      </c>
    </row>
    <row r="455" spans="8:25" x14ac:dyDescent="0.2">
      <c r="H455">
        <f t="shared" si="114"/>
        <v>453</v>
      </c>
      <c r="I455">
        <f t="shared" si="105"/>
        <v>604</v>
      </c>
      <c r="J455">
        <f>IFERROR(INDEX(clima!$C:$C,$I455),"")</f>
        <v>0</v>
      </c>
      <c r="K455">
        <f>IFERROR(INDEX(clima!$F:$F,$I455),"")</f>
        <v>0</v>
      </c>
      <c r="L455">
        <f>IFERROR(INDEX(clima!$J:$J,$I455),"")</f>
        <v>0</v>
      </c>
      <c r="M455">
        <f t="shared" si="106"/>
        <v>0</v>
      </c>
      <c r="N455">
        <f t="shared" si="115"/>
        <v>6505.6999999999944</v>
      </c>
      <c r="O455">
        <f t="shared" si="107"/>
        <v>0</v>
      </c>
      <c r="P455">
        <f t="shared" si="116"/>
        <v>6366.4999999999945</v>
      </c>
      <c r="Q455">
        <f t="shared" si="108"/>
        <v>0</v>
      </c>
      <c r="R455">
        <f t="shared" si="117"/>
        <v>3163.4097084359369</v>
      </c>
      <c r="S455">
        <f t="shared" si="109"/>
        <v>0</v>
      </c>
      <c r="T455">
        <f t="shared" si="118"/>
        <v>5130.7000000000025</v>
      </c>
      <c r="U455">
        <f t="shared" si="110"/>
        <v>0</v>
      </c>
      <c r="V455">
        <f t="shared" si="119"/>
        <v>1945.899999999999</v>
      </c>
      <c r="W455">
        <f t="shared" si="111"/>
        <v>453</v>
      </c>
      <c r="X455">
        <f t="shared" si="112"/>
        <v>2.7296699999999987</v>
      </c>
      <c r="Y455">
        <f t="shared" si="113"/>
        <v>1.1000000000000001</v>
      </c>
    </row>
    <row r="456" spans="8:25" x14ac:dyDescent="0.2">
      <c r="H456">
        <f t="shared" si="114"/>
        <v>454</v>
      </c>
      <c r="I456">
        <f t="shared" si="105"/>
        <v>605</v>
      </c>
      <c r="J456">
        <f>IFERROR(INDEX(clima!$C:$C,$I456),"")</f>
        <v>0</v>
      </c>
      <c r="K456">
        <f>IFERROR(INDEX(clima!$F:$F,$I456),"")</f>
        <v>0</v>
      </c>
      <c r="L456">
        <f>IFERROR(INDEX(clima!$J:$J,$I456),"")</f>
        <v>0</v>
      </c>
      <c r="M456">
        <f t="shared" si="106"/>
        <v>0</v>
      </c>
      <c r="N456">
        <f t="shared" si="115"/>
        <v>6505.6999999999944</v>
      </c>
      <c r="O456">
        <f t="shared" si="107"/>
        <v>0</v>
      </c>
      <c r="P456">
        <f t="shared" si="116"/>
        <v>6366.4999999999945</v>
      </c>
      <c r="Q456">
        <f t="shared" si="108"/>
        <v>0</v>
      </c>
      <c r="R456">
        <f t="shared" si="117"/>
        <v>3163.4097084359369</v>
      </c>
      <c r="S456">
        <f t="shared" si="109"/>
        <v>0</v>
      </c>
      <c r="T456">
        <f t="shared" si="118"/>
        <v>5130.7000000000025</v>
      </c>
      <c r="U456">
        <f t="shared" si="110"/>
        <v>0</v>
      </c>
      <c r="V456">
        <f t="shared" si="119"/>
        <v>1945.899999999999</v>
      </c>
      <c r="W456">
        <f t="shared" si="111"/>
        <v>454</v>
      </c>
      <c r="X456">
        <f t="shared" si="112"/>
        <v>2.7296699999999987</v>
      </c>
      <c r="Y456">
        <f t="shared" si="113"/>
        <v>1.1000000000000001</v>
      </c>
    </row>
    <row r="457" spans="8:25" x14ac:dyDescent="0.2">
      <c r="H457">
        <f t="shared" si="114"/>
        <v>455</v>
      </c>
      <c r="I457">
        <f t="shared" si="105"/>
        <v>606</v>
      </c>
      <c r="J457">
        <f>IFERROR(INDEX(clima!$C:$C,$I457),"")</f>
        <v>0</v>
      </c>
      <c r="K457">
        <f>IFERROR(INDEX(clima!$F:$F,$I457),"")</f>
        <v>0</v>
      </c>
      <c r="L457">
        <f>IFERROR(INDEX(clima!$J:$J,$I457),"")</f>
        <v>0</v>
      </c>
      <c r="M457">
        <f t="shared" si="106"/>
        <v>0</v>
      </c>
      <c r="N457">
        <f t="shared" si="115"/>
        <v>6505.6999999999944</v>
      </c>
      <c r="O457">
        <f t="shared" si="107"/>
        <v>0</v>
      </c>
      <c r="P457">
        <f t="shared" si="116"/>
        <v>6366.4999999999945</v>
      </c>
      <c r="Q457">
        <f t="shared" si="108"/>
        <v>0</v>
      </c>
      <c r="R457">
        <f t="shared" si="117"/>
        <v>3163.4097084359369</v>
      </c>
      <c r="S457">
        <f t="shared" si="109"/>
        <v>0</v>
      </c>
      <c r="T457">
        <f t="shared" si="118"/>
        <v>5130.7000000000025</v>
      </c>
      <c r="U457">
        <f t="shared" si="110"/>
        <v>0</v>
      </c>
      <c r="V457">
        <f t="shared" si="119"/>
        <v>1945.899999999999</v>
      </c>
      <c r="W457">
        <f t="shared" si="111"/>
        <v>455</v>
      </c>
      <c r="X457">
        <f t="shared" si="112"/>
        <v>2.7296699999999987</v>
      </c>
      <c r="Y457">
        <f t="shared" si="113"/>
        <v>1.1000000000000001</v>
      </c>
    </row>
    <row r="458" spans="8:25" x14ac:dyDescent="0.2">
      <c r="H458">
        <f t="shared" si="114"/>
        <v>456</v>
      </c>
      <c r="I458">
        <f t="shared" si="105"/>
        <v>607</v>
      </c>
      <c r="J458">
        <f>IFERROR(INDEX(clima!$C:$C,$I458),"")</f>
        <v>0</v>
      </c>
      <c r="K458">
        <f>IFERROR(INDEX(clima!$F:$F,$I458),"")</f>
        <v>0</v>
      </c>
      <c r="L458">
        <f>IFERROR(INDEX(clima!$J:$J,$I458),"")</f>
        <v>0</v>
      </c>
      <c r="M458">
        <f t="shared" si="106"/>
        <v>0</v>
      </c>
      <c r="N458">
        <f t="shared" si="115"/>
        <v>6505.6999999999944</v>
      </c>
      <c r="O458">
        <f t="shared" si="107"/>
        <v>0</v>
      </c>
      <c r="P458">
        <f t="shared" si="116"/>
        <v>6366.4999999999945</v>
      </c>
      <c r="Q458">
        <f t="shared" si="108"/>
        <v>0</v>
      </c>
      <c r="R458">
        <f t="shared" si="117"/>
        <v>3163.4097084359369</v>
      </c>
      <c r="S458">
        <f t="shared" si="109"/>
        <v>0</v>
      </c>
      <c r="T458">
        <f t="shared" si="118"/>
        <v>5130.7000000000025</v>
      </c>
      <c r="U458">
        <f t="shared" si="110"/>
        <v>0</v>
      </c>
      <c r="V458">
        <f t="shared" si="119"/>
        <v>1945.899999999999</v>
      </c>
      <c r="W458">
        <f t="shared" si="111"/>
        <v>456</v>
      </c>
      <c r="X458">
        <f t="shared" si="112"/>
        <v>2.7296699999999987</v>
      </c>
      <c r="Y458">
        <f t="shared" si="113"/>
        <v>1.1000000000000001</v>
      </c>
    </row>
    <row r="459" spans="8:25" x14ac:dyDescent="0.2">
      <c r="H459">
        <f t="shared" si="114"/>
        <v>457</v>
      </c>
      <c r="I459">
        <f t="shared" si="105"/>
        <v>608</v>
      </c>
      <c r="J459">
        <f>IFERROR(INDEX(clima!$C:$C,$I459),"")</f>
        <v>0</v>
      </c>
      <c r="K459">
        <f>IFERROR(INDEX(clima!$F:$F,$I459),"")</f>
        <v>0</v>
      </c>
      <c r="L459">
        <f>IFERROR(INDEX(clima!$J:$J,$I459),"")</f>
        <v>0</v>
      </c>
      <c r="M459">
        <f t="shared" si="106"/>
        <v>0</v>
      </c>
      <c r="N459">
        <f t="shared" si="115"/>
        <v>6505.6999999999944</v>
      </c>
      <c r="O459">
        <f t="shared" si="107"/>
        <v>0</v>
      </c>
      <c r="P459">
        <f t="shared" si="116"/>
        <v>6366.4999999999945</v>
      </c>
      <c r="Q459">
        <f t="shared" si="108"/>
        <v>0</v>
      </c>
      <c r="R459">
        <f t="shared" si="117"/>
        <v>3163.4097084359369</v>
      </c>
      <c r="S459">
        <f t="shared" si="109"/>
        <v>0</v>
      </c>
      <c r="T459">
        <f t="shared" si="118"/>
        <v>5130.7000000000025</v>
      </c>
      <c r="U459">
        <f t="shared" si="110"/>
        <v>0</v>
      </c>
      <c r="V459">
        <f t="shared" si="119"/>
        <v>1945.899999999999</v>
      </c>
      <c r="W459">
        <f t="shared" si="111"/>
        <v>457</v>
      </c>
      <c r="X459">
        <f t="shared" si="112"/>
        <v>2.7296699999999987</v>
      </c>
      <c r="Y459">
        <f t="shared" si="113"/>
        <v>1.1000000000000001</v>
      </c>
    </row>
    <row r="460" spans="8:25" x14ac:dyDescent="0.2">
      <c r="H460">
        <f t="shared" si="114"/>
        <v>458</v>
      </c>
      <c r="I460">
        <f t="shared" si="105"/>
        <v>609</v>
      </c>
      <c r="J460">
        <f>IFERROR(INDEX(clima!$C:$C,$I460),"")</f>
        <v>0</v>
      </c>
      <c r="K460">
        <f>IFERROR(INDEX(clima!$F:$F,$I460),"")</f>
        <v>0</v>
      </c>
      <c r="L460">
        <f>IFERROR(INDEX(clima!$J:$J,$I460),"")</f>
        <v>0</v>
      </c>
      <c r="M460">
        <f t="shared" si="106"/>
        <v>0</v>
      </c>
      <c r="N460">
        <f t="shared" si="115"/>
        <v>6505.6999999999944</v>
      </c>
      <c r="O460">
        <f t="shared" si="107"/>
        <v>0</v>
      </c>
      <c r="P460">
        <f t="shared" si="116"/>
        <v>6366.4999999999945</v>
      </c>
      <c r="Q460">
        <f t="shared" si="108"/>
        <v>0</v>
      </c>
      <c r="R460">
        <f t="shared" si="117"/>
        <v>3163.4097084359369</v>
      </c>
      <c r="S460">
        <f t="shared" si="109"/>
        <v>0</v>
      </c>
      <c r="T460">
        <f t="shared" si="118"/>
        <v>5130.7000000000025</v>
      </c>
      <c r="U460">
        <f t="shared" si="110"/>
        <v>0</v>
      </c>
      <c r="V460">
        <f t="shared" si="119"/>
        <v>1945.899999999999</v>
      </c>
      <c r="W460">
        <f t="shared" si="111"/>
        <v>458</v>
      </c>
      <c r="X460">
        <f t="shared" si="112"/>
        <v>2.7296699999999987</v>
      </c>
      <c r="Y460">
        <f t="shared" si="113"/>
        <v>1.1000000000000001</v>
      </c>
    </row>
    <row r="461" spans="8:25" x14ac:dyDescent="0.2">
      <c r="H461">
        <f t="shared" si="114"/>
        <v>459</v>
      </c>
      <c r="I461">
        <f t="shared" si="105"/>
        <v>610</v>
      </c>
      <c r="J461">
        <f>IFERROR(INDEX(clima!$C:$C,$I461),"")</f>
        <v>0</v>
      </c>
      <c r="K461">
        <f>IFERROR(INDEX(clima!$F:$F,$I461),"")</f>
        <v>0</v>
      </c>
      <c r="L461">
        <f>IFERROR(INDEX(clima!$J:$J,$I461),"")</f>
        <v>0</v>
      </c>
      <c r="M461">
        <f t="shared" si="106"/>
        <v>0</v>
      </c>
      <c r="N461">
        <f t="shared" si="115"/>
        <v>6505.6999999999944</v>
      </c>
      <c r="O461">
        <f t="shared" si="107"/>
        <v>0</v>
      </c>
      <c r="P461">
        <f t="shared" si="116"/>
        <v>6366.4999999999945</v>
      </c>
      <c r="Q461">
        <f t="shared" si="108"/>
        <v>0</v>
      </c>
      <c r="R461">
        <f t="shared" si="117"/>
        <v>3163.4097084359369</v>
      </c>
      <c r="S461">
        <f t="shared" si="109"/>
        <v>0</v>
      </c>
      <c r="T461">
        <f t="shared" si="118"/>
        <v>5130.7000000000025</v>
      </c>
      <c r="U461">
        <f t="shared" si="110"/>
        <v>0</v>
      </c>
      <c r="V461">
        <f t="shared" si="119"/>
        <v>1945.899999999999</v>
      </c>
      <c r="W461">
        <f t="shared" si="111"/>
        <v>459</v>
      </c>
      <c r="X461">
        <f t="shared" si="112"/>
        <v>2.7296699999999987</v>
      </c>
      <c r="Y461">
        <f t="shared" si="113"/>
        <v>1.1000000000000001</v>
      </c>
    </row>
    <row r="462" spans="8:25" x14ac:dyDescent="0.2">
      <c r="H462">
        <f t="shared" si="114"/>
        <v>460</v>
      </c>
      <c r="I462">
        <f t="shared" si="105"/>
        <v>611</v>
      </c>
      <c r="J462">
        <f>IFERROR(INDEX(clima!$C:$C,$I462),"")</f>
        <v>0</v>
      </c>
      <c r="K462">
        <f>IFERROR(INDEX(clima!$F:$F,$I462),"")</f>
        <v>0</v>
      </c>
      <c r="L462">
        <f>IFERROR(INDEX(clima!$J:$J,$I462),"")</f>
        <v>0</v>
      </c>
      <c r="M462">
        <f t="shared" si="106"/>
        <v>0</v>
      </c>
      <c r="N462">
        <f t="shared" si="115"/>
        <v>6505.6999999999944</v>
      </c>
      <c r="O462">
        <f t="shared" si="107"/>
        <v>0</v>
      </c>
      <c r="P462">
        <f t="shared" si="116"/>
        <v>6366.4999999999945</v>
      </c>
      <c r="Q462">
        <f t="shared" si="108"/>
        <v>0</v>
      </c>
      <c r="R462">
        <f t="shared" si="117"/>
        <v>3163.4097084359369</v>
      </c>
      <c r="S462">
        <f t="shared" si="109"/>
        <v>0</v>
      </c>
      <c r="T462">
        <f t="shared" si="118"/>
        <v>5130.7000000000025</v>
      </c>
      <c r="U462">
        <f t="shared" si="110"/>
        <v>0</v>
      </c>
      <c r="V462">
        <f t="shared" si="119"/>
        <v>1945.899999999999</v>
      </c>
      <c r="W462">
        <f t="shared" si="111"/>
        <v>460</v>
      </c>
      <c r="X462">
        <f t="shared" si="112"/>
        <v>2.7296699999999987</v>
      </c>
      <c r="Y462">
        <f t="shared" si="113"/>
        <v>1.1000000000000001</v>
      </c>
    </row>
    <row r="463" spans="8:25" x14ac:dyDescent="0.2">
      <c r="H463">
        <f t="shared" si="114"/>
        <v>461</v>
      </c>
      <c r="I463">
        <f t="shared" si="105"/>
        <v>612</v>
      </c>
      <c r="J463">
        <f>IFERROR(INDEX(clima!$C:$C,$I463),"")</f>
        <v>0</v>
      </c>
      <c r="K463">
        <f>IFERROR(INDEX(clima!$F:$F,$I463),"")</f>
        <v>0</v>
      </c>
      <c r="L463">
        <f>IFERROR(INDEX(clima!$J:$J,$I463),"")</f>
        <v>0</v>
      </c>
      <c r="M463">
        <f t="shared" si="106"/>
        <v>0</v>
      </c>
      <c r="N463">
        <f t="shared" si="115"/>
        <v>6505.6999999999944</v>
      </c>
      <c r="O463">
        <f t="shared" si="107"/>
        <v>0</v>
      </c>
      <c r="P463">
        <f t="shared" si="116"/>
        <v>6366.4999999999945</v>
      </c>
      <c r="Q463">
        <f t="shared" si="108"/>
        <v>0</v>
      </c>
      <c r="R463">
        <f t="shared" si="117"/>
        <v>3163.4097084359369</v>
      </c>
      <c r="S463">
        <f t="shared" si="109"/>
        <v>0</v>
      </c>
      <c r="T463">
        <f t="shared" si="118"/>
        <v>5130.7000000000025</v>
      </c>
      <c r="U463">
        <f t="shared" si="110"/>
        <v>0</v>
      </c>
      <c r="V463">
        <f t="shared" si="119"/>
        <v>1945.899999999999</v>
      </c>
      <c r="W463">
        <f t="shared" si="111"/>
        <v>461</v>
      </c>
      <c r="X463">
        <f t="shared" si="112"/>
        <v>2.7296699999999987</v>
      </c>
      <c r="Y463">
        <f t="shared" si="113"/>
        <v>1.1000000000000001</v>
      </c>
    </row>
    <row r="464" spans="8:25" x14ac:dyDescent="0.2">
      <c r="H464">
        <f t="shared" si="114"/>
        <v>462</v>
      </c>
      <c r="I464">
        <f t="shared" si="105"/>
        <v>613</v>
      </c>
      <c r="J464">
        <f>IFERROR(INDEX(clima!$C:$C,$I464),"")</f>
        <v>0</v>
      </c>
      <c r="K464">
        <f>IFERROR(INDEX(clima!$F:$F,$I464),"")</f>
        <v>0</v>
      </c>
      <c r="L464">
        <f>IFERROR(INDEX(clima!$J:$J,$I464),"")</f>
        <v>0</v>
      </c>
      <c r="M464">
        <f t="shared" si="106"/>
        <v>0</v>
      </c>
      <c r="N464">
        <f t="shared" si="115"/>
        <v>6505.6999999999944</v>
      </c>
      <c r="O464">
        <f t="shared" si="107"/>
        <v>0</v>
      </c>
      <c r="P464">
        <f t="shared" si="116"/>
        <v>6366.4999999999945</v>
      </c>
      <c r="Q464">
        <f t="shared" si="108"/>
        <v>0</v>
      </c>
      <c r="R464">
        <f t="shared" si="117"/>
        <v>3163.4097084359369</v>
      </c>
      <c r="S464">
        <f t="shared" si="109"/>
        <v>0</v>
      </c>
      <c r="T464">
        <f t="shared" si="118"/>
        <v>5130.7000000000025</v>
      </c>
      <c r="U464">
        <f t="shared" si="110"/>
        <v>0</v>
      </c>
      <c r="V464">
        <f t="shared" si="119"/>
        <v>1945.899999999999</v>
      </c>
      <c r="W464">
        <f t="shared" si="111"/>
        <v>462</v>
      </c>
      <c r="X464">
        <f t="shared" si="112"/>
        <v>2.7296699999999987</v>
      </c>
      <c r="Y464">
        <f t="shared" si="113"/>
        <v>1.1000000000000001</v>
      </c>
    </row>
    <row r="465" spans="8:25" x14ac:dyDescent="0.2">
      <c r="H465">
        <f t="shared" si="114"/>
        <v>463</v>
      </c>
      <c r="I465">
        <f t="shared" si="105"/>
        <v>614</v>
      </c>
      <c r="J465">
        <f>IFERROR(INDEX(clima!$C:$C,$I465),"")</f>
        <v>0</v>
      </c>
      <c r="K465">
        <f>IFERROR(INDEX(clima!$F:$F,$I465),"")</f>
        <v>0</v>
      </c>
      <c r="L465">
        <f>IFERROR(INDEX(clima!$J:$J,$I465),"")</f>
        <v>0</v>
      </c>
      <c r="M465">
        <f t="shared" si="106"/>
        <v>0</v>
      </c>
      <c r="N465">
        <f t="shared" si="115"/>
        <v>6505.6999999999944</v>
      </c>
      <c r="O465">
        <f t="shared" si="107"/>
        <v>0</v>
      </c>
      <c r="P465">
        <f t="shared" si="116"/>
        <v>6366.4999999999945</v>
      </c>
      <c r="Q465">
        <f t="shared" si="108"/>
        <v>0</v>
      </c>
      <c r="R465">
        <f t="shared" si="117"/>
        <v>3163.4097084359369</v>
      </c>
      <c r="S465">
        <f t="shared" si="109"/>
        <v>0</v>
      </c>
      <c r="T465">
        <f t="shared" si="118"/>
        <v>5130.7000000000025</v>
      </c>
      <c r="U465">
        <f t="shared" si="110"/>
        <v>0</v>
      </c>
      <c r="V465">
        <f t="shared" si="119"/>
        <v>1945.899999999999</v>
      </c>
      <c r="W465">
        <f t="shared" si="111"/>
        <v>463</v>
      </c>
      <c r="X465">
        <f t="shared" si="112"/>
        <v>2.7296699999999987</v>
      </c>
      <c r="Y465">
        <f t="shared" si="113"/>
        <v>1.1000000000000001</v>
      </c>
    </row>
    <row r="466" spans="8:25" x14ac:dyDescent="0.2">
      <c r="H466">
        <f t="shared" si="114"/>
        <v>464</v>
      </c>
      <c r="I466">
        <f t="shared" si="105"/>
        <v>615</v>
      </c>
      <c r="J466">
        <f>IFERROR(INDEX(clima!$C:$C,$I466),"")</f>
        <v>0</v>
      </c>
      <c r="K466">
        <f>IFERROR(INDEX(clima!$F:$F,$I466),"")</f>
        <v>0</v>
      </c>
      <c r="L466">
        <f>IFERROR(INDEX(clima!$J:$J,$I466),"")</f>
        <v>0</v>
      </c>
      <c r="M466">
        <f t="shared" si="106"/>
        <v>0</v>
      </c>
      <c r="N466">
        <f t="shared" si="115"/>
        <v>6505.6999999999944</v>
      </c>
      <c r="O466">
        <f t="shared" si="107"/>
        <v>0</v>
      </c>
      <c r="P466">
        <f t="shared" si="116"/>
        <v>6366.4999999999945</v>
      </c>
      <c r="Q466">
        <f t="shared" si="108"/>
        <v>0</v>
      </c>
      <c r="R466">
        <f t="shared" si="117"/>
        <v>3163.4097084359369</v>
      </c>
      <c r="S466">
        <f t="shared" si="109"/>
        <v>0</v>
      </c>
      <c r="T466">
        <f t="shared" si="118"/>
        <v>5130.7000000000025</v>
      </c>
      <c r="U466">
        <f t="shared" si="110"/>
        <v>0</v>
      </c>
      <c r="V466">
        <f t="shared" si="119"/>
        <v>1945.899999999999</v>
      </c>
      <c r="W466">
        <f t="shared" si="111"/>
        <v>464</v>
      </c>
      <c r="X466">
        <f t="shared" si="112"/>
        <v>2.7296699999999987</v>
      </c>
      <c r="Y466">
        <f t="shared" si="113"/>
        <v>1.1000000000000001</v>
      </c>
    </row>
    <row r="467" spans="8:25" x14ac:dyDescent="0.2">
      <c r="H467">
        <f t="shared" si="114"/>
        <v>465</v>
      </c>
      <c r="I467">
        <f t="shared" si="105"/>
        <v>616</v>
      </c>
      <c r="J467">
        <f>IFERROR(INDEX(clima!$C:$C,$I467),"")</f>
        <v>0</v>
      </c>
      <c r="K467">
        <f>IFERROR(INDEX(clima!$F:$F,$I467),"")</f>
        <v>0</v>
      </c>
      <c r="L467">
        <f>IFERROR(INDEX(clima!$J:$J,$I467),"")</f>
        <v>0</v>
      </c>
      <c r="M467">
        <f t="shared" si="106"/>
        <v>0</v>
      </c>
      <c r="N467">
        <f t="shared" si="115"/>
        <v>6505.6999999999944</v>
      </c>
      <c r="O467">
        <f t="shared" si="107"/>
        <v>0</v>
      </c>
      <c r="P467">
        <f t="shared" si="116"/>
        <v>6366.4999999999945</v>
      </c>
      <c r="Q467">
        <f t="shared" si="108"/>
        <v>0</v>
      </c>
      <c r="R467">
        <f t="shared" si="117"/>
        <v>3163.4097084359369</v>
      </c>
      <c r="S467">
        <f t="shared" si="109"/>
        <v>0</v>
      </c>
      <c r="T467">
        <f t="shared" si="118"/>
        <v>5130.7000000000025</v>
      </c>
      <c r="U467">
        <f t="shared" si="110"/>
        <v>0</v>
      </c>
      <c r="V467">
        <f t="shared" si="119"/>
        <v>1945.899999999999</v>
      </c>
      <c r="W467">
        <f t="shared" si="111"/>
        <v>465</v>
      </c>
      <c r="X467">
        <f t="shared" si="112"/>
        <v>2.7296699999999987</v>
      </c>
      <c r="Y467">
        <f t="shared" si="113"/>
        <v>1.1000000000000001</v>
      </c>
    </row>
    <row r="468" spans="8:25" x14ac:dyDescent="0.2">
      <c r="H468">
        <f t="shared" si="114"/>
        <v>466</v>
      </c>
      <c r="I468">
        <f t="shared" si="105"/>
        <v>617</v>
      </c>
      <c r="J468">
        <f>IFERROR(INDEX(clima!$C:$C,$I468),"")</f>
        <v>0</v>
      </c>
      <c r="K468">
        <f>IFERROR(INDEX(clima!$F:$F,$I468),"")</f>
        <v>0</v>
      </c>
      <c r="L468">
        <f>IFERROR(INDEX(clima!$J:$J,$I468),"")</f>
        <v>0</v>
      </c>
      <c r="M468">
        <f t="shared" si="106"/>
        <v>0</v>
      </c>
      <c r="N468">
        <f t="shared" si="115"/>
        <v>6505.6999999999944</v>
      </c>
      <c r="O468">
        <f t="shared" si="107"/>
        <v>0</v>
      </c>
      <c r="P468">
        <f t="shared" si="116"/>
        <v>6366.4999999999945</v>
      </c>
      <c r="Q468">
        <f t="shared" si="108"/>
        <v>0</v>
      </c>
      <c r="R468">
        <f t="shared" si="117"/>
        <v>3163.4097084359369</v>
      </c>
      <c r="S468">
        <f t="shared" si="109"/>
        <v>0</v>
      </c>
      <c r="T468">
        <f t="shared" si="118"/>
        <v>5130.7000000000025</v>
      </c>
      <c r="U468">
        <f t="shared" si="110"/>
        <v>0</v>
      </c>
      <c r="V468">
        <f t="shared" si="119"/>
        <v>1945.899999999999</v>
      </c>
      <c r="W468">
        <f t="shared" si="111"/>
        <v>466</v>
      </c>
      <c r="X468">
        <f t="shared" si="112"/>
        <v>2.7296699999999987</v>
      </c>
      <c r="Y468">
        <f t="shared" si="113"/>
        <v>1.1000000000000001</v>
      </c>
    </row>
    <row r="469" spans="8:25" x14ac:dyDescent="0.2">
      <c r="H469">
        <f t="shared" si="114"/>
        <v>467</v>
      </c>
      <c r="I469">
        <f t="shared" si="105"/>
        <v>618</v>
      </c>
      <c r="J469">
        <f>IFERROR(INDEX(clima!$C:$C,$I469),"")</f>
        <v>0</v>
      </c>
      <c r="K469">
        <f>IFERROR(INDEX(clima!$F:$F,$I469),"")</f>
        <v>0</v>
      </c>
      <c r="L469">
        <f>IFERROR(INDEX(clima!$J:$J,$I469),"")</f>
        <v>0</v>
      </c>
      <c r="M469">
        <f t="shared" si="106"/>
        <v>0</v>
      </c>
      <c r="N469">
        <f t="shared" si="115"/>
        <v>6505.6999999999944</v>
      </c>
      <c r="O469">
        <f t="shared" si="107"/>
        <v>0</v>
      </c>
      <c r="P469">
        <f t="shared" si="116"/>
        <v>6366.4999999999945</v>
      </c>
      <c r="Q469">
        <f t="shared" si="108"/>
        <v>0</v>
      </c>
      <c r="R469">
        <f t="shared" si="117"/>
        <v>3163.4097084359369</v>
      </c>
      <c r="S469">
        <f t="shared" si="109"/>
        <v>0</v>
      </c>
      <c r="T469">
        <f t="shared" si="118"/>
        <v>5130.7000000000025</v>
      </c>
      <c r="U469">
        <f t="shared" si="110"/>
        <v>0</v>
      </c>
      <c r="V469">
        <f t="shared" si="119"/>
        <v>1945.899999999999</v>
      </c>
      <c r="W469">
        <f t="shared" si="111"/>
        <v>467</v>
      </c>
      <c r="X469">
        <f t="shared" si="112"/>
        <v>2.7296699999999987</v>
      </c>
      <c r="Y469">
        <f t="shared" si="113"/>
        <v>1.1000000000000001</v>
      </c>
    </row>
    <row r="470" spans="8:25" x14ac:dyDescent="0.2">
      <c r="H470">
        <f t="shared" si="114"/>
        <v>468</v>
      </c>
      <c r="I470">
        <f t="shared" si="105"/>
        <v>619</v>
      </c>
      <c r="J470">
        <f>IFERROR(INDEX(clima!$C:$C,$I470),"")</f>
        <v>0</v>
      </c>
      <c r="K470">
        <f>IFERROR(INDEX(clima!$F:$F,$I470),"")</f>
        <v>0</v>
      </c>
      <c r="L470">
        <f>IFERROR(INDEX(clima!$J:$J,$I470),"")</f>
        <v>0</v>
      </c>
      <c r="M470">
        <f t="shared" si="106"/>
        <v>0</v>
      </c>
      <c r="N470">
        <f t="shared" si="115"/>
        <v>6505.6999999999944</v>
      </c>
      <c r="O470">
        <f t="shared" si="107"/>
        <v>0</v>
      </c>
      <c r="P470">
        <f t="shared" si="116"/>
        <v>6366.4999999999945</v>
      </c>
      <c r="Q470">
        <f t="shared" si="108"/>
        <v>0</v>
      </c>
      <c r="R470">
        <f t="shared" si="117"/>
        <v>3163.4097084359369</v>
      </c>
      <c r="S470">
        <f t="shared" si="109"/>
        <v>0</v>
      </c>
      <c r="T470">
        <f t="shared" si="118"/>
        <v>5130.7000000000025</v>
      </c>
      <c r="U470">
        <f t="shared" si="110"/>
        <v>0</v>
      </c>
      <c r="V470">
        <f t="shared" si="119"/>
        <v>1945.899999999999</v>
      </c>
      <c r="W470">
        <f t="shared" si="111"/>
        <v>468</v>
      </c>
      <c r="X470">
        <f t="shared" si="112"/>
        <v>2.7296699999999987</v>
      </c>
      <c r="Y470">
        <f t="shared" si="113"/>
        <v>1.1000000000000001</v>
      </c>
    </row>
    <row r="471" spans="8:25" x14ac:dyDescent="0.2">
      <c r="H471">
        <f t="shared" si="114"/>
        <v>469</v>
      </c>
      <c r="I471">
        <f t="shared" si="105"/>
        <v>620</v>
      </c>
      <c r="J471">
        <f>IFERROR(INDEX(clima!$C:$C,$I471),"")</f>
        <v>0</v>
      </c>
      <c r="K471">
        <f>IFERROR(INDEX(clima!$F:$F,$I471),"")</f>
        <v>0</v>
      </c>
      <c r="L471">
        <f>IFERROR(INDEX(clima!$J:$J,$I471),"")</f>
        <v>0</v>
      </c>
      <c r="M471">
        <f t="shared" si="106"/>
        <v>0</v>
      </c>
      <c r="N471">
        <f t="shared" si="115"/>
        <v>6505.6999999999944</v>
      </c>
      <c r="O471">
        <f t="shared" si="107"/>
        <v>0</v>
      </c>
      <c r="P471">
        <f t="shared" si="116"/>
        <v>6366.4999999999945</v>
      </c>
      <c r="Q471">
        <f t="shared" si="108"/>
        <v>0</v>
      </c>
      <c r="R471">
        <f t="shared" si="117"/>
        <v>3163.4097084359369</v>
      </c>
      <c r="S471">
        <f t="shared" si="109"/>
        <v>0</v>
      </c>
      <c r="T471">
        <f t="shared" si="118"/>
        <v>5130.7000000000025</v>
      </c>
      <c r="U471">
        <f t="shared" si="110"/>
        <v>0</v>
      </c>
      <c r="V471">
        <f t="shared" si="119"/>
        <v>1945.899999999999</v>
      </c>
      <c r="W471">
        <f t="shared" si="111"/>
        <v>469</v>
      </c>
      <c r="X471">
        <f t="shared" si="112"/>
        <v>2.7296699999999987</v>
      </c>
      <c r="Y471">
        <f t="shared" si="113"/>
        <v>1.1000000000000001</v>
      </c>
    </row>
    <row r="472" spans="8:25" x14ac:dyDescent="0.2">
      <c r="H472">
        <f t="shared" si="114"/>
        <v>470</v>
      </c>
      <c r="I472">
        <f t="shared" si="105"/>
        <v>621</v>
      </c>
      <c r="J472">
        <f>IFERROR(INDEX(clima!$C:$C,$I472),"")</f>
        <v>0</v>
      </c>
      <c r="K472">
        <f>IFERROR(INDEX(clima!$F:$F,$I472),"")</f>
        <v>0</v>
      </c>
      <c r="L472">
        <f>IFERROR(INDEX(clima!$J:$J,$I472),"")</f>
        <v>0</v>
      </c>
      <c r="M472">
        <f t="shared" si="106"/>
        <v>0</v>
      </c>
      <c r="N472">
        <f t="shared" si="115"/>
        <v>6505.6999999999944</v>
      </c>
      <c r="O472">
        <f t="shared" si="107"/>
        <v>0</v>
      </c>
      <c r="P472">
        <f t="shared" si="116"/>
        <v>6366.4999999999945</v>
      </c>
      <c r="Q472">
        <f t="shared" si="108"/>
        <v>0</v>
      </c>
      <c r="R472">
        <f t="shared" si="117"/>
        <v>3163.4097084359369</v>
      </c>
      <c r="S472">
        <f t="shared" si="109"/>
        <v>0</v>
      </c>
      <c r="T472">
        <f t="shared" si="118"/>
        <v>5130.7000000000025</v>
      </c>
      <c r="U472">
        <f t="shared" si="110"/>
        <v>0</v>
      </c>
      <c r="V472">
        <f t="shared" si="119"/>
        <v>1945.899999999999</v>
      </c>
      <c r="W472">
        <f t="shared" si="111"/>
        <v>470</v>
      </c>
      <c r="X472">
        <f t="shared" si="112"/>
        <v>2.7296699999999987</v>
      </c>
      <c r="Y472">
        <f t="shared" si="113"/>
        <v>1.1000000000000001</v>
      </c>
    </row>
    <row r="473" spans="8:25" x14ac:dyDescent="0.2">
      <c r="H473">
        <f t="shared" si="114"/>
        <v>471</v>
      </c>
      <c r="I473">
        <f t="shared" si="105"/>
        <v>622</v>
      </c>
      <c r="J473">
        <f>IFERROR(INDEX(clima!$C:$C,$I473),"")</f>
        <v>0</v>
      </c>
      <c r="K473">
        <f>IFERROR(INDEX(clima!$F:$F,$I473),"")</f>
        <v>0</v>
      </c>
      <c r="L473">
        <f>IFERROR(INDEX(clima!$J:$J,$I473),"")</f>
        <v>0</v>
      </c>
      <c r="M473">
        <f t="shared" si="106"/>
        <v>0</v>
      </c>
      <c r="N473">
        <f t="shared" si="115"/>
        <v>6505.6999999999944</v>
      </c>
      <c r="O473">
        <f t="shared" si="107"/>
        <v>0</v>
      </c>
      <c r="P473">
        <f t="shared" si="116"/>
        <v>6366.4999999999945</v>
      </c>
      <c r="Q473">
        <f t="shared" si="108"/>
        <v>0</v>
      </c>
      <c r="R473">
        <f t="shared" si="117"/>
        <v>3163.4097084359369</v>
      </c>
      <c r="S473">
        <f t="shared" si="109"/>
        <v>0</v>
      </c>
      <c r="T473">
        <f t="shared" si="118"/>
        <v>5130.7000000000025</v>
      </c>
      <c r="U473">
        <f t="shared" si="110"/>
        <v>0</v>
      </c>
      <c r="V473">
        <f t="shared" si="119"/>
        <v>1945.899999999999</v>
      </c>
      <c r="W473">
        <f t="shared" si="111"/>
        <v>471</v>
      </c>
      <c r="X473">
        <f t="shared" si="112"/>
        <v>2.7296699999999987</v>
      </c>
      <c r="Y473">
        <f t="shared" si="113"/>
        <v>1.1000000000000001</v>
      </c>
    </row>
    <row r="474" spans="8:25" x14ac:dyDescent="0.2">
      <c r="H474">
        <f t="shared" si="114"/>
        <v>472</v>
      </c>
      <c r="I474">
        <f t="shared" si="105"/>
        <v>623</v>
      </c>
      <c r="J474">
        <f>IFERROR(INDEX(clima!$C:$C,$I474),"")</f>
        <v>0</v>
      </c>
      <c r="K474">
        <f>IFERROR(INDEX(clima!$F:$F,$I474),"")</f>
        <v>0</v>
      </c>
      <c r="L474">
        <f>IFERROR(INDEX(clima!$J:$J,$I474),"")</f>
        <v>0</v>
      </c>
      <c r="M474">
        <f t="shared" si="106"/>
        <v>0</v>
      </c>
      <c r="N474">
        <f t="shared" si="115"/>
        <v>6505.6999999999944</v>
      </c>
      <c r="O474">
        <f t="shared" si="107"/>
        <v>0</v>
      </c>
      <c r="P474">
        <f t="shared" si="116"/>
        <v>6366.4999999999945</v>
      </c>
      <c r="Q474">
        <f t="shared" si="108"/>
        <v>0</v>
      </c>
      <c r="R474">
        <f t="shared" si="117"/>
        <v>3163.4097084359369</v>
      </c>
      <c r="S474">
        <f t="shared" si="109"/>
        <v>0</v>
      </c>
      <c r="T474">
        <f t="shared" si="118"/>
        <v>5130.7000000000025</v>
      </c>
      <c r="U474">
        <f t="shared" si="110"/>
        <v>0</v>
      </c>
      <c r="V474">
        <f t="shared" si="119"/>
        <v>1945.899999999999</v>
      </c>
      <c r="W474">
        <f t="shared" si="111"/>
        <v>472</v>
      </c>
      <c r="X474">
        <f t="shared" si="112"/>
        <v>2.7296699999999987</v>
      </c>
      <c r="Y474">
        <f t="shared" si="113"/>
        <v>1.1000000000000001</v>
      </c>
    </row>
    <row r="475" spans="8:25" x14ac:dyDescent="0.2">
      <c r="H475">
        <f t="shared" si="114"/>
        <v>473</v>
      </c>
      <c r="I475">
        <f t="shared" si="105"/>
        <v>624</v>
      </c>
      <c r="J475">
        <f>IFERROR(INDEX(clima!$C:$C,$I475),"")</f>
        <v>0</v>
      </c>
      <c r="K475">
        <f>IFERROR(INDEX(clima!$F:$F,$I475),"")</f>
        <v>0</v>
      </c>
      <c r="L475">
        <f>IFERROR(INDEX(clima!$J:$J,$I475),"")</f>
        <v>0</v>
      </c>
      <c r="M475">
        <f t="shared" si="106"/>
        <v>0</v>
      </c>
      <c r="N475">
        <f t="shared" si="115"/>
        <v>6505.6999999999944</v>
      </c>
      <c r="O475">
        <f t="shared" si="107"/>
        <v>0</v>
      </c>
      <c r="P475">
        <f t="shared" si="116"/>
        <v>6366.4999999999945</v>
      </c>
      <c r="Q475">
        <f t="shared" si="108"/>
        <v>0</v>
      </c>
      <c r="R475">
        <f t="shared" si="117"/>
        <v>3163.4097084359369</v>
      </c>
      <c r="S475">
        <f t="shared" si="109"/>
        <v>0</v>
      </c>
      <c r="T475">
        <f t="shared" si="118"/>
        <v>5130.7000000000025</v>
      </c>
      <c r="U475">
        <f t="shared" si="110"/>
        <v>0</v>
      </c>
      <c r="V475">
        <f t="shared" si="119"/>
        <v>1945.899999999999</v>
      </c>
      <c r="W475">
        <f t="shared" si="111"/>
        <v>473</v>
      </c>
      <c r="X475">
        <f t="shared" si="112"/>
        <v>2.7296699999999987</v>
      </c>
      <c r="Y475">
        <f t="shared" si="113"/>
        <v>1.1000000000000001</v>
      </c>
    </row>
    <row r="476" spans="8:25" x14ac:dyDescent="0.2">
      <c r="H476">
        <f t="shared" si="114"/>
        <v>474</v>
      </c>
      <c r="I476">
        <f t="shared" si="105"/>
        <v>625</v>
      </c>
      <c r="J476">
        <f>IFERROR(INDEX(clima!$C:$C,$I476),"")</f>
        <v>0</v>
      </c>
      <c r="K476">
        <f>IFERROR(INDEX(clima!$F:$F,$I476),"")</f>
        <v>0</v>
      </c>
      <c r="L476">
        <f>IFERROR(INDEX(clima!$J:$J,$I476),"")</f>
        <v>0</v>
      </c>
      <c r="M476">
        <f t="shared" si="106"/>
        <v>0</v>
      </c>
      <c r="N476">
        <f t="shared" si="115"/>
        <v>6505.6999999999944</v>
      </c>
      <c r="O476">
        <f t="shared" si="107"/>
        <v>0</v>
      </c>
      <c r="P476">
        <f t="shared" si="116"/>
        <v>6366.4999999999945</v>
      </c>
      <c r="Q476">
        <f t="shared" si="108"/>
        <v>0</v>
      </c>
      <c r="R476">
        <f t="shared" si="117"/>
        <v>3163.4097084359369</v>
      </c>
      <c r="S476">
        <f t="shared" si="109"/>
        <v>0</v>
      </c>
      <c r="T476">
        <f t="shared" si="118"/>
        <v>5130.7000000000025</v>
      </c>
      <c r="U476">
        <f t="shared" si="110"/>
        <v>0</v>
      </c>
      <c r="V476">
        <f t="shared" si="119"/>
        <v>1945.899999999999</v>
      </c>
      <c r="W476">
        <f t="shared" si="111"/>
        <v>474</v>
      </c>
      <c r="X476">
        <f t="shared" si="112"/>
        <v>2.7296699999999987</v>
      </c>
      <c r="Y476">
        <f t="shared" si="113"/>
        <v>1.1000000000000001</v>
      </c>
    </row>
    <row r="477" spans="8:25" x14ac:dyDescent="0.2">
      <c r="H477">
        <f t="shared" si="114"/>
        <v>475</v>
      </c>
      <c r="I477">
        <f t="shared" si="105"/>
        <v>626</v>
      </c>
      <c r="J477">
        <f>IFERROR(INDEX(clima!$C:$C,$I477),"")</f>
        <v>0</v>
      </c>
      <c r="K477">
        <f>IFERROR(INDEX(clima!$F:$F,$I477),"")</f>
        <v>0</v>
      </c>
      <c r="L477">
        <f>IFERROR(INDEX(clima!$J:$J,$I477),"")</f>
        <v>0</v>
      </c>
      <c r="M477">
        <f t="shared" si="106"/>
        <v>0</v>
      </c>
      <c r="N477">
        <f t="shared" si="115"/>
        <v>6505.6999999999944</v>
      </c>
      <c r="O477">
        <f t="shared" si="107"/>
        <v>0</v>
      </c>
      <c r="P477">
        <f t="shared" si="116"/>
        <v>6366.4999999999945</v>
      </c>
      <c r="Q477">
        <f t="shared" si="108"/>
        <v>0</v>
      </c>
      <c r="R477">
        <f t="shared" si="117"/>
        <v>3163.4097084359369</v>
      </c>
      <c r="S477">
        <f t="shared" si="109"/>
        <v>0</v>
      </c>
      <c r="T477">
        <f t="shared" si="118"/>
        <v>5130.7000000000025</v>
      </c>
      <c r="U477">
        <f t="shared" si="110"/>
        <v>0</v>
      </c>
      <c r="V477">
        <f t="shared" si="119"/>
        <v>1945.899999999999</v>
      </c>
      <c r="W477">
        <f t="shared" si="111"/>
        <v>475</v>
      </c>
      <c r="X477">
        <f t="shared" si="112"/>
        <v>2.7296699999999987</v>
      </c>
      <c r="Y477">
        <f t="shared" si="113"/>
        <v>1.1000000000000001</v>
      </c>
    </row>
    <row r="478" spans="8:25" x14ac:dyDescent="0.2">
      <c r="H478">
        <f t="shared" si="114"/>
        <v>476</v>
      </c>
      <c r="I478">
        <f t="shared" si="105"/>
        <v>627</v>
      </c>
      <c r="J478">
        <f>IFERROR(INDEX(clima!$C:$C,$I478),"")</f>
        <v>0</v>
      </c>
      <c r="K478">
        <f>IFERROR(INDEX(clima!$F:$F,$I478),"")</f>
        <v>0</v>
      </c>
      <c r="L478">
        <f>IFERROR(INDEX(clima!$J:$J,$I478),"")</f>
        <v>0</v>
      </c>
      <c r="M478">
        <f t="shared" si="106"/>
        <v>0</v>
      </c>
      <c r="N478">
        <f t="shared" si="115"/>
        <v>6505.6999999999944</v>
      </c>
      <c r="O478">
        <f t="shared" si="107"/>
        <v>0</v>
      </c>
      <c r="P478">
        <f t="shared" si="116"/>
        <v>6366.4999999999945</v>
      </c>
      <c r="Q478">
        <f t="shared" si="108"/>
        <v>0</v>
      </c>
      <c r="R478">
        <f t="shared" si="117"/>
        <v>3163.4097084359369</v>
      </c>
      <c r="S478">
        <f t="shared" si="109"/>
        <v>0</v>
      </c>
      <c r="T478">
        <f t="shared" si="118"/>
        <v>5130.7000000000025</v>
      </c>
      <c r="U478">
        <f t="shared" si="110"/>
        <v>0</v>
      </c>
      <c r="V478">
        <f t="shared" si="119"/>
        <v>1945.899999999999</v>
      </c>
      <c r="W478">
        <f t="shared" si="111"/>
        <v>476</v>
      </c>
      <c r="X478">
        <f t="shared" si="112"/>
        <v>2.7296699999999987</v>
      </c>
      <c r="Y478">
        <f t="shared" si="113"/>
        <v>1.1000000000000001</v>
      </c>
    </row>
    <row r="479" spans="8:25" x14ac:dyDescent="0.2">
      <c r="H479">
        <f t="shared" si="114"/>
        <v>477</v>
      </c>
      <c r="I479">
        <f t="shared" si="105"/>
        <v>628</v>
      </c>
      <c r="J479">
        <f>IFERROR(INDEX(clima!$C:$C,$I479),"")</f>
        <v>0</v>
      </c>
      <c r="K479">
        <f>IFERROR(INDEX(clima!$F:$F,$I479),"")</f>
        <v>0</v>
      </c>
      <c r="L479">
        <f>IFERROR(INDEX(clima!$J:$J,$I479),"")</f>
        <v>0</v>
      </c>
      <c r="M479">
        <f t="shared" si="106"/>
        <v>0</v>
      </c>
      <c r="N479">
        <f t="shared" si="115"/>
        <v>6505.6999999999944</v>
      </c>
      <c r="O479">
        <f t="shared" si="107"/>
        <v>0</v>
      </c>
      <c r="P479">
        <f t="shared" si="116"/>
        <v>6366.4999999999945</v>
      </c>
      <c r="Q479">
        <f t="shared" si="108"/>
        <v>0</v>
      </c>
      <c r="R479">
        <f t="shared" si="117"/>
        <v>3163.4097084359369</v>
      </c>
      <c r="S479">
        <f t="shared" si="109"/>
        <v>0</v>
      </c>
      <c r="T479">
        <f t="shared" si="118"/>
        <v>5130.7000000000025</v>
      </c>
      <c r="U479">
        <f t="shared" si="110"/>
        <v>0</v>
      </c>
      <c r="V479">
        <f t="shared" si="119"/>
        <v>1945.899999999999</v>
      </c>
      <c r="W479">
        <f t="shared" si="111"/>
        <v>477</v>
      </c>
      <c r="X479">
        <f t="shared" si="112"/>
        <v>2.7296699999999987</v>
      </c>
      <c r="Y479">
        <f t="shared" si="113"/>
        <v>1.1000000000000001</v>
      </c>
    </row>
    <row r="480" spans="8:25" x14ac:dyDescent="0.2">
      <c r="H480">
        <f t="shared" si="114"/>
        <v>478</v>
      </c>
      <c r="I480">
        <f t="shared" si="105"/>
        <v>629</v>
      </c>
      <c r="J480">
        <f>IFERROR(INDEX(clima!$C:$C,$I480),"")</f>
        <v>0</v>
      </c>
      <c r="K480">
        <f>IFERROR(INDEX(clima!$F:$F,$I480),"")</f>
        <v>0</v>
      </c>
      <c r="L480">
        <f>IFERROR(INDEX(clima!$J:$J,$I480),"")</f>
        <v>0</v>
      </c>
      <c r="M480">
        <f t="shared" si="106"/>
        <v>0</v>
      </c>
      <c r="N480">
        <f t="shared" si="115"/>
        <v>6505.6999999999944</v>
      </c>
      <c r="O480">
        <f t="shared" si="107"/>
        <v>0</v>
      </c>
      <c r="P480">
        <f t="shared" si="116"/>
        <v>6366.4999999999945</v>
      </c>
      <c r="Q480">
        <f t="shared" si="108"/>
        <v>0</v>
      </c>
      <c r="R480">
        <f t="shared" si="117"/>
        <v>3163.4097084359369</v>
      </c>
      <c r="S480">
        <f t="shared" si="109"/>
        <v>0</v>
      </c>
      <c r="T480">
        <f t="shared" si="118"/>
        <v>5130.7000000000025</v>
      </c>
      <c r="U480">
        <f t="shared" si="110"/>
        <v>0</v>
      </c>
      <c r="V480">
        <f t="shared" si="119"/>
        <v>1945.899999999999</v>
      </c>
      <c r="W480">
        <f t="shared" si="111"/>
        <v>478</v>
      </c>
      <c r="X480">
        <f t="shared" si="112"/>
        <v>2.7296699999999987</v>
      </c>
      <c r="Y480">
        <f t="shared" si="113"/>
        <v>1.1000000000000001</v>
      </c>
    </row>
    <row r="481" spans="8:25" x14ac:dyDescent="0.2">
      <c r="H481">
        <f t="shared" si="114"/>
        <v>479</v>
      </c>
      <c r="I481">
        <f t="shared" si="105"/>
        <v>630</v>
      </c>
      <c r="J481">
        <f>IFERROR(INDEX(clima!$C:$C,$I481),"")</f>
        <v>0</v>
      </c>
      <c r="K481">
        <f>IFERROR(INDEX(clima!$F:$F,$I481),"")</f>
        <v>0</v>
      </c>
      <c r="L481">
        <f>IFERROR(INDEX(clima!$J:$J,$I481),"")</f>
        <v>0</v>
      </c>
      <c r="M481">
        <f t="shared" si="106"/>
        <v>0</v>
      </c>
      <c r="N481">
        <f t="shared" si="115"/>
        <v>6505.6999999999944</v>
      </c>
      <c r="O481">
        <f t="shared" si="107"/>
        <v>0</v>
      </c>
      <c r="P481">
        <f t="shared" si="116"/>
        <v>6366.4999999999945</v>
      </c>
      <c r="Q481">
        <f t="shared" si="108"/>
        <v>0</v>
      </c>
      <c r="R481">
        <f t="shared" si="117"/>
        <v>3163.4097084359369</v>
      </c>
      <c r="S481">
        <f t="shared" si="109"/>
        <v>0</v>
      </c>
      <c r="T481">
        <f t="shared" si="118"/>
        <v>5130.7000000000025</v>
      </c>
      <c r="U481">
        <f t="shared" si="110"/>
        <v>0</v>
      </c>
      <c r="V481">
        <f t="shared" si="119"/>
        <v>1945.899999999999</v>
      </c>
      <c r="W481">
        <f t="shared" si="111"/>
        <v>479</v>
      </c>
      <c r="X481">
        <f t="shared" si="112"/>
        <v>2.7296699999999987</v>
      </c>
      <c r="Y481">
        <f t="shared" si="113"/>
        <v>1.1000000000000001</v>
      </c>
    </row>
    <row r="482" spans="8:25" x14ac:dyDescent="0.2">
      <c r="H482">
        <f t="shared" si="114"/>
        <v>480</v>
      </c>
      <c r="I482">
        <f t="shared" si="105"/>
        <v>631</v>
      </c>
      <c r="J482">
        <f>IFERROR(INDEX(clima!$C:$C,$I482),"")</f>
        <v>0</v>
      </c>
      <c r="K482">
        <f>IFERROR(INDEX(clima!$F:$F,$I482),"")</f>
        <v>0</v>
      </c>
      <c r="L482">
        <f>IFERROR(INDEX(clima!$J:$J,$I482),"")</f>
        <v>0</v>
      </c>
      <c r="M482">
        <f t="shared" si="106"/>
        <v>0</v>
      </c>
      <c r="N482">
        <f t="shared" si="115"/>
        <v>6505.6999999999944</v>
      </c>
      <c r="O482">
        <f t="shared" si="107"/>
        <v>0</v>
      </c>
      <c r="P482">
        <f t="shared" si="116"/>
        <v>6366.4999999999945</v>
      </c>
      <c r="Q482">
        <f t="shared" si="108"/>
        <v>0</v>
      </c>
      <c r="R482">
        <f t="shared" si="117"/>
        <v>3163.4097084359369</v>
      </c>
      <c r="S482">
        <f t="shared" si="109"/>
        <v>0</v>
      </c>
      <c r="T482">
        <f t="shared" si="118"/>
        <v>5130.7000000000025</v>
      </c>
      <c r="U482">
        <f t="shared" si="110"/>
        <v>0</v>
      </c>
      <c r="V482">
        <f t="shared" si="119"/>
        <v>1945.899999999999</v>
      </c>
      <c r="W482">
        <f t="shared" si="111"/>
        <v>480</v>
      </c>
      <c r="X482">
        <f t="shared" si="112"/>
        <v>2.7296699999999987</v>
      </c>
      <c r="Y482">
        <f t="shared" si="113"/>
        <v>1.1000000000000001</v>
      </c>
    </row>
    <row r="483" spans="8:25" x14ac:dyDescent="0.2">
      <c r="H483">
        <f t="shared" si="114"/>
        <v>481</v>
      </c>
      <c r="I483">
        <f t="shared" si="105"/>
        <v>632</v>
      </c>
      <c r="J483">
        <f>IFERROR(INDEX(clima!$C:$C,$I483),"")</f>
        <v>0</v>
      </c>
      <c r="K483">
        <f>IFERROR(INDEX(clima!$F:$F,$I483),"")</f>
        <v>0</v>
      </c>
      <c r="L483">
        <f>IFERROR(INDEX(clima!$J:$J,$I483),"")</f>
        <v>0</v>
      </c>
      <c r="M483">
        <f t="shared" si="106"/>
        <v>0</v>
      </c>
      <c r="N483">
        <f t="shared" si="115"/>
        <v>6505.6999999999944</v>
      </c>
      <c r="O483">
        <f t="shared" si="107"/>
        <v>0</v>
      </c>
      <c r="P483">
        <f t="shared" si="116"/>
        <v>6366.4999999999945</v>
      </c>
      <c r="Q483">
        <f t="shared" si="108"/>
        <v>0</v>
      </c>
      <c r="R483">
        <f t="shared" si="117"/>
        <v>3163.4097084359369</v>
      </c>
      <c r="S483">
        <f t="shared" si="109"/>
        <v>0</v>
      </c>
      <c r="T483">
        <f t="shared" si="118"/>
        <v>5130.7000000000025</v>
      </c>
      <c r="U483">
        <f t="shared" si="110"/>
        <v>0</v>
      </c>
      <c r="V483">
        <f t="shared" si="119"/>
        <v>1945.899999999999</v>
      </c>
      <c r="W483">
        <f t="shared" si="111"/>
        <v>481</v>
      </c>
      <c r="X483">
        <f t="shared" si="112"/>
        <v>2.7296699999999987</v>
      </c>
      <c r="Y483">
        <f t="shared" si="113"/>
        <v>1.1000000000000001</v>
      </c>
    </row>
    <row r="484" spans="8:25" x14ac:dyDescent="0.2">
      <c r="H484">
        <f t="shared" si="114"/>
        <v>482</v>
      </c>
      <c r="I484">
        <f t="shared" si="105"/>
        <v>633</v>
      </c>
      <c r="J484">
        <f>IFERROR(INDEX(clima!$C:$C,$I484),"")</f>
        <v>0</v>
      </c>
      <c r="K484">
        <f>IFERROR(INDEX(clima!$F:$F,$I484),"")</f>
        <v>0</v>
      </c>
      <c r="L484">
        <f>IFERROR(INDEX(clima!$J:$J,$I484),"")</f>
        <v>0</v>
      </c>
      <c r="M484">
        <f t="shared" si="106"/>
        <v>0</v>
      </c>
      <c r="N484">
        <f t="shared" si="115"/>
        <v>6505.6999999999944</v>
      </c>
      <c r="O484">
        <f t="shared" si="107"/>
        <v>0</v>
      </c>
      <c r="P484">
        <f t="shared" si="116"/>
        <v>6366.4999999999945</v>
      </c>
      <c r="Q484">
        <f t="shared" si="108"/>
        <v>0</v>
      </c>
      <c r="R484">
        <f t="shared" si="117"/>
        <v>3163.4097084359369</v>
      </c>
      <c r="S484">
        <f t="shared" si="109"/>
        <v>0</v>
      </c>
      <c r="T484">
        <f t="shared" si="118"/>
        <v>5130.7000000000025</v>
      </c>
      <c r="U484">
        <f t="shared" si="110"/>
        <v>0</v>
      </c>
      <c r="V484">
        <f t="shared" si="119"/>
        <v>1945.899999999999</v>
      </c>
      <c r="W484">
        <f t="shared" si="111"/>
        <v>482</v>
      </c>
      <c r="X484">
        <f t="shared" si="112"/>
        <v>2.7296699999999987</v>
      </c>
      <c r="Y484">
        <f t="shared" si="113"/>
        <v>1.1000000000000001</v>
      </c>
    </row>
    <row r="485" spans="8:25" x14ac:dyDescent="0.2">
      <c r="H485">
        <f t="shared" si="114"/>
        <v>483</v>
      </c>
      <c r="I485">
        <f t="shared" si="105"/>
        <v>634</v>
      </c>
      <c r="J485">
        <f>IFERROR(INDEX(clima!$C:$C,$I485),"")</f>
        <v>0</v>
      </c>
      <c r="K485">
        <f>IFERROR(INDEX(clima!$F:$F,$I485),"")</f>
        <v>0</v>
      </c>
      <c r="L485">
        <f>IFERROR(INDEX(clima!$J:$J,$I485),"")</f>
        <v>0</v>
      </c>
      <c r="M485">
        <f t="shared" si="106"/>
        <v>0</v>
      </c>
      <c r="N485">
        <f t="shared" si="115"/>
        <v>6505.6999999999944</v>
      </c>
      <c r="O485">
        <f t="shared" si="107"/>
        <v>0</v>
      </c>
      <c r="P485">
        <f t="shared" si="116"/>
        <v>6366.4999999999945</v>
      </c>
      <c r="Q485">
        <f t="shared" si="108"/>
        <v>0</v>
      </c>
      <c r="R485">
        <f t="shared" si="117"/>
        <v>3163.4097084359369</v>
      </c>
      <c r="S485">
        <f t="shared" si="109"/>
        <v>0</v>
      </c>
      <c r="T485">
        <f t="shared" si="118"/>
        <v>5130.7000000000025</v>
      </c>
      <c r="U485">
        <f t="shared" si="110"/>
        <v>0</v>
      </c>
      <c r="V485">
        <f t="shared" si="119"/>
        <v>1945.899999999999</v>
      </c>
      <c r="W485">
        <f t="shared" si="111"/>
        <v>483</v>
      </c>
      <c r="X485">
        <f t="shared" si="112"/>
        <v>2.7296699999999987</v>
      </c>
      <c r="Y485">
        <f t="shared" si="113"/>
        <v>1.1000000000000001</v>
      </c>
    </row>
    <row r="486" spans="8:25" x14ac:dyDescent="0.2">
      <c r="H486">
        <f t="shared" si="114"/>
        <v>484</v>
      </c>
      <c r="I486">
        <f t="shared" si="105"/>
        <v>635</v>
      </c>
      <c r="J486">
        <f>IFERROR(INDEX(clima!$C:$C,$I486),"")</f>
        <v>0</v>
      </c>
      <c r="K486">
        <f>IFERROR(INDEX(clima!$F:$F,$I486),"")</f>
        <v>0</v>
      </c>
      <c r="L486">
        <f>IFERROR(INDEX(clima!$J:$J,$I486),"")</f>
        <v>0</v>
      </c>
      <c r="M486">
        <f t="shared" si="106"/>
        <v>0</v>
      </c>
      <c r="N486">
        <f t="shared" si="115"/>
        <v>6505.6999999999944</v>
      </c>
      <c r="O486">
        <f t="shared" si="107"/>
        <v>0</v>
      </c>
      <c r="P486">
        <f t="shared" si="116"/>
        <v>6366.4999999999945</v>
      </c>
      <c r="Q486">
        <f t="shared" si="108"/>
        <v>0</v>
      </c>
      <c r="R486">
        <f t="shared" si="117"/>
        <v>3163.4097084359369</v>
      </c>
      <c r="S486">
        <f t="shared" si="109"/>
        <v>0</v>
      </c>
      <c r="T486">
        <f t="shared" si="118"/>
        <v>5130.7000000000025</v>
      </c>
      <c r="U486">
        <f t="shared" si="110"/>
        <v>0</v>
      </c>
      <c r="V486">
        <f t="shared" si="119"/>
        <v>1945.899999999999</v>
      </c>
      <c r="W486">
        <f t="shared" si="111"/>
        <v>484</v>
      </c>
      <c r="X486">
        <f t="shared" si="112"/>
        <v>2.7296699999999987</v>
      </c>
      <c r="Y486">
        <f t="shared" si="113"/>
        <v>1.1000000000000001</v>
      </c>
    </row>
    <row r="487" spans="8:25" x14ac:dyDescent="0.2">
      <c r="H487">
        <f t="shared" si="114"/>
        <v>485</v>
      </c>
      <c r="I487">
        <f t="shared" si="105"/>
        <v>636</v>
      </c>
      <c r="J487">
        <f>IFERROR(INDEX(clima!$C:$C,$I487),"")</f>
        <v>0</v>
      </c>
      <c r="K487">
        <f>IFERROR(INDEX(clima!$F:$F,$I487),"")</f>
        <v>0</v>
      </c>
      <c r="L487">
        <f>IFERROR(INDEX(clima!$J:$J,$I487),"")</f>
        <v>0</v>
      </c>
      <c r="M487">
        <f t="shared" si="106"/>
        <v>0</v>
      </c>
      <c r="N487">
        <f t="shared" si="115"/>
        <v>6505.6999999999944</v>
      </c>
      <c r="O487">
        <f t="shared" si="107"/>
        <v>0</v>
      </c>
      <c r="P487">
        <f t="shared" si="116"/>
        <v>6366.4999999999945</v>
      </c>
      <c r="Q487">
        <f t="shared" si="108"/>
        <v>0</v>
      </c>
      <c r="R487">
        <f t="shared" si="117"/>
        <v>3163.4097084359369</v>
      </c>
      <c r="S487">
        <f t="shared" si="109"/>
        <v>0</v>
      </c>
      <c r="T487">
        <f t="shared" si="118"/>
        <v>5130.7000000000025</v>
      </c>
      <c r="U487">
        <f t="shared" si="110"/>
        <v>0</v>
      </c>
      <c r="V487">
        <f t="shared" si="119"/>
        <v>1945.899999999999</v>
      </c>
      <c r="W487">
        <f t="shared" si="111"/>
        <v>485</v>
      </c>
      <c r="X487">
        <f t="shared" si="112"/>
        <v>2.7296699999999987</v>
      </c>
      <c r="Y487">
        <f t="shared" si="113"/>
        <v>1.1000000000000001</v>
      </c>
    </row>
    <row r="488" spans="8:25" x14ac:dyDescent="0.2">
      <c r="H488">
        <f t="shared" si="114"/>
        <v>486</v>
      </c>
      <c r="I488">
        <f t="shared" si="105"/>
        <v>637</v>
      </c>
      <c r="J488">
        <f>IFERROR(INDEX(clima!$C:$C,$I488),"")</f>
        <v>0</v>
      </c>
      <c r="K488">
        <f>IFERROR(INDEX(clima!$F:$F,$I488),"")</f>
        <v>0</v>
      </c>
      <c r="L488">
        <f>IFERROR(INDEX(clima!$J:$J,$I488),"")</f>
        <v>0</v>
      </c>
      <c r="M488">
        <f t="shared" si="106"/>
        <v>0</v>
      </c>
      <c r="N488">
        <f t="shared" si="115"/>
        <v>6505.6999999999944</v>
      </c>
      <c r="O488">
        <f t="shared" si="107"/>
        <v>0</v>
      </c>
      <c r="P488">
        <f t="shared" si="116"/>
        <v>6366.4999999999945</v>
      </c>
      <c r="Q488">
        <f t="shared" si="108"/>
        <v>0</v>
      </c>
      <c r="R488">
        <f t="shared" si="117"/>
        <v>3163.4097084359369</v>
      </c>
      <c r="S488">
        <f t="shared" si="109"/>
        <v>0</v>
      </c>
      <c r="T488">
        <f t="shared" si="118"/>
        <v>5130.7000000000025</v>
      </c>
      <c r="U488">
        <f t="shared" si="110"/>
        <v>0</v>
      </c>
      <c r="V488">
        <f t="shared" si="119"/>
        <v>1945.899999999999</v>
      </c>
      <c r="W488">
        <f t="shared" si="111"/>
        <v>486</v>
      </c>
      <c r="X488">
        <f t="shared" si="112"/>
        <v>2.7296699999999987</v>
      </c>
      <c r="Y488">
        <f t="shared" si="113"/>
        <v>1.1000000000000001</v>
      </c>
    </row>
    <row r="489" spans="8:25" x14ac:dyDescent="0.2">
      <c r="H489">
        <f t="shared" si="114"/>
        <v>487</v>
      </c>
      <c r="I489">
        <f t="shared" si="105"/>
        <v>638</v>
      </c>
      <c r="J489">
        <f>IFERROR(INDEX(clima!$C:$C,$I489),"")</f>
        <v>0</v>
      </c>
      <c r="K489">
        <f>IFERROR(INDEX(clima!$F:$F,$I489),"")</f>
        <v>0</v>
      </c>
      <c r="L489">
        <f>IFERROR(INDEX(clima!$J:$J,$I489),"")</f>
        <v>0</v>
      </c>
      <c r="M489">
        <f t="shared" si="106"/>
        <v>0</v>
      </c>
      <c r="N489">
        <f t="shared" si="115"/>
        <v>6505.6999999999944</v>
      </c>
      <c r="O489">
        <f t="shared" si="107"/>
        <v>0</v>
      </c>
      <c r="P489">
        <f t="shared" si="116"/>
        <v>6366.4999999999945</v>
      </c>
      <c r="Q489">
        <f t="shared" si="108"/>
        <v>0</v>
      </c>
      <c r="R489">
        <f t="shared" si="117"/>
        <v>3163.4097084359369</v>
      </c>
      <c r="S489">
        <f t="shared" si="109"/>
        <v>0</v>
      </c>
      <c r="T489">
        <f t="shared" si="118"/>
        <v>5130.7000000000025</v>
      </c>
      <c r="U489">
        <f t="shared" si="110"/>
        <v>0</v>
      </c>
      <c r="V489">
        <f t="shared" si="119"/>
        <v>1945.899999999999</v>
      </c>
      <c r="W489">
        <f t="shared" si="111"/>
        <v>487</v>
      </c>
      <c r="X489">
        <f t="shared" si="112"/>
        <v>2.7296699999999987</v>
      </c>
      <c r="Y489">
        <f t="shared" si="113"/>
        <v>1.1000000000000001</v>
      </c>
    </row>
    <row r="490" spans="8:25" x14ac:dyDescent="0.2">
      <c r="H490">
        <f t="shared" si="114"/>
        <v>488</v>
      </c>
      <c r="I490">
        <f t="shared" si="105"/>
        <v>639</v>
      </c>
      <c r="J490">
        <f>IFERROR(INDEX(clima!$C:$C,$I490),"")</f>
        <v>0</v>
      </c>
      <c r="K490">
        <f>IFERROR(INDEX(clima!$F:$F,$I490),"")</f>
        <v>0</v>
      </c>
      <c r="L490">
        <f>IFERROR(INDEX(clima!$J:$J,$I490),"")</f>
        <v>0</v>
      </c>
      <c r="M490">
        <f t="shared" si="106"/>
        <v>0</v>
      </c>
      <c r="N490">
        <f t="shared" si="115"/>
        <v>6505.6999999999944</v>
      </c>
      <c r="O490">
        <f t="shared" si="107"/>
        <v>0</v>
      </c>
      <c r="P490">
        <f t="shared" si="116"/>
        <v>6366.4999999999945</v>
      </c>
      <c r="Q490">
        <f t="shared" si="108"/>
        <v>0</v>
      </c>
      <c r="R490">
        <f t="shared" si="117"/>
        <v>3163.4097084359369</v>
      </c>
      <c r="S490">
        <f t="shared" si="109"/>
        <v>0</v>
      </c>
      <c r="T490">
        <f t="shared" si="118"/>
        <v>5130.7000000000025</v>
      </c>
      <c r="U490">
        <f t="shared" si="110"/>
        <v>0</v>
      </c>
      <c r="V490">
        <f t="shared" si="119"/>
        <v>1945.899999999999</v>
      </c>
      <c r="W490">
        <f t="shared" si="111"/>
        <v>488</v>
      </c>
      <c r="X490">
        <f t="shared" si="112"/>
        <v>2.7296699999999987</v>
      </c>
      <c r="Y490">
        <f t="shared" si="113"/>
        <v>1.1000000000000001</v>
      </c>
    </row>
    <row r="491" spans="8:25" x14ac:dyDescent="0.2">
      <c r="H491">
        <f t="shared" si="114"/>
        <v>489</v>
      </c>
      <c r="I491">
        <f t="shared" si="105"/>
        <v>640</v>
      </c>
      <c r="J491">
        <f>IFERROR(INDEX(clima!$C:$C,$I491),"")</f>
        <v>0</v>
      </c>
      <c r="K491">
        <f>IFERROR(INDEX(clima!$F:$F,$I491),"")</f>
        <v>0</v>
      </c>
      <c r="L491">
        <f>IFERROR(INDEX(clima!$J:$J,$I491),"")</f>
        <v>0</v>
      </c>
      <c r="M491">
        <f t="shared" si="106"/>
        <v>0</v>
      </c>
      <c r="N491">
        <f t="shared" si="115"/>
        <v>6505.6999999999944</v>
      </c>
      <c r="O491">
        <f t="shared" si="107"/>
        <v>0</v>
      </c>
      <c r="P491">
        <f t="shared" si="116"/>
        <v>6366.4999999999945</v>
      </c>
      <c r="Q491">
        <f t="shared" si="108"/>
        <v>0</v>
      </c>
      <c r="R491">
        <f t="shared" si="117"/>
        <v>3163.4097084359369</v>
      </c>
      <c r="S491">
        <f t="shared" si="109"/>
        <v>0</v>
      </c>
      <c r="T491">
        <f t="shared" si="118"/>
        <v>5130.7000000000025</v>
      </c>
      <c r="U491">
        <f t="shared" si="110"/>
        <v>0</v>
      </c>
      <c r="V491">
        <f t="shared" si="119"/>
        <v>1945.899999999999</v>
      </c>
      <c r="W491">
        <f t="shared" si="111"/>
        <v>489</v>
      </c>
      <c r="X491">
        <f t="shared" si="112"/>
        <v>2.7296699999999987</v>
      </c>
      <c r="Y491">
        <f t="shared" si="113"/>
        <v>1.1000000000000001</v>
      </c>
    </row>
    <row r="492" spans="8:25" x14ac:dyDescent="0.2">
      <c r="H492">
        <f t="shared" si="114"/>
        <v>490</v>
      </c>
      <c r="I492">
        <f t="shared" si="105"/>
        <v>641</v>
      </c>
      <c r="J492">
        <f>IFERROR(INDEX(clima!$C:$C,$I492),"")</f>
        <v>0</v>
      </c>
      <c r="K492">
        <f>IFERROR(INDEX(clima!$F:$F,$I492),"")</f>
        <v>0</v>
      </c>
      <c r="L492">
        <f>IFERROR(INDEX(clima!$J:$J,$I492),"")</f>
        <v>0</v>
      </c>
      <c r="M492">
        <f t="shared" si="106"/>
        <v>0</v>
      </c>
      <c r="N492">
        <f t="shared" si="115"/>
        <v>6505.6999999999944</v>
      </c>
      <c r="O492">
        <f t="shared" si="107"/>
        <v>0</v>
      </c>
      <c r="P492">
        <f t="shared" si="116"/>
        <v>6366.4999999999945</v>
      </c>
      <c r="Q492">
        <f t="shared" si="108"/>
        <v>0</v>
      </c>
      <c r="R492">
        <f t="shared" si="117"/>
        <v>3163.4097084359369</v>
      </c>
      <c r="S492">
        <f t="shared" si="109"/>
        <v>0</v>
      </c>
      <c r="T492">
        <f t="shared" si="118"/>
        <v>5130.7000000000025</v>
      </c>
      <c r="U492">
        <f t="shared" si="110"/>
        <v>0</v>
      </c>
      <c r="V492">
        <f t="shared" si="119"/>
        <v>1945.899999999999</v>
      </c>
      <c r="W492">
        <f t="shared" si="111"/>
        <v>490</v>
      </c>
      <c r="X492">
        <f t="shared" si="112"/>
        <v>2.7296699999999987</v>
      </c>
      <c r="Y492">
        <f t="shared" si="113"/>
        <v>1.1000000000000001</v>
      </c>
    </row>
    <row r="493" spans="8:25" x14ac:dyDescent="0.2">
      <c r="H493">
        <f t="shared" si="114"/>
        <v>491</v>
      </c>
      <c r="I493">
        <f t="shared" si="105"/>
        <v>642</v>
      </c>
      <c r="J493">
        <f>IFERROR(INDEX(clima!$C:$C,$I493),"")</f>
        <v>0</v>
      </c>
      <c r="K493">
        <f>IFERROR(INDEX(clima!$F:$F,$I493),"")</f>
        <v>0</v>
      </c>
      <c r="L493">
        <f>IFERROR(INDEX(clima!$J:$J,$I493),"")</f>
        <v>0</v>
      </c>
      <c r="M493">
        <f t="shared" si="106"/>
        <v>0</v>
      </c>
      <c r="N493">
        <f t="shared" si="115"/>
        <v>6505.6999999999944</v>
      </c>
      <c r="O493">
        <f t="shared" si="107"/>
        <v>0</v>
      </c>
      <c r="P493">
        <f t="shared" si="116"/>
        <v>6366.4999999999945</v>
      </c>
      <c r="Q493">
        <f t="shared" si="108"/>
        <v>0</v>
      </c>
      <c r="R493">
        <f t="shared" si="117"/>
        <v>3163.4097084359369</v>
      </c>
      <c r="S493">
        <f t="shared" si="109"/>
        <v>0</v>
      </c>
      <c r="T493">
        <f t="shared" si="118"/>
        <v>5130.7000000000025</v>
      </c>
      <c r="U493">
        <f t="shared" si="110"/>
        <v>0</v>
      </c>
      <c r="V493">
        <f t="shared" si="119"/>
        <v>1945.899999999999</v>
      </c>
      <c r="W493">
        <f t="shared" si="111"/>
        <v>491</v>
      </c>
      <c r="X493">
        <f t="shared" si="112"/>
        <v>2.7296699999999987</v>
      </c>
      <c r="Y493">
        <f t="shared" si="113"/>
        <v>1.1000000000000001</v>
      </c>
    </row>
    <row r="494" spans="8:25" x14ac:dyDescent="0.2">
      <c r="H494">
        <f t="shared" si="114"/>
        <v>492</v>
      </c>
      <c r="I494">
        <f t="shared" si="105"/>
        <v>643</v>
      </c>
      <c r="J494">
        <f>IFERROR(INDEX(clima!$C:$C,$I494),"")</f>
        <v>0</v>
      </c>
      <c r="K494">
        <f>IFERROR(INDEX(clima!$F:$F,$I494),"")</f>
        <v>0</v>
      </c>
      <c r="L494">
        <f>IFERROR(INDEX(clima!$J:$J,$I494),"")</f>
        <v>0</v>
      </c>
      <c r="M494">
        <f t="shared" si="106"/>
        <v>0</v>
      </c>
      <c r="N494">
        <f t="shared" si="115"/>
        <v>6505.6999999999944</v>
      </c>
      <c r="O494">
        <f t="shared" si="107"/>
        <v>0</v>
      </c>
      <c r="P494">
        <f t="shared" si="116"/>
        <v>6366.4999999999945</v>
      </c>
      <c r="Q494">
        <f t="shared" si="108"/>
        <v>0</v>
      </c>
      <c r="R494">
        <f t="shared" si="117"/>
        <v>3163.4097084359369</v>
      </c>
      <c r="S494">
        <f t="shared" si="109"/>
        <v>0</v>
      </c>
      <c r="T494">
        <f t="shared" si="118"/>
        <v>5130.7000000000025</v>
      </c>
      <c r="U494">
        <f t="shared" si="110"/>
        <v>0</v>
      </c>
      <c r="V494">
        <f t="shared" si="119"/>
        <v>1945.899999999999</v>
      </c>
      <c r="W494">
        <f t="shared" si="111"/>
        <v>492</v>
      </c>
      <c r="X494">
        <f t="shared" si="112"/>
        <v>2.7296699999999987</v>
      </c>
      <c r="Y494">
        <f t="shared" si="113"/>
        <v>1.1000000000000001</v>
      </c>
    </row>
    <row r="495" spans="8:25" x14ac:dyDescent="0.2">
      <c r="H495">
        <f t="shared" si="114"/>
        <v>493</v>
      </c>
      <c r="I495">
        <f t="shared" si="105"/>
        <v>644</v>
      </c>
      <c r="J495">
        <f>IFERROR(INDEX(clima!$C:$C,$I495),"")</f>
        <v>0</v>
      </c>
      <c r="K495">
        <f>IFERROR(INDEX(clima!$F:$F,$I495),"")</f>
        <v>0</v>
      </c>
      <c r="L495">
        <f>IFERROR(INDEX(clima!$J:$J,$I495),"")</f>
        <v>0</v>
      </c>
      <c r="M495">
        <f t="shared" si="106"/>
        <v>0</v>
      </c>
      <c r="N495">
        <f t="shared" si="115"/>
        <v>6505.6999999999944</v>
      </c>
      <c r="O495">
        <f t="shared" si="107"/>
        <v>0</v>
      </c>
      <c r="P495">
        <f t="shared" si="116"/>
        <v>6366.4999999999945</v>
      </c>
      <c r="Q495">
        <f t="shared" si="108"/>
        <v>0</v>
      </c>
      <c r="R495">
        <f t="shared" si="117"/>
        <v>3163.4097084359369</v>
      </c>
      <c r="S495">
        <f t="shared" si="109"/>
        <v>0</v>
      </c>
      <c r="T495">
        <f t="shared" si="118"/>
        <v>5130.7000000000025</v>
      </c>
      <c r="U495">
        <f t="shared" si="110"/>
        <v>0</v>
      </c>
      <c r="V495">
        <f t="shared" si="119"/>
        <v>1945.899999999999</v>
      </c>
      <c r="W495">
        <f t="shared" si="111"/>
        <v>493</v>
      </c>
      <c r="X495">
        <f t="shared" si="112"/>
        <v>2.7296699999999987</v>
      </c>
      <c r="Y495">
        <f t="shared" si="113"/>
        <v>1.1000000000000001</v>
      </c>
    </row>
    <row r="496" spans="8:25" x14ac:dyDescent="0.2">
      <c r="H496">
        <f t="shared" si="114"/>
        <v>494</v>
      </c>
      <c r="I496">
        <f t="shared" si="105"/>
        <v>645</v>
      </c>
      <c r="J496">
        <f>IFERROR(INDEX(clima!$C:$C,$I496),"")</f>
        <v>0</v>
      </c>
      <c r="K496">
        <f>IFERROR(INDEX(clima!$F:$F,$I496),"")</f>
        <v>0</v>
      </c>
      <c r="L496">
        <f>IFERROR(INDEX(clima!$J:$J,$I496),"")</f>
        <v>0</v>
      </c>
      <c r="M496">
        <f t="shared" si="106"/>
        <v>0</v>
      </c>
      <c r="N496">
        <f t="shared" si="115"/>
        <v>6505.6999999999944</v>
      </c>
      <c r="O496">
        <f t="shared" si="107"/>
        <v>0</v>
      </c>
      <c r="P496">
        <f t="shared" si="116"/>
        <v>6366.4999999999945</v>
      </c>
      <c r="Q496">
        <f t="shared" si="108"/>
        <v>0</v>
      </c>
      <c r="R496">
        <f t="shared" si="117"/>
        <v>3163.4097084359369</v>
      </c>
      <c r="S496">
        <f t="shared" si="109"/>
        <v>0</v>
      </c>
      <c r="T496">
        <f t="shared" si="118"/>
        <v>5130.7000000000025</v>
      </c>
      <c r="U496">
        <f t="shared" si="110"/>
        <v>0</v>
      </c>
      <c r="V496">
        <f t="shared" si="119"/>
        <v>1945.899999999999</v>
      </c>
      <c r="W496">
        <f t="shared" si="111"/>
        <v>494</v>
      </c>
      <c r="X496">
        <f t="shared" si="112"/>
        <v>2.7296699999999987</v>
      </c>
      <c r="Y496">
        <f t="shared" si="113"/>
        <v>1.1000000000000001</v>
      </c>
    </row>
    <row r="497" spans="1:25" x14ac:dyDescent="0.2">
      <c r="H497">
        <f t="shared" si="114"/>
        <v>495</v>
      </c>
      <c r="I497">
        <f t="shared" si="105"/>
        <v>646</v>
      </c>
      <c r="J497">
        <f>IFERROR(INDEX(clima!$C:$C,$I497),"")</f>
        <v>0</v>
      </c>
      <c r="K497">
        <f>IFERROR(INDEX(clima!$F:$F,$I497),"")</f>
        <v>0</v>
      </c>
      <c r="L497">
        <f>IFERROR(INDEX(clima!$J:$J,$I497),"")</f>
        <v>0</v>
      </c>
      <c r="M497">
        <f t="shared" si="106"/>
        <v>0</v>
      </c>
      <c r="N497">
        <f t="shared" si="115"/>
        <v>6505.6999999999944</v>
      </c>
      <c r="O497">
        <f t="shared" si="107"/>
        <v>0</v>
      </c>
      <c r="P497">
        <f t="shared" si="116"/>
        <v>6366.4999999999945</v>
      </c>
      <c r="Q497">
        <f t="shared" si="108"/>
        <v>0</v>
      </c>
      <c r="R497">
        <f t="shared" si="117"/>
        <v>3163.4097084359369</v>
      </c>
      <c r="S497">
        <f t="shared" si="109"/>
        <v>0</v>
      </c>
      <c r="T497">
        <f t="shared" si="118"/>
        <v>5130.7000000000025</v>
      </c>
      <c r="U497">
        <f t="shared" si="110"/>
        <v>0</v>
      </c>
      <c r="V497">
        <f t="shared" si="119"/>
        <v>1945.899999999999</v>
      </c>
      <c r="W497">
        <f t="shared" si="111"/>
        <v>495</v>
      </c>
      <c r="X497">
        <f t="shared" si="112"/>
        <v>2.7296699999999987</v>
      </c>
      <c r="Y497">
        <f t="shared" si="113"/>
        <v>1.1000000000000001</v>
      </c>
    </row>
    <row r="498" spans="1:25" x14ac:dyDescent="0.2">
      <c r="H498">
        <f t="shared" si="114"/>
        <v>496</v>
      </c>
      <c r="I498">
        <f t="shared" si="105"/>
        <v>647</v>
      </c>
      <c r="J498">
        <f>IFERROR(INDEX(clima!$C:$C,$I498),"")</f>
        <v>0</v>
      </c>
      <c r="K498">
        <f>IFERROR(INDEX(clima!$F:$F,$I498),"")</f>
        <v>0</v>
      </c>
      <c r="L498">
        <f>IFERROR(INDEX(clima!$J:$J,$I498),"")</f>
        <v>0</v>
      </c>
      <c r="M498">
        <f t="shared" si="106"/>
        <v>0</v>
      </c>
      <c r="N498">
        <f t="shared" si="115"/>
        <v>6505.6999999999944</v>
      </c>
      <c r="O498">
        <f t="shared" si="107"/>
        <v>0</v>
      </c>
      <c r="P498">
        <f t="shared" si="116"/>
        <v>6366.4999999999945</v>
      </c>
      <c r="Q498">
        <f t="shared" si="108"/>
        <v>0</v>
      </c>
      <c r="R498">
        <f t="shared" si="117"/>
        <v>3163.4097084359369</v>
      </c>
      <c r="S498">
        <f t="shared" si="109"/>
        <v>0</v>
      </c>
      <c r="T498">
        <f t="shared" si="118"/>
        <v>5130.7000000000025</v>
      </c>
      <c r="U498">
        <f t="shared" si="110"/>
        <v>0</v>
      </c>
      <c r="V498">
        <f t="shared" si="119"/>
        <v>1945.899999999999</v>
      </c>
      <c r="W498">
        <f t="shared" si="111"/>
        <v>496</v>
      </c>
      <c r="X498">
        <f t="shared" si="112"/>
        <v>2.7296699999999987</v>
      </c>
      <c r="Y498">
        <f t="shared" si="113"/>
        <v>1.1000000000000001</v>
      </c>
    </row>
    <row r="499" spans="1:25" x14ac:dyDescent="0.2">
      <c r="H499">
        <f t="shared" si="114"/>
        <v>497</v>
      </c>
      <c r="I499">
        <f t="shared" si="105"/>
        <v>648</v>
      </c>
      <c r="J499">
        <f>IFERROR(INDEX(clima!$C:$C,$I499),"")</f>
        <v>0</v>
      </c>
      <c r="K499">
        <f>IFERROR(INDEX(clima!$F:$F,$I499),"")</f>
        <v>0</v>
      </c>
      <c r="L499">
        <f>IFERROR(INDEX(clima!$J:$J,$I499),"")</f>
        <v>0</v>
      </c>
      <c r="M499">
        <f t="shared" si="106"/>
        <v>0</v>
      </c>
      <c r="N499">
        <f t="shared" si="115"/>
        <v>6505.6999999999944</v>
      </c>
      <c r="O499">
        <f t="shared" si="107"/>
        <v>0</v>
      </c>
      <c r="P499">
        <f t="shared" si="116"/>
        <v>6366.4999999999945</v>
      </c>
      <c r="Q499">
        <f t="shared" si="108"/>
        <v>0</v>
      </c>
      <c r="R499">
        <f t="shared" si="117"/>
        <v>3163.4097084359369</v>
      </c>
      <c r="S499">
        <f t="shared" si="109"/>
        <v>0</v>
      </c>
      <c r="T499">
        <f t="shared" si="118"/>
        <v>5130.7000000000025</v>
      </c>
      <c r="U499">
        <f t="shared" si="110"/>
        <v>0</v>
      </c>
      <c r="V499">
        <f t="shared" si="119"/>
        <v>1945.899999999999</v>
      </c>
      <c r="W499">
        <f t="shared" si="111"/>
        <v>497</v>
      </c>
      <c r="X499">
        <f t="shared" si="112"/>
        <v>2.7296699999999987</v>
      </c>
      <c r="Y499">
        <f t="shared" si="113"/>
        <v>1.1000000000000001</v>
      </c>
    </row>
    <row r="500" spans="1:25" x14ac:dyDescent="0.2">
      <c r="H500">
        <f t="shared" si="114"/>
        <v>498</v>
      </c>
      <c r="I500">
        <f t="shared" si="105"/>
        <v>649</v>
      </c>
      <c r="J500">
        <f>IFERROR(INDEX(clima!$C:$C,$I500),"")</f>
        <v>0</v>
      </c>
      <c r="K500">
        <f>IFERROR(INDEX(clima!$F:$F,$I500),"")</f>
        <v>0</v>
      </c>
      <c r="L500">
        <f>IFERROR(INDEX(clima!$J:$J,$I500),"")</f>
        <v>0</v>
      </c>
      <c r="M500">
        <f t="shared" si="106"/>
        <v>0</v>
      </c>
      <c r="N500">
        <f t="shared" si="115"/>
        <v>6505.6999999999944</v>
      </c>
      <c r="O500">
        <f t="shared" si="107"/>
        <v>0</v>
      </c>
      <c r="P500">
        <f t="shared" si="116"/>
        <v>6366.4999999999945</v>
      </c>
      <c r="Q500">
        <f t="shared" si="108"/>
        <v>0</v>
      </c>
      <c r="R500">
        <f t="shared" si="117"/>
        <v>3163.4097084359369</v>
      </c>
      <c r="S500">
        <f t="shared" si="109"/>
        <v>0</v>
      </c>
      <c r="T500">
        <f t="shared" si="118"/>
        <v>5130.7000000000025</v>
      </c>
      <c r="U500">
        <f t="shared" si="110"/>
        <v>0</v>
      </c>
      <c r="V500">
        <f t="shared" si="119"/>
        <v>1945.899999999999</v>
      </c>
      <c r="W500">
        <f t="shared" si="111"/>
        <v>498</v>
      </c>
      <c r="X500">
        <f t="shared" si="112"/>
        <v>2.7296699999999987</v>
      </c>
      <c r="Y500">
        <f t="shared" si="113"/>
        <v>1.1000000000000001</v>
      </c>
    </row>
    <row r="501" spans="1:25" x14ac:dyDescent="0.2">
      <c r="H501">
        <f t="shared" si="114"/>
        <v>499</v>
      </c>
      <c r="I501">
        <f t="shared" si="105"/>
        <v>650</v>
      </c>
      <c r="J501">
        <f>IFERROR(INDEX(clima!$C:$C,$I501),"")</f>
        <v>0</v>
      </c>
      <c r="K501">
        <f>IFERROR(INDEX(clima!$F:$F,$I501),"")</f>
        <v>0</v>
      </c>
      <c r="L501">
        <f>IFERROR(INDEX(clima!$J:$J,$I501),"")</f>
        <v>0</v>
      </c>
      <c r="M501">
        <f t="shared" si="106"/>
        <v>0</v>
      </c>
      <c r="N501">
        <f t="shared" si="115"/>
        <v>6505.6999999999944</v>
      </c>
      <c r="O501">
        <f t="shared" si="107"/>
        <v>0</v>
      </c>
      <c r="P501">
        <f t="shared" si="116"/>
        <v>6366.4999999999945</v>
      </c>
      <c r="Q501">
        <f t="shared" si="108"/>
        <v>0</v>
      </c>
      <c r="R501">
        <f t="shared" si="117"/>
        <v>3163.4097084359369</v>
      </c>
      <c r="S501">
        <f t="shared" si="109"/>
        <v>0</v>
      </c>
      <c r="T501">
        <f t="shared" si="118"/>
        <v>5130.7000000000025</v>
      </c>
      <c r="U501">
        <f t="shared" si="110"/>
        <v>0</v>
      </c>
      <c r="V501">
        <f t="shared" si="119"/>
        <v>1945.899999999999</v>
      </c>
      <c r="W501">
        <f t="shared" si="111"/>
        <v>499</v>
      </c>
      <c r="X501">
        <f t="shared" si="112"/>
        <v>2.7296699999999987</v>
      </c>
      <c r="Y501">
        <f t="shared" si="113"/>
        <v>1.1000000000000001</v>
      </c>
    </row>
    <row r="510" spans="1:25" x14ac:dyDescent="0.2">
      <c r="A510" s="8"/>
    </row>
    <row r="511" spans="1:25" x14ac:dyDescent="0.2">
      <c r="A511" s="16"/>
    </row>
    <row r="512" spans="1:25" x14ac:dyDescent="0.2">
      <c r="A512" s="16"/>
    </row>
    <row r="513" spans="1:1" x14ac:dyDescent="0.2">
      <c r="A513" s="16"/>
    </row>
    <row r="514" spans="1:1" x14ac:dyDescent="0.2">
      <c r="A514" s="1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612"/>
  <sheetViews>
    <sheetView workbookViewId="0">
      <pane xSplit="16" ySplit="4" topLeftCell="BL5" activePane="bottomRight" state="frozen"/>
      <selection pane="topRight" activeCell="F1" sqref="F1"/>
      <selection pane="bottomLeft" activeCell="A5" sqref="A5"/>
      <selection pane="bottomRight" activeCell="V19" sqref="V19"/>
    </sheetView>
  </sheetViews>
  <sheetFormatPr baseColWidth="10" defaultColWidth="10.6640625" defaultRowHeight="15" x14ac:dyDescent="0.2"/>
  <cols>
    <col min="1" max="1" width="10.1640625" style="28" bestFit="1" customWidth="1"/>
    <col min="2" max="2" width="7.6640625" style="28" bestFit="1" customWidth="1"/>
    <col min="3" max="3" width="4.83203125" style="28" customWidth="1"/>
    <col min="4" max="11" width="5.5" style="28" customWidth="1"/>
    <col min="12" max="12" width="10.33203125" style="28" customWidth="1"/>
    <col min="13" max="16" width="5.6640625" style="28" customWidth="1"/>
    <col min="17" max="17" width="4.6640625" style="28" customWidth="1"/>
    <col min="18" max="19" width="5.33203125" style="28" customWidth="1"/>
    <col min="20" max="20" width="4.6640625" style="28" customWidth="1"/>
    <col min="21" max="22" width="5.5" style="28" customWidth="1"/>
    <col min="23" max="25" width="4.6640625" style="28" customWidth="1"/>
    <col min="26" max="28" width="5.33203125" style="28" customWidth="1"/>
    <col min="29" max="29" width="4.6640625" style="28" customWidth="1"/>
    <col min="30" max="32" width="5.6640625" style="28" customWidth="1"/>
    <col min="33" max="40" width="5.1640625" style="28" customWidth="1"/>
    <col min="41" max="62" width="4.6640625" style="28" customWidth="1"/>
    <col min="63" max="70" width="5.5" style="28" customWidth="1"/>
    <col min="71" max="78" width="4.6640625" style="28" customWidth="1"/>
    <col min="79" max="86" width="5.1640625" style="28" customWidth="1"/>
    <col min="87" max="130" width="4.6640625" style="28" customWidth="1"/>
    <col min="131" max="131" width="10.6640625" style="28" customWidth="1"/>
    <col min="132" max="16384" width="10.6640625" style="28"/>
  </cols>
  <sheetData>
    <row r="1" spans="1:94" ht="16" customHeight="1" thickBot="1" x14ac:dyDescent="0.25">
      <c r="A1" s="26" t="s">
        <v>345</v>
      </c>
      <c r="B1" s="26" t="s">
        <v>346</v>
      </c>
      <c r="C1" s="27" t="s">
        <v>347</v>
      </c>
      <c r="L1" s="24"/>
      <c r="M1" s="25"/>
      <c r="N1" s="25"/>
      <c r="O1" s="24"/>
      <c r="P1" s="24"/>
      <c r="Q1" s="24" t="s">
        <v>348</v>
      </c>
      <c r="R1" s="29" t="s">
        <v>349</v>
      </c>
      <c r="S1" s="30" t="s">
        <v>350</v>
      </c>
      <c r="T1" s="31" t="s">
        <v>351</v>
      </c>
      <c r="U1" s="32" t="s">
        <v>352</v>
      </c>
      <c r="V1" s="33" t="s">
        <v>353</v>
      </c>
      <c r="W1" s="31" t="s">
        <v>354</v>
      </c>
      <c r="X1" s="31"/>
      <c r="Y1" s="31"/>
      <c r="Z1" s="31"/>
      <c r="AA1" s="31"/>
      <c r="AB1" s="31"/>
      <c r="AC1" s="31" t="s">
        <v>355</v>
      </c>
      <c r="AD1" s="24" t="s">
        <v>356</v>
      </c>
      <c r="AE1" s="24" t="s">
        <v>357</v>
      </c>
      <c r="AF1" s="24" t="s">
        <v>358</v>
      </c>
      <c r="AG1" s="34" t="s">
        <v>359</v>
      </c>
      <c r="AH1" s="34"/>
      <c r="AI1" s="34"/>
      <c r="AJ1" s="34"/>
      <c r="AK1" s="34"/>
      <c r="AL1" s="34"/>
      <c r="AM1" s="34"/>
      <c r="AN1" s="34"/>
      <c r="AO1" s="35" t="s">
        <v>360</v>
      </c>
      <c r="AP1" s="35"/>
      <c r="AQ1" s="35"/>
      <c r="AR1" s="35"/>
      <c r="AS1" s="35"/>
      <c r="AT1" s="35"/>
      <c r="AU1" s="35"/>
      <c r="AV1" s="35"/>
      <c r="AW1" s="35"/>
      <c r="AX1" s="32" t="s">
        <v>361</v>
      </c>
      <c r="AY1" s="35" t="s">
        <v>362</v>
      </c>
      <c r="AZ1" s="35"/>
      <c r="BA1" s="35"/>
      <c r="BB1" s="35"/>
      <c r="BC1" s="35"/>
      <c r="BD1" s="35"/>
      <c r="BE1" s="35"/>
      <c r="BF1" s="35"/>
      <c r="BG1" s="35"/>
      <c r="BH1" s="36" t="s">
        <v>363</v>
      </c>
      <c r="BI1" s="36" t="s">
        <v>364</v>
      </c>
      <c r="BJ1" s="33" t="s">
        <v>365</v>
      </c>
      <c r="BK1" s="24" t="s">
        <v>366</v>
      </c>
      <c r="BL1" s="24"/>
      <c r="BM1" s="24"/>
      <c r="BN1" s="24"/>
      <c r="BO1" s="24"/>
      <c r="BP1" s="24"/>
      <c r="BQ1" s="24"/>
      <c r="BR1" s="24"/>
      <c r="BS1" s="24" t="s">
        <v>367</v>
      </c>
      <c r="BT1" s="24"/>
      <c r="BU1" s="24"/>
      <c r="BV1" s="24"/>
      <c r="BW1" s="24"/>
      <c r="BX1" s="24"/>
      <c r="BY1" s="24"/>
      <c r="BZ1" s="24"/>
      <c r="CA1" s="24" t="s">
        <v>368</v>
      </c>
      <c r="CB1" s="24"/>
      <c r="CC1" s="24"/>
      <c r="CD1" s="24"/>
      <c r="CE1" s="24"/>
      <c r="CF1" s="24"/>
      <c r="CG1" s="24"/>
      <c r="CH1" s="24"/>
      <c r="CI1" s="24" t="s">
        <v>369</v>
      </c>
      <c r="CJ1" s="24"/>
      <c r="CK1" s="24"/>
      <c r="CL1" s="24"/>
      <c r="CM1" s="24"/>
      <c r="CN1" s="24"/>
      <c r="CO1" s="24"/>
      <c r="CP1" s="24"/>
    </row>
    <row r="2" spans="1:94" ht="17" customHeight="1" thickBot="1" x14ac:dyDescent="0.25">
      <c r="A2" s="40">
        <v>30376</v>
      </c>
      <c r="B2" s="41">
        <v>0.8</v>
      </c>
      <c r="C2" s="42" t="s">
        <v>370</v>
      </c>
      <c r="D2" s="43">
        <v>0.9</v>
      </c>
      <c r="E2" s="44">
        <v>0.9</v>
      </c>
      <c r="F2" s="44">
        <v>0.9</v>
      </c>
      <c r="G2" s="44">
        <v>0.9</v>
      </c>
      <c r="H2" s="44">
        <v>0.9</v>
      </c>
      <c r="I2" s="44">
        <v>0.9</v>
      </c>
      <c r="J2" s="44">
        <v>0.9</v>
      </c>
      <c r="K2" s="45">
        <v>0.9</v>
      </c>
      <c r="L2" s="37">
        <v>30803</v>
      </c>
      <c r="M2" s="38"/>
      <c r="N2" s="38"/>
      <c r="O2" s="39"/>
      <c r="P2" s="39"/>
      <c r="Q2" s="46"/>
      <c r="R2" s="47">
        <f>SUBTOTAL(9,R5:R491)</f>
        <v>261.64693131650779</v>
      </c>
      <c r="S2" s="48">
        <f>SUBTOTAL(9,S5:S491)</f>
        <v>983.15306868349251</v>
      </c>
      <c r="T2" s="49">
        <f>SUBTOTAL(9,T5:T491)</f>
        <v>29.106608108555143</v>
      </c>
      <c r="U2" s="50">
        <f>SUBTOTAL(9,U5:U491)</f>
        <v>683.33859014409995</v>
      </c>
      <c r="V2" s="51">
        <f>SUBTOTAL(9,V5:V491)</f>
        <v>619.15006364440012</v>
      </c>
      <c r="W2" s="52">
        <f t="shared" ref="W2:AC2" si="0">W491</f>
        <v>122.37637974635766</v>
      </c>
      <c r="X2" s="52">
        <f t="shared" si="0"/>
        <v>151.27625292884801</v>
      </c>
      <c r="Y2" s="52">
        <f t="shared" si="0"/>
        <v>273.65263267520567</v>
      </c>
      <c r="Z2" s="53">
        <f t="shared" si="0"/>
        <v>0.95606546676841919</v>
      </c>
      <c r="AA2" s="53">
        <f t="shared" si="0"/>
        <v>0.90045388648123814</v>
      </c>
      <c r="AB2" s="53">
        <f t="shared" si="0"/>
        <v>0.92450213741623533</v>
      </c>
      <c r="AC2" s="39" t="str">
        <f t="shared" si="0"/>
        <v>No</v>
      </c>
      <c r="AD2" s="39"/>
      <c r="AE2" s="39"/>
      <c r="AF2" s="39">
        <f t="shared" ref="AF2:AN2" si="1">AF491</f>
        <v>2.1257999999999999</v>
      </c>
      <c r="AG2" s="39">
        <f t="shared" si="1"/>
        <v>58.019459743216608</v>
      </c>
      <c r="AH2" s="39">
        <f t="shared" si="1"/>
        <v>64.560411228375941</v>
      </c>
      <c r="AI2" s="39">
        <f t="shared" si="1"/>
        <v>62.972881905256045</v>
      </c>
      <c r="AJ2" s="39">
        <f t="shared" si="1"/>
        <v>85.823626869509027</v>
      </c>
      <c r="AK2" s="39">
        <f t="shared" si="1"/>
        <v>83.161128903020824</v>
      </c>
      <c r="AL2" s="39">
        <f t="shared" si="1"/>
        <v>74.516003116427868</v>
      </c>
      <c r="AM2" s="39">
        <f t="shared" si="1"/>
        <v>74.929488830802654</v>
      </c>
      <c r="AN2" s="39">
        <f t="shared" si="1"/>
        <v>59.669632078596642</v>
      </c>
      <c r="AO2" s="50">
        <f t="shared" ref="AO2:BJ2" si="2">SUBTOTAL(9,AO5:AO491)</f>
        <v>539.57283617539895</v>
      </c>
      <c r="AP2" s="50">
        <f t="shared" si="2"/>
        <v>493.35116252475308</v>
      </c>
      <c r="AQ2" s="50">
        <f t="shared" si="2"/>
        <v>399.16979423001374</v>
      </c>
      <c r="AR2" s="50">
        <f t="shared" si="2"/>
        <v>474.20249557514217</v>
      </c>
      <c r="AS2" s="50">
        <f t="shared" si="2"/>
        <v>428.43237789576222</v>
      </c>
      <c r="AT2" s="50">
        <f t="shared" si="2"/>
        <v>373.73988354841384</v>
      </c>
      <c r="AU2" s="50">
        <f t="shared" si="2"/>
        <v>340.35642710355216</v>
      </c>
      <c r="AV2" s="50">
        <f t="shared" si="2"/>
        <v>192.90145631193664</v>
      </c>
      <c r="AW2" s="50">
        <f t="shared" si="2"/>
        <v>3241.7264333649714</v>
      </c>
      <c r="AX2" s="50">
        <f t="shared" si="2"/>
        <v>683.33859014409995</v>
      </c>
      <c r="AY2" s="50">
        <f t="shared" si="2"/>
        <v>538.32221363430017</v>
      </c>
      <c r="AZ2" s="50">
        <f t="shared" si="2"/>
        <v>91.554080388242014</v>
      </c>
      <c r="BA2" s="50">
        <f t="shared" si="2"/>
        <v>91.576799925042536</v>
      </c>
      <c r="BB2" s="50">
        <f t="shared" si="2"/>
        <v>68.296216036190827</v>
      </c>
      <c r="BC2" s="50">
        <f t="shared" si="2"/>
        <v>72.133555884063441</v>
      </c>
      <c r="BD2" s="50">
        <f t="shared" si="2"/>
        <v>64.792914284255559</v>
      </c>
      <c r="BE2" s="50">
        <f t="shared" si="2"/>
        <v>58.747997993450511</v>
      </c>
      <c r="BF2" s="50">
        <f t="shared" si="2"/>
        <v>52.777793061219072</v>
      </c>
      <c r="BG2" s="50">
        <f t="shared" si="2"/>
        <v>38.442856061836011</v>
      </c>
      <c r="BH2" s="51">
        <f t="shared" si="2"/>
        <v>173.09623728223778</v>
      </c>
      <c r="BI2" s="51">
        <f t="shared" si="2"/>
        <v>446.05382636216245</v>
      </c>
      <c r="BJ2" s="51">
        <f t="shared" si="2"/>
        <v>313.04283320219355</v>
      </c>
      <c r="BK2" s="39">
        <f t="shared" ref="BK2:BR2" si="3">BK491</f>
        <v>57.737885568173681</v>
      </c>
      <c r="BL2" s="39">
        <f t="shared" si="3"/>
        <v>64.293499376792454</v>
      </c>
      <c r="BM2" s="39">
        <f t="shared" si="3"/>
        <v>62.701825038328359</v>
      </c>
      <c r="BN2" s="39">
        <f t="shared" si="3"/>
        <v>85.413380591979532</v>
      </c>
      <c r="BO2" s="39">
        <f t="shared" si="3"/>
        <v>82.747490987767677</v>
      </c>
      <c r="BP2" s="39">
        <f t="shared" si="3"/>
        <v>74.098798986308338</v>
      </c>
      <c r="BQ2" s="39">
        <f t="shared" si="3"/>
        <v>74.50812948498718</v>
      </c>
      <c r="BR2" s="39">
        <f t="shared" si="3"/>
        <v>59.401622640868382</v>
      </c>
      <c r="BS2" s="49">
        <f t="shared" ref="BS2:BZ2" si="4">SUBTOTAL(9,BS5:BS491)</f>
        <v>475.26604383868772</v>
      </c>
      <c r="BT2" s="49">
        <f t="shared" si="4"/>
        <v>363.70811944664899</v>
      </c>
      <c r="BU2" s="49">
        <f t="shared" si="4"/>
        <v>311.69802760989421</v>
      </c>
      <c r="BV2" s="49">
        <f t="shared" si="4"/>
        <v>242.42421160924786</v>
      </c>
      <c r="BW2" s="49">
        <f t="shared" si="4"/>
        <v>174.68380633722455</v>
      </c>
      <c r="BX2" s="49">
        <f t="shared" si="4"/>
        <v>112.63700935746562</v>
      </c>
      <c r="BY2" s="49">
        <f t="shared" si="4"/>
        <v>56.151086811259432</v>
      </c>
      <c r="BZ2" s="49">
        <f t="shared" si="4"/>
        <v>29.106608108555143</v>
      </c>
      <c r="CA2" s="39">
        <f t="shared" ref="CA2:CH2" si="5">CA491</f>
        <v>57.737885568173681</v>
      </c>
      <c r="CB2" s="39">
        <f t="shared" si="5"/>
        <v>64.293499376792454</v>
      </c>
      <c r="CC2" s="39">
        <f t="shared" si="5"/>
        <v>62.701825038328359</v>
      </c>
      <c r="CD2" s="39">
        <f t="shared" si="5"/>
        <v>85.413380591979532</v>
      </c>
      <c r="CE2" s="39">
        <f t="shared" si="5"/>
        <v>82.747490987767677</v>
      </c>
      <c r="CF2" s="39">
        <f t="shared" si="5"/>
        <v>74.098798986308338</v>
      </c>
      <c r="CG2" s="39">
        <f t="shared" si="5"/>
        <v>74.50812948498718</v>
      </c>
      <c r="CH2" s="39">
        <f t="shared" si="5"/>
        <v>59.401622640868382</v>
      </c>
      <c r="CI2" s="49">
        <f t="shared" ref="CI2:CP2" si="6">SUBTOTAL(9,CI5:CI491)</f>
        <v>4.3734446229568817</v>
      </c>
      <c r="CJ2" s="49">
        <f t="shared" si="6"/>
        <v>23.261069713160808</v>
      </c>
      <c r="CK2" s="49">
        <f t="shared" si="6"/>
        <v>5.4731204753965415</v>
      </c>
      <c r="CL2" s="49">
        <f t="shared" si="6"/>
        <v>0</v>
      </c>
      <c r="CM2" s="49">
        <f t="shared" si="6"/>
        <v>0</v>
      </c>
      <c r="CN2" s="49">
        <f t="shared" si="6"/>
        <v>0</v>
      </c>
      <c r="CO2" s="49">
        <f t="shared" si="6"/>
        <v>0</v>
      </c>
      <c r="CP2" s="49">
        <f t="shared" si="6"/>
        <v>0</v>
      </c>
    </row>
    <row r="3" spans="1:94" x14ac:dyDescent="0.2">
      <c r="L3" s="28" t="s">
        <v>371</v>
      </c>
      <c r="O3" s="28" t="s">
        <v>372</v>
      </c>
      <c r="R3" s="54" t="s">
        <v>373</v>
      </c>
      <c r="S3" s="55" t="s">
        <v>373</v>
      </c>
      <c r="T3" s="28" t="s">
        <v>373</v>
      </c>
      <c r="U3" s="56" t="s">
        <v>373</v>
      </c>
      <c r="V3" s="57" t="s">
        <v>373</v>
      </c>
      <c r="W3" s="28" t="s">
        <v>373</v>
      </c>
      <c r="X3" s="28" t="s">
        <v>373</v>
      </c>
      <c r="Y3" s="28" t="s">
        <v>373</v>
      </c>
      <c r="Z3" s="28" t="s">
        <v>374</v>
      </c>
      <c r="AA3" s="28" t="s">
        <v>374</v>
      </c>
      <c r="AB3" s="28" t="s">
        <v>374</v>
      </c>
      <c r="AD3" s="28" t="s">
        <v>375</v>
      </c>
      <c r="AF3" s="28" t="s">
        <v>335</v>
      </c>
      <c r="AG3" s="28" t="s">
        <v>373</v>
      </c>
      <c r="AH3" s="28" t="s">
        <v>373</v>
      </c>
      <c r="AI3" s="28" t="s">
        <v>373</v>
      </c>
      <c r="AJ3" s="28" t="s">
        <v>373</v>
      </c>
      <c r="AK3" s="28" t="s">
        <v>373</v>
      </c>
      <c r="AL3" s="28" t="s">
        <v>373</v>
      </c>
      <c r="AM3" s="28" t="s">
        <v>373</v>
      </c>
      <c r="AN3" s="28" t="s">
        <v>373</v>
      </c>
      <c r="AO3" s="56" t="s">
        <v>373</v>
      </c>
      <c r="AP3" s="56" t="s">
        <v>373</v>
      </c>
      <c r="AQ3" s="56" t="s">
        <v>373</v>
      </c>
      <c r="AR3" s="56" t="s">
        <v>373</v>
      </c>
      <c r="AS3" s="56" t="s">
        <v>373</v>
      </c>
      <c r="AT3" s="56" t="s">
        <v>373</v>
      </c>
      <c r="AU3" s="56" t="s">
        <v>373</v>
      </c>
      <c r="AV3" s="56" t="s">
        <v>373</v>
      </c>
      <c r="AW3" s="56" t="s">
        <v>373</v>
      </c>
      <c r="AX3" s="56" t="s">
        <v>373</v>
      </c>
      <c r="AY3" s="56" t="s">
        <v>373</v>
      </c>
      <c r="AZ3" s="56" t="s">
        <v>373</v>
      </c>
      <c r="BA3" s="56" t="s">
        <v>373</v>
      </c>
      <c r="BB3" s="56" t="s">
        <v>373</v>
      </c>
      <c r="BC3" s="56" t="s">
        <v>373</v>
      </c>
      <c r="BD3" s="56" t="s">
        <v>373</v>
      </c>
      <c r="BE3" s="56" t="s">
        <v>373</v>
      </c>
      <c r="BF3" s="56" t="s">
        <v>373</v>
      </c>
      <c r="BG3" s="56" t="s">
        <v>373</v>
      </c>
      <c r="BH3" s="57" t="s">
        <v>373</v>
      </c>
      <c r="BI3" s="57" t="s">
        <v>373</v>
      </c>
      <c r="BJ3" s="57" t="s">
        <v>373</v>
      </c>
      <c r="BK3" s="28" t="s">
        <v>373</v>
      </c>
      <c r="BL3" s="28" t="s">
        <v>373</v>
      </c>
      <c r="BM3" s="28" t="s">
        <v>373</v>
      </c>
      <c r="BN3" s="28" t="s">
        <v>373</v>
      </c>
      <c r="BO3" s="28" t="s">
        <v>373</v>
      </c>
      <c r="BP3" s="28" t="s">
        <v>373</v>
      </c>
      <c r="BQ3" s="28" t="s">
        <v>373</v>
      </c>
      <c r="BR3" s="28" t="s">
        <v>373</v>
      </c>
      <c r="BS3" s="28" t="s">
        <v>373</v>
      </c>
      <c r="BT3" s="28" t="s">
        <v>373</v>
      </c>
      <c r="BU3" s="28" t="s">
        <v>373</v>
      </c>
      <c r="BV3" s="28" t="s">
        <v>373</v>
      </c>
      <c r="BW3" s="28" t="s">
        <v>373</v>
      </c>
      <c r="BX3" s="28" t="s">
        <v>373</v>
      </c>
      <c r="BY3" s="28" t="s">
        <v>373</v>
      </c>
      <c r="BZ3" s="28" t="s">
        <v>373</v>
      </c>
      <c r="CA3" s="28" t="s">
        <v>373</v>
      </c>
      <c r="CB3" s="28" t="s">
        <v>373</v>
      </c>
      <c r="CC3" s="28" t="s">
        <v>373</v>
      </c>
      <c r="CD3" s="28" t="s">
        <v>373</v>
      </c>
      <c r="CE3" s="28" t="s">
        <v>373</v>
      </c>
      <c r="CF3" s="28" t="s">
        <v>373</v>
      </c>
      <c r="CG3" s="28" t="s">
        <v>373</v>
      </c>
      <c r="CH3" s="28" t="s">
        <v>373</v>
      </c>
      <c r="CI3" s="28" t="s">
        <v>373</v>
      </c>
      <c r="CJ3" s="28" t="s">
        <v>373</v>
      </c>
      <c r="CK3" s="28" t="s">
        <v>373</v>
      </c>
      <c r="CL3" s="28" t="s">
        <v>373</v>
      </c>
      <c r="CM3" s="28" t="s">
        <v>373</v>
      </c>
      <c r="CN3" s="28" t="s">
        <v>373</v>
      </c>
      <c r="CO3" s="28" t="s">
        <v>373</v>
      </c>
      <c r="CP3" s="28" t="s">
        <v>373</v>
      </c>
    </row>
    <row r="4" spans="1:94" s="58" customFormat="1" ht="27" customHeight="1" x14ac:dyDescent="0.2">
      <c r="A4" s="27" t="s">
        <v>376</v>
      </c>
      <c r="C4" s="27" t="s">
        <v>103</v>
      </c>
      <c r="D4" s="58" t="s">
        <v>377</v>
      </c>
      <c r="E4" s="58" t="s">
        <v>378</v>
      </c>
      <c r="F4" s="58" t="s">
        <v>379</v>
      </c>
      <c r="G4" s="58" t="s">
        <v>380</v>
      </c>
      <c r="H4" s="58" t="s">
        <v>381</v>
      </c>
      <c r="I4" s="58" t="s">
        <v>382</v>
      </c>
      <c r="J4" s="58" t="s">
        <v>383</v>
      </c>
      <c r="K4" s="58" t="s">
        <v>384</v>
      </c>
      <c r="L4" s="58" t="s">
        <v>86</v>
      </c>
      <c r="M4" s="58" t="s">
        <v>385</v>
      </c>
      <c r="N4" s="58" t="s">
        <v>386</v>
      </c>
      <c r="O4" s="58" t="s">
        <v>387</v>
      </c>
      <c r="P4" s="58" t="s">
        <v>21</v>
      </c>
      <c r="Q4" s="58" t="s">
        <v>388</v>
      </c>
      <c r="R4" s="59" t="s">
        <v>389</v>
      </c>
      <c r="S4" s="60" t="s">
        <v>389</v>
      </c>
      <c r="T4" s="58" t="s">
        <v>390</v>
      </c>
      <c r="U4" s="61" t="s">
        <v>391</v>
      </c>
      <c r="V4" s="62" t="s">
        <v>392</v>
      </c>
      <c r="W4" s="58" t="s">
        <v>393</v>
      </c>
      <c r="X4" s="58" t="s">
        <v>394</v>
      </c>
      <c r="Y4" s="58" t="s">
        <v>395</v>
      </c>
      <c r="Z4" s="58" t="s">
        <v>396</v>
      </c>
      <c r="AA4" s="58" t="s">
        <v>397</v>
      </c>
      <c r="AB4" s="58" t="s">
        <v>398</v>
      </c>
      <c r="AC4" s="58" t="s">
        <v>399</v>
      </c>
      <c r="AD4" s="58" t="s">
        <v>400</v>
      </c>
      <c r="AE4" s="58" t="s">
        <v>401</v>
      </c>
      <c r="AF4" s="58" t="s">
        <v>402</v>
      </c>
      <c r="AG4" s="58" t="s">
        <v>403</v>
      </c>
      <c r="AH4" s="58" t="s">
        <v>404</v>
      </c>
      <c r="AI4" s="58" t="s">
        <v>405</v>
      </c>
      <c r="AJ4" s="58" t="s">
        <v>406</v>
      </c>
      <c r="AK4" s="58" t="s">
        <v>407</v>
      </c>
      <c r="AL4" s="58" t="s">
        <v>408</v>
      </c>
      <c r="AM4" s="58" t="s">
        <v>409</v>
      </c>
      <c r="AN4" s="58" t="s">
        <v>410</v>
      </c>
      <c r="AO4" s="61" t="s">
        <v>411</v>
      </c>
      <c r="AP4" s="61" t="s">
        <v>412</v>
      </c>
      <c r="AQ4" s="61" t="s">
        <v>413</v>
      </c>
      <c r="AR4" s="61" t="s">
        <v>414</v>
      </c>
      <c r="AS4" s="61" t="s">
        <v>415</v>
      </c>
      <c r="AT4" s="61" t="s">
        <v>416</v>
      </c>
      <c r="AU4" s="61" t="s">
        <v>417</v>
      </c>
      <c r="AV4" s="61" t="s">
        <v>418</v>
      </c>
      <c r="AW4" s="61" t="s">
        <v>419</v>
      </c>
      <c r="AX4" s="61" t="s">
        <v>420</v>
      </c>
      <c r="AY4" s="61" t="s">
        <v>421</v>
      </c>
      <c r="AZ4" s="61" t="s">
        <v>422</v>
      </c>
      <c r="BA4" s="61" t="s">
        <v>423</v>
      </c>
      <c r="BB4" s="61" t="s">
        <v>424</v>
      </c>
      <c r="BC4" s="61" t="s">
        <v>425</v>
      </c>
      <c r="BD4" s="61" t="s">
        <v>426</v>
      </c>
      <c r="BE4" s="61" t="s">
        <v>427</v>
      </c>
      <c r="BF4" s="61" t="s">
        <v>428</v>
      </c>
      <c r="BG4" s="61" t="s">
        <v>429</v>
      </c>
      <c r="BH4" s="62" t="s">
        <v>430</v>
      </c>
      <c r="BI4" s="62" t="s">
        <v>431</v>
      </c>
      <c r="BJ4" s="62" t="s">
        <v>432</v>
      </c>
      <c r="BK4" s="58" t="s">
        <v>433</v>
      </c>
      <c r="BL4" s="58" t="s">
        <v>434</v>
      </c>
      <c r="BM4" s="58" t="s">
        <v>435</v>
      </c>
      <c r="BN4" s="58" t="s">
        <v>436</v>
      </c>
      <c r="BO4" s="58" t="s">
        <v>437</v>
      </c>
      <c r="BP4" s="58" t="s">
        <v>438</v>
      </c>
      <c r="BQ4" s="58" t="s">
        <v>439</v>
      </c>
      <c r="BR4" s="58" t="s">
        <v>440</v>
      </c>
      <c r="BS4" s="58" t="s">
        <v>441</v>
      </c>
      <c r="BT4" s="58" t="s">
        <v>442</v>
      </c>
      <c r="BU4" s="58" t="s">
        <v>443</v>
      </c>
      <c r="BV4" s="58" t="s">
        <v>444</v>
      </c>
      <c r="BW4" s="58" t="s">
        <v>445</v>
      </c>
      <c r="BX4" s="58" t="s">
        <v>446</v>
      </c>
      <c r="BY4" s="58" t="s">
        <v>447</v>
      </c>
      <c r="BZ4" s="58" t="s">
        <v>448</v>
      </c>
      <c r="CA4" s="58" t="s">
        <v>449</v>
      </c>
      <c r="CB4" s="58" t="s">
        <v>450</v>
      </c>
      <c r="CC4" s="58" t="s">
        <v>451</v>
      </c>
      <c r="CD4" s="58" t="s">
        <v>452</v>
      </c>
      <c r="CE4" s="58" t="s">
        <v>453</v>
      </c>
      <c r="CF4" s="58" t="s">
        <v>454</v>
      </c>
      <c r="CG4" s="58" t="s">
        <v>455</v>
      </c>
      <c r="CH4" s="58" t="s">
        <v>456</v>
      </c>
      <c r="CI4" s="58" t="s">
        <v>457</v>
      </c>
      <c r="CJ4" s="58" t="s">
        <v>458</v>
      </c>
      <c r="CK4" s="58" t="s">
        <v>459</v>
      </c>
      <c r="CL4" s="58" t="s">
        <v>460</v>
      </c>
      <c r="CM4" s="58" t="s">
        <v>461</v>
      </c>
      <c r="CN4" s="58" t="s">
        <v>462</v>
      </c>
      <c r="CO4" s="58" t="s">
        <v>463</v>
      </c>
      <c r="CP4" s="58" t="s">
        <v>464</v>
      </c>
    </row>
    <row r="5" spans="1:94" x14ac:dyDescent="0.2">
      <c r="A5" s="27" t="s">
        <v>98</v>
      </c>
      <c r="B5" s="38">
        <v>8</v>
      </c>
      <c r="C5" s="27" t="s">
        <v>465</v>
      </c>
      <c r="D5" s="64" t="s">
        <v>112</v>
      </c>
      <c r="E5" s="64" t="s">
        <v>174</v>
      </c>
      <c r="F5" s="64" t="s">
        <v>175</v>
      </c>
      <c r="G5" s="64" t="s">
        <v>122</v>
      </c>
      <c r="H5" s="64" t="s">
        <v>133</v>
      </c>
      <c r="I5" s="64" t="s">
        <v>181</v>
      </c>
      <c r="J5" s="64" t="s">
        <v>181</v>
      </c>
      <c r="K5" s="64" t="s">
        <v>181</v>
      </c>
      <c r="L5" s="63">
        <v>30317</v>
      </c>
      <c r="M5" s="38">
        <v>1.4</v>
      </c>
      <c r="N5" s="38">
        <v>6.5</v>
      </c>
      <c r="O5" s="39"/>
      <c r="P5" s="39"/>
      <c r="R5" s="54"/>
      <c r="S5" s="55"/>
      <c r="U5" s="56"/>
      <c r="V5" s="57"/>
      <c r="AD5" s="39"/>
      <c r="AE5" s="39"/>
      <c r="AF5" s="39"/>
      <c r="BH5" s="57"/>
      <c r="BI5" s="57"/>
      <c r="BJ5" s="57"/>
    </row>
    <row r="6" spans="1:94" x14ac:dyDescent="0.2">
      <c r="A6" s="27" t="s">
        <v>99</v>
      </c>
      <c r="B6" s="65">
        <v>0.6</v>
      </c>
      <c r="C6" s="27" t="s">
        <v>104</v>
      </c>
      <c r="D6" s="65">
        <v>0.2</v>
      </c>
      <c r="E6" s="65">
        <v>0.4</v>
      </c>
      <c r="F6" s="65">
        <v>0.6</v>
      </c>
      <c r="G6" s="65">
        <v>0.9</v>
      </c>
      <c r="H6" s="65">
        <v>1.2</v>
      </c>
      <c r="I6" s="65">
        <v>1.5</v>
      </c>
      <c r="J6" s="65">
        <v>1.8</v>
      </c>
      <c r="K6" s="65">
        <v>2.1</v>
      </c>
      <c r="L6" s="63">
        <v>30318</v>
      </c>
      <c r="M6" s="38">
        <v>0</v>
      </c>
      <c r="N6" s="38">
        <v>2.2000000000000002</v>
      </c>
      <c r="O6" s="39"/>
      <c r="P6" s="39"/>
      <c r="R6" s="54"/>
      <c r="S6" s="55"/>
      <c r="U6" s="56"/>
      <c r="V6" s="57"/>
      <c r="AD6" s="39"/>
      <c r="AE6" s="39"/>
      <c r="AF6" s="39"/>
      <c r="BH6" s="57"/>
      <c r="BI6" s="57"/>
      <c r="BJ6" s="57"/>
    </row>
    <row r="7" spans="1:94" x14ac:dyDescent="0.2">
      <c r="A7" s="27" t="s">
        <v>100</v>
      </c>
      <c r="B7" s="64">
        <v>77</v>
      </c>
      <c r="C7" s="27" t="s">
        <v>105</v>
      </c>
      <c r="D7" s="66">
        <v>0.15</v>
      </c>
      <c r="E7" s="66">
        <v>0.19</v>
      </c>
      <c r="F7" s="66">
        <v>0.18</v>
      </c>
      <c r="G7" s="66">
        <v>0.15</v>
      </c>
      <c r="H7" s="66">
        <v>0.14000000000000001</v>
      </c>
      <c r="I7" s="66">
        <v>0.11</v>
      </c>
      <c r="J7" s="66">
        <v>0.11</v>
      </c>
      <c r="K7" s="66">
        <v>0.11</v>
      </c>
      <c r="L7" s="63">
        <v>30319</v>
      </c>
      <c r="M7" s="38">
        <v>0</v>
      </c>
      <c r="N7" s="38">
        <v>6.9</v>
      </c>
      <c r="O7" s="39"/>
      <c r="P7" s="39"/>
      <c r="R7" s="54"/>
      <c r="S7" s="55"/>
      <c r="U7" s="56"/>
      <c r="V7" s="57"/>
      <c r="AD7" s="39"/>
      <c r="AE7" s="39"/>
      <c r="AF7" s="39"/>
      <c r="BH7" s="57"/>
      <c r="BI7" s="57"/>
      <c r="BJ7" s="57"/>
    </row>
    <row r="8" spans="1:94" x14ac:dyDescent="0.2">
      <c r="A8" s="27" t="s">
        <v>101</v>
      </c>
      <c r="B8" s="65">
        <v>0.1</v>
      </c>
      <c r="C8" s="27" t="s">
        <v>106</v>
      </c>
      <c r="D8" s="66">
        <v>0.3</v>
      </c>
      <c r="E8" s="66">
        <v>0.33</v>
      </c>
      <c r="F8" s="66">
        <v>0.32</v>
      </c>
      <c r="G8" s="66">
        <v>0.28999999999999998</v>
      </c>
      <c r="H8" s="66">
        <v>0.28000000000000003</v>
      </c>
      <c r="I8" s="66">
        <v>0.25</v>
      </c>
      <c r="J8" s="66">
        <v>0.25</v>
      </c>
      <c r="K8" s="66">
        <v>0.25</v>
      </c>
      <c r="L8" s="63">
        <v>30320</v>
      </c>
      <c r="M8" s="38">
        <v>0.8</v>
      </c>
      <c r="N8" s="38">
        <v>5.8</v>
      </c>
      <c r="O8" s="39"/>
      <c r="P8" s="39"/>
      <c r="R8" s="54"/>
      <c r="S8" s="55"/>
      <c r="U8" s="56"/>
      <c r="V8" s="57"/>
      <c r="AD8" s="39"/>
      <c r="AE8" s="39"/>
      <c r="AF8" s="39"/>
      <c r="BH8" s="57"/>
      <c r="BI8" s="57"/>
      <c r="BJ8" s="57"/>
    </row>
    <row r="9" spans="1:94" ht="16" customHeight="1" thickBot="1" x14ac:dyDescent="0.25">
      <c r="A9" s="27" t="s">
        <v>102</v>
      </c>
      <c r="B9" s="65">
        <v>0.5</v>
      </c>
      <c r="C9" s="27" t="s">
        <v>107</v>
      </c>
      <c r="D9" s="66">
        <v>0.52</v>
      </c>
      <c r="E9" s="66">
        <v>0.47</v>
      </c>
      <c r="F9" s="66">
        <v>0.45</v>
      </c>
      <c r="G9" s="66">
        <v>0.45</v>
      </c>
      <c r="H9" s="66">
        <v>0.45</v>
      </c>
      <c r="I9" s="66">
        <v>0.47</v>
      </c>
      <c r="J9" s="66">
        <v>0.47</v>
      </c>
      <c r="K9" s="66">
        <v>0.47</v>
      </c>
      <c r="L9" s="63">
        <v>30321</v>
      </c>
      <c r="M9" s="38">
        <v>0</v>
      </c>
      <c r="N9" s="38">
        <v>6.9</v>
      </c>
      <c r="O9" s="39"/>
      <c r="P9" s="39"/>
      <c r="R9" s="54"/>
      <c r="S9" s="55"/>
      <c r="U9" s="56"/>
      <c r="V9" s="57"/>
      <c r="AD9" s="39"/>
      <c r="AE9" s="39"/>
      <c r="AF9" s="39"/>
      <c r="BH9" s="57"/>
      <c r="BI9" s="57"/>
      <c r="BJ9" s="57"/>
    </row>
    <row r="10" spans="1:94" ht="16" customHeight="1" thickBot="1" x14ac:dyDescent="0.25">
      <c r="A10" s="67" t="s">
        <v>466</v>
      </c>
      <c r="B10" s="68">
        <f>254*(100/$B$7-1)</f>
        <v>75.870129870129873</v>
      </c>
      <c r="C10" s="27" t="s">
        <v>105</v>
      </c>
      <c r="D10" s="39">
        <f>D$6*1000*D7</f>
        <v>30</v>
      </c>
      <c r="E10" s="39">
        <f t="shared" ref="E10:K12" si="7">(E$6-D$6)*1000*E7</f>
        <v>38</v>
      </c>
      <c r="F10" s="39">
        <f t="shared" si="7"/>
        <v>35.999999999999986</v>
      </c>
      <c r="G10" s="39">
        <f t="shared" si="7"/>
        <v>45.000000000000007</v>
      </c>
      <c r="H10" s="39">
        <f t="shared" si="7"/>
        <v>41.999999999999993</v>
      </c>
      <c r="I10" s="39">
        <f t="shared" si="7"/>
        <v>33.000000000000007</v>
      </c>
      <c r="J10" s="39">
        <f t="shared" si="7"/>
        <v>33.000000000000007</v>
      </c>
      <c r="K10" s="39">
        <f t="shared" si="7"/>
        <v>33.000000000000007</v>
      </c>
      <c r="L10" s="63">
        <v>30322</v>
      </c>
      <c r="M10" s="38">
        <v>0</v>
      </c>
      <c r="N10" s="38">
        <v>7.7</v>
      </c>
      <c r="O10" s="39"/>
      <c r="P10" s="39"/>
      <c r="R10" s="54"/>
      <c r="S10" s="55"/>
      <c r="U10" s="56"/>
      <c r="V10" s="57"/>
      <c r="AD10" s="39"/>
      <c r="AE10" s="39"/>
      <c r="AF10" s="39"/>
      <c r="BH10" s="57"/>
      <c r="BI10" s="57"/>
      <c r="BJ10" s="57"/>
    </row>
    <row r="11" spans="1:94" x14ac:dyDescent="0.2">
      <c r="C11" s="27" t="s">
        <v>106</v>
      </c>
      <c r="D11" s="39">
        <f>D$6*1000*D8</f>
        <v>60</v>
      </c>
      <c r="E11" s="39">
        <f t="shared" si="7"/>
        <v>66</v>
      </c>
      <c r="F11" s="39">
        <f t="shared" si="7"/>
        <v>63.999999999999986</v>
      </c>
      <c r="G11" s="39">
        <f t="shared" si="7"/>
        <v>87.000000000000014</v>
      </c>
      <c r="H11" s="39">
        <f t="shared" si="7"/>
        <v>83.999999999999986</v>
      </c>
      <c r="I11" s="39">
        <f t="shared" si="7"/>
        <v>75.000000000000014</v>
      </c>
      <c r="J11" s="39">
        <f t="shared" si="7"/>
        <v>75.000000000000014</v>
      </c>
      <c r="K11" s="39">
        <f t="shared" si="7"/>
        <v>75.000000000000014</v>
      </c>
      <c r="L11" s="63">
        <v>30323</v>
      </c>
      <c r="M11" s="38">
        <v>0</v>
      </c>
      <c r="N11" s="38">
        <v>6.2</v>
      </c>
      <c r="O11" s="39"/>
      <c r="P11" s="39"/>
      <c r="R11" s="54"/>
      <c r="S11" s="55"/>
      <c r="U11" s="56"/>
      <c r="V11" s="57"/>
      <c r="AD11" s="39"/>
      <c r="AE11" s="39"/>
      <c r="AF11" s="39"/>
      <c r="BH11" s="57"/>
      <c r="BI11" s="57"/>
      <c r="BJ11" s="57"/>
    </row>
    <row r="12" spans="1:94" x14ac:dyDescent="0.2">
      <c r="C12" s="27" t="s">
        <v>107</v>
      </c>
      <c r="D12" s="39">
        <f>D$6*1000*D9</f>
        <v>104</v>
      </c>
      <c r="E12" s="39">
        <f t="shared" si="7"/>
        <v>94</v>
      </c>
      <c r="F12" s="39">
        <f t="shared" si="7"/>
        <v>89.999999999999972</v>
      </c>
      <c r="G12" s="39">
        <f t="shared" si="7"/>
        <v>135.00000000000003</v>
      </c>
      <c r="H12" s="39">
        <f t="shared" si="7"/>
        <v>134.99999999999997</v>
      </c>
      <c r="I12" s="39">
        <f t="shared" si="7"/>
        <v>141.00000000000003</v>
      </c>
      <c r="J12" s="39">
        <f t="shared" si="7"/>
        <v>141.00000000000003</v>
      </c>
      <c r="K12" s="39">
        <f t="shared" si="7"/>
        <v>141.00000000000003</v>
      </c>
      <c r="L12" s="63">
        <v>30324</v>
      </c>
      <c r="M12" s="38">
        <v>0</v>
      </c>
      <c r="N12" s="38">
        <v>6</v>
      </c>
      <c r="O12" s="39"/>
      <c r="P12" s="39"/>
      <c r="R12" s="54"/>
      <c r="S12" s="55"/>
      <c r="U12" s="56"/>
      <c r="V12" s="57"/>
      <c r="AD12" s="39"/>
      <c r="AE12" s="39"/>
      <c r="AF12" s="39"/>
      <c r="BH12" s="57"/>
      <c r="BI12" s="57"/>
      <c r="BJ12" s="57"/>
    </row>
    <row r="13" spans="1:94" ht="16" customHeight="1" thickBot="1" x14ac:dyDescent="0.25">
      <c r="L13" s="63">
        <v>30325</v>
      </c>
      <c r="M13" s="38">
        <v>0</v>
      </c>
      <c r="N13" s="38">
        <v>7.4</v>
      </c>
      <c r="O13" s="39"/>
      <c r="P13" s="39"/>
      <c r="R13" s="54"/>
      <c r="S13" s="55"/>
      <c r="U13" s="56"/>
      <c r="V13" s="57"/>
      <c r="AD13" s="39"/>
      <c r="AE13" s="39"/>
      <c r="AF13" s="39"/>
      <c r="BH13" s="57"/>
      <c r="BI13" s="57"/>
      <c r="BJ13" s="57"/>
    </row>
    <row r="14" spans="1:94" x14ac:dyDescent="0.2">
      <c r="A14" s="69" t="s">
        <v>467</v>
      </c>
      <c r="B14" s="70"/>
      <c r="C14" s="71" t="s">
        <v>468</v>
      </c>
      <c r="D14" s="72"/>
      <c r="L14" s="63">
        <v>30326</v>
      </c>
      <c r="M14" s="38">
        <v>0</v>
      </c>
      <c r="N14" s="38">
        <v>3.7</v>
      </c>
      <c r="O14" s="39"/>
      <c r="P14" s="39"/>
      <c r="R14" s="54"/>
      <c r="S14" s="55"/>
      <c r="U14" s="56"/>
      <c r="V14" s="57"/>
      <c r="AD14" s="39"/>
      <c r="AE14" s="39"/>
      <c r="AF14" s="39"/>
      <c r="BH14" s="57"/>
      <c r="BI14" s="57"/>
      <c r="BJ14" s="57"/>
    </row>
    <row r="15" spans="1:94" ht="16" customHeight="1" x14ac:dyDescent="0.2">
      <c r="A15" s="73" t="s">
        <v>469</v>
      </c>
      <c r="B15" s="74">
        <v>1</v>
      </c>
      <c r="C15" s="75" t="s">
        <v>470</v>
      </c>
      <c r="D15" s="76">
        <v>0.1</v>
      </c>
      <c r="L15" s="63">
        <v>30327</v>
      </c>
      <c r="M15" s="38">
        <v>0</v>
      </c>
      <c r="N15" s="38">
        <v>4.3</v>
      </c>
      <c r="O15" s="39"/>
      <c r="P15" s="39"/>
      <c r="R15" s="54"/>
      <c r="S15" s="55"/>
      <c r="U15" s="56"/>
      <c r="V15" s="57"/>
      <c r="AD15" s="39"/>
      <c r="AE15" s="39"/>
      <c r="AF15" s="39"/>
      <c r="BH15" s="57"/>
      <c r="BI15" s="57"/>
      <c r="BJ15" s="57"/>
    </row>
    <row r="16" spans="1:94" ht="16" customHeight="1" x14ac:dyDescent="0.2">
      <c r="A16" s="73" t="s">
        <v>471</v>
      </c>
      <c r="B16" s="74">
        <v>0.8</v>
      </c>
      <c r="C16" s="75" t="s">
        <v>472</v>
      </c>
      <c r="D16" s="76">
        <v>0.35</v>
      </c>
      <c r="L16" s="63">
        <v>30328</v>
      </c>
      <c r="M16" s="38">
        <v>3.8</v>
      </c>
      <c r="N16" s="38">
        <v>5.7</v>
      </c>
      <c r="O16" s="39"/>
      <c r="P16" s="39"/>
      <c r="R16" s="54"/>
      <c r="S16" s="55"/>
      <c r="U16" s="56"/>
      <c r="V16" s="57"/>
      <c r="AD16" s="39"/>
      <c r="AE16" s="39"/>
      <c r="AF16" s="39"/>
      <c r="BH16" s="57"/>
      <c r="BI16" s="57"/>
      <c r="BJ16" s="57"/>
    </row>
    <row r="17" spans="1:62" ht="17" customHeight="1" thickBot="1" x14ac:dyDescent="0.25">
      <c r="A17" s="77" t="s">
        <v>473</v>
      </c>
      <c r="B17" s="78">
        <v>0.5</v>
      </c>
      <c r="C17" s="75" t="s">
        <v>474</v>
      </c>
      <c r="D17" s="76">
        <v>0.65</v>
      </c>
      <c r="L17" s="63">
        <v>30329</v>
      </c>
      <c r="M17" s="38">
        <v>0.2</v>
      </c>
      <c r="N17" s="38">
        <v>2.6</v>
      </c>
      <c r="O17" s="39"/>
      <c r="P17" s="39"/>
      <c r="R17" s="54"/>
      <c r="S17" s="55"/>
      <c r="U17" s="56"/>
      <c r="V17" s="57"/>
      <c r="AD17" s="39"/>
      <c r="AE17" s="39"/>
      <c r="AF17" s="39"/>
      <c r="BH17" s="57"/>
      <c r="BI17" s="57"/>
      <c r="BJ17" s="57"/>
    </row>
    <row r="18" spans="1:62" ht="17" customHeight="1" thickBot="1" x14ac:dyDescent="0.25">
      <c r="C18" s="79" t="s">
        <v>475</v>
      </c>
      <c r="D18" s="80">
        <v>0.9</v>
      </c>
      <c r="L18" s="63">
        <v>30330</v>
      </c>
      <c r="M18" s="38">
        <v>0</v>
      </c>
      <c r="N18" s="38">
        <v>5.7</v>
      </c>
      <c r="O18" s="39"/>
      <c r="P18" s="39"/>
      <c r="R18" s="54"/>
      <c r="S18" s="55"/>
      <c r="U18" s="56"/>
      <c r="V18" s="57"/>
      <c r="AD18" s="39"/>
      <c r="AE18" s="39"/>
      <c r="AF18" s="39"/>
      <c r="BH18" s="57"/>
      <c r="BI18" s="57"/>
      <c r="BJ18" s="57"/>
    </row>
    <row r="19" spans="1:62" x14ac:dyDescent="0.2">
      <c r="L19" s="63">
        <v>30331</v>
      </c>
      <c r="M19" s="38">
        <v>0</v>
      </c>
      <c r="N19" s="38">
        <v>5.2</v>
      </c>
      <c r="O19" s="39"/>
      <c r="P19" s="39"/>
      <c r="R19" s="54"/>
      <c r="S19" s="55"/>
      <c r="U19" s="56"/>
      <c r="V19" s="57"/>
      <c r="AD19" s="39"/>
      <c r="AE19" s="39"/>
      <c r="AF19" s="39"/>
      <c r="BH19" s="57"/>
      <c r="BI19" s="57"/>
      <c r="BJ19" s="57"/>
    </row>
    <row r="20" spans="1:62" ht="16" customHeight="1" x14ac:dyDescent="0.2">
      <c r="E20" s="53"/>
      <c r="L20" s="63">
        <v>30332</v>
      </c>
      <c r="M20" s="38">
        <v>0</v>
      </c>
      <c r="N20" s="38">
        <v>4.8</v>
      </c>
      <c r="O20" s="39"/>
      <c r="P20" s="39"/>
      <c r="R20" s="54"/>
      <c r="S20" s="55"/>
      <c r="U20" s="56"/>
      <c r="V20" s="57"/>
      <c r="AD20" s="39"/>
      <c r="AE20" s="39"/>
      <c r="AF20" s="39"/>
      <c r="BH20" s="57"/>
      <c r="BI20" s="57"/>
      <c r="BJ20" s="57"/>
    </row>
    <row r="21" spans="1:62" x14ac:dyDescent="0.2">
      <c r="L21" s="63">
        <v>30333</v>
      </c>
      <c r="M21" s="38">
        <v>5.2</v>
      </c>
      <c r="N21" s="38">
        <v>2.1</v>
      </c>
      <c r="O21" s="39"/>
      <c r="P21" s="39"/>
      <c r="R21" s="54"/>
      <c r="S21" s="55"/>
      <c r="U21" s="56"/>
      <c r="V21" s="57"/>
      <c r="AD21" s="39"/>
      <c r="AE21" s="39"/>
      <c r="AF21" s="39"/>
      <c r="BH21" s="57"/>
      <c r="BI21" s="57"/>
      <c r="BJ21" s="57"/>
    </row>
    <row r="22" spans="1:62" x14ac:dyDescent="0.2">
      <c r="L22" s="63">
        <v>30334</v>
      </c>
      <c r="M22" s="38">
        <v>1</v>
      </c>
      <c r="N22" s="38">
        <v>5.5</v>
      </c>
      <c r="O22" s="39"/>
      <c r="P22" s="39"/>
      <c r="R22" s="54"/>
      <c r="S22" s="55"/>
      <c r="U22" s="56"/>
      <c r="V22" s="57"/>
      <c r="AD22" s="39"/>
      <c r="AE22" s="39"/>
      <c r="AF22" s="39"/>
      <c r="BH22" s="57"/>
      <c r="BI22" s="57"/>
      <c r="BJ22" s="57"/>
    </row>
    <row r="23" spans="1:62" x14ac:dyDescent="0.2">
      <c r="L23" s="63">
        <v>30335</v>
      </c>
      <c r="M23" s="38">
        <v>0</v>
      </c>
      <c r="N23" s="38">
        <v>5.7</v>
      </c>
      <c r="O23" s="39"/>
      <c r="P23" s="39"/>
      <c r="R23" s="54"/>
      <c r="S23" s="55"/>
      <c r="U23" s="56"/>
      <c r="V23" s="57"/>
      <c r="AD23" s="39"/>
      <c r="AE23" s="39"/>
      <c r="AF23" s="39"/>
      <c r="BH23" s="57"/>
      <c r="BI23" s="57"/>
      <c r="BJ23" s="57"/>
    </row>
    <row r="24" spans="1:62" x14ac:dyDescent="0.2">
      <c r="C24" s="27"/>
      <c r="L24" s="63">
        <v>30336</v>
      </c>
      <c r="M24" s="38">
        <v>0</v>
      </c>
      <c r="N24" s="38">
        <v>6.2</v>
      </c>
      <c r="O24" s="39"/>
      <c r="P24" s="39"/>
      <c r="R24" s="54"/>
      <c r="S24" s="55"/>
      <c r="U24" s="56"/>
      <c r="V24" s="57"/>
      <c r="AD24" s="39"/>
      <c r="AE24" s="39"/>
      <c r="AF24" s="39"/>
      <c r="BH24" s="57"/>
      <c r="BI24" s="57"/>
      <c r="BJ24" s="57"/>
    </row>
    <row r="25" spans="1:62" x14ac:dyDescent="0.2">
      <c r="C25" s="27"/>
      <c r="L25" s="63">
        <v>30337</v>
      </c>
      <c r="M25" s="38">
        <v>0</v>
      </c>
      <c r="N25" s="38">
        <v>7.6</v>
      </c>
      <c r="O25" s="39"/>
      <c r="P25" s="39"/>
      <c r="R25" s="54"/>
      <c r="S25" s="55"/>
      <c r="U25" s="56"/>
      <c r="V25" s="57"/>
      <c r="AD25" s="39"/>
      <c r="AE25" s="39"/>
      <c r="AF25" s="39"/>
      <c r="BH25" s="57"/>
      <c r="BI25" s="57"/>
      <c r="BJ25" s="57"/>
    </row>
    <row r="26" spans="1:62" x14ac:dyDescent="0.2">
      <c r="C26" s="27"/>
      <c r="L26" s="63">
        <v>30338</v>
      </c>
      <c r="M26" s="38">
        <v>0</v>
      </c>
      <c r="N26" s="38">
        <v>8.3000000000000007</v>
      </c>
      <c r="O26" s="39"/>
      <c r="P26" s="39"/>
      <c r="R26" s="54"/>
      <c r="S26" s="55"/>
      <c r="U26" s="56"/>
      <c r="V26" s="57"/>
      <c r="AD26" s="39"/>
      <c r="AE26" s="39"/>
      <c r="AF26" s="39"/>
      <c r="BH26" s="57"/>
      <c r="BI26" s="57"/>
      <c r="BJ26" s="57"/>
    </row>
    <row r="27" spans="1:62" x14ac:dyDescent="0.2">
      <c r="C27" s="27"/>
      <c r="L27" s="63">
        <v>30339</v>
      </c>
      <c r="M27" s="38">
        <v>1</v>
      </c>
      <c r="N27" s="38">
        <v>4.2</v>
      </c>
      <c r="O27" s="39"/>
      <c r="P27" s="39"/>
      <c r="R27" s="54"/>
      <c r="S27" s="55"/>
      <c r="U27" s="56"/>
      <c r="V27" s="57"/>
      <c r="AD27" s="39"/>
      <c r="AE27" s="39"/>
      <c r="AF27" s="39"/>
      <c r="BH27" s="57"/>
      <c r="BI27" s="57"/>
      <c r="BJ27" s="57"/>
    </row>
    <row r="28" spans="1:62" x14ac:dyDescent="0.2">
      <c r="C28" s="27"/>
      <c r="L28" s="63">
        <v>30340</v>
      </c>
      <c r="M28" s="38">
        <v>0</v>
      </c>
      <c r="N28" s="38">
        <v>5</v>
      </c>
      <c r="O28" s="39"/>
      <c r="P28" s="39"/>
      <c r="R28" s="54"/>
      <c r="S28" s="55"/>
      <c r="U28" s="56"/>
      <c r="V28" s="57"/>
      <c r="AD28" s="39"/>
      <c r="AE28" s="39"/>
      <c r="AF28" s="39"/>
      <c r="BH28" s="57"/>
      <c r="BI28" s="57"/>
      <c r="BJ28" s="57"/>
    </row>
    <row r="29" spans="1:62" x14ac:dyDescent="0.2">
      <c r="C29" s="27"/>
      <c r="L29" s="63">
        <v>30341</v>
      </c>
      <c r="M29" s="38">
        <v>3</v>
      </c>
      <c r="N29" s="38">
        <v>3.8</v>
      </c>
      <c r="O29" s="39"/>
      <c r="P29" s="39"/>
      <c r="R29" s="54"/>
      <c r="S29" s="55"/>
      <c r="U29" s="56"/>
      <c r="V29" s="57"/>
      <c r="AD29" s="39"/>
      <c r="AE29" s="39"/>
      <c r="AF29" s="39"/>
      <c r="BH29" s="57"/>
      <c r="BI29" s="57"/>
      <c r="BJ29" s="57"/>
    </row>
    <row r="30" spans="1:62" x14ac:dyDescent="0.2">
      <c r="C30" s="27"/>
      <c r="L30" s="63">
        <v>30342</v>
      </c>
      <c r="M30" s="38">
        <v>0</v>
      </c>
      <c r="N30" s="38">
        <v>5.9</v>
      </c>
      <c r="O30" s="39"/>
      <c r="P30" s="39"/>
      <c r="R30" s="54"/>
      <c r="S30" s="55"/>
      <c r="U30" s="56"/>
      <c r="V30" s="57"/>
      <c r="AD30" s="39"/>
      <c r="AE30" s="39"/>
      <c r="AF30" s="39"/>
      <c r="BH30" s="57"/>
      <c r="BI30" s="57"/>
      <c r="BJ30" s="57"/>
    </row>
    <row r="31" spans="1:62" x14ac:dyDescent="0.2">
      <c r="C31" s="27"/>
      <c r="L31" s="63">
        <v>30343</v>
      </c>
      <c r="M31" s="38">
        <v>0</v>
      </c>
      <c r="N31" s="38">
        <v>6</v>
      </c>
      <c r="O31" s="39"/>
      <c r="P31" s="39"/>
      <c r="R31" s="54"/>
      <c r="S31" s="55"/>
      <c r="U31" s="56"/>
      <c r="V31" s="57"/>
      <c r="AD31" s="39"/>
      <c r="AE31" s="39"/>
      <c r="AF31" s="39"/>
      <c r="BH31" s="57"/>
      <c r="BI31" s="57"/>
      <c r="BJ31" s="57"/>
    </row>
    <row r="32" spans="1:62" x14ac:dyDescent="0.2">
      <c r="C32" s="27"/>
      <c r="L32" s="63">
        <v>30344</v>
      </c>
      <c r="M32" s="38">
        <v>0</v>
      </c>
      <c r="N32" s="38">
        <v>7</v>
      </c>
      <c r="O32" s="39"/>
      <c r="P32" s="39"/>
      <c r="R32" s="54"/>
      <c r="S32" s="55"/>
      <c r="U32" s="56"/>
      <c r="V32" s="57"/>
      <c r="AD32" s="39"/>
      <c r="AE32" s="39"/>
      <c r="AF32" s="39"/>
      <c r="BH32" s="57"/>
      <c r="BI32" s="57"/>
      <c r="BJ32" s="57"/>
    </row>
    <row r="33" spans="3:62" x14ac:dyDescent="0.2">
      <c r="C33" s="27"/>
      <c r="L33" s="63">
        <v>30345</v>
      </c>
      <c r="M33" s="38">
        <v>10.5</v>
      </c>
      <c r="N33" s="38">
        <v>3.5</v>
      </c>
      <c r="O33" s="39"/>
      <c r="P33" s="39"/>
      <c r="R33" s="54"/>
      <c r="S33" s="55"/>
      <c r="U33" s="56"/>
      <c r="V33" s="57"/>
      <c r="AD33" s="39"/>
      <c r="AE33" s="39"/>
      <c r="AF33" s="39"/>
      <c r="BH33" s="57"/>
      <c r="BI33" s="57"/>
      <c r="BJ33" s="57"/>
    </row>
    <row r="34" spans="3:62" x14ac:dyDescent="0.2">
      <c r="C34" s="27"/>
      <c r="L34" s="63">
        <v>30346</v>
      </c>
      <c r="M34" s="38">
        <v>1</v>
      </c>
      <c r="N34" s="38">
        <v>4.5</v>
      </c>
      <c r="O34" s="39"/>
      <c r="P34" s="39"/>
      <c r="R34" s="54"/>
      <c r="S34" s="55"/>
      <c r="U34" s="56"/>
      <c r="V34" s="57"/>
      <c r="AD34" s="39"/>
      <c r="AE34" s="39"/>
      <c r="AF34" s="39"/>
      <c r="BH34" s="57"/>
      <c r="BI34" s="57"/>
      <c r="BJ34" s="57"/>
    </row>
    <row r="35" spans="3:62" x14ac:dyDescent="0.2">
      <c r="C35" s="27"/>
      <c r="L35" s="63">
        <v>30347</v>
      </c>
      <c r="M35" s="38">
        <v>0</v>
      </c>
      <c r="N35" s="38">
        <v>5.8</v>
      </c>
      <c r="O35" s="39"/>
      <c r="P35" s="39"/>
      <c r="R35" s="54"/>
      <c r="S35" s="55"/>
      <c r="U35" s="56"/>
      <c r="V35" s="57"/>
      <c r="AD35" s="39"/>
      <c r="AE35" s="39"/>
      <c r="AF35" s="39"/>
      <c r="BH35" s="57"/>
      <c r="BI35" s="57"/>
      <c r="BJ35" s="57"/>
    </row>
    <row r="36" spans="3:62" x14ac:dyDescent="0.2">
      <c r="C36" s="27"/>
      <c r="L36" s="63">
        <v>30348</v>
      </c>
      <c r="M36" s="38">
        <v>0</v>
      </c>
      <c r="N36" s="38">
        <v>5.4</v>
      </c>
      <c r="O36" s="39"/>
      <c r="P36" s="39"/>
      <c r="R36" s="54"/>
      <c r="S36" s="55"/>
      <c r="U36" s="56"/>
      <c r="V36" s="57"/>
      <c r="AD36" s="39"/>
      <c r="AE36" s="39"/>
      <c r="AF36" s="39"/>
      <c r="BH36" s="57"/>
      <c r="BI36" s="57"/>
      <c r="BJ36" s="57"/>
    </row>
    <row r="37" spans="3:62" x14ac:dyDescent="0.2">
      <c r="C37" s="27"/>
      <c r="L37" s="63">
        <v>30349</v>
      </c>
      <c r="M37" s="38">
        <v>0</v>
      </c>
      <c r="N37" s="38">
        <v>6.4</v>
      </c>
      <c r="O37" s="39"/>
      <c r="P37" s="39"/>
      <c r="R37" s="54"/>
      <c r="S37" s="55"/>
      <c r="U37" s="56"/>
      <c r="V37" s="57"/>
      <c r="AD37" s="39"/>
      <c r="AE37" s="39"/>
      <c r="AF37" s="39"/>
      <c r="BH37" s="57"/>
      <c r="BI37" s="57"/>
      <c r="BJ37" s="57"/>
    </row>
    <row r="38" spans="3:62" x14ac:dyDescent="0.2">
      <c r="C38" s="27"/>
      <c r="L38" s="63">
        <v>30350</v>
      </c>
      <c r="M38" s="38">
        <v>0</v>
      </c>
      <c r="N38" s="38">
        <v>5.3</v>
      </c>
      <c r="O38" s="39"/>
      <c r="P38" s="39"/>
      <c r="R38" s="54"/>
      <c r="S38" s="55"/>
      <c r="U38" s="56"/>
      <c r="V38" s="57"/>
      <c r="AD38" s="39"/>
      <c r="AE38" s="39"/>
      <c r="AF38" s="39"/>
      <c r="BH38" s="57"/>
      <c r="BI38" s="57"/>
      <c r="BJ38" s="57"/>
    </row>
    <row r="39" spans="3:62" x14ac:dyDescent="0.2">
      <c r="C39" s="27"/>
      <c r="L39" s="63">
        <v>30351</v>
      </c>
      <c r="M39" s="38">
        <v>0</v>
      </c>
      <c r="N39" s="38">
        <v>4.3</v>
      </c>
      <c r="O39" s="39"/>
      <c r="P39" s="39"/>
      <c r="R39" s="54"/>
      <c r="S39" s="55"/>
      <c r="U39" s="56"/>
      <c r="V39" s="57"/>
      <c r="AD39" s="39"/>
      <c r="AE39" s="39"/>
      <c r="AF39" s="39"/>
      <c r="BH39" s="57"/>
      <c r="BI39" s="57"/>
      <c r="BJ39" s="57"/>
    </row>
    <row r="40" spans="3:62" x14ac:dyDescent="0.2">
      <c r="C40" s="27"/>
      <c r="L40" s="63">
        <v>30352</v>
      </c>
      <c r="M40" s="38">
        <v>0</v>
      </c>
      <c r="N40" s="38">
        <v>3.6</v>
      </c>
      <c r="O40" s="39"/>
      <c r="P40" s="39"/>
      <c r="R40" s="54"/>
      <c r="S40" s="55"/>
      <c r="U40" s="56"/>
      <c r="V40" s="57"/>
      <c r="AD40" s="39"/>
      <c r="AE40" s="39"/>
      <c r="AF40" s="39"/>
      <c r="BH40" s="57"/>
      <c r="BI40" s="57"/>
      <c r="BJ40" s="57"/>
    </row>
    <row r="41" spans="3:62" x14ac:dyDescent="0.2">
      <c r="C41" s="27"/>
      <c r="L41" s="63">
        <v>30353</v>
      </c>
      <c r="M41" s="38">
        <v>0</v>
      </c>
      <c r="N41" s="38">
        <v>3.3</v>
      </c>
      <c r="O41" s="39"/>
      <c r="P41" s="39"/>
      <c r="R41" s="54"/>
      <c r="S41" s="55"/>
      <c r="U41" s="56"/>
      <c r="V41" s="57"/>
      <c r="AD41" s="39"/>
      <c r="AE41" s="39"/>
      <c r="AF41" s="39"/>
      <c r="BH41" s="57"/>
      <c r="BI41" s="57"/>
      <c r="BJ41" s="57"/>
    </row>
    <row r="42" spans="3:62" x14ac:dyDescent="0.2">
      <c r="C42" s="27"/>
      <c r="L42" s="63">
        <v>30354</v>
      </c>
      <c r="M42" s="38">
        <v>0</v>
      </c>
      <c r="N42" s="38">
        <v>5.3</v>
      </c>
      <c r="O42" s="39"/>
      <c r="P42" s="39"/>
      <c r="R42" s="54"/>
      <c r="S42" s="55"/>
      <c r="U42" s="56"/>
      <c r="V42" s="57"/>
      <c r="AD42" s="39"/>
      <c r="AE42" s="39"/>
      <c r="AF42" s="39"/>
      <c r="BH42" s="57"/>
      <c r="BI42" s="57"/>
      <c r="BJ42" s="57"/>
    </row>
    <row r="43" spans="3:62" x14ac:dyDescent="0.2">
      <c r="C43" s="27"/>
      <c r="L43" s="63">
        <v>30355</v>
      </c>
      <c r="M43" s="38">
        <v>0</v>
      </c>
      <c r="N43" s="38">
        <v>6.5</v>
      </c>
      <c r="O43" s="39"/>
      <c r="P43" s="39"/>
      <c r="R43" s="54"/>
      <c r="S43" s="55"/>
      <c r="U43" s="56"/>
      <c r="V43" s="57"/>
      <c r="AD43" s="39"/>
      <c r="AE43" s="39"/>
      <c r="AF43" s="39"/>
      <c r="BH43" s="57"/>
      <c r="BI43" s="57"/>
      <c r="BJ43" s="57"/>
    </row>
    <row r="44" spans="3:62" x14ac:dyDescent="0.2">
      <c r="C44" s="27"/>
      <c r="L44" s="63">
        <v>30356</v>
      </c>
      <c r="M44" s="38">
        <v>0</v>
      </c>
      <c r="N44" s="38">
        <v>8.6999999999999993</v>
      </c>
      <c r="O44" s="39"/>
      <c r="P44" s="39"/>
      <c r="R44" s="54"/>
      <c r="S44" s="55"/>
      <c r="U44" s="56"/>
      <c r="V44" s="57"/>
      <c r="AD44" s="39"/>
      <c r="AE44" s="39"/>
      <c r="AF44" s="39"/>
      <c r="BH44" s="57"/>
      <c r="BI44" s="57"/>
      <c r="BJ44" s="57"/>
    </row>
    <row r="45" spans="3:62" x14ac:dyDescent="0.2">
      <c r="C45" s="27"/>
      <c r="L45" s="63">
        <v>30357</v>
      </c>
      <c r="M45" s="38">
        <v>6.2</v>
      </c>
      <c r="N45" s="38">
        <v>2.2000000000000002</v>
      </c>
      <c r="O45" s="39"/>
      <c r="P45" s="39"/>
      <c r="R45" s="54"/>
      <c r="S45" s="55"/>
      <c r="U45" s="56"/>
      <c r="V45" s="57"/>
      <c r="AD45" s="39"/>
      <c r="AE45" s="39"/>
      <c r="AF45" s="39"/>
      <c r="BH45" s="57"/>
      <c r="BI45" s="57"/>
      <c r="BJ45" s="57"/>
    </row>
    <row r="46" spans="3:62" x14ac:dyDescent="0.2">
      <c r="C46" s="27"/>
      <c r="L46" s="63">
        <v>30358</v>
      </c>
      <c r="M46" s="38">
        <v>0</v>
      </c>
      <c r="N46" s="38">
        <v>3.6</v>
      </c>
      <c r="O46" s="39"/>
      <c r="P46" s="39"/>
      <c r="R46" s="54"/>
      <c r="S46" s="55"/>
      <c r="U46" s="56"/>
      <c r="V46" s="57"/>
      <c r="AD46" s="39"/>
      <c r="AE46" s="39"/>
      <c r="AF46" s="39"/>
      <c r="BH46" s="57"/>
      <c r="BI46" s="57"/>
      <c r="BJ46" s="57"/>
    </row>
    <row r="47" spans="3:62" x14ac:dyDescent="0.2">
      <c r="C47" s="27"/>
      <c r="L47" s="63">
        <v>30359</v>
      </c>
      <c r="M47" s="38">
        <v>0</v>
      </c>
      <c r="N47" s="38">
        <v>3.1</v>
      </c>
      <c r="O47" s="39"/>
      <c r="P47" s="39"/>
      <c r="R47" s="54"/>
      <c r="S47" s="55"/>
      <c r="U47" s="56"/>
      <c r="V47" s="57"/>
      <c r="AD47" s="39"/>
      <c r="AE47" s="39"/>
      <c r="AF47" s="39"/>
      <c r="BH47" s="57"/>
      <c r="BI47" s="57"/>
      <c r="BJ47" s="57"/>
    </row>
    <row r="48" spans="3:62" x14ac:dyDescent="0.2">
      <c r="C48" s="27"/>
      <c r="L48" s="63">
        <v>30360</v>
      </c>
      <c r="M48" s="38">
        <v>0</v>
      </c>
      <c r="N48" s="38">
        <v>3</v>
      </c>
      <c r="O48" s="39"/>
      <c r="P48" s="39"/>
      <c r="R48" s="54"/>
      <c r="S48" s="55"/>
      <c r="U48" s="56"/>
      <c r="V48" s="57"/>
      <c r="AD48" s="39"/>
      <c r="AE48" s="39"/>
      <c r="AF48" s="39"/>
      <c r="BH48" s="57"/>
      <c r="BI48" s="57"/>
      <c r="BJ48" s="57"/>
    </row>
    <row r="49" spans="3:94" x14ac:dyDescent="0.2">
      <c r="C49" s="27"/>
      <c r="L49" s="63">
        <v>30361</v>
      </c>
      <c r="M49" s="38">
        <v>34.6</v>
      </c>
      <c r="N49" s="38">
        <v>1.5</v>
      </c>
      <c r="O49" s="39"/>
      <c r="P49" s="39"/>
      <c r="R49" s="54"/>
      <c r="S49" s="55"/>
      <c r="U49" s="56"/>
      <c r="V49" s="57"/>
      <c r="AD49" s="39"/>
      <c r="AE49" s="39"/>
      <c r="AF49" s="39"/>
      <c r="BH49" s="57"/>
      <c r="BI49" s="57"/>
      <c r="BJ49" s="57"/>
    </row>
    <row r="50" spans="3:94" x14ac:dyDescent="0.2">
      <c r="C50" s="27"/>
      <c r="L50" s="63">
        <v>30362</v>
      </c>
      <c r="M50" s="38">
        <v>0</v>
      </c>
      <c r="N50" s="38">
        <v>4.2</v>
      </c>
      <c r="O50" s="39"/>
      <c r="P50" s="39"/>
      <c r="R50" s="54"/>
      <c r="S50" s="55"/>
      <c r="U50" s="56"/>
      <c r="V50" s="57"/>
      <c r="AD50" s="39"/>
      <c r="AE50" s="39"/>
      <c r="AF50" s="39"/>
      <c r="BH50" s="57"/>
      <c r="BI50" s="57"/>
      <c r="BJ50" s="57"/>
    </row>
    <row r="51" spans="3:94" x14ac:dyDescent="0.2">
      <c r="C51" s="27"/>
      <c r="L51" s="63">
        <v>30363</v>
      </c>
      <c r="M51" s="38">
        <v>0</v>
      </c>
      <c r="N51" s="38">
        <v>5.6</v>
      </c>
      <c r="O51" s="39"/>
      <c r="P51" s="39"/>
      <c r="R51" s="54"/>
      <c r="S51" s="55"/>
      <c r="U51" s="56"/>
      <c r="V51" s="57"/>
      <c r="AD51" s="39"/>
      <c r="AE51" s="39"/>
      <c r="AF51" s="39"/>
      <c r="BH51" s="57"/>
      <c r="BI51" s="57"/>
      <c r="BJ51" s="57"/>
    </row>
    <row r="52" spans="3:94" x14ac:dyDescent="0.2">
      <c r="C52" s="27"/>
      <c r="L52" s="63">
        <v>30364</v>
      </c>
      <c r="M52" s="38">
        <v>0</v>
      </c>
      <c r="N52" s="38">
        <v>5.6</v>
      </c>
      <c r="O52" s="39"/>
      <c r="P52" s="39"/>
      <c r="R52" s="54"/>
      <c r="S52" s="55"/>
      <c r="U52" s="56"/>
      <c r="V52" s="57"/>
      <c r="AD52" s="39"/>
      <c r="AE52" s="39"/>
      <c r="AF52" s="39"/>
      <c r="BH52" s="57"/>
      <c r="BI52" s="57"/>
      <c r="BJ52" s="57"/>
    </row>
    <row r="53" spans="3:94" x14ac:dyDescent="0.2">
      <c r="C53" s="27"/>
      <c r="L53" s="63">
        <v>30365</v>
      </c>
      <c r="M53" s="38">
        <v>0</v>
      </c>
      <c r="N53" s="38">
        <v>6.3</v>
      </c>
      <c r="O53" s="39"/>
      <c r="P53" s="39"/>
      <c r="R53" s="54"/>
      <c r="S53" s="55"/>
      <c r="U53" s="56"/>
      <c r="V53" s="57"/>
      <c r="AD53" s="39"/>
      <c r="AE53" s="39"/>
      <c r="AF53" s="39"/>
      <c r="BH53" s="57"/>
      <c r="BI53" s="57"/>
      <c r="BJ53" s="57"/>
    </row>
    <row r="54" spans="3:94" x14ac:dyDescent="0.2">
      <c r="C54" s="27"/>
      <c r="L54" s="63">
        <v>30366</v>
      </c>
      <c r="M54" s="38">
        <v>2.4</v>
      </c>
      <c r="N54" s="38">
        <v>6.2</v>
      </c>
      <c r="O54" s="39"/>
      <c r="P54" s="39"/>
      <c r="R54" s="54"/>
      <c r="S54" s="55"/>
      <c r="U54" s="56"/>
      <c r="V54" s="57"/>
      <c r="AD54" s="39"/>
      <c r="AE54" s="39"/>
      <c r="AF54" s="39"/>
      <c r="BH54" s="57"/>
      <c r="BI54" s="57"/>
      <c r="BJ54" s="57"/>
    </row>
    <row r="55" spans="3:94" x14ac:dyDescent="0.2">
      <c r="C55" s="27"/>
      <c r="L55" s="63">
        <v>30367</v>
      </c>
      <c r="M55" s="38">
        <v>31.9</v>
      </c>
      <c r="N55" s="38">
        <v>2.4</v>
      </c>
      <c r="O55" s="39"/>
      <c r="P55" s="39"/>
      <c r="R55" s="54"/>
      <c r="S55" s="55"/>
      <c r="U55" s="56"/>
      <c r="V55" s="57"/>
      <c r="AD55" s="39"/>
      <c r="AE55" s="39"/>
      <c r="AF55" s="39"/>
      <c r="BH55" s="57"/>
      <c r="BI55" s="57"/>
      <c r="BJ55" s="57"/>
    </row>
    <row r="56" spans="3:94" x14ac:dyDescent="0.2">
      <c r="C56" s="27"/>
      <c r="L56" s="63">
        <v>30368</v>
      </c>
      <c r="M56" s="38">
        <v>0</v>
      </c>
      <c r="N56" s="38">
        <v>4.5999999999999996</v>
      </c>
      <c r="O56" s="39"/>
      <c r="P56" s="39"/>
      <c r="R56" s="54"/>
      <c r="S56" s="55"/>
      <c r="U56" s="56"/>
      <c r="V56" s="57"/>
      <c r="AD56" s="39"/>
      <c r="AE56" s="39"/>
      <c r="AF56" s="39"/>
      <c r="BH56" s="57"/>
      <c r="BI56" s="57"/>
      <c r="BJ56" s="57"/>
    </row>
    <row r="57" spans="3:94" x14ac:dyDescent="0.2">
      <c r="C57" s="27"/>
      <c r="L57" s="63">
        <v>30369</v>
      </c>
      <c r="M57" s="38">
        <v>0</v>
      </c>
      <c r="N57" s="38">
        <v>4.7</v>
      </c>
      <c r="O57" s="39"/>
      <c r="P57" s="39"/>
      <c r="R57" s="54"/>
      <c r="S57" s="55"/>
      <c r="U57" s="56"/>
      <c r="V57" s="57"/>
      <c r="AD57" s="39"/>
      <c r="AE57" s="39"/>
      <c r="AF57" s="39"/>
      <c r="BH57" s="57"/>
      <c r="BI57" s="57"/>
      <c r="BJ57" s="57"/>
    </row>
    <row r="58" spans="3:94" x14ac:dyDescent="0.2">
      <c r="C58" s="27"/>
      <c r="L58" s="63">
        <v>30370</v>
      </c>
      <c r="M58" s="38">
        <v>5.3</v>
      </c>
      <c r="N58" s="38">
        <v>4.9000000000000004</v>
      </c>
      <c r="O58" s="39"/>
      <c r="P58" s="39"/>
      <c r="R58" s="54"/>
      <c r="S58" s="55"/>
      <c r="U58" s="56"/>
      <c r="V58" s="57"/>
      <c r="AD58" s="39"/>
      <c r="AE58" s="39"/>
      <c r="AF58" s="39"/>
      <c r="BH58" s="57"/>
      <c r="BI58" s="57"/>
      <c r="BJ58" s="57"/>
    </row>
    <row r="59" spans="3:94" x14ac:dyDescent="0.2">
      <c r="C59" s="27"/>
      <c r="L59" s="63">
        <v>30371</v>
      </c>
      <c r="M59" s="38">
        <v>52</v>
      </c>
      <c r="N59" s="38">
        <v>1.9</v>
      </c>
      <c r="O59" s="39"/>
      <c r="P59" s="39"/>
      <c r="R59" s="54"/>
      <c r="S59" s="55"/>
      <c r="U59" s="56"/>
      <c r="V59" s="57"/>
      <c r="AD59" s="39"/>
      <c r="AE59" s="39"/>
      <c r="AF59" s="39"/>
      <c r="BH59" s="57"/>
      <c r="BI59" s="57"/>
      <c r="BJ59" s="57"/>
    </row>
    <row r="60" spans="3:94" x14ac:dyDescent="0.2">
      <c r="C60" s="27"/>
      <c r="L60" s="63">
        <v>30372</v>
      </c>
      <c r="M60" s="38">
        <v>4</v>
      </c>
      <c r="N60" s="38">
        <v>3.1</v>
      </c>
      <c r="O60" s="39"/>
      <c r="P60" s="39"/>
      <c r="R60" s="54"/>
      <c r="S60" s="55"/>
      <c r="U60" s="56"/>
      <c r="V60" s="57"/>
      <c r="AD60" s="39"/>
      <c r="AE60" s="39"/>
      <c r="AF60" s="39"/>
      <c r="BH60" s="57"/>
      <c r="BI60" s="57"/>
      <c r="BJ60" s="57"/>
    </row>
    <row r="61" spans="3:94" x14ac:dyDescent="0.2">
      <c r="C61" s="27"/>
      <c r="L61" s="63">
        <v>30373</v>
      </c>
      <c r="M61" s="38">
        <v>3.7</v>
      </c>
      <c r="N61" s="38">
        <v>2.6</v>
      </c>
      <c r="O61" s="39"/>
      <c r="P61" s="39"/>
      <c r="R61" s="54"/>
      <c r="S61" s="55"/>
      <c r="U61" s="56"/>
      <c r="V61" s="57"/>
      <c r="AD61" s="39"/>
      <c r="AE61" s="39"/>
      <c r="AF61" s="39"/>
      <c r="BH61" s="57"/>
      <c r="BI61" s="57"/>
      <c r="BJ61" s="57"/>
    </row>
    <row r="62" spans="3:94" x14ac:dyDescent="0.2">
      <c r="C62" s="27"/>
      <c r="L62" s="63">
        <v>30374</v>
      </c>
      <c r="M62" s="38">
        <v>0</v>
      </c>
      <c r="N62" s="38">
        <v>3</v>
      </c>
      <c r="O62" s="39"/>
      <c r="P62" s="39"/>
      <c r="R62" s="54"/>
      <c r="S62" s="55"/>
      <c r="U62" s="56"/>
      <c r="V62" s="57"/>
      <c r="AD62" s="39"/>
      <c r="AE62" s="39"/>
      <c r="AF62" s="39"/>
      <c r="BH62" s="57"/>
      <c r="BI62" s="57"/>
      <c r="BJ62" s="57"/>
    </row>
    <row r="63" spans="3:94" x14ac:dyDescent="0.2">
      <c r="C63" s="27"/>
      <c r="L63" s="63">
        <v>30375</v>
      </c>
      <c r="M63" s="38">
        <v>0</v>
      </c>
      <c r="N63" s="38">
        <v>4.3</v>
      </c>
      <c r="O63" s="39"/>
      <c r="P63" s="39"/>
      <c r="R63" s="54"/>
      <c r="S63" s="55"/>
      <c r="U63" s="56"/>
      <c r="V63" s="57"/>
      <c r="AD63" s="39"/>
      <c r="AE63" s="39"/>
      <c r="AF63" s="39"/>
      <c r="BH63" s="57"/>
      <c r="BI63" s="57"/>
      <c r="BJ63" s="57"/>
    </row>
    <row r="64" spans="3:94" ht="16" customHeight="1" x14ac:dyDescent="0.2">
      <c r="L64" s="63">
        <v>30376</v>
      </c>
      <c r="M64" s="38">
        <v>2</v>
      </c>
      <c r="N64" s="38">
        <v>2.2999999999999998</v>
      </c>
      <c r="O64" s="39">
        <v>0</v>
      </c>
      <c r="P64" s="39">
        <v>0</v>
      </c>
      <c r="Q64" s="46">
        <f t="shared" ref="Q64:Q127" si="8">0.15*($D$12-MAX(AG64,$D$10))/($D$12-$D$10)</f>
        <v>9.5270270270270269E-2</v>
      </c>
      <c r="R64" s="81">
        <f t="shared" ref="R64:R127" si="9">MAX(0,M64-Q64*$B$10)^2/(M64+$B$10*(1-Q64))</f>
        <v>0</v>
      </c>
      <c r="S64" s="82">
        <f t="shared" ref="S64:S127" si="10">M64-R64</f>
        <v>2</v>
      </c>
      <c r="T64" s="39">
        <f t="shared" ref="T64:T127" si="11">BZ64+CP64</f>
        <v>0</v>
      </c>
      <c r="U64" s="83">
        <f t="shared" ref="U64:U127" si="12">N64*P64</f>
        <v>0</v>
      </c>
      <c r="V64" s="84">
        <f t="shared" ref="V64:V127" si="13">MAX(0,N64*MAX(0,1-P64)*$B$2)</f>
        <v>1.8399999999999999</v>
      </c>
      <c r="W64" s="52">
        <f t="shared" ref="W64:W127" si="14">SUM(AG64:AJ64)-SUM(D$10:G$10)</f>
        <v>115.19999999999999</v>
      </c>
      <c r="X64" s="52">
        <f t="shared" ref="X64:X127" si="15">SUM(AK64:AN64)-SUM(H$10:K$10)</f>
        <v>151.20000000000005</v>
      </c>
      <c r="Y64" s="52">
        <f t="shared" ref="Y64:Y127" si="16">X64+W64</f>
        <v>266.40000000000003</v>
      </c>
      <c r="Z64" s="53">
        <f t="shared" ref="Z64:Z127" si="17">W64/(SUM(D$11:G$11)-SUM(D$10:G$10))</f>
        <v>0.89999999999999991</v>
      </c>
      <c r="AA64" s="53">
        <f t="shared" ref="AA64:AA127" si="18">X64/(SUM(H$11:K$11)-SUM(H$10:K$10))</f>
        <v>0.90000000000000024</v>
      </c>
      <c r="AB64" s="53">
        <f t="shared" ref="AB64:AB127" si="19">Y64/(SUM(D$11:K$11)-SUM(D$10:K$10))</f>
        <v>0.90000000000000013</v>
      </c>
      <c r="AC64" s="39" t="str">
        <f t="shared" ref="AC64:AC127" si="20">IF((AJ64-G$10)/(G$11-G$10)&lt;0.3,"Si","No")</f>
        <v>No</v>
      </c>
      <c r="AD64" s="85">
        <f t="shared" ref="AD64:AD127" si="21">IF(O64&gt;0.2,O64-O63,0)</f>
        <v>0</v>
      </c>
      <c r="AE64" s="46">
        <f t="shared" ref="AE64:AE127" si="22">IF(AF63&lt;D$6,1,IF(AF63&lt;E$6,MIN(1,(AH64-E$10)/(0.3*(E$11-E$10))),IF(AF63&lt;F$6,MIN(1,(AI64-F$10)/(0.3*(F$11-F$10))),IF(AF63&lt;G$6,MIN(1,(AJ64-G$10)/(0.3*(G$11-G$10))),IF(AF63&lt;H$6,MIN(1,(AK64-H$10)/(0.3*(H$11-H$10))),IF(AF63&lt;I$6,MIN(1,(AL64-I$10)/(0.3*(I$11-I$10))),IF(AF63&lt;J$6,MIN(1,(AM64-J$10)/(0.3*(J$11-J$10))),IF(AF63&lt;K$6,MIN(1,(AN64-K$10)/(0.3*(K$11-K$10))),0))))))))</f>
        <v>1</v>
      </c>
      <c r="AF64" s="46">
        <f t="shared" ref="AF64:AF127" si="23">IF(O64&lt;0.2,0,IF(O64=0.2,0.2,AF63+AD64*AE64))</f>
        <v>0</v>
      </c>
      <c r="AG64" s="86">
        <f t="shared" ref="AG64:AN64" si="24">(D$11-D$10)*D$2+D$10</f>
        <v>57</v>
      </c>
      <c r="AH64" s="86">
        <f t="shared" si="24"/>
        <v>63.2</v>
      </c>
      <c r="AI64" s="86">
        <f t="shared" si="24"/>
        <v>61.199999999999989</v>
      </c>
      <c r="AJ64" s="86">
        <f t="shared" si="24"/>
        <v>82.800000000000011</v>
      </c>
      <c r="AK64" s="86">
        <f t="shared" si="24"/>
        <v>79.799999999999983</v>
      </c>
      <c r="AL64" s="86">
        <f t="shared" si="24"/>
        <v>70.800000000000011</v>
      </c>
      <c r="AM64" s="86">
        <f t="shared" si="24"/>
        <v>70.800000000000011</v>
      </c>
      <c r="AN64" s="86">
        <f t="shared" si="24"/>
        <v>70.800000000000011</v>
      </c>
      <c r="AO64" s="39">
        <f t="shared" ref="AO64:AO127" si="25">MAX(0,(AG64-D$10)*$B$8*MIN(1,(AG64-D$10)/($B$9*(D$11-D$10))))*MIN(1,$AF64/D$6)</f>
        <v>0</v>
      </c>
      <c r="AP64" s="39">
        <f t="shared" ref="AP64:AP127" si="26">MAX(0,(AH64-E$10)*$B$8*MIN(1,(AH64-E$10)/($B$9*(E$11-E$10))))*MIN(1,MAX(0,($AF64-D$6))/(E$6-D$6))</f>
        <v>0</v>
      </c>
      <c r="AQ64" s="39">
        <f t="shared" ref="AQ64:AQ127" si="27">MAX(0,(AI64-F$10)*$B$8*MIN(1,(AI64-F$10)/($B$9*(F$11-F$10))))*MIN(1,MAX(0,($AF64-E$6))/(F$6-E$6))</f>
        <v>0</v>
      </c>
      <c r="AR64" s="39">
        <f t="shared" ref="AR64:AR127" si="28">MAX(0,(AJ64-G$10)*$B$8*MIN(1,(AJ64-G$10)/($B$9*(G$11-G$10))))*MIN(1,MAX(0,($AF64-F$6))/(G$6-F$6))</f>
        <v>0</v>
      </c>
      <c r="AS64" s="39">
        <f t="shared" ref="AS64:AS127" si="29">MAX(0,(AK64-H$10)*$B$8*MIN(1,(AK64-H$10)/($B$9*(H$11-H$10))))*MIN(1,MAX(0,($AF64-G$6))/(H$6-G$6))</f>
        <v>0</v>
      </c>
      <c r="AT64" s="39">
        <f t="shared" ref="AT64:AT127" si="30">MAX(0,(AL64-I$10)*$B$8*MIN(1,(AL64-I$10)/($B$9*(I$11-I$10))))*MIN(1,MAX(0,($AF64-H$6))/(I$6-H$6))</f>
        <v>0</v>
      </c>
      <c r="AU64" s="39">
        <f t="shared" ref="AU64:AU127" si="31">MAX(0,(AM64-J$10)*$B$8*MIN(1,(AM64-J$10)/($B$9*(J$11-J$10))))*MIN(1,MAX(0,($AF64-I$6))/(J$6-I$6))</f>
        <v>0</v>
      </c>
      <c r="AV64" s="39">
        <f t="shared" ref="AV64:AV127" si="32">MAX(0,(AN64-K$10)*$B$8*MIN(1,(AN64-K$10)/($B$9*(K$11-K$10))))*MIN(1,MAX(0,($AF64-J$6))/(K$6-J$6))</f>
        <v>0</v>
      </c>
      <c r="AW64" s="39">
        <f t="shared" ref="AW64:AW127" si="33">SUM(AO64:AV64)</f>
        <v>0</v>
      </c>
      <c r="AX64" s="39">
        <f t="shared" ref="AX64:AX127" si="34">MIN(U64,AW64+S64)</f>
        <v>0</v>
      </c>
      <c r="AY64" s="39">
        <f t="shared" ref="AY64:AY127" si="35">MAX(0,AX64-S64)</f>
        <v>0</v>
      </c>
      <c r="AZ64" s="39">
        <f t="shared" ref="AZ64:AZ127" si="36">IF($AW64&gt;0,$AY64*(AO64/$AW64),0)</f>
        <v>0</v>
      </c>
      <c r="BA64" s="39">
        <f t="shared" ref="BA64:BA127" si="37">IF($AW64&gt;0,$AY64*(AP64/$AW64),0)</f>
        <v>0</v>
      </c>
      <c r="BB64" s="39">
        <f t="shared" ref="BB64:BB127" si="38">IF($AW64&gt;0,$AY64*(AQ64/$AW64),0)</f>
        <v>0</v>
      </c>
      <c r="BC64" s="39">
        <f t="shared" ref="BC64:BC127" si="39">IF($AW64&gt;0,$AY64*(AR64/$AW64),0)</f>
        <v>0</v>
      </c>
      <c r="BD64" s="39">
        <f t="shared" ref="BD64:BD127" si="40">IF($AW64&gt;0,$AY64*(AS64/$AW64),0)</f>
        <v>0</v>
      </c>
      <c r="BE64" s="39">
        <f t="shared" ref="BE64:BE127" si="41">IF($AW64&gt;0,$AY64*(AT64/$AW64),0)</f>
        <v>0</v>
      </c>
      <c r="BF64" s="39">
        <f t="shared" ref="BF64:BF127" si="42">IF($AW64&gt;0,$AY64*(AU64/$AW64),0)</f>
        <v>0</v>
      </c>
      <c r="BG64" s="39">
        <f t="shared" ref="BG64:BG127" si="43">IF($AW64&gt;0,$AY64*(AV64/$AW64),0)</f>
        <v>0</v>
      </c>
      <c r="BH64" s="84">
        <f t="shared" ref="BH64:BH127" si="44">MIN(V64,MAX(0,(AG64-(D$11-$B$5*$B$2)))+MAX(0,S64-AX64))</f>
        <v>1.8399999999999999</v>
      </c>
      <c r="BI64" s="84">
        <f t="shared" ref="BI64:BI127" si="45">V64-BH64</f>
        <v>0</v>
      </c>
      <c r="BJ64" s="84">
        <f t="shared" ref="BJ64:BJ127" si="46">BH64+MIN(BI64,BI64*((S64+AG64-AZ64-BH64-D$10*0.5)/(D$11-$B$5*$B$2-D$10*0.5))^4)</f>
        <v>1.8399999999999999</v>
      </c>
      <c r="BK64" s="39">
        <f t="shared" ref="BK64:BK127" si="47">AG64-AZ64-BJ64</f>
        <v>55.16</v>
      </c>
      <c r="BL64" s="39">
        <f t="shared" ref="BL64:BL127" si="48">AH64-BA64</f>
        <v>63.2</v>
      </c>
      <c r="BM64" s="39">
        <f t="shared" ref="BM64:BM127" si="49">AI64-BB64</f>
        <v>61.199999999999989</v>
      </c>
      <c r="BN64" s="39">
        <f t="shared" ref="BN64:BN127" si="50">AJ64-BC64</f>
        <v>82.800000000000011</v>
      </c>
      <c r="BO64" s="39">
        <f t="shared" ref="BO64:BO127" si="51">AK64-BD64</f>
        <v>79.799999999999983</v>
      </c>
      <c r="BP64" s="39">
        <f t="shared" ref="BP64:BP127" si="52">AL64-BE64</f>
        <v>70.800000000000011</v>
      </c>
      <c r="BQ64" s="39">
        <f t="shared" ref="BQ64:BQ127" si="53">AM64-BF64</f>
        <v>70.800000000000011</v>
      </c>
      <c r="BR64" s="39">
        <f t="shared" ref="BR64:BR127" si="54">AN64-BG64</f>
        <v>70.800000000000011</v>
      </c>
      <c r="BS64" s="39">
        <f t="shared" ref="BS64:BS127" si="55">MAX(0,(BK64-D$11)*$B$6)</f>
        <v>0</v>
      </c>
      <c r="BT64" s="39">
        <f t="shared" ref="BT64:BT127" si="56">MAX(0,(BL64-E$11)*$B$6)</f>
        <v>0</v>
      </c>
      <c r="BU64" s="39">
        <f t="shared" ref="BU64:BU127" si="57">MAX(0,(BM64-F$11)*$B$6)</f>
        <v>0</v>
      </c>
      <c r="BV64" s="39">
        <f t="shared" ref="BV64:BV127" si="58">MAX(0,(BN64-G$11)*$B$6)</f>
        <v>0</v>
      </c>
      <c r="BW64" s="39">
        <f t="shared" ref="BW64:BW127" si="59">MAX(0,(BO64-H$11)*$B$6)</f>
        <v>0</v>
      </c>
      <c r="BX64" s="39">
        <f t="shared" ref="BX64:BX127" si="60">MAX(0,(BP64-I$11)*$B$6)</f>
        <v>0</v>
      </c>
      <c r="BY64" s="39">
        <f t="shared" ref="BY64:BY127" si="61">MAX(0,(BQ64-J$11)*$B$6)</f>
        <v>0</v>
      </c>
      <c r="BZ64" s="39">
        <f t="shared" ref="BZ64:BZ127" si="62">MAX(0,(BR64-K$11)*$B$6)</f>
        <v>0</v>
      </c>
      <c r="CA64" s="39">
        <f t="shared" ref="CA64:CA127" si="63">BK64-BS64+MAX(0,S64-AY64-BJ64)</f>
        <v>55.319999999999993</v>
      </c>
      <c r="CB64" s="39">
        <f t="shared" ref="CB64:CB127" si="64">BL64-BT64+BS64+CI64</f>
        <v>63.2</v>
      </c>
      <c r="CC64" s="39">
        <f t="shared" ref="CC64:CC127" si="65">BM64-BU64+BT64+CJ64</f>
        <v>61.199999999999989</v>
      </c>
      <c r="CD64" s="39">
        <f t="shared" ref="CD64:CD127" si="66">BN64-BV64+BU64+CK64</f>
        <v>82.800000000000011</v>
      </c>
      <c r="CE64" s="39">
        <f t="shared" ref="CE64:CE127" si="67">BO64-BW64+BV64+CL64</f>
        <v>79.799999999999983</v>
      </c>
      <c r="CF64" s="39">
        <f t="shared" ref="CF64:CF127" si="68">BP64-BX64+BW64+CM64</f>
        <v>70.800000000000011</v>
      </c>
      <c r="CG64" s="39">
        <f t="shared" ref="CG64:CG127" si="69">BQ64-BY64+BX64+CN64</f>
        <v>70.800000000000011</v>
      </c>
      <c r="CH64" s="39">
        <f t="shared" ref="CH64:CH127" si="70">BR64-BZ64+BY64+CO64</f>
        <v>70.800000000000011</v>
      </c>
      <c r="CI64" s="39">
        <f t="shared" ref="CI64:CI127" si="71">MAX(0,CA64-D$12)</f>
        <v>0</v>
      </c>
      <c r="CJ64" s="39">
        <f t="shared" ref="CJ64:CJ127" si="72">MAX(0,CB64-E$12)</f>
        <v>0</v>
      </c>
      <c r="CK64" s="39">
        <f t="shared" ref="CK64:CK127" si="73">MAX(0,CC64-F$12)</f>
        <v>0</v>
      </c>
      <c r="CL64" s="39">
        <f t="shared" ref="CL64:CL127" si="74">MAX(0,CD64-G$12)</f>
        <v>0</v>
      </c>
      <c r="CM64" s="39">
        <f t="shared" ref="CM64:CM127" si="75">MAX(0,CE64-H$12)</f>
        <v>0</v>
      </c>
      <c r="CN64" s="39">
        <f t="shared" ref="CN64:CN127" si="76">MAX(0,CF64-I$12)</f>
        <v>0</v>
      </c>
      <c r="CO64" s="39">
        <f t="shared" ref="CO64:CO127" si="77">MAX(0,CG64-J$12)</f>
        <v>0</v>
      </c>
      <c r="CP64" s="39">
        <f t="shared" ref="CP64:CP127" si="78">MAX(0,CH64-K$12)</f>
        <v>0</v>
      </c>
    </row>
    <row r="65" spans="12:94" ht="16" customHeight="1" x14ac:dyDescent="0.2">
      <c r="L65" s="63">
        <v>30377</v>
      </c>
      <c r="M65" s="38">
        <v>0</v>
      </c>
      <c r="N65" s="38">
        <v>3.7</v>
      </c>
      <c r="O65" s="39">
        <v>0</v>
      </c>
      <c r="P65" s="39">
        <v>0</v>
      </c>
      <c r="Q65" s="46">
        <f t="shared" si="8"/>
        <v>9.8675675675675686E-2</v>
      </c>
      <c r="R65" s="81">
        <f t="shared" si="9"/>
        <v>0</v>
      </c>
      <c r="S65" s="82">
        <f t="shared" si="10"/>
        <v>0</v>
      </c>
      <c r="T65" s="39">
        <f t="shared" si="11"/>
        <v>0</v>
      </c>
      <c r="U65" s="83">
        <f t="shared" si="12"/>
        <v>0</v>
      </c>
      <c r="V65" s="84">
        <f t="shared" si="13"/>
        <v>2.9600000000000004</v>
      </c>
      <c r="W65" s="52">
        <f t="shared" si="14"/>
        <v>113.51999999999998</v>
      </c>
      <c r="X65" s="52">
        <f t="shared" si="15"/>
        <v>151.20000000000005</v>
      </c>
      <c r="Y65" s="52">
        <f t="shared" si="16"/>
        <v>264.72000000000003</v>
      </c>
      <c r="Z65" s="53">
        <f t="shared" si="17"/>
        <v>0.88687499999999986</v>
      </c>
      <c r="AA65" s="53">
        <f t="shared" si="18"/>
        <v>0.90000000000000024</v>
      </c>
      <c r="AB65" s="53">
        <f t="shared" si="19"/>
        <v>0.8943243243243244</v>
      </c>
      <c r="AC65" s="39" t="str">
        <f t="shared" si="20"/>
        <v>No</v>
      </c>
      <c r="AD65" s="85">
        <f t="shared" si="21"/>
        <v>0</v>
      </c>
      <c r="AE65" s="46">
        <f t="shared" si="22"/>
        <v>1</v>
      </c>
      <c r="AF65" s="46">
        <f t="shared" si="23"/>
        <v>0</v>
      </c>
      <c r="AG65" s="39">
        <f t="shared" ref="AG65:AG128" si="79">MIN(D$12,CA64)</f>
        <v>55.319999999999993</v>
      </c>
      <c r="AH65" s="39">
        <f t="shared" ref="AH65:AH128" si="80">MIN(E$12,CB64)</f>
        <v>63.2</v>
      </c>
      <c r="AI65" s="39">
        <f t="shared" ref="AI65:AI128" si="81">MIN(F$12,CC64)</f>
        <v>61.199999999999989</v>
      </c>
      <c r="AJ65" s="39">
        <f t="shared" ref="AJ65:AJ128" si="82">MIN(G$12,CD64)</f>
        <v>82.800000000000011</v>
      </c>
      <c r="AK65" s="39">
        <f t="shared" ref="AK65:AK128" si="83">MIN(H$12,CE64)</f>
        <v>79.799999999999983</v>
      </c>
      <c r="AL65" s="39">
        <f t="shared" ref="AL65:AL128" si="84">MIN(I$12,CF64)</f>
        <v>70.800000000000011</v>
      </c>
      <c r="AM65" s="39">
        <f t="shared" ref="AM65:AM128" si="85">MIN(J$12,CG64)</f>
        <v>70.800000000000011</v>
      </c>
      <c r="AN65" s="39">
        <f t="shared" ref="AN65:AN128" si="86">MIN(K$12,CH64)</f>
        <v>70.800000000000011</v>
      </c>
      <c r="AO65" s="39">
        <f t="shared" si="25"/>
        <v>0</v>
      </c>
      <c r="AP65" s="39">
        <f t="shared" si="26"/>
        <v>0</v>
      </c>
      <c r="AQ65" s="39">
        <f t="shared" si="27"/>
        <v>0</v>
      </c>
      <c r="AR65" s="39">
        <f t="shared" si="28"/>
        <v>0</v>
      </c>
      <c r="AS65" s="39">
        <f t="shared" si="29"/>
        <v>0</v>
      </c>
      <c r="AT65" s="39">
        <f t="shared" si="30"/>
        <v>0</v>
      </c>
      <c r="AU65" s="39">
        <f t="shared" si="31"/>
        <v>0</v>
      </c>
      <c r="AV65" s="39">
        <f t="shared" si="32"/>
        <v>0</v>
      </c>
      <c r="AW65" s="39">
        <f t="shared" si="33"/>
        <v>0</v>
      </c>
      <c r="AX65" s="39">
        <f t="shared" si="34"/>
        <v>0</v>
      </c>
      <c r="AY65" s="39">
        <f t="shared" si="35"/>
        <v>0</v>
      </c>
      <c r="AZ65" s="39">
        <f t="shared" si="36"/>
        <v>0</v>
      </c>
      <c r="BA65" s="39">
        <f t="shared" si="37"/>
        <v>0</v>
      </c>
      <c r="BB65" s="39">
        <f t="shared" si="38"/>
        <v>0</v>
      </c>
      <c r="BC65" s="39">
        <f t="shared" si="39"/>
        <v>0</v>
      </c>
      <c r="BD65" s="39">
        <f t="shared" si="40"/>
        <v>0</v>
      </c>
      <c r="BE65" s="39">
        <f t="shared" si="41"/>
        <v>0</v>
      </c>
      <c r="BF65" s="39">
        <f t="shared" si="42"/>
        <v>0</v>
      </c>
      <c r="BG65" s="39">
        <f t="shared" si="43"/>
        <v>0</v>
      </c>
      <c r="BH65" s="84">
        <f t="shared" si="44"/>
        <v>1.7199999999999918</v>
      </c>
      <c r="BI65" s="84">
        <f t="shared" si="45"/>
        <v>1.2400000000000087</v>
      </c>
      <c r="BJ65" s="84">
        <f t="shared" si="46"/>
        <v>2.9600000000000004</v>
      </c>
      <c r="BK65" s="39">
        <f t="shared" si="47"/>
        <v>52.359999999999992</v>
      </c>
      <c r="BL65" s="39">
        <f t="shared" si="48"/>
        <v>63.2</v>
      </c>
      <c r="BM65" s="39">
        <f t="shared" si="49"/>
        <v>61.199999999999989</v>
      </c>
      <c r="BN65" s="39">
        <f t="shared" si="50"/>
        <v>82.800000000000011</v>
      </c>
      <c r="BO65" s="39">
        <f t="shared" si="51"/>
        <v>79.799999999999983</v>
      </c>
      <c r="BP65" s="39">
        <f t="shared" si="52"/>
        <v>70.800000000000011</v>
      </c>
      <c r="BQ65" s="39">
        <f t="shared" si="53"/>
        <v>70.800000000000011</v>
      </c>
      <c r="BR65" s="39">
        <f t="shared" si="54"/>
        <v>70.800000000000011</v>
      </c>
      <c r="BS65" s="39">
        <f t="shared" si="55"/>
        <v>0</v>
      </c>
      <c r="BT65" s="39">
        <f t="shared" si="56"/>
        <v>0</v>
      </c>
      <c r="BU65" s="39">
        <f t="shared" si="57"/>
        <v>0</v>
      </c>
      <c r="BV65" s="39">
        <f t="shared" si="58"/>
        <v>0</v>
      </c>
      <c r="BW65" s="39">
        <f t="shared" si="59"/>
        <v>0</v>
      </c>
      <c r="BX65" s="39">
        <f t="shared" si="60"/>
        <v>0</v>
      </c>
      <c r="BY65" s="39">
        <f t="shared" si="61"/>
        <v>0</v>
      </c>
      <c r="BZ65" s="39">
        <f t="shared" si="62"/>
        <v>0</v>
      </c>
      <c r="CA65" s="39">
        <f t="shared" si="63"/>
        <v>52.359999999999992</v>
      </c>
      <c r="CB65" s="39">
        <f t="shared" si="64"/>
        <v>63.2</v>
      </c>
      <c r="CC65" s="39">
        <f t="shared" si="65"/>
        <v>61.199999999999989</v>
      </c>
      <c r="CD65" s="39">
        <f t="shared" si="66"/>
        <v>82.800000000000011</v>
      </c>
      <c r="CE65" s="39">
        <f t="shared" si="67"/>
        <v>79.799999999999983</v>
      </c>
      <c r="CF65" s="39">
        <f t="shared" si="68"/>
        <v>70.800000000000011</v>
      </c>
      <c r="CG65" s="39">
        <f t="shared" si="69"/>
        <v>70.800000000000011</v>
      </c>
      <c r="CH65" s="39">
        <f t="shared" si="70"/>
        <v>70.800000000000011</v>
      </c>
      <c r="CI65" s="39">
        <f t="shared" si="71"/>
        <v>0</v>
      </c>
      <c r="CJ65" s="39">
        <f t="shared" si="72"/>
        <v>0</v>
      </c>
      <c r="CK65" s="39">
        <f t="shared" si="73"/>
        <v>0</v>
      </c>
      <c r="CL65" s="39">
        <f t="shared" si="74"/>
        <v>0</v>
      </c>
      <c r="CM65" s="39">
        <f t="shared" si="75"/>
        <v>0</v>
      </c>
      <c r="CN65" s="39">
        <f t="shared" si="76"/>
        <v>0</v>
      </c>
      <c r="CO65" s="39">
        <f t="shared" si="77"/>
        <v>0</v>
      </c>
      <c r="CP65" s="39">
        <f t="shared" si="78"/>
        <v>0</v>
      </c>
    </row>
    <row r="66" spans="12:94" ht="16" customHeight="1" x14ac:dyDescent="0.2">
      <c r="L66" s="63">
        <v>30378</v>
      </c>
      <c r="M66" s="38">
        <v>0</v>
      </c>
      <c r="N66" s="38">
        <v>4.5</v>
      </c>
      <c r="O66" s="39">
        <v>0</v>
      </c>
      <c r="P66" s="39">
        <v>0</v>
      </c>
      <c r="Q66" s="46">
        <f t="shared" si="8"/>
        <v>0.10467567567567568</v>
      </c>
      <c r="R66" s="81">
        <f t="shared" si="9"/>
        <v>0</v>
      </c>
      <c r="S66" s="82">
        <f t="shared" si="10"/>
        <v>0</v>
      </c>
      <c r="T66" s="39">
        <f t="shared" si="11"/>
        <v>0</v>
      </c>
      <c r="U66" s="83">
        <f t="shared" si="12"/>
        <v>0</v>
      </c>
      <c r="V66" s="84">
        <f t="shared" si="13"/>
        <v>3.6</v>
      </c>
      <c r="W66" s="52">
        <f t="shared" si="14"/>
        <v>110.56</v>
      </c>
      <c r="X66" s="52">
        <f t="shared" si="15"/>
        <v>151.20000000000005</v>
      </c>
      <c r="Y66" s="52">
        <f t="shared" si="16"/>
        <v>261.76000000000005</v>
      </c>
      <c r="Z66" s="53">
        <f t="shared" si="17"/>
        <v>0.86375000000000002</v>
      </c>
      <c r="AA66" s="53">
        <f t="shared" si="18"/>
        <v>0.90000000000000024</v>
      </c>
      <c r="AB66" s="53">
        <f t="shared" si="19"/>
        <v>0.88432432432432451</v>
      </c>
      <c r="AC66" s="39" t="str">
        <f t="shared" si="20"/>
        <v>No</v>
      </c>
      <c r="AD66" s="85">
        <f t="shared" si="21"/>
        <v>0</v>
      </c>
      <c r="AE66" s="46">
        <f t="shared" si="22"/>
        <v>1</v>
      </c>
      <c r="AF66" s="46">
        <f t="shared" si="23"/>
        <v>0</v>
      </c>
      <c r="AG66" s="39">
        <f t="shared" si="79"/>
        <v>52.359999999999992</v>
      </c>
      <c r="AH66" s="39">
        <f t="shared" si="80"/>
        <v>63.2</v>
      </c>
      <c r="AI66" s="39">
        <f t="shared" si="81"/>
        <v>61.199999999999989</v>
      </c>
      <c r="AJ66" s="39">
        <f t="shared" si="82"/>
        <v>82.800000000000011</v>
      </c>
      <c r="AK66" s="39">
        <f t="shared" si="83"/>
        <v>79.799999999999983</v>
      </c>
      <c r="AL66" s="39">
        <f t="shared" si="84"/>
        <v>70.800000000000011</v>
      </c>
      <c r="AM66" s="39">
        <f t="shared" si="85"/>
        <v>70.800000000000011</v>
      </c>
      <c r="AN66" s="39">
        <f t="shared" si="86"/>
        <v>70.800000000000011</v>
      </c>
      <c r="AO66" s="39">
        <f t="shared" si="25"/>
        <v>0</v>
      </c>
      <c r="AP66" s="39">
        <f t="shared" si="26"/>
        <v>0</v>
      </c>
      <c r="AQ66" s="39">
        <f t="shared" si="27"/>
        <v>0</v>
      </c>
      <c r="AR66" s="39">
        <f t="shared" si="28"/>
        <v>0</v>
      </c>
      <c r="AS66" s="39">
        <f t="shared" si="29"/>
        <v>0</v>
      </c>
      <c r="AT66" s="39">
        <f t="shared" si="30"/>
        <v>0</v>
      </c>
      <c r="AU66" s="39">
        <f t="shared" si="31"/>
        <v>0</v>
      </c>
      <c r="AV66" s="39">
        <f t="shared" si="32"/>
        <v>0</v>
      </c>
      <c r="AW66" s="39">
        <f t="shared" si="33"/>
        <v>0</v>
      </c>
      <c r="AX66" s="39">
        <f t="shared" si="34"/>
        <v>0</v>
      </c>
      <c r="AY66" s="39">
        <f t="shared" si="35"/>
        <v>0</v>
      </c>
      <c r="AZ66" s="39">
        <f t="shared" si="36"/>
        <v>0</v>
      </c>
      <c r="BA66" s="39">
        <f t="shared" si="37"/>
        <v>0</v>
      </c>
      <c r="BB66" s="39">
        <f t="shared" si="38"/>
        <v>0</v>
      </c>
      <c r="BC66" s="39">
        <f t="shared" si="39"/>
        <v>0</v>
      </c>
      <c r="BD66" s="39">
        <f t="shared" si="40"/>
        <v>0</v>
      </c>
      <c r="BE66" s="39">
        <f t="shared" si="41"/>
        <v>0</v>
      </c>
      <c r="BF66" s="39">
        <f t="shared" si="42"/>
        <v>0</v>
      </c>
      <c r="BG66" s="39">
        <f t="shared" si="43"/>
        <v>0</v>
      </c>
      <c r="BH66" s="84">
        <f t="shared" si="44"/>
        <v>0</v>
      </c>
      <c r="BI66" s="84">
        <f t="shared" si="45"/>
        <v>3.6</v>
      </c>
      <c r="BJ66" s="84">
        <f t="shared" si="46"/>
        <v>3.1592264174393785</v>
      </c>
      <c r="BK66" s="39">
        <f t="shared" si="47"/>
        <v>49.200773582560615</v>
      </c>
      <c r="BL66" s="39">
        <f t="shared" si="48"/>
        <v>63.2</v>
      </c>
      <c r="BM66" s="39">
        <f t="shared" si="49"/>
        <v>61.199999999999989</v>
      </c>
      <c r="BN66" s="39">
        <f t="shared" si="50"/>
        <v>82.800000000000011</v>
      </c>
      <c r="BO66" s="39">
        <f t="shared" si="51"/>
        <v>79.799999999999983</v>
      </c>
      <c r="BP66" s="39">
        <f t="shared" si="52"/>
        <v>70.800000000000011</v>
      </c>
      <c r="BQ66" s="39">
        <f t="shared" si="53"/>
        <v>70.800000000000011</v>
      </c>
      <c r="BR66" s="39">
        <f t="shared" si="54"/>
        <v>70.800000000000011</v>
      </c>
      <c r="BS66" s="39">
        <f t="shared" si="55"/>
        <v>0</v>
      </c>
      <c r="BT66" s="39">
        <f t="shared" si="56"/>
        <v>0</v>
      </c>
      <c r="BU66" s="39">
        <f t="shared" si="57"/>
        <v>0</v>
      </c>
      <c r="BV66" s="39">
        <f t="shared" si="58"/>
        <v>0</v>
      </c>
      <c r="BW66" s="39">
        <f t="shared" si="59"/>
        <v>0</v>
      </c>
      <c r="BX66" s="39">
        <f t="shared" si="60"/>
        <v>0</v>
      </c>
      <c r="BY66" s="39">
        <f t="shared" si="61"/>
        <v>0</v>
      </c>
      <c r="BZ66" s="39">
        <f t="shared" si="62"/>
        <v>0</v>
      </c>
      <c r="CA66" s="39">
        <f t="shared" si="63"/>
        <v>49.200773582560615</v>
      </c>
      <c r="CB66" s="39">
        <f t="shared" si="64"/>
        <v>63.2</v>
      </c>
      <c r="CC66" s="39">
        <f t="shared" si="65"/>
        <v>61.199999999999989</v>
      </c>
      <c r="CD66" s="39">
        <f t="shared" si="66"/>
        <v>82.800000000000011</v>
      </c>
      <c r="CE66" s="39">
        <f t="shared" si="67"/>
        <v>79.799999999999983</v>
      </c>
      <c r="CF66" s="39">
        <f t="shared" si="68"/>
        <v>70.800000000000011</v>
      </c>
      <c r="CG66" s="39">
        <f t="shared" si="69"/>
        <v>70.800000000000011</v>
      </c>
      <c r="CH66" s="39">
        <f t="shared" si="70"/>
        <v>70.800000000000011</v>
      </c>
      <c r="CI66" s="39">
        <f t="shared" si="71"/>
        <v>0</v>
      </c>
      <c r="CJ66" s="39">
        <f t="shared" si="72"/>
        <v>0</v>
      </c>
      <c r="CK66" s="39">
        <f t="shared" si="73"/>
        <v>0</v>
      </c>
      <c r="CL66" s="39">
        <f t="shared" si="74"/>
        <v>0</v>
      </c>
      <c r="CM66" s="39">
        <f t="shared" si="75"/>
        <v>0</v>
      </c>
      <c r="CN66" s="39">
        <f t="shared" si="76"/>
        <v>0</v>
      </c>
      <c r="CO66" s="39">
        <f t="shared" si="77"/>
        <v>0</v>
      </c>
      <c r="CP66" s="39">
        <f t="shared" si="78"/>
        <v>0</v>
      </c>
    </row>
    <row r="67" spans="12:94" ht="16" customHeight="1" x14ac:dyDescent="0.2">
      <c r="L67" s="63">
        <v>30379</v>
      </c>
      <c r="M67" s="38">
        <v>0</v>
      </c>
      <c r="N67" s="38">
        <v>4.5</v>
      </c>
      <c r="O67" s="39">
        <v>0</v>
      </c>
      <c r="P67" s="39">
        <v>0</v>
      </c>
      <c r="Q67" s="46">
        <f t="shared" si="8"/>
        <v>0.11107951300832308</v>
      </c>
      <c r="R67" s="81">
        <f t="shared" si="9"/>
        <v>0</v>
      </c>
      <c r="S67" s="82">
        <f t="shared" si="10"/>
        <v>0</v>
      </c>
      <c r="T67" s="39">
        <f t="shared" si="11"/>
        <v>0</v>
      </c>
      <c r="U67" s="83">
        <f t="shared" si="12"/>
        <v>0</v>
      </c>
      <c r="V67" s="84">
        <f t="shared" si="13"/>
        <v>3.6</v>
      </c>
      <c r="W67" s="52">
        <f t="shared" si="14"/>
        <v>107.40077358256065</v>
      </c>
      <c r="X67" s="52">
        <f t="shared" si="15"/>
        <v>151.20000000000005</v>
      </c>
      <c r="Y67" s="52">
        <f t="shared" si="16"/>
        <v>258.60077358256069</v>
      </c>
      <c r="Z67" s="53">
        <f t="shared" si="17"/>
        <v>0.83906854361375505</v>
      </c>
      <c r="AA67" s="53">
        <f t="shared" si="18"/>
        <v>0.90000000000000024</v>
      </c>
      <c r="AB67" s="53">
        <f t="shared" si="19"/>
        <v>0.87365126210324562</v>
      </c>
      <c r="AC67" s="39" t="str">
        <f t="shared" si="20"/>
        <v>No</v>
      </c>
      <c r="AD67" s="85">
        <f t="shared" si="21"/>
        <v>0</v>
      </c>
      <c r="AE67" s="46">
        <f t="shared" si="22"/>
        <v>1</v>
      </c>
      <c r="AF67" s="46">
        <f t="shared" si="23"/>
        <v>0</v>
      </c>
      <c r="AG67" s="39">
        <f t="shared" si="79"/>
        <v>49.200773582560615</v>
      </c>
      <c r="AH67" s="39">
        <f t="shared" si="80"/>
        <v>63.2</v>
      </c>
      <c r="AI67" s="39">
        <f t="shared" si="81"/>
        <v>61.199999999999989</v>
      </c>
      <c r="AJ67" s="39">
        <f t="shared" si="82"/>
        <v>82.800000000000011</v>
      </c>
      <c r="AK67" s="39">
        <f t="shared" si="83"/>
        <v>79.799999999999983</v>
      </c>
      <c r="AL67" s="39">
        <f t="shared" si="84"/>
        <v>70.800000000000011</v>
      </c>
      <c r="AM67" s="39">
        <f t="shared" si="85"/>
        <v>70.800000000000011</v>
      </c>
      <c r="AN67" s="39">
        <f t="shared" si="86"/>
        <v>70.800000000000011</v>
      </c>
      <c r="AO67" s="39">
        <f t="shared" si="25"/>
        <v>0</v>
      </c>
      <c r="AP67" s="39">
        <f t="shared" si="26"/>
        <v>0</v>
      </c>
      <c r="AQ67" s="39">
        <f t="shared" si="27"/>
        <v>0</v>
      </c>
      <c r="AR67" s="39">
        <f t="shared" si="28"/>
        <v>0</v>
      </c>
      <c r="AS67" s="39">
        <f t="shared" si="29"/>
        <v>0</v>
      </c>
      <c r="AT67" s="39">
        <f t="shared" si="30"/>
        <v>0</v>
      </c>
      <c r="AU67" s="39">
        <f t="shared" si="31"/>
        <v>0</v>
      </c>
      <c r="AV67" s="39">
        <f t="shared" si="32"/>
        <v>0</v>
      </c>
      <c r="AW67" s="39">
        <f t="shared" si="33"/>
        <v>0</v>
      </c>
      <c r="AX67" s="39">
        <f t="shared" si="34"/>
        <v>0</v>
      </c>
      <c r="AY67" s="39">
        <f t="shared" si="35"/>
        <v>0</v>
      </c>
      <c r="AZ67" s="39">
        <f t="shared" si="36"/>
        <v>0</v>
      </c>
      <c r="BA67" s="39">
        <f t="shared" si="37"/>
        <v>0</v>
      </c>
      <c r="BB67" s="39">
        <f t="shared" si="38"/>
        <v>0</v>
      </c>
      <c r="BC67" s="39">
        <f t="shared" si="39"/>
        <v>0</v>
      </c>
      <c r="BD67" s="39">
        <f t="shared" si="40"/>
        <v>0</v>
      </c>
      <c r="BE67" s="39">
        <f t="shared" si="41"/>
        <v>0</v>
      </c>
      <c r="BF67" s="39">
        <f t="shared" si="42"/>
        <v>0</v>
      </c>
      <c r="BG67" s="39">
        <f t="shared" si="43"/>
        <v>0</v>
      </c>
      <c r="BH67" s="84">
        <f t="shared" si="44"/>
        <v>0</v>
      </c>
      <c r="BI67" s="84">
        <f t="shared" si="45"/>
        <v>3.6</v>
      </c>
      <c r="BJ67" s="84">
        <f t="shared" si="46"/>
        <v>2.2186919096272044</v>
      </c>
      <c r="BK67" s="39">
        <f t="shared" si="47"/>
        <v>46.982081672933411</v>
      </c>
      <c r="BL67" s="39">
        <f t="shared" si="48"/>
        <v>63.2</v>
      </c>
      <c r="BM67" s="39">
        <f t="shared" si="49"/>
        <v>61.199999999999989</v>
      </c>
      <c r="BN67" s="39">
        <f t="shared" si="50"/>
        <v>82.800000000000011</v>
      </c>
      <c r="BO67" s="39">
        <f t="shared" si="51"/>
        <v>79.799999999999983</v>
      </c>
      <c r="BP67" s="39">
        <f t="shared" si="52"/>
        <v>70.800000000000011</v>
      </c>
      <c r="BQ67" s="39">
        <f t="shared" si="53"/>
        <v>70.800000000000011</v>
      </c>
      <c r="BR67" s="39">
        <f t="shared" si="54"/>
        <v>70.800000000000011</v>
      </c>
      <c r="BS67" s="39">
        <f t="shared" si="55"/>
        <v>0</v>
      </c>
      <c r="BT67" s="39">
        <f t="shared" si="56"/>
        <v>0</v>
      </c>
      <c r="BU67" s="39">
        <f t="shared" si="57"/>
        <v>0</v>
      </c>
      <c r="BV67" s="39">
        <f t="shared" si="58"/>
        <v>0</v>
      </c>
      <c r="BW67" s="39">
        <f t="shared" si="59"/>
        <v>0</v>
      </c>
      <c r="BX67" s="39">
        <f t="shared" si="60"/>
        <v>0</v>
      </c>
      <c r="BY67" s="39">
        <f t="shared" si="61"/>
        <v>0</v>
      </c>
      <c r="BZ67" s="39">
        <f t="shared" si="62"/>
        <v>0</v>
      </c>
      <c r="CA67" s="39">
        <f t="shared" si="63"/>
        <v>46.982081672933411</v>
      </c>
      <c r="CB67" s="39">
        <f t="shared" si="64"/>
        <v>63.2</v>
      </c>
      <c r="CC67" s="39">
        <f t="shared" si="65"/>
        <v>61.199999999999989</v>
      </c>
      <c r="CD67" s="39">
        <f t="shared" si="66"/>
        <v>82.800000000000011</v>
      </c>
      <c r="CE67" s="39">
        <f t="shared" si="67"/>
        <v>79.799999999999983</v>
      </c>
      <c r="CF67" s="39">
        <f t="shared" si="68"/>
        <v>70.800000000000011</v>
      </c>
      <c r="CG67" s="39">
        <f t="shared" si="69"/>
        <v>70.800000000000011</v>
      </c>
      <c r="CH67" s="39">
        <f t="shared" si="70"/>
        <v>70.800000000000011</v>
      </c>
      <c r="CI67" s="39">
        <f t="shared" si="71"/>
        <v>0</v>
      </c>
      <c r="CJ67" s="39">
        <f t="shared" si="72"/>
        <v>0</v>
      </c>
      <c r="CK67" s="39">
        <f t="shared" si="73"/>
        <v>0</v>
      </c>
      <c r="CL67" s="39">
        <f t="shared" si="74"/>
        <v>0</v>
      </c>
      <c r="CM67" s="39">
        <f t="shared" si="75"/>
        <v>0</v>
      </c>
      <c r="CN67" s="39">
        <f t="shared" si="76"/>
        <v>0</v>
      </c>
      <c r="CO67" s="39">
        <f t="shared" si="77"/>
        <v>0</v>
      </c>
      <c r="CP67" s="39">
        <f t="shared" si="78"/>
        <v>0</v>
      </c>
    </row>
    <row r="68" spans="12:94" ht="16" customHeight="1" x14ac:dyDescent="0.2">
      <c r="L68" s="63">
        <v>30380</v>
      </c>
      <c r="M68" s="38">
        <v>0</v>
      </c>
      <c r="N68" s="38">
        <v>3.8</v>
      </c>
      <c r="O68" s="39">
        <v>0</v>
      </c>
      <c r="P68" s="39">
        <v>0</v>
      </c>
      <c r="Q68" s="46">
        <f t="shared" si="8"/>
        <v>0.11557686147378363</v>
      </c>
      <c r="R68" s="81">
        <f t="shared" si="9"/>
        <v>0</v>
      </c>
      <c r="S68" s="82">
        <f t="shared" si="10"/>
        <v>0</v>
      </c>
      <c r="T68" s="39">
        <f t="shared" si="11"/>
        <v>0</v>
      </c>
      <c r="U68" s="83">
        <f t="shared" si="12"/>
        <v>0</v>
      </c>
      <c r="V68" s="84">
        <f t="shared" si="13"/>
        <v>3.04</v>
      </c>
      <c r="W68" s="52">
        <f t="shared" si="14"/>
        <v>105.18208167293341</v>
      </c>
      <c r="X68" s="52">
        <f t="shared" si="15"/>
        <v>151.20000000000005</v>
      </c>
      <c r="Y68" s="52">
        <f t="shared" si="16"/>
        <v>256.38208167293345</v>
      </c>
      <c r="Z68" s="53">
        <f t="shared" si="17"/>
        <v>0.82173501306979224</v>
      </c>
      <c r="AA68" s="53">
        <f t="shared" si="18"/>
        <v>0.90000000000000024</v>
      </c>
      <c r="AB68" s="53">
        <f t="shared" si="19"/>
        <v>0.86615568132747789</v>
      </c>
      <c r="AC68" s="39" t="str">
        <f t="shared" si="20"/>
        <v>No</v>
      </c>
      <c r="AD68" s="85">
        <f t="shared" si="21"/>
        <v>0</v>
      </c>
      <c r="AE68" s="46">
        <f t="shared" si="22"/>
        <v>1</v>
      </c>
      <c r="AF68" s="46">
        <f t="shared" si="23"/>
        <v>0</v>
      </c>
      <c r="AG68" s="39">
        <f t="shared" si="79"/>
        <v>46.982081672933411</v>
      </c>
      <c r="AH68" s="39">
        <f t="shared" si="80"/>
        <v>63.2</v>
      </c>
      <c r="AI68" s="39">
        <f t="shared" si="81"/>
        <v>61.199999999999989</v>
      </c>
      <c r="AJ68" s="39">
        <f t="shared" si="82"/>
        <v>82.800000000000011</v>
      </c>
      <c r="AK68" s="39">
        <f t="shared" si="83"/>
        <v>79.799999999999983</v>
      </c>
      <c r="AL68" s="39">
        <f t="shared" si="84"/>
        <v>70.800000000000011</v>
      </c>
      <c r="AM68" s="39">
        <f t="shared" si="85"/>
        <v>70.800000000000011</v>
      </c>
      <c r="AN68" s="39">
        <f t="shared" si="86"/>
        <v>70.800000000000011</v>
      </c>
      <c r="AO68" s="39">
        <f t="shared" si="25"/>
        <v>0</v>
      </c>
      <c r="AP68" s="39">
        <f t="shared" si="26"/>
        <v>0</v>
      </c>
      <c r="AQ68" s="39">
        <f t="shared" si="27"/>
        <v>0</v>
      </c>
      <c r="AR68" s="39">
        <f t="shared" si="28"/>
        <v>0</v>
      </c>
      <c r="AS68" s="39">
        <f t="shared" si="29"/>
        <v>0</v>
      </c>
      <c r="AT68" s="39">
        <f t="shared" si="30"/>
        <v>0</v>
      </c>
      <c r="AU68" s="39">
        <f t="shared" si="31"/>
        <v>0</v>
      </c>
      <c r="AV68" s="39">
        <f t="shared" si="32"/>
        <v>0</v>
      </c>
      <c r="AW68" s="39">
        <f t="shared" si="33"/>
        <v>0</v>
      </c>
      <c r="AX68" s="39">
        <f t="shared" si="34"/>
        <v>0</v>
      </c>
      <c r="AY68" s="39">
        <f t="shared" si="35"/>
        <v>0</v>
      </c>
      <c r="AZ68" s="39">
        <f t="shared" si="36"/>
        <v>0</v>
      </c>
      <c r="BA68" s="39">
        <f t="shared" si="37"/>
        <v>0</v>
      </c>
      <c r="BB68" s="39">
        <f t="shared" si="38"/>
        <v>0</v>
      </c>
      <c r="BC68" s="39">
        <f t="shared" si="39"/>
        <v>0</v>
      </c>
      <c r="BD68" s="39">
        <f t="shared" si="40"/>
        <v>0</v>
      </c>
      <c r="BE68" s="39">
        <f t="shared" si="41"/>
        <v>0</v>
      </c>
      <c r="BF68" s="39">
        <f t="shared" si="42"/>
        <v>0</v>
      </c>
      <c r="BG68" s="39">
        <f t="shared" si="43"/>
        <v>0</v>
      </c>
      <c r="BH68" s="84">
        <f t="shared" si="44"/>
        <v>0</v>
      </c>
      <c r="BI68" s="84">
        <f t="shared" si="45"/>
        <v>3.04</v>
      </c>
      <c r="BJ68" s="84">
        <f t="shared" si="46"/>
        <v>1.432686857353447</v>
      </c>
      <c r="BK68" s="39">
        <f t="shared" si="47"/>
        <v>45.549394815579966</v>
      </c>
      <c r="BL68" s="39">
        <f t="shared" si="48"/>
        <v>63.2</v>
      </c>
      <c r="BM68" s="39">
        <f t="shared" si="49"/>
        <v>61.199999999999989</v>
      </c>
      <c r="BN68" s="39">
        <f t="shared" si="50"/>
        <v>82.800000000000011</v>
      </c>
      <c r="BO68" s="39">
        <f t="shared" si="51"/>
        <v>79.799999999999983</v>
      </c>
      <c r="BP68" s="39">
        <f t="shared" si="52"/>
        <v>70.800000000000011</v>
      </c>
      <c r="BQ68" s="39">
        <f t="shared" si="53"/>
        <v>70.800000000000011</v>
      </c>
      <c r="BR68" s="39">
        <f t="shared" si="54"/>
        <v>70.800000000000011</v>
      </c>
      <c r="BS68" s="39">
        <f t="shared" si="55"/>
        <v>0</v>
      </c>
      <c r="BT68" s="39">
        <f t="shared" si="56"/>
        <v>0</v>
      </c>
      <c r="BU68" s="39">
        <f t="shared" si="57"/>
        <v>0</v>
      </c>
      <c r="BV68" s="39">
        <f t="shared" si="58"/>
        <v>0</v>
      </c>
      <c r="BW68" s="39">
        <f t="shared" si="59"/>
        <v>0</v>
      </c>
      <c r="BX68" s="39">
        <f t="shared" si="60"/>
        <v>0</v>
      </c>
      <c r="BY68" s="39">
        <f t="shared" si="61"/>
        <v>0</v>
      </c>
      <c r="BZ68" s="39">
        <f t="shared" si="62"/>
        <v>0</v>
      </c>
      <c r="CA68" s="39">
        <f t="shared" si="63"/>
        <v>45.549394815579966</v>
      </c>
      <c r="CB68" s="39">
        <f t="shared" si="64"/>
        <v>63.2</v>
      </c>
      <c r="CC68" s="39">
        <f t="shared" si="65"/>
        <v>61.199999999999989</v>
      </c>
      <c r="CD68" s="39">
        <f t="shared" si="66"/>
        <v>82.800000000000011</v>
      </c>
      <c r="CE68" s="39">
        <f t="shared" si="67"/>
        <v>79.799999999999983</v>
      </c>
      <c r="CF68" s="39">
        <f t="shared" si="68"/>
        <v>70.800000000000011</v>
      </c>
      <c r="CG68" s="39">
        <f t="shared" si="69"/>
        <v>70.800000000000011</v>
      </c>
      <c r="CH68" s="39">
        <f t="shared" si="70"/>
        <v>70.800000000000011</v>
      </c>
      <c r="CI68" s="39">
        <f t="shared" si="71"/>
        <v>0</v>
      </c>
      <c r="CJ68" s="39">
        <f t="shared" si="72"/>
        <v>0</v>
      </c>
      <c r="CK68" s="39">
        <f t="shared" si="73"/>
        <v>0</v>
      </c>
      <c r="CL68" s="39">
        <f t="shared" si="74"/>
        <v>0</v>
      </c>
      <c r="CM68" s="39">
        <f t="shared" si="75"/>
        <v>0</v>
      </c>
      <c r="CN68" s="39">
        <f t="shared" si="76"/>
        <v>0</v>
      </c>
      <c r="CO68" s="39">
        <f t="shared" si="77"/>
        <v>0</v>
      </c>
      <c r="CP68" s="39">
        <f t="shared" si="78"/>
        <v>0</v>
      </c>
    </row>
    <row r="69" spans="12:94" ht="16" customHeight="1" x14ac:dyDescent="0.2">
      <c r="L69" s="63">
        <v>30381</v>
      </c>
      <c r="M69" s="38">
        <v>0</v>
      </c>
      <c r="N69" s="38">
        <v>4.9000000000000004</v>
      </c>
      <c r="O69" s="39">
        <v>0</v>
      </c>
      <c r="P69" s="39">
        <v>0</v>
      </c>
      <c r="Q69" s="46">
        <f t="shared" si="8"/>
        <v>0.11848095645490546</v>
      </c>
      <c r="R69" s="81">
        <f t="shared" si="9"/>
        <v>0</v>
      </c>
      <c r="S69" s="82">
        <f t="shared" si="10"/>
        <v>0</v>
      </c>
      <c r="T69" s="39">
        <f t="shared" si="11"/>
        <v>0</v>
      </c>
      <c r="U69" s="83">
        <f t="shared" si="12"/>
        <v>0</v>
      </c>
      <c r="V69" s="84">
        <f t="shared" si="13"/>
        <v>3.9200000000000004</v>
      </c>
      <c r="W69" s="52">
        <f t="shared" si="14"/>
        <v>103.74939481557996</v>
      </c>
      <c r="X69" s="52">
        <f t="shared" si="15"/>
        <v>151.20000000000005</v>
      </c>
      <c r="Y69" s="52">
        <f t="shared" si="16"/>
        <v>254.94939481558001</v>
      </c>
      <c r="Z69" s="53">
        <f t="shared" si="17"/>
        <v>0.81054214699671845</v>
      </c>
      <c r="AA69" s="53">
        <f t="shared" si="18"/>
        <v>0.90000000000000024</v>
      </c>
      <c r="AB69" s="53">
        <f t="shared" si="19"/>
        <v>0.8613155230256081</v>
      </c>
      <c r="AC69" s="39" t="str">
        <f t="shared" si="20"/>
        <v>No</v>
      </c>
      <c r="AD69" s="85">
        <f t="shared" si="21"/>
        <v>0</v>
      </c>
      <c r="AE69" s="46">
        <f t="shared" si="22"/>
        <v>1</v>
      </c>
      <c r="AF69" s="46">
        <f t="shared" si="23"/>
        <v>0</v>
      </c>
      <c r="AG69" s="39">
        <f t="shared" si="79"/>
        <v>45.549394815579966</v>
      </c>
      <c r="AH69" s="39">
        <f t="shared" si="80"/>
        <v>63.2</v>
      </c>
      <c r="AI69" s="39">
        <f t="shared" si="81"/>
        <v>61.199999999999989</v>
      </c>
      <c r="AJ69" s="39">
        <f t="shared" si="82"/>
        <v>82.800000000000011</v>
      </c>
      <c r="AK69" s="39">
        <f t="shared" si="83"/>
        <v>79.799999999999983</v>
      </c>
      <c r="AL69" s="39">
        <f t="shared" si="84"/>
        <v>70.800000000000011</v>
      </c>
      <c r="AM69" s="39">
        <f t="shared" si="85"/>
        <v>70.800000000000011</v>
      </c>
      <c r="AN69" s="39">
        <f t="shared" si="86"/>
        <v>70.800000000000011</v>
      </c>
      <c r="AO69" s="39">
        <f t="shared" si="25"/>
        <v>0</v>
      </c>
      <c r="AP69" s="39">
        <f t="shared" si="26"/>
        <v>0</v>
      </c>
      <c r="AQ69" s="39">
        <f t="shared" si="27"/>
        <v>0</v>
      </c>
      <c r="AR69" s="39">
        <f t="shared" si="28"/>
        <v>0</v>
      </c>
      <c r="AS69" s="39">
        <f t="shared" si="29"/>
        <v>0</v>
      </c>
      <c r="AT69" s="39">
        <f t="shared" si="30"/>
        <v>0</v>
      </c>
      <c r="AU69" s="39">
        <f t="shared" si="31"/>
        <v>0</v>
      </c>
      <c r="AV69" s="39">
        <f t="shared" si="32"/>
        <v>0</v>
      </c>
      <c r="AW69" s="39">
        <f t="shared" si="33"/>
        <v>0</v>
      </c>
      <c r="AX69" s="39">
        <f t="shared" si="34"/>
        <v>0</v>
      </c>
      <c r="AY69" s="39">
        <f t="shared" si="35"/>
        <v>0</v>
      </c>
      <c r="AZ69" s="39">
        <f t="shared" si="36"/>
        <v>0</v>
      </c>
      <c r="BA69" s="39">
        <f t="shared" si="37"/>
        <v>0</v>
      </c>
      <c r="BB69" s="39">
        <f t="shared" si="38"/>
        <v>0</v>
      </c>
      <c r="BC69" s="39">
        <f t="shared" si="39"/>
        <v>0</v>
      </c>
      <c r="BD69" s="39">
        <f t="shared" si="40"/>
        <v>0</v>
      </c>
      <c r="BE69" s="39">
        <f t="shared" si="41"/>
        <v>0</v>
      </c>
      <c r="BF69" s="39">
        <f t="shared" si="42"/>
        <v>0</v>
      </c>
      <c r="BG69" s="39">
        <f t="shared" si="43"/>
        <v>0</v>
      </c>
      <c r="BH69" s="84">
        <f t="shared" si="44"/>
        <v>0</v>
      </c>
      <c r="BI69" s="84">
        <f t="shared" si="45"/>
        <v>3.9200000000000004</v>
      </c>
      <c r="BJ69" s="84">
        <f t="shared" si="46"/>
        <v>1.5379679791303889</v>
      </c>
      <c r="BK69" s="39">
        <f t="shared" si="47"/>
        <v>44.01142683644958</v>
      </c>
      <c r="BL69" s="39">
        <f t="shared" si="48"/>
        <v>63.2</v>
      </c>
      <c r="BM69" s="39">
        <f t="shared" si="49"/>
        <v>61.199999999999989</v>
      </c>
      <c r="BN69" s="39">
        <f t="shared" si="50"/>
        <v>82.800000000000011</v>
      </c>
      <c r="BO69" s="39">
        <f t="shared" si="51"/>
        <v>79.799999999999983</v>
      </c>
      <c r="BP69" s="39">
        <f t="shared" si="52"/>
        <v>70.800000000000011</v>
      </c>
      <c r="BQ69" s="39">
        <f t="shared" si="53"/>
        <v>70.800000000000011</v>
      </c>
      <c r="BR69" s="39">
        <f t="shared" si="54"/>
        <v>70.800000000000011</v>
      </c>
      <c r="BS69" s="39">
        <f t="shared" si="55"/>
        <v>0</v>
      </c>
      <c r="BT69" s="39">
        <f t="shared" si="56"/>
        <v>0</v>
      </c>
      <c r="BU69" s="39">
        <f t="shared" si="57"/>
        <v>0</v>
      </c>
      <c r="BV69" s="39">
        <f t="shared" si="58"/>
        <v>0</v>
      </c>
      <c r="BW69" s="39">
        <f t="shared" si="59"/>
        <v>0</v>
      </c>
      <c r="BX69" s="39">
        <f t="shared" si="60"/>
        <v>0</v>
      </c>
      <c r="BY69" s="39">
        <f t="shared" si="61"/>
        <v>0</v>
      </c>
      <c r="BZ69" s="39">
        <f t="shared" si="62"/>
        <v>0</v>
      </c>
      <c r="CA69" s="39">
        <f t="shared" si="63"/>
        <v>44.01142683644958</v>
      </c>
      <c r="CB69" s="39">
        <f t="shared" si="64"/>
        <v>63.2</v>
      </c>
      <c r="CC69" s="39">
        <f t="shared" si="65"/>
        <v>61.199999999999989</v>
      </c>
      <c r="CD69" s="39">
        <f t="shared" si="66"/>
        <v>82.800000000000011</v>
      </c>
      <c r="CE69" s="39">
        <f t="shared" si="67"/>
        <v>79.799999999999983</v>
      </c>
      <c r="CF69" s="39">
        <f t="shared" si="68"/>
        <v>70.800000000000011</v>
      </c>
      <c r="CG69" s="39">
        <f t="shared" si="69"/>
        <v>70.800000000000011</v>
      </c>
      <c r="CH69" s="39">
        <f t="shared" si="70"/>
        <v>70.800000000000011</v>
      </c>
      <c r="CI69" s="39">
        <f t="shared" si="71"/>
        <v>0</v>
      </c>
      <c r="CJ69" s="39">
        <f t="shared" si="72"/>
        <v>0</v>
      </c>
      <c r="CK69" s="39">
        <f t="shared" si="73"/>
        <v>0</v>
      </c>
      <c r="CL69" s="39">
        <f t="shared" si="74"/>
        <v>0</v>
      </c>
      <c r="CM69" s="39">
        <f t="shared" si="75"/>
        <v>0</v>
      </c>
      <c r="CN69" s="39">
        <f t="shared" si="76"/>
        <v>0</v>
      </c>
      <c r="CO69" s="39">
        <f t="shared" si="77"/>
        <v>0</v>
      </c>
      <c r="CP69" s="39">
        <f t="shared" si="78"/>
        <v>0</v>
      </c>
    </row>
    <row r="70" spans="12:94" ht="16" customHeight="1" x14ac:dyDescent="0.2">
      <c r="L70" s="63">
        <v>30382</v>
      </c>
      <c r="M70" s="38">
        <v>0</v>
      </c>
      <c r="N70" s="38">
        <v>5.3</v>
      </c>
      <c r="O70" s="39">
        <v>0</v>
      </c>
      <c r="P70" s="39">
        <v>0</v>
      </c>
      <c r="Q70" s="46">
        <f t="shared" si="8"/>
        <v>0.1215984591153049</v>
      </c>
      <c r="R70" s="81">
        <f t="shared" si="9"/>
        <v>0</v>
      </c>
      <c r="S70" s="82">
        <f t="shared" si="10"/>
        <v>0</v>
      </c>
      <c r="T70" s="39">
        <f t="shared" si="11"/>
        <v>0</v>
      </c>
      <c r="U70" s="83">
        <f t="shared" si="12"/>
        <v>0</v>
      </c>
      <c r="V70" s="84">
        <f t="shared" si="13"/>
        <v>4.24</v>
      </c>
      <c r="W70" s="52">
        <f t="shared" si="14"/>
        <v>102.21142683644959</v>
      </c>
      <c r="X70" s="52">
        <f t="shared" si="15"/>
        <v>151.20000000000005</v>
      </c>
      <c r="Y70" s="52">
        <f t="shared" si="16"/>
        <v>253.41142683644964</v>
      </c>
      <c r="Z70" s="53">
        <f t="shared" si="17"/>
        <v>0.79852677215976242</v>
      </c>
      <c r="AA70" s="53">
        <f t="shared" si="18"/>
        <v>0.90000000000000024</v>
      </c>
      <c r="AB70" s="53">
        <f t="shared" si="19"/>
        <v>0.85611968525827575</v>
      </c>
      <c r="AC70" s="39" t="str">
        <f t="shared" si="20"/>
        <v>No</v>
      </c>
      <c r="AD70" s="85">
        <f t="shared" si="21"/>
        <v>0</v>
      </c>
      <c r="AE70" s="46">
        <f t="shared" si="22"/>
        <v>1</v>
      </c>
      <c r="AF70" s="46">
        <f t="shared" si="23"/>
        <v>0</v>
      </c>
      <c r="AG70" s="39">
        <f t="shared" si="79"/>
        <v>44.01142683644958</v>
      </c>
      <c r="AH70" s="39">
        <f t="shared" si="80"/>
        <v>63.2</v>
      </c>
      <c r="AI70" s="39">
        <f t="shared" si="81"/>
        <v>61.199999999999989</v>
      </c>
      <c r="AJ70" s="39">
        <f t="shared" si="82"/>
        <v>82.800000000000011</v>
      </c>
      <c r="AK70" s="39">
        <f t="shared" si="83"/>
        <v>79.799999999999983</v>
      </c>
      <c r="AL70" s="39">
        <f t="shared" si="84"/>
        <v>70.800000000000011</v>
      </c>
      <c r="AM70" s="39">
        <f t="shared" si="85"/>
        <v>70.800000000000011</v>
      </c>
      <c r="AN70" s="39">
        <f t="shared" si="86"/>
        <v>70.800000000000011</v>
      </c>
      <c r="AO70" s="39">
        <f t="shared" si="25"/>
        <v>0</v>
      </c>
      <c r="AP70" s="39">
        <f t="shared" si="26"/>
        <v>0</v>
      </c>
      <c r="AQ70" s="39">
        <f t="shared" si="27"/>
        <v>0</v>
      </c>
      <c r="AR70" s="39">
        <f t="shared" si="28"/>
        <v>0</v>
      </c>
      <c r="AS70" s="39">
        <f t="shared" si="29"/>
        <v>0</v>
      </c>
      <c r="AT70" s="39">
        <f t="shared" si="30"/>
        <v>0</v>
      </c>
      <c r="AU70" s="39">
        <f t="shared" si="31"/>
        <v>0</v>
      </c>
      <c r="AV70" s="39">
        <f t="shared" si="32"/>
        <v>0</v>
      </c>
      <c r="AW70" s="39">
        <f t="shared" si="33"/>
        <v>0</v>
      </c>
      <c r="AX70" s="39">
        <f t="shared" si="34"/>
        <v>0</v>
      </c>
      <c r="AY70" s="39">
        <f t="shared" si="35"/>
        <v>0</v>
      </c>
      <c r="AZ70" s="39">
        <f t="shared" si="36"/>
        <v>0</v>
      </c>
      <c r="BA70" s="39">
        <f t="shared" si="37"/>
        <v>0</v>
      </c>
      <c r="BB70" s="39">
        <f t="shared" si="38"/>
        <v>0</v>
      </c>
      <c r="BC70" s="39">
        <f t="shared" si="39"/>
        <v>0</v>
      </c>
      <c r="BD70" s="39">
        <f t="shared" si="40"/>
        <v>0</v>
      </c>
      <c r="BE70" s="39">
        <f t="shared" si="41"/>
        <v>0</v>
      </c>
      <c r="BF70" s="39">
        <f t="shared" si="42"/>
        <v>0</v>
      </c>
      <c r="BG70" s="39">
        <f t="shared" si="43"/>
        <v>0</v>
      </c>
      <c r="BH70" s="84">
        <f t="shared" si="44"/>
        <v>0</v>
      </c>
      <c r="BI70" s="84">
        <f t="shared" si="45"/>
        <v>4.24</v>
      </c>
      <c r="BJ70" s="84">
        <f t="shared" si="46"/>
        <v>1.352985034623386</v>
      </c>
      <c r="BK70" s="39">
        <f t="shared" si="47"/>
        <v>42.658441801826193</v>
      </c>
      <c r="BL70" s="39">
        <f t="shared" si="48"/>
        <v>63.2</v>
      </c>
      <c r="BM70" s="39">
        <f t="shared" si="49"/>
        <v>61.199999999999989</v>
      </c>
      <c r="BN70" s="39">
        <f t="shared" si="50"/>
        <v>82.800000000000011</v>
      </c>
      <c r="BO70" s="39">
        <f t="shared" si="51"/>
        <v>79.799999999999983</v>
      </c>
      <c r="BP70" s="39">
        <f t="shared" si="52"/>
        <v>70.800000000000011</v>
      </c>
      <c r="BQ70" s="39">
        <f t="shared" si="53"/>
        <v>70.800000000000011</v>
      </c>
      <c r="BR70" s="39">
        <f t="shared" si="54"/>
        <v>70.800000000000011</v>
      </c>
      <c r="BS70" s="39">
        <f t="shared" si="55"/>
        <v>0</v>
      </c>
      <c r="BT70" s="39">
        <f t="shared" si="56"/>
        <v>0</v>
      </c>
      <c r="BU70" s="39">
        <f t="shared" si="57"/>
        <v>0</v>
      </c>
      <c r="BV70" s="39">
        <f t="shared" si="58"/>
        <v>0</v>
      </c>
      <c r="BW70" s="39">
        <f t="shared" si="59"/>
        <v>0</v>
      </c>
      <c r="BX70" s="39">
        <f t="shared" si="60"/>
        <v>0</v>
      </c>
      <c r="BY70" s="39">
        <f t="shared" si="61"/>
        <v>0</v>
      </c>
      <c r="BZ70" s="39">
        <f t="shared" si="62"/>
        <v>0</v>
      </c>
      <c r="CA70" s="39">
        <f t="shared" si="63"/>
        <v>42.658441801826193</v>
      </c>
      <c r="CB70" s="39">
        <f t="shared" si="64"/>
        <v>63.2</v>
      </c>
      <c r="CC70" s="39">
        <f t="shared" si="65"/>
        <v>61.199999999999989</v>
      </c>
      <c r="CD70" s="39">
        <f t="shared" si="66"/>
        <v>82.800000000000011</v>
      </c>
      <c r="CE70" s="39">
        <f t="shared" si="67"/>
        <v>79.799999999999983</v>
      </c>
      <c r="CF70" s="39">
        <f t="shared" si="68"/>
        <v>70.800000000000011</v>
      </c>
      <c r="CG70" s="39">
        <f t="shared" si="69"/>
        <v>70.800000000000011</v>
      </c>
      <c r="CH70" s="39">
        <f t="shared" si="70"/>
        <v>70.800000000000011</v>
      </c>
      <c r="CI70" s="39">
        <f t="shared" si="71"/>
        <v>0</v>
      </c>
      <c r="CJ70" s="39">
        <f t="shared" si="72"/>
        <v>0</v>
      </c>
      <c r="CK70" s="39">
        <f t="shared" si="73"/>
        <v>0</v>
      </c>
      <c r="CL70" s="39">
        <f t="shared" si="74"/>
        <v>0</v>
      </c>
      <c r="CM70" s="39">
        <f t="shared" si="75"/>
        <v>0</v>
      </c>
      <c r="CN70" s="39">
        <f t="shared" si="76"/>
        <v>0</v>
      </c>
      <c r="CO70" s="39">
        <f t="shared" si="77"/>
        <v>0</v>
      </c>
      <c r="CP70" s="39">
        <f t="shared" si="78"/>
        <v>0</v>
      </c>
    </row>
    <row r="71" spans="12:94" ht="16" customHeight="1" x14ac:dyDescent="0.2">
      <c r="L71" s="63">
        <v>30383</v>
      </c>
      <c r="M71" s="38">
        <v>0</v>
      </c>
      <c r="N71" s="38">
        <v>5.6</v>
      </c>
      <c r="O71" s="39">
        <v>0</v>
      </c>
      <c r="P71" s="39">
        <v>0</v>
      </c>
      <c r="Q71" s="46">
        <f t="shared" si="8"/>
        <v>0.1243409963476496</v>
      </c>
      <c r="R71" s="81">
        <f t="shared" si="9"/>
        <v>0</v>
      </c>
      <c r="S71" s="82">
        <f t="shared" si="10"/>
        <v>0</v>
      </c>
      <c r="T71" s="39">
        <f t="shared" si="11"/>
        <v>0</v>
      </c>
      <c r="U71" s="83">
        <f t="shared" si="12"/>
        <v>0</v>
      </c>
      <c r="V71" s="84">
        <f t="shared" si="13"/>
        <v>4.4799999999999995</v>
      </c>
      <c r="W71" s="52">
        <f t="shared" si="14"/>
        <v>100.85844180182619</v>
      </c>
      <c r="X71" s="52">
        <f t="shared" si="15"/>
        <v>151.20000000000005</v>
      </c>
      <c r="Y71" s="52">
        <f t="shared" si="16"/>
        <v>252.05844180182623</v>
      </c>
      <c r="Z71" s="53">
        <f t="shared" si="17"/>
        <v>0.7879565765767671</v>
      </c>
      <c r="AA71" s="53">
        <f t="shared" si="18"/>
        <v>0.90000000000000024</v>
      </c>
      <c r="AB71" s="53">
        <f t="shared" si="19"/>
        <v>0.85154878987103455</v>
      </c>
      <c r="AC71" s="39" t="str">
        <f t="shared" si="20"/>
        <v>No</v>
      </c>
      <c r="AD71" s="85">
        <f t="shared" si="21"/>
        <v>0</v>
      </c>
      <c r="AE71" s="46">
        <f t="shared" si="22"/>
        <v>1</v>
      </c>
      <c r="AF71" s="46">
        <f t="shared" si="23"/>
        <v>0</v>
      </c>
      <c r="AG71" s="39">
        <f t="shared" si="79"/>
        <v>42.658441801826193</v>
      </c>
      <c r="AH71" s="39">
        <f t="shared" si="80"/>
        <v>63.2</v>
      </c>
      <c r="AI71" s="39">
        <f t="shared" si="81"/>
        <v>61.199999999999989</v>
      </c>
      <c r="AJ71" s="39">
        <f t="shared" si="82"/>
        <v>82.800000000000011</v>
      </c>
      <c r="AK71" s="39">
        <f t="shared" si="83"/>
        <v>79.799999999999983</v>
      </c>
      <c r="AL71" s="39">
        <f t="shared" si="84"/>
        <v>70.800000000000011</v>
      </c>
      <c r="AM71" s="39">
        <f t="shared" si="85"/>
        <v>70.800000000000011</v>
      </c>
      <c r="AN71" s="39">
        <f t="shared" si="86"/>
        <v>70.800000000000011</v>
      </c>
      <c r="AO71" s="39">
        <f t="shared" si="25"/>
        <v>0</v>
      </c>
      <c r="AP71" s="39">
        <f t="shared" si="26"/>
        <v>0</v>
      </c>
      <c r="AQ71" s="39">
        <f t="shared" si="27"/>
        <v>0</v>
      </c>
      <c r="AR71" s="39">
        <f t="shared" si="28"/>
        <v>0</v>
      </c>
      <c r="AS71" s="39">
        <f t="shared" si="29"/>
        <v>0</v>
      </c>
      <c r="AT71" s="39">
        <f t="shared" si="30"/>
        <v>0</v>
      </c>
      <c r="AU71" s="39">
        <f t="shared" si="31"/>
        <v>0</v>
      </c>
      <c r="AV71" s="39">
        <f t="shared" si="32"/>
        <v>0</v>
      </c>
      <c r="AW71" s="39">
        <f t="shared" si="33"/>
        <v>0</v>
      </c>
      <c r="AX71" s="39">
        <f t="shared" si="34"/>
        <v>0</v>
      </c>
      <c r="AY71" s="39">
        <f t="shared" si="35"/>
        <v>0</v>
      </c>
      <c r="AZ71" s="39">
        <f t="shared" si="36"/>
        <v>0</v>
      </c>
      <c r="BA71" s="39">
        <f t="shared" si="37"/>
        <v>0</v>
      </c>
      <c r="BB71" s="39">
        <f t="shared" si="38"/>
        <v>0</v>
      </c>
      <c r="BC71" s="39">
        <f t="shared" si="39"/>
        <v>0</v>
      </c>
      <c r="BD71" s="39">
        <f t="shared" si="40"/>
        <v>0</v>
      </c>
      <c r="BE71" s="39">
        <f t="shared" si="41"/>
        <v>0</v>
      </c>
      <c r="BF71" s="39">
        <f t="shared" si="42"/>
        <v>0</v>
      </c>
      <c r="BG71" s="39">
        <f t="shared" si="43"/>
        <v>0</v>
      </c>
      <c r="BH71" s="84">
        <f t="shared" si="44"/>
        <v>0</v>
      </c>
      <c r="BI71" s="84">
        <f t="shared" si="45"/>
        <v>4.4799999999999995</v>
      </c>
      <c r="BJ71" s="84">
        <f t="shared" si="46"/>
        <v>1.180972088535909</v>
      </c>
      <c r="BK71" s="39">
        <f t="shared" si="47"/>
        <v>41.477469713290283</v>
      </c>
      <c r="BL71" s="39">
        <f t="shared" si="48"/>
        <v>63.2</v>
      </c>
      <c r="BM71" s="39">
        <f t="shared" si="49"/>
        <v>61.199999999999989</v>
      </c>
      <c r="BN71" s="39">
        <f t="shared" si="50"/>
        <v>82.800000000000011</v>
      </c>
      <c r="BO71" s="39">
        <f t="shared" si="51"/>
        <v>79.799999999999983</v>
      </c>
      <c r="BP71" s="39">
        <f t="shared" si="52"/>
        <v>70.800000000000011</v>
      </c>
      <c r="BQ71" s="39">
        <f t="shared" si="53"/>
        <v>70.800000000000011</v>
      </c>
      <c r="BR71" s="39">
        <f t="shared" si="54"/>
        <v>70.800000000000011</v>
      </c>
      <c r="BS71" s="39">
        <f t="shared" si="55"/>
        <v>0</v>
      </c>
      <c r="BT71" s="39">
        <f t="shared" si="56"/>
        <v>0</v>
      </c>
      <c r="BU71" s="39">
        <f t="shared" si="57"/>
        <v>0</v>
      </c>
      <c r="BV71" s="39">
        <f t="shared" si="58"/>
        <v>0</v>
      </c>
      <c r="BW71" s="39">
        <f t="shared" si="59"/>
        <v>0</v>
      </c>
      <c r="BX71" s="39">
        <f t="shared" si="60"/>
        <v>0</v>
      </c>
      <c r="BY71" s="39">
        <f t="shared" si="61"/>
        <v>0</v>
      </c>
      <c r="BZ71" s="39">
        <f t="shared" si="62"/>
        <v>0</v>
      </c>
      <c r="CA71" s="39">
        <f t="shared" si="63"/>
        <v>41.477469713290283</v>
      </c>
      <c r="CB71" s="39">
        <f t="shared" si="64"/>
        <v>63.2</v>
      </c>
      <c r="CC71" s="39">
        <f t="shared" si="65"/>
        <v>61.199999999999989</v>
      </c>
      <c r="CD71" s="39">
        <f t="shared" si="66"/>
        <v>82.800000000000011</v>
      </c>
      <c r="CE71" s="39">
        <f t="shared" si="67"/>
        <v>79.799999999999983</v>
      </c>
      <c r="CF71" s="39">
        <f t="shared" si="68"/>
        <v>70.800000000000011</v>
      </c>
      <c r="CG71" s="39">
        <f t="shared" si="69"/>
        <v>70.800000000000011</v>
      </c>
      <c r="CH71" s="39">
        <f t="shared" si="70"/>
        <v>70.800000000000011</v>
      </c>
      <c r="CI71" s="39">
        <f t="shared" si="71"/>
        <v>0</v>
      </c>
      <c r="CJ71" s="39">
        <f t="shared" si="72"/>
        <v>0</v>
      </c>
      <c r="CK71" s="39">
        <f t="shared" si="73"/>
        <v>0</v>
      </c>
      <c r="CL71" s="39">
        <f t="shared" si="74"/>
        <v>0</v>
      </c>
      <c r="CM71" s="39">
        <f t="shared" si="75"/>
        <v>0</v>
      </c>
      <c r="CN71" s="39">
        <f t="shared" si="76"/>
        <v>0</v>
      </c>
      <c r="CO71" s="39">
        <f t="shared" si="77"/>
        <v>0</v>
      </c>
      <c r="CP71" s="39">
        <f t="shared" si="78"/>
        <v>0</v>
      </c>
    </row>
    <row r="72" spans="12:94" ht="16" customHeight="1" x14ac:dyDescent="0.2">
      <c r="L72" s="63">
        <v>30384</v>
      </c>
      <c r="M72" s="38">
        <v>3.9</v>
      </c>
      <c r="N72" s="38">
        <v>4.2</v>
      </c>
      <c r="O72" s="39">
        <v>0</v>
      </c>
      <c r="P72" s="39">
        <v>0</v>
      </c>
      <c r="Q72" s="46">
        <f t="shared" si="8"/>
        <v>0.12673485868927645</v>
      </c>
      <c r="R72" s="81">
        <f t="shared" si="9"/>
        <v>0</v>
      </c>
      <c r="S72" s="82">
        <f t="shared" si="10"/>
        <v>3.9</v>
      </c>
      <c r="T72" s="39">
        <f t="shared" si="11"/>
        <v>0</v>
      </c>
      <c r="U72" s="83">
        <f t="shared" si="12"/>
        <v>0</v>
      </c>
      <c r="V72" s="84">
        <f t="shared" si="13"/>
        <v>3.3600000000000003</v>
      </c>
      <c r="W72" s="52">
        <f t="shared" si="14"/>
        <v>99.677469713290293</v>
      </c>
      <c r="X72" s="52">
        <f t="shared" si="15"/>
        <v>151.20000000000005</v>
      </c>
      <c r="Y72" s="52">
        <f t="shared" si="16"/>
        <v>250.87746971329034</v>
      </c>
      <c r="Z72" s="53">
        <f t="shared" si="17"/>
        <v>0.77873023213508041</v>
      </c>
      <c r="AA72" s="53">
        <f t="shared" si="18"/>
        <v>0.90000000000000024</v>
      </c>
      <c r="AB72" s="53">
        <f t="shared" si="19"/>
        <v>0.84755901930165656</v>
      </c>
      <c r="AC72" s="39" t="str">
        <f t="shared" si="20"/>
        <v>No</v>
      </c>
      <c r="AD72" s="85">
        <f t="shared" si="21"/>
        <v>0</v>
      </c>
      <c r="AE72" s="46">
        <f t="shared" si="22"/>
        <v>1</v>
      </c>
      <c r="AF72" s="46">
        <f t="shared" si="23"/>
        <v>0</v>
      </c>
      <c r="AG72" s="39">
        <f t="shared" si="79"/>
        <v>41.477469713290283</v>
      </c>
      <c r="AH72" s="39">
        <f t="shared" si="80"/>
        <v>63.2</v>
      </c>
      <c r="AI72" s="39">
        <f t="shared" si="81"/>
        <v>61.199999999999989</v>
      </c>
      <c r="AJ72" s="39">
        <f t="shared" si="82"/>
        <v>82.800000000000011</v>
      </c>
      <c r="AK72" s="39">
        <f t="shared" si="83"/>
        <v>79.799999999999983</v>
      </c>
      <c r="AL72" s="39">
        <f t="shared" si="84"/>
        <v>70.800000000000011</v>
      </c>
      <c r="AM72" s="39">
        <f t="shared" si="85"/>
        <v>70.800000000000011</v>
      </c>
      <c r="AN72" s="39">
        <f t="shared" si="86"/>
        <v>70.800000000000011</v>
      </c>
      <c r="AO72" s="39">
        <f t="shared" si="25"/>
        <v>0</v>
      </c>
      <c r="AP72" s="39">
        <f t="shared" si="26"/>
        <v>0</v>
      </c>
      <c r="AQ72" s="39">
        <f t="shared" si="27"/>
        <v>0</v>
      </c>
      <c r="AR72" s="39">
        <f t="shared" si="28"/>
        <v>0</v>
      </c>
      <c r="AS72" s="39">
        <f t="shared" si="29"/>
        <v>0</v>
      </c>
      <c r="AT72" s="39">
        <f t="shared" si="30"/>
        <v>0</v>
      </c>
      <c r="AU72" s="39">
        <f t="shared" si="31"/>
        <v>0</v>
      </c>
      <c r="AV72" s="39">
        <f t="shared" si="32"/>
        <v>0</v>
      </c>
      <c r="AW72" s="39">
        <f t="shared" si="33"/>
        <v>0</v>
      </c>
      <c r="AX72" s="39">
        <f t="shared" si="34"/>
        <v>0</v>
      </c>
      <c r="AY72" s="39">
        <f t="shared" si="35"/>
        <v>0</v>
      </c>
      <c r="AZ72" s="39">
        <f t="shared" si="36"/>
        <v>0</v>
      </c>
      <c r="BA72" s="39">
        <f t="shared" si="37"/>
        <v>0</v>
      </c>
      <c r="BB72" s="39">
        <f t="shared" si="38"/>
        <v>0</v>
      </c>
      <c r="BC72" s="39">
        <f t="shared" si="39"/>
        <v>0</v>
      </c>
      <c r="BD72" s="39">
        <f t="shared" si="40"/>
        <v>0</v>
      </c>
      <c r="BE72" s="39">
        <f t="shared" si="41"/>
        <v>0</v>
      </c>
      <c r="BF72" s="39">
        <f t="shared" si="42"/>
        <v>0</v>
      </c>
      <c r="BG72" s="39">
        <f t="shared" si="43"/>
        <v>0</v>
      </c>
      <c r="BH72" s="84">
        <f t="shared" si="44"/>
        <v>3.3600000000000003</v>
      </c>
      <c r="BI72" s="84">
        <f t="shared" si="45"/>
        <v>0</v>
      </c>
      <c r="BJ72" s="84">
        <f t="shared" si="46"/>
        <v>3.3600000000000003</v>
      </c>
      <c r="BK72" s="39">
        <f t="shared" si="47"/>
        <v>38.117469713290284</v>
      </c>
      <c r="BL72" s="39">
        <f t="shared" si="48"/>
        <v>63.2</v>
      </c>
      <c r="BM72" s="39">
        <f t="shared" si="49"/>
        <v>61.199999999999989</v>
      </c>
      <c r="BN72" s="39">
        <f t="shared" si="50"/>
        <v>82.800000000000011</v>
      </c>
      <c r="BO72" s="39">
        <f t="shared" si="51"/>
        <v>79.799999999999983</v>
      </c>
      <c r="BP72" s="39">
        <f t="shared" si="52"/>
        <v>70.800000000000011</v>
      </c>
      <c r="BQ72" s="39">
        <f t="shared" si="53"/>
        <v>70.800000000000011</v>
      </c>
      <c r="BR72" s="39">
        <f t="shared" si="54"/>
        <v>70.800000000000011</v>
      </c>
      <c r="BS72" s="39">
        <f t="shared" si="55"/>
        <v>0</v>
      </c>
      <c r="BT72" s="39">
        <f t="shared" si="56"/>
        <v>0</v>
      </c>
      <c r="BU72" s="39">
        <f t="shared" si="57"/>
        <v>0</v>
      </c>
      <c r="BV72" s="39">
        <f t="shared" si="58"/>
        <v>0</v>
      </c>
      <c r="BW72" s="39">
        <f t="shared" si="59"/>
        <v>0</v>
      </c>
      <c r="BX72" s="39">
        <f t="shared" si="60"/>
        <v>0</v>
      </c>
      <c r="BY72" s="39">
        <f t="shared" si="61"/>
        <v>0</v>
      </c>
      <c r="BZ72" s="39">
        <f t="shared" si="62"/>
        <v>0</v>
      </c>
      <c r="CA72" s="39">
        <f t="shared" si="63"/>
        <v>38.657469713290283</v>
      </c>
      <c r="CB72" s="39">
        <f t="shared" si="64"/>
        <v>63.2</v>
      </c>
      <c r="CC72" s="39">
        <f t="shared" si="65"/>
        <v>61.199999999999989</v>
      </c>
      <c r="CD72" s="39">
        <f t="shared" si="66"/>
        <v>82.800000000000011</v>
      </c>
      <c r="CE72" s="39">
        <f t="shared" si="67"/>
        <v>79.799999999999983</v>
      </c>
      <c r="CF72" s="39">
        <f t="shared" si="68"/>
        <v>70.800000000000011</v>
      </c>
      <c r="CG72" s="39">
        <f t="shared" si="69"/>
        <v>70.800000000000011</v>
      </c>
      <c r="CH72" s="39">
        <f t="shared" si="70"/>
        <v>70.800000000000011</v>
      </c>
      <c r="CI72" s="39">
        <f t="shared" si="71"/>
        <v>0</v>
      </c>
      <c r="CJ72" s="39">
        <f t="shared" si="72"/>
        <v>0</v>
      </c>
      <c r="CK72" s="39">
        <f t="shared" si="73"/>
        <v>0</v>
      </c>
      <c r="CL72" s="39">
        <f t="shared" si="74"/>
        <v>0</v>
      </c>
      <c r="CM72" s="39">
        <f t="shared" si="75"/>
        <v>0</v>
      </c>
      <c r="CN72" s="39">
        <f t="shared" si="76"/>
        <v>0</v>
      </c>
      <c r="CO72" s="39">
        <f t="shared" si="77"/>
        <v>0</v>
      </c>
      <c r="CP72" s="39">
        <f t="shared" si="78"/>
        <v>0</v>
      </c>
    </row>
    <row r="73" spans="12:94" ht="16" customHeight="1" x14ac:dyDescent="0.2">
      <c r="L73" s="63">
        <v>30385</v>
      </c>
      <c r="M73" s="38">
        <v>4.4000000000000004</v>
      </c>
      <c r="N73" s="38">
        <v>1.5</v>
      </c>
      <c r="O73" s="39">
        <v>0</v>
      </c>
      <c r="P73" s="39">
        <v>0</v>
      </c>
      <c r="Q73" s="46">
        <f t="shared" si="8"/>
        <v>0.13245107490549266</v>
      </c>
      <c r="R73" s="81">
        <f t="shared" si="9"/>
        <v>0</v>
      </c>
      <c r="S73" s="82">
        <f t="shared" si="10"/>
        <v>4.4000000000000004</v>
      </c>
      <c r="T73" s="39">
        <f t="shared" si="11"/>
        <v>0</v>
      </c>
      <c r="U73" s="83">
        <f t="shared" si="12"/>
        <v>0</v>
      </c>
      <c r="V73" s="84">
        <f t="shared" si="13"/>
        <v>1.2000000000000002</v>
      </c>
      <c r="W73" s="52">
        <f t="shared" si="14"/>
        <v>96.8574697132903</v>
      </c>
      <c r="X73" s="52">
        <f t="shared" si="15"/>
        <v>151.20000000000005</v>
      </c>
      <c r="Y73" s="52">
        <f t="shared" si="16"/>
        <v>248.05746971329035</v>
      </c>
      <c r="Z73" s="53">
        <f t="shared" si="17"/>
        <v>0.75669898213508047</v>
      </c>
      <c r="AA73" s="53">
        <f t="shared" si="18"/>
        <v>0.90000000000000024</v>
      </c>
      <c r="AB73" s="53">
        <f t="shared" si="19"/>
        <v>0.83803199227462954</v>
      </c>
      <c r="AC73" s="39" t="str">
        <f t="shared" si="20"/>
        <v>No</v>
      </c>
      <c r="AD73" s="85">
        <f t="shared" si="21"/>
        <v>0</v>
      </c>
      <c r="AE73" s="46">
        <f t="shared" si="22"/>
        <v>1</v>
      </c>
      <c r="AF73" s="46">
        <f t="shared" si="23"/>
        <v>0</v>
      </c>
      <c r="AG73" s="39">
        <f t="shared" si="79"/>
        <v>38.657469713290283</v>
      </c>
      <c r="AH73" s="39">
        <f t="shared" si="80"/>
        <v>63.2</v>
      </c>
      <c r="AI73" s="39">
        <f t="shared" si="81"/>
        <v>61.199999999999989</v>
      </c>
      <c r="AJ73" s="39">
        <f t="shared" si="82"/>
        <v>82.800000000000011</v>
      </c>
      <c r="AK73" s="39">
        <f t="shared" si="83"/>
        <v>79.799999999999983</v>
      </c>
      <c r="AL73" s="39">
        <f t="shared" si="84"/>
        <v>70.800000000000011</v>
      </c>
      <c r="AM73" s="39">
        <f t="shared" si="85"/>
        <v>70.800000000000011</v>
      </c>
      <c r="AN73" s="39">
        <f t="shared" si="86"/>
        <v>70.800000000000011</v>
      </c>
      <c r="AO73" s="39">
        <f t="shared" si="25"/>
        <v>0</v>
      </c>
      <c r="AP73" s="39">
        <f t="shared" si="26"/>
        <v>0</v>
      </c>
      <c r="AQ73" s="39">
        <f t="shared" si="27"/>
        <v>0</v>
      </c>
      <c r="AR73" s="39">
        <f t="shared" si="28"/>
        <v>0</v>
      </c>
      <c r="AS73" s="39">
        <f t="shared" si="29"/>
        <v>0</v>
      </c>
      <c r="AT73" s="39">
        <f t="shared" si="30"/>
        <v>0</v>
      </c>
      <c r="AU73" s="39">
        <f t="shared" si="31"/>
        <v>0</v>
      </c>
      <c r="AV73" s="39">
        <f t="shared" si="32"/>
        <v>0</v>
      </c>
      <c r="AW73" s="39">
        <f t="shared" si="33"/>
        <v>0</v>
      </c>
      <c r="AX73" s="39">
        <f t="shared" si="34"/>
        <v>0</v>
      </c>
      <c r="AY73" s="39">
        <f t="shared" si="35"/>
        <v>0</v>
      </c>
      <c r="AZ73" s="39">
        <f t="shared" si="36"/>
        <v>0</v>
      </c>
      <c r="BA73" s="39">
        <f t="shared" si="37"/>
        <v>0</v>
      </c>
      <c r="BB73" s="39">
        <f t="shared" si="38"/>
        <v>0</v>
      </c>
      <c r="BC73" s="39">
        <f t="shared" si="39"/>
        <v>0</v>
      </c>
      <c r="BD73" s="39">
        <f t="shared" si="40"/>
        <v>0</v>
      </c>
      <c r="BE73" s="39">
        <f t="shared" si="41"/>
        <v>0</v>
      </c>
      <c r="BF73" s="39">
        <f t="shared" si="42"/>
        <v>0</v>
      </c>
      <c r="BG73" s="39">
        <f t="shared" si="43"/>
        <v>0</v>
      </c>
      <c r="BH73" s="84">
        <f t="shared" si="44"/>
        <v>1.2000000000000002</v>
      </c>
      <c r="BI73" s="84">
        <f t="shared" si="45"/>
        <v>0</v>
      </c>
      <c r="BJ73" s="84">
        <f t="shared" si="46"/>
        <v>1.2000000000000002</v>
      </c>
      <c r="BK73" s="39">
        <f t="shared" si="47"/>
        <v>37.45746971329028</v>
      </c>
      <c r="BL73" s="39">
        <f t="shared" si="48"/>
        <v>63.2</v>
      </c>
      <c r="BM73" s="39">
        <f t="shared" si="49"/>
        <v>61.199999999999989</v>
      </c>
      <c r="BN73" s="39">
        <f t="shared" si="50"/>
        <v>82.800000000000011</v>
      </c>
      <c r="BO73" s="39">
        <f t="shared" si="51"/>
        <v>79.799999999999983</v>
      </c>
      <c r="BP73" s="39">
        <f t="shared" si="52"/>
        <v>70.800000000000011</v>
      </c>
      <c r="BQ73" s="39">
        <f t="shared" si="53"/>
        <v>70.800000000000011</v>
      </c>
      <c r="BR73" s="39">
        <f t="shared" si="54"/>
        <v>70.800000000000011</v>
      </c>
      <c r="BS73" s="39">
        <f t="shared" si="55"/>
        <v>0</v>
      </c>
      <c r="BT73" s="39">
        <f t="shared" si="56"/>
        <v>0</v>
      </c>
      <c r="BU73" s="39">
        <f t="shared" si="57"/>
        <v>0</v>
      </c>
      <c r="BV73" s="39">
        <f t="shared" si="58"/>
        <v>0</v>
      </c>
      <c r="BW73" s="39">
        <f t="shared" si="59"/>
        <v>0</v>
      </c>
      <c r="BX73" s="39">
        <f t="shared" si="60"/>
        <v>0</v>
      </c>
      <c r="BY73" s="39">
        <f t="shared" si="61"/>
        <v>0</v>
      </c>
      <c r="BZ73" s="39">
        <f t="shared" si="62"/>
        <v>0</v>
      </c>
      <c r="CA73" s="39">
        <f t="shared" si="63"/>
        <v>40.657469713290283</v>
      </c>
      <c r="CB73" s="39">
        <f t="shared" si="64"/>
        <v>63.2</v>
      </c>
      <c r="CC73" s="39">
        <f t="shared" si="65"/>
        <v>61.199999999999989</v>
      </c>
      <c r="CD73" s="39">
        <f t="shared" si="66"/>
        <v>82.800000000000011</v>
      </c>
      <c r="CE73" s="39">
        <f t="shared" si="67"/>
        <v>79.799999999999983</v>
      </c>
      <c r="CF73" s="39">
        <f t="shared" si="68"/>
        <v>70.800000000000011</v>
      </c>
      <c r="CG73" s="39">
        <f t="shared" si="69"/>
        <v>70.800000000000011</v>
      </c>
      <c r="CH73" s="39">
        <f t="shared" si="70"/>
        <v>70.800000000000011</v>
      </c>
      <c r="CI73" s="39">
        <f t="shared" si="71"/>
        <v>0</v>
      </c>
      <c r="CJ73" s="39">
        <f t="shared" si="72"/>
        <v>0</v>
      </c>
      <c r="CK73" s="39">
        <f t="shared" si="73"/>
        <v>0</v>
      </c>
      <c r="CL73" s="39">
        <f t="shared" si="74"/>
        <v>0</v>
      </c>
      <c r="CM73" s="39">
        <f t="shared" si="75"/>
        <v>0</v>
      </c>
      <c r="CN73" s="39">
        <f t="shared" si="76"/>
        <v>0</v>
      </c>
      <c r="CO73" s="39">
        <f t="shared" si="77"/>
        <v>0</v>
      </c>
      <c r="CP73" s="39">
        <f t="shared" si="78"/>
        <v>0</v>
      </c>
    </row>
    <row r="74" spans="12:94" ht="16" customHeight="1" x14ac:dyDescent="0.2">
      <c r="L74" s="63">
        <v>30386</v>
      </c>
      <c r="M74" s="38">
        <v>0</v>
      </c>
      <c r="N74" s="38">
        <v>3.5</v>
      </c>
      <c r="O74" s="39">
        <v>0</v>
      </c>
      <c r="P74" s="39">
        <v>0</v>
      </c>
      <c r="Q74" s="46">
        <f t="shared" si="8"/>
        <v>0.12839702085143861</v>
      </c>
      <c r="R74" s="81">
        <f t="shared" si="9"/>
        <v>0</v>
      </c>
      <c r="S74" s="82">
        <f t="shared" si="10"/>
        <v>0</v>
      </c>
      <c r="T74" s="39">
        <f t="shared" si="11"/>
        <v>0</v>
      </c>
      <c r="U74" s="83">
        <f t="shared" si="12"/>
        <v>0</v>
      </c>
      <c r="V74" s="84">
        <f t="shared" si="13"/>
        <v>2.8000000000000003</v>
      </c>
      <c r="W74" s="52">
        <f t="shared" si="14"/>
        <v>98.8574697132903</v>
      </c>
      <c r="X74" s="52">
        <f t="shared" si="15"/>
        <v>151.20000000000005</v>
      </c>
      <c r="Y74" s="52">
        <f t="shared" si="16"/>
        <v>250.05746971329035</v>
      </c>
      <c r="Z74" s="53">
        <f t="shared" si="17"/>
        <v>0.77232398213508047</v>
      </c>
      <c r="AA74" s="53">
        <f t="shared" si="18"/>
        <v>0.90000000000000024</v>
      </c>
      <c r="AB74" s="53">
        <f t="shared" si="19"/>
        <v>0.84478874903138634</v>
      </c>
      <c r="AC74" s="39" t="str">
        <f t="shared" si="20"/>
        <v>No</v>
      </c>
      <c r="AD74" s="85">
        <f t="shared" si="21"/>
        <v>0</v>
      </c>
      <c r="AE74" s="46">
        <f t="shared" si="22"/>
        <v>1</v>
      </c>
      <c r="AF74" s="46">
        <f t="shared" si="23"/>
        <v>0</v>
      </c>
      <c r="AG74" s="39">
        <f t="shared" si="79"/>
        <v>40.657469713290283</v>
      </c>
      <c r="AH74" s="39">
        <f t="shared" si="80"/>
        <v>63.2</v>
      </c>
      <c r="AI74" s="39">
        <f t="shared" si="81"/>
        <v>61.199999999999989</v>
      </c>
      <c r="AJ74" s="39">
        <f t="shared" si="82"/>
        <v>82.800000000000011</v>
      </c>
      <c r="AK74" s="39">
        <f t="shared" si="83"/>
        <v>79.799999999999983</v>
      </c>
      <c r="AL74" s="39">
        <f t="shared" si="84"/>
        <v>70.800000000000011</v>
      </c>
      <c r="AM74" s="39">
        <f t="shared" si="85"/>
        <v>70.800000000000011</v>
      </c>
      <c r="AN74" s="39">
        <f t="shared" si="86"/>
        <v>70.800000000000011</v>
      </c>
      <c r="AO74" s="39">
        <f t="shared" si="25"/>
        <v>0</v>
      </c>
      <c r="AP74" s="39">
        <f t="shared" si="26"/>
        <v>0</v>
      </c>
      <c r="AQ74" s="39">
        <f t="shared" si="27"/>
        <v>0</v>
      </c>
      <c r="AR74" s="39">
        <f t="shared" si="28"/>
        <v>0</v>
      </c>
      <c r="AS74" s="39">
        <f t="shared" si="29"/>
        <v>0</v>
      </c>
      <c r="AT74" s="39">
        <f t="shared" si="30"/>
        <v>0</v>
      </c>
      <c r="AU74" s="39">
        <f t="shared" si="31"/>
        <v>0</v>
      </c>
      <c r="AV74" s="39">
        <f t="shared" si="32"/>
        <v>0</v>
      </c>
      <c r="AW74" s="39">
        <f t="shared" si="33"/>
        <v>0</v>
      </c>
      <c r="AX74" s="39">
        <f t="shared" si="34"/>
        <v>0</v>
      </c>
      <c r="AY74" s="39">
        <f t="shared" si="35"/>
        <v>0</v>
      </c>
      <c r="AZ74" s="39">
        <f t="shared" si="36"/>
        <v>0</v>
      </c>
      <c r="BA74" s="39">
        <f t="shared" si="37"/>
        <v>0</v>
      </c>
      <c r="BB74" s="39">
        <f t="shared" si="38"/>
        <v>0</v>
      </c>
      <c r="BC74" s="39">
        <f t="shared" si="39"/>
        <v>0</v>
      </c>
      <c r="BD74" s="39">
        <f t="shared" si="40"/>
        <v>0</v>
      </c>
      <c r="BE74" s="39">
        <f t="shared" si="41"/>
        <v>0</v>
      </c>
      <c r="BF74" s="39">
        <f t="shared" si="42"/>
        <v>0</v>
      </c>
      <c r="BG74" s="39">
        <f t="shared" si="43"/>
        <v>0</v>
      </c>
      <c r="BH74" s="84">
        <f t="shared" si="44"/>
        <v>0</v>
      </c>
      <c r="BI74" s="84">
        <f t="shared" si="45"/>
        <v>2.8000000000000003</v>
      </c>
      <c r="BJ74" s="84">
        <f t="shared" si="46"/>
        <v>0.54659305890256715</v>
      </c>
      <c r="BK74" s="39">
        <f t="shared" si="47"/>
        <v>40.110876654387717</v>
      </c>
      <c r="BL74" s="39">
        <f t="shared" si="48"/>
        <v>63.2</v>
      </c>
      <c r="BM74" s="39">
        <f t="shared" si="49"/>
        <v>61.199999999999989</v>
      </c>
      <c r="BN74" s="39">
        <f t="shared" si="50"/>
        <v>82.800000000000011</v>
      </c>
      <c r="BO74" s="39">
        <f t="shared" si="51"/>
        <v>79.799999999999983</v>
      </c>
      <c r="BP74" s="39">
        <f t="shared" si="52"/>
        <v>70.800000000000011</v>
      </c>
      <c r="BQ74" s="39">
        <f t="shared" si="53"/>
        <v>70.800000000000011</v>
      </c>
      <c r="BR74" s="39">
        <f t="shared" si="54"/>
        <v>70.800000000000011</v>
      </c>
      <c r="BS74" s="39">
        <f t="shared" si="55"/>
        <v>0</v>
      </c>
      <c r="BT74" s="39">
        <f t="shared" si="56"/>
        <v>0</v>
      </c>
      <c r="BU74" s="39">
        <f t="shared" si="57"/>
        <v>0</v>
      </c>
      <c r="BV74" s="39">
        <f t="shared" si="58"/>
        <v>0</v>
      </c>
      <c r="BW74" s="39">
        <f t="shared" si="59"/>
        <v>0</v>
      </c>
      <c r="BX74" s="39">
        <f t="shared" si="60"/>
        <v>0</v>
      </c>
      <c r="BY74" s="39">
        <f t="shared" si="61"/>
        <v>0</v>
      </c>
      <c r="BZ74" s="39">
        <f t="shared" si="62"/>
        <v>0</v>
      </c>
      <c r="CA74" s="39">
        <f t="shared" si="63"/>
        <v>40.110876654387717</v>
      </c>
      <c r="CB74" s="39">
        <f t="shared" si="64"/>
        <v>63.2</v>
      </c>
      <c r="CC74" s="39">
        <f t="shared" si="65"/>
        <v>61.199999999999989</v>
      </c>
      <c r="CD74" s="39">
        <f t="shared" si="66"/>
        <v>82.800000000000011</v>
      </c>
      <c r="CE74" s="39">
        <f t="shared" si="67"/>
        <v>79.799999999999983</v>
      </c>
      <c r="CF74" s="39">
        <f t="shared" si="68"/>
        <v>70.800000000000011</v>
      </c>
      <c r="CG74" s="39">
        <f t="shared" si="69"/>
        <v>70.800000000000011</v>
      </c>
      <c r="CH74" s="39">
        <f t="shared" si="70"/>
        <v>70.800000000000011</v>
      </c>
      <c r="CI74" s="39">
        <f t="shared" si="71"/>
        <v>0</v>
      </c>
      <c r="CJ74" s="39">
        <f t="shared" si="72"/>
        <v>0</v>
      </c>
      <c r="CK74" s="39">
        <f t="shared" si="73"/>
        <v>0</v>
      </c>
      <c r="CL74" s="39">
        <f t="shared" si="74"/>
        <v>0</v>
      </c>
      <c r="CM74" s="39">
        <f t="shared" si="75"/>
        <v>0</v>
      </c>
      <c r="CN74" s="39">
        <f t="shared" si="76"/>
        <v>0</v>
      </c>
      <c r="CO74" s="39">
        <f t="shared" si="77"/>
        <v>0</v>
      </c>
      <c r="CP74" s="39">
        <f t="shared" si="78"/>
        <v>0</v>
      </c>
    </row>
    <row r="75" spans="12:94" ht="16" customHeight="1" x14ac:dyDescent="0.2">
      <c r="L75" s="63">
        <v>30387</v>
      </c>
      <c r="M75" s="38">
        <v>0</v>
      </c>
      <c r="N75" s="38">
        <v>2.1</v>
      </c>
      <c r="O75" s="39">
        <v>0</v>
      </c>
      <c r="P75" s="39">
        <v>0</v>
      </c>
      <c r="Q75" s="46">
        <f t="shared" si="8"/>
        <v>0.1295049797546195</v>
      </c>
      <c r="R75" s="81">
        <f t="shared" si="9"/>
        <v>0</v>
      </c>
      <c r="S75" s="82">
        <f t="shared" si="10"/>
        <v>0</v>
      </c>
      <c r="T75" s="39">
        <f t="shared" si="11"/>
        <v>0</v>
      </c>
      <c r="U75" s="83">
        <f t="shared" si="12"/>
        <v>0</v>
      </c>
      <c r="V75" s="84">
        <f t="shared" si="13"/>
        <v>1.6800000000000002</v>
      </c>
      <c r="W75" s="52">
        <f t="shared" si="14"/>
        <v>98.310876654387727</v>
      </c>
      <c r="X75" s="52">
        <f t="shared" si="15"/>
        <v>151.20000000000005</v>
      </c>
      <c r="Y75" s="52">
        <f t="shared" si="16"/>
        <v>249.51087665438777</v>
      </c>
      <c r="Z75" s="53">
        <f t="shared" si="17"/>
        <v>0.76805372386240411</v>
      </c>
      <c r="AA75" s="53">
        <f t="shared" si="18"/>
        <v>0.90000000000000024</v>
      </c>
      <c r="AB75" s="53">
        <f t="shared" si="19"/>
        <v>0.84294215085941815</v>
      </c>
      <c r="AC75" s="39" t="str">
        <f t="shared" si="20"/>
        <v>No</v>
      </c>
      <c r="AD75" s="85">
        <f t="shared" si="21"/>
        <v>0</v>
      </c>
      <c r="AE75" s="46">
        <f t="shared" si="22"/>
        <v>1</v>
      </c>
      <c r="AF75" s="46">
        <f t="shared" si="23"/>
        <v>0</v>
      </c>
      <c r="AG75" s="39">
        <f t="shared" si="79"/>
        <v>40.110876654387717</v>
      </c>
      <c r="AH75" s="39">
        <f t="shared" si="80"/>
        <v>63.2</v>
      </c>
      <c r="AI75" s="39">
        <f t="shared" si="81"/>
        <v>61.199999999999989</v>
      </c>
      <c r="AJ75" s="39">
        <f t="shared" si="82"/>
        <v>82.800000000000011</v>
      </c>
      <c r="AK75" s="39">
        <f t="shared" si="83"/>
        <v>79.799999999999983</v>
      </c>
      <c r="AL75" s="39">
        <f t="shared" si="84"/>
        <v>70.800000000000011</v>
      </c>
      <c r="AM75" s="39">
        <f t="shared" si="85"/>
        <v>70.800000000000011</v>
      </c>
      <c r="AN75" s="39">
        <f t="shared" si="86"/>
        <v>70.800000000000011</v>
      </c>
      <c r="AO75" s="39">
        <f t="shared" si="25"/>
        <v>0</v>
      </c>
      <c r="AP75" s="39">
        <f t="shared" si="26"/>
        <v>0</v>
      </c>
      <c r="AQ75" s="39">
        <f t="shared" si="27"/>
        <v>0</v>
      </c>
      <c r="AR75" s="39">
        <f t="shared" si="28"/>
        <v>0</v>
      </c>
      <c r="AS75" s="39">
        <f t="shared" si="29"/>
        <v>0</v>
      </c>
      <c r="AT75" s="39">
        <f t="shared" si="30"/>
        <v>0</v>
      </c>
      <c r="AU75" s="39">
        <f t="shared" si="31"/>
        <v>0</v>
      </c>
      <c r="AV75" s="39">
        <f t="shared" si="32"/>
        <v>0</v>
      </c>
      <c r="AW75" s="39">
        <f t="shared" si="33"/>
        <v>0</v>
      </c>
      <c r="AX75" s="39">
        <f t="shared" si="34"/>
        <v>0</v>
      </c>
      <c r="AY75" s="39">
        <f t="shared" si="35"/>
        <v>0</v>
      </c>
      <c r="AZ75" s="39">
        <f t="shared" si="36"/>
        <v>0</v>
      </c>
      <c r="BA75" s="39">
        <f t="shared" si="37"/>
        <v>0</v>
      </c>
      <c r="BB75" s="39">
        <f t="shared" si="38"/>
        <v>0</v>
      </c>
      <c r="BC75" s="39">
        <f t="shared" si="39"/>
        <v>0</v>
      </c>
      <c r="BD75" s="39">
        <f t="shared" si="40"/>
        <v>0</v>
      </c>
      <c r="BE75" s="39">
        <f t="shared" si="41"/>
        <v>0</v>
      </c>
      <c r="BF75" s="39">
        <f t="shared" si="42"/>
        <v>0</v>
      </c>
      <c r="BG75" s="39">
        <f t="shared" si="43"/>
        <v>0</v>
      </c>
      <c r="BH75" s="84">
        <f t="shared" si="44"/>
        <v>0</v>
      </c>
      <c r="BI75" s="84">
        <f t="shared" si="45"/>
        <v>1.6800000000000002</v>
      </c>
      <c r="BJ75" s="84">
        <f t="shared" si="46"/>
        <v>0.30088986686946817</v>
      </c>
      <c r="BK75" s="39">
        <f t="shared" si="47"/>
        <v>39.809986787518248</v>
      </c>
      <c r="BL75" s="39">
        <f t="shared" si="48"/>
        <v>63.2</v>
      </c>
      <c r="BM75" s="39">
        <f t="shared" si="49"/>
        <v>61.199999999999989</v>
      </c>
      <c r="BN75" s="39">
        <f t="shared" si="50"/>
        <v>82.800000000000011</v>
      </c>
      <c r="BO75" s="39">
        <f t="shared" si="51"/>
        <v>79.799999999999983</v>
      </c>
      <c r="BP75" s="39">
        <f t="shared" si="52"/>
        <v>70.800000000000011</v>
      </c>
      <c r="BQ75" s="39">
        <f t="shared" si="53"/>
        <v>70.800000000000011</v>
      </c>
      <c r="BR75" s="39">
        <f t="shared" si="54"/>
        <v>70.800000000000011</v>
      </c>
      <c r="BS75" s="39">
        <f t="shared" si="55"/>
        <v>0</v>
      </c>
      <c r="BT75" s="39">
        <f t="shared" si="56"/>
        <v>0</v>
      </c>
      <c r="BU75" s="39">
        <f t="shared" si="57"/>
        <v>0</v>
      </c>
      <c r="BV75" s="39">
        <f t="shared" si="58"/>
        <v>0</v>
      </c>
      <c r="BW75" s="39">
        <f t="shared" si="59"/>
        <v>0</v>
      </c>
      <c r="BX75" s="39">
        <f t="shared" si="60"/>
        <v>0</v>
      </c>
      <c r="BY75" s="39">
        <f t="shared" si="61"/>
        <v>0</v>
      </c>
      <c r="BZ75" s="39">
        <f t="shared" si="62"/>
        <v>0</v>
      </c>
      <c r="CA75" s="39">
        <f t="shared" si="63"/>
        <v>39.809986787518248</v>
      </c>
      <c r="CB75" s="39">
        <f t="shared" si="64"/>
        <v>63.2</v>
      </c>
      <c r="CC75" s="39">
        <f t="shared" si="65"/>
        <v>61.199999999999989</v>
      </c>
      <c r="CD75" s="39">
        <f t="shared" si="66"/>
        <v>82.800000000000011</v>
      </c>
      <c r="CE75" s="39">
        <f t="shared" si="67"/>
        <v>79.799999999999983</v>
      </c>
      <c r="CF75" s="39">
        <f t="shared" si="68"/>
        <v>70.800000000000011</v>
      </c>
      <c r="CG75" s="39">
        <f t="shared" si="69"/>
        <v>70.800000000000011</v>
      </c>
      <c r="CH75" s="39">
        <f t="shared" si="70"/>
        <v>70.800000000000011</v>
      </c>
      <c r="CI75" s="39">
        <f t="shared" si="71"/>
        <v>0</v>
      </c>
      <c r="CJ75" s="39">
        <f t="shared" si="72"/>
        <v>0</v>
      </c>
      <c r="CK75" s="39">
        <f t="shared" si="73"/>
        <v>0</v>
      </c>
      <c r="CL75" s="39">
        <f t="shared" si="74"/>
        <v>0</v>
      </c>
      <c r="CM75" s="39">
        <f t="shared" si="75"/>
        <v>0</v>
      </c>
      <c r="CN75" s="39">
        <f t="shared" si="76"/>
        <v>0</v>
      </c>
      <c r="CO75" s="39">
        <f t="shared" si="77"/>
        <v>0</v>
      </c>
      <c r="CP75" s="39">
        <f t="shared" si="78"/>
        <v>0</v>
      </c>
    </row>
    <row r="76" spans="12:94" ht="16" customHeight="1" x14ac:dyDescent="0.2">
      <c r="L76" s="63">
        <v>30388</v>
      </c>
      <c r="M76" s="38">
        <v>0</v>
      </c>
      <c r="N76" s="38">
        <v>3.3</v>
      </c>
      <c r="O76" s="39">
        <v>0</v>
      </c>
      <c r="P76" s="39">
        <v>0</v>
      </c>
      <c r="Q76" s="46">
        <f t="shared" si="8"/>
        <v>0.13011489164692244</v>
      </c>
      <c r="R76" s="81">
        <f t="shared" si="9"/>
        <v>0</v>
      </c>
      <c r="S76" s="82">
        <f t="shared" si="10"/>
        <v>0</v>
      </c>
      <c r="T76" s="39">
        <f t="shared" si="11"/>
        <v>0</v>
      </c>
      <c r="U76" s="83">
        <f t="shared" si="12"/>
        <v>0</v>
      </c>
      <c r="V76" s="84">
        <f t="shared" si="13"/>
        <v>2.64</v>
      </c>
      <c r="W76" s="52">
        <f t="shared" si="14"/>
        <v>98.009986787518244</v>
      </c>
      <c r="X76" s="52">
        <f t="shared" si="15"/>
        <v>151.20000000000005</v>
      </c>
      <c r="Y76" s="52">
        <f t="shared" si="16"/>
        <v>249.20998678751829</v>
      </c>
      <c r="Z76" s="53">
        <f t="shared" si="17"/>
        <v>0.76570302177748628</v>
      </c>
      <c r="AA76" s="53">
        <f t="shared" si="18"/>
        <v>0.90000000000000024</v>
      </c>
      <c r="AB76" s="53">
        <f t="shared" si="19"/>
        <v>0.84192563103891316</v>
      </c>
      <c r="AC76" s="39" t="str">
        <f t="shared" si="20"/>
        <v>No</v>
      </c>
      <c r="AD76" s="85">
        <f t="shared" si="21"/>
        <v>0</v>
      </c>
      <c r="AE76" s="46">
        <f t="shared" si="22"/>
        <v>1</v>
      </c>
      <c r="AF76" s="46">
        <f t="shared" si="23"/>
        <v>0</v>
      </c>
      <c r="AG76" s="39">
        <f t="shared" si="79"/>
        <v>39.809986787518248</v>
      </c>
      <c r="AH76" s="39">
        <f t="shared" si="80"/>
        <v>63.2</v>
      </c>
      <c r="AI76" s="39">
        <f t="shared" si="81"/>
        <v>61.199999999999989</v>
      </c>
      <c r="AJ76" s="39">
        <f t="shared" si="82"/>
        <v>82.800000000000011</v>
      </c>
      <c r="AK76" s="39">
        <f t="shared" si="83"/>
        <v>79.799999999999983</v>
      </c>
      <c r="AL76" s="39">
        <f t="shared" si="84"/>
        <v>70.800000000000011</v>
      </c>
      <c r="AM76" s="39">
        <f t="shared" si="85"/>
        <v>70.800000000000011</v>
      </c>
      <c r="AN76" s="39">
        <f t="shared" si="86"/>
        <v>70.800000000000011</v>
      </c>
      <c r="AO76" s="39">
        <f t="shared" si="25"/>
        <v>0</v>
      </c>
      <c r="AP76" s="39">
        <f t="shared" si="26"/>
        <v>0</v>
      </c>
      <c r="AQ76" s="39">
        <f t="shared" si="27"/>
        <v>0</v>
      </c>
      <c r="AR76" s="39">
        <f t="shared" si="28"/>
        <v>0</v>
      </c>
      <c r="AS76" s="39">
        <f t="shared" si="29"/>
        <v>0</v>
      </c>
      <c r="AT76" s="39">
        <f t="shared" si="30"/>
        <v>0</v>
      </c>
      <c r="AU76" s="39">
        <f t="shared" si="31"/>
        <v>0</v>
      </c>
      <c r="AV76" s="39">
        <f t="shared" si="32"/>
        <v>0</v>
      </c>
      <c r="AW76" s="39">
        <f t="shared" si="33"/>
        <v>0</v>
      </c>
      <c r="AX76" s="39">
        <f t="shared" si="34"/>
        <v>0</v>
      </c>
      <c r="AY76" s="39">
        <f t="shared" si="35"/>
        <v>0</v>
      </c>
      <c r="AZ76" s="39">
        <f t="shared" si="36"/>
        <v>0</v>
      </c>
      <c r="BA76" s="39">
        <f t="shared" si="37"/>
        <v>0</v>
      </c>
      <c r="BB76" s="39">
        <f t="shared" si="38"/>
        <v>0</v>
      </c>
      <c r="BC76" s="39">
        <f t="shared" si="39"/>
        <v>0</v>
      </c>
      <c r="BD76" s="39">
        <f t="shared" si="40"/>
        <v>0</v>
      </c>
      <c r="BE76" s="39">
        <f t="shared" si="41"/>
        <v>0</v>
      </c>
      <c r="BF76" s="39">
        <f t="shared" si="42"/>
        <v>0</v>
      </c>
      <c r="BG76" s="39">
        <f t="shared" si="43"/>
        <v>0</v>
      </c>
      <c r="BH76" s="84">
        <f t="shared" si="44"/>
        <v>0</v>
      </c>
      <c r="BI76" s="84">
        <f t="shared" si="45"/>
        <v>2.64</v>
      </c>
      <c r="BJ76" s="84">
        <f t="shared" si="46"/>
        <v>0.45056851447288659</v>
      </c>
      <c r="BK76" s="39">
        <f t="shared" si="47"/>
        <v>39.359418273045364</v>
      </c>
      <c r="BL76" s="39">
        <f t="shared" si="48"/>
        <v>63.2</v>
      </c>
      <c r="BM76" s="39">
        <f t="shared" si="49"/>
        <v>61.199999999999989</v>
      </c>
      <c r="BN76" s="39">
        <f t="shared" si="50"/>
        <v>82.800000000000011</v>
      </c>
      <c r="BO76" s="39">
        <f t="shared" si="51"/>
        <v>79.799999999999983</v>
      </c>
      <c r="BP76" s="39">
        <f t="shared" si="52"/>
        <v>70.800000000000011</v>
      </c>
      <c r="BQ76" s="39">
        <f t="shared" si="53"/>
        <v>70.800000000000011</v>
      </c>
      <c r="BR76" s="39">
        <f t="shared" si="54"/>
        <v>70.800000000000011</v>
      </c>
      <c r="BS76" s="39">
        <f t="shared" si="55"/>
        <v>0</v>
      </c>
      <c r="BT76" s="39">
        <f t="shared" si="56"/>
        <v>0</v>
      </c>
      <c r="BU76" s="39">
        <f t="shared" si="57"/>
        <v>0</v>
      </c>
      <c r="BV76" s="39">
        <f t="shared" si="58"/>
        <v>0</v>
      </c>
      <c r="BW76" s="39">
        <f t="shared" si="59"/>
        <v>0</v>
      </c>
      <c r="BX76" s="39">
        <f t="shared" si="60"/>
        <v>0</v>
      </c>
      <c r="BY76" s="39">
        <f t="shared" si="61"/>
        <v>0</v>
      </c>
      <c r="BZ76" s="39">
        <f t="shared" si="62"/>
        <v>0</v>
      </c>
      <c r="CA76" s="39">
        <f t="shared" si="63"/>
        <v>39.359418273045364</v>
      </c>
      <c r="CB76" s="39">
        <f t="shared" si="64"/>
        <v>63.2</v>
      </c>
      <c r="CC76" s="39">
        <f t="shared" si="65"/>
        <v>61.199999999999989</v>
      </c>
      <c r="CD76" s="39">
        <f t="shared" si="66"/>
        <v>82.800000000000011</v>
      </c>
      <c r="CE76" s="39">
        <f t="shared" si="67"/>
        <v>79.799999999999983</v>
      </c>
      <c r="CF76" s="39">
        <f t="shared" si="68"/>
        <v>70.800000000000011</v>
      </c>
      <c r="CG76" s="39">
        <f t="shared" si="69"/>
        <v>70.800000000000011</v>
      </c>
      <c r="CH76" s="39">
        <f t="shared" si="70"/>
        <v>70.800000000000011</v>
      </c>
      <c r="CI76" s="39">
        <f t="shared" si="71"/>
        <v>0</v>
      </c>
      <c r="CJ76" s="39">
        <f t="shared" si="72"/>
        <v>0</v>
      </c>
      <c r="CK76" s="39">
        <f t="shared" si="73"/>
        <v>0</v>
      </c>
      <c r="CL76" s="39">
        <f t="shared" si="74"/>
        <v>0</v>
      </c>
      <c r="CM76" s="39">
        <f t="shared" si="75"/>
        <v>0</v>
      </c>
      <c r="CN76" s="39">
        <f t="shared" si="76"/>
        <v>0</v>
      </c>
      <c r="CO76" s="39">
        <f t="shared" si="77"/>
        <v>0</v>
      </c>
      <c r="CP76" s="39">
        <f t="shared" si="78"/>
        <v>0</v>
      </c>
    </row>
    <row r="77" spans="12:94" ht="16" customHeight="1" x14ac:dyDescent="0.2">
      <c r="L77" s="63">
        <v>30389</v>
      </c>
      <c r="M77" s="38">
        <v>0</v>
      </c>
      <c r="N77" s="38">
        <v>4.3</v>
      </c>
      <c r="O77" s="39">
        <v>0</v>
      </c>
      <c r="P77" s="39">
        <v>0</v>
      </c>
      <c r="Q77" s="46">
        <f t="shared" si="8"/>
        <v>0.13102820620328642</v>
      </c>
      <c r="R77" s="81">
        <f t="shared" si="9"/>
        <v>0</v>
      </c>
      <c r="S77" s="82">
        <f t="shared" si="10"/>
        <v>0</v>
      </c>
      <c r="T77" s="39">
        <f t="shared" si="11"/>
        <v>0</v>
      </c>
      <c r="U77" s="83">
        <f t="shared" si="12"/>
        <v>0</v>
      </c>
      <c r="V77" s="84">
        <f t="shared" si="13"/>
        <v>3.44</v>
      </c>
      <c r="W77" s="52">
        <f t="shared" si="14"/>
        <v>97.559418273045367</v>
      </c>
      <c r="X77" s="52">
        <f t="shared" si="15"/>
        <v>151.20000000000005</v>
      </c>
      <c r="Y77" s="52">
        <f t="shared" si="16"/>
        <v>248.75941827304541</v>
      </c>
      <c r="Z77" s="53">
        <f t="shared" si="17"/>
        <v>0.76218295525816693</v>
      </c>
      <c r="AA77" s="53">
        <f t="shared" si="18"/>
        <v>0.90000000000000024</v>
      </c>
      <c r="AB77" s="53">
        <f t="shared" si="19"/>
        <v>0.84040344011163992</v>
      </c>
      <c r="AC77" s="39" t="str">
        <f t="shared" si="20"/>
        <v>No</v>
      </c>
      <c r="AD77" s="85">
        <f t="shared" si="21"/>
        <v>0</v>
      </c>
      <c r="AE77" s="46">
        <f t="shared" si="22"/>
        <v>1</v>
      </c>
      <c r="AF77" s="46">
        <f t="shared" si="23"/>
        <v>0</v>
      </c>
      <c r="AG77" s="39">
        <f t="shared" si="79"/>
        <v>39.359418273045364</v>
      </c>
      <c r="AH77" s="39">
        <f t="shared" si="80"/>
        <v>63.2</v>
      </c>
      <c r="AI77" s="39">
        <f t="shared" si="81"/>
        <v>61.199999999999989</v>
      </c>
      <c r="AJ77" s="39">
        <f t="shared" si="82"/>
        <v>82.800000000000011</v>
      </c>
      <c r="AK77" s="39">
        <f t="shared" si="83"/>
        <v>79.799999999999983</v>
      </c>
      <c r="AL77" s="39">
        <f t="shared" si="84"/>
        <v>70.800000000000011</v>
      </c>
      <c r="AM77" s="39">
        <f t="shared" si="85"/>
        <v>70.800000000000011</v>
      </c>
      <c r="AN77" s="39">
        <f t="shared" si="86"/>
        <v>70.800000000000011</v>
      </c>
      <c r="AO77" s="39">
        <f t="shared" si="25"/>
        <v>0</v>
      </c>
      <c r="AP77" s="39">
        <f t="shared" si="26"/>
        <v>0</v>
      </c>
      <c r="AQ77" s="39">
        <f t="shared" si="27"/>
        <v>0</v>
      </c>
      <c r="AR77" s="39">
        <f t="shared" si="28"/>
        <v>0</v>
      </c>
      <c r="AS77" s="39">
        <f t="shared" si="29"/>
        <v>0</v>
      </c>
      <c r="AT77" s="39">
        <f t="shared" si="30"/>
        <v>0</v>
      </c>
      <c r="AU77" s="39">
        <f t="shared" si="31"/>
        <v>0</v>
      </c>
      <c r="AV77" s="39">
        <f t="shared" si="32"/>
        <v>0</v>
      </c>
      <c r="AW77" s="39">
        <f t="shared" si="33"/>
        <v>0</v>
      </c>
      <c r="AX77" s="39">
        <f t="shared" si="34"/>
        <v>0</v>
      </c>
      <c r="AY77" s="39">
        <f t="shared" si="35"/>
        <v>0</v>
      </c>
      <c r="AZ77" s="39">
        <f t="shared" si="36"/>
        <v>0</v>
      </c>
      <c r="BA77" s="39">
        <f t="shared" si="37"/>
        <v>0</v>
      </c>
      <c r="BB77" s="39">
        <f t="shared" si="38"/>
        <v>0</v>
      </c>
      <c r="BC77" s="39">
        <f t="shared" si="39"/>
        <v>0</v>
      </c>
      <c r="BD77" s="39">
        <f t="shared" si="40"/>
        <v>0</v>
      </c>
      <c r="BE77" s="39">
        <f t="shared" si="41"/>
        <v>0</v>
      </c>
      <c r="BF77" s="39">
        <f t="shared" si="42"/>
        <v>0</v>
      </c>
      <c r="BG77" s="39">
        <f t="shared" si="43"/>
        <v>0</v>
      </c>
      <c r="BH77" s="84">
        <f t="shared" si="44"/>
        <v>0</v>
      </c>
      <c r="BI77" s="84">
        <f t="shared" si="45"/>
        <v>3.44</v>
      </c>
      <c r="BJ77" s="84">
        <f t="shared" si="46"/>
        <v>0.54560315713108609</v>
      </c>
      <c r="BK77" s="39">
        <f t="shared" si="47"/>
        <v>38.813815115914281</v>
      </c>
      <c r="BL77" s="39">
        <f t="shared" si="48"/>
        <v>63.2</v>
      </c>
      <c r="BM77" s="39">
        <f t="shared" si="49"/>
        <v>61.199999999999989</v>
      </c>
      <c r="BN77" s="39">
        <f t="shared" si="50"/>
        <v>82.800000000000011</v>
      </c>
      <c r="BO77" s="39">
        <f t="shared" si="51"/>
        <v>79.799999999999983</v>
      </c>
      <c r="BP77" s="39">
        <f t="shared" si="52"/>
        <v>70.800000000000011</v>
      </c>
      <c r="BQ77" s="39">
        <f t="shared" si="53"/>
        <v>70.800000000000011</v>
      </c>
      <c r="BR77" s="39">
        <f t="shared" si="54"/>
        <v>70.800000000000011</v>
      </c>
      <c r="BS77" s="39">
        <f t="shared" si="55"/>
        <v>0</v>
      </c>
      <c r="BT77" s="39">
        <f t="shared" si="56"/>
        <v>0</v>
      </c>
      <c r="BU77" s="39">
        <f t="shared" si="57"/>
        <v>0</v>
      </c>
      <c r="BV77" s="39">
        <f t="shared" si="58"/>
        <v>0</v>
      </c>
      <c r="BW77" s="39">
        <f t="shared" si="59"/>
        <v>0</v>
      </c>
      <c r="BX77" s="39">
        <f t="shared" si="60"/>
        <v>0</v>
      </c>
      <c r="BY77" s="39">
        <f t="shared" si="61"/>
        <v>0</v>
      </c>
      <c r="BZ77" s="39">
        <f t="shared" si="62"/>
        <v>0</v>
      </c>
      <c r="CA77" s="39">
        <f t="shared" si="63"/>
        <v>38.813815115914281</v>
      </c>
      <c r="CB77" s="39">
        <f t="shared" si="64"/>
        <v>63.2</v>
      </c>
      <c r="CC77" s="39">
        <f t="shared" si="65"/>
        <v>61.199999999999989</v>
      </c>
      <c r="CD77" s="39">
        <f t="shared" si="66"/>
        <v>82.800000000000011</v>
      </c>
      <c r="CE77" s="39">
        <f t="shared" si="67"/>
        <v>79.799999999999983</v>
      </c>
      <c r="CF77" s="39">
        <f t="shared" si="68"/>
        <v>70.800000000000011</v>
      </c>
      <c r="CG77" s="39">
        <f t="shared" si="69"/>
        <v>70.800000000000011</v>
      </c>
      <c r="CH77" s="39">
        <f t="shared" si="70"/>
        <v>70.800000000000011</v>
      </c>
      <c r="CI77" s="39">
        <f t="shared" si="71"/>
        <v>0</v>
      </c>
      <c r="CJ77" s="39">
        <f t="shared" si="72"/>
        <v>0</v>
      </c>
      <c r="CK77" s="39">
        <f t="shared" si="73"/>
        <v>0</v>
      </c>
      <c r="CL77" s="39">
        <f t="shared" si="74"/>
        <v>0</v>
      </c>
      <c r="CM77" s="39">
        <f t="shared" si="75"/>
        <v>0</v>
      </c>
      <c r="CN77" s="39">
        <f t="shared" si="76"/>
        <v>0</v>
      </c>
      <c r="CO77" s="39">
        <f t="shared" si="77"/>
        <v>0</v>
      </c>
      <c r="CP77" s="39">
        <f t="shared" si="78"/>
        <v>0</v>
      </c>
    </row>
    <row r="78" spans="12:94" ht="16" customHeight="1" x14ac:dyDescent="0.2">
      <c r="L78" s="63">
        <v>30390</v>
      </c>
      <c r="M78" s="38">
        <v>21.8</v>
      </c>
      <c r="N78" s="38">
        <v>3.6</v>
      </c>
      <c r="O78" s="39">
        <v>0</v>
      </c>
      <c r="P78" s="39">
        <v>0</v>
      </c>
      <c r="Q78" s="46">
        <f t="shared" si="8"/>
        <v>0.13213415854882241</v>
      </c>
      <c r="R78" s="81">
        <f t="shared" si="9"/>
        <v>1.5819457330151405</v>
      </c>
      <c r="S78" s="82">
        <f t="shared" si="10"/>
        <v>20.218054266984861</v>
      </c>
      <c r="T78" s="39">
        <f t="shared" si="11"/>
        <v>0</v>
      </c>
      <c r="U78" s="83">
        <f t="shared" si="12"/>
        <v>0</v>
      </c>
      <c r="V78" s="84">
        <f t="shared" si="13"/>
        <v>2.8800000000000003</v>
      </c>
      <c r="W78" s="52">
        <f t="shared" si="14"/>
        <v>97.013815115914269</v>
      </c>
      <c r="X78" s="52">
        <f t="shared" si="15"/>
        <v>151.20000000000005</v>
      </c>
      <c r="Y78" s="52">
        <f t="shared" si="16"/>
        <v>248.21381511591431</v>
      </c>
      <c r="Z78" s="53">
        <f t="shared" si="17"/>
        <v>0.75792043059308023</v>
      </c>
      <c r="AA78" s="53">
        <f t="shared" si="18"/>
        <v>0.90000000000000024</v>
      </c>
      <c r="AB78" s="53">
        <f t="shared" si="19"/>
        <v>0.83856018620241324</v>
      </c>
      <c r="AC78" s="39" t="str">
        <f t="shared" si="20"/>
        <v>No</v>
      </c>
      <c r="AD78" s="85">
        <f t="shared" si="21"/>
        <v>0</v>
      </c>
      <c r="AE78" s="46">
        <f t="shared" si="22"/>
        <v>1</v>
      </c>
      <c r="AF78" s="46">
        <f t="shared" si="23"/>
        <v>0</v>
      </c>
      <c r="AG78" s="39">
        <f t="shared" si="79"/>
        <v>38.813815115914281</v>
      </c>
      <c r="AH78" s="39">
        <f t="shared" si="80"/>
        <v>63.2</v>
      </c>
      <c r="AI78" s="39">
        <f t="shared" si="81"/>
        <v>61.199999999999989</v>
      </c>
      <c r="AJ78" s="39">
        <f t="shared" si="82"/>
        <v>82.800000000000011</v>
      </c>
      <c r="AK78" s="39">
        <f t="shared" si="83"/>
        <v>79.799999999999983</v>
      </c>
      <c r="AL78" s="39">
        <f t="shared" si="84"/>
        <v>70.800000000000011</v>
      </c>
      <c r="AM78" s="39">
        <f t="shared" si="85"/>
        <v>70.800000000000011</v>
      </c>
      <c r="AN78" s="39">
        <f t="shared" si="86"/>
        <v>70.800000000000011</v>
      </c>
      <c r="AO78" s="39">
        <f t="shared" si="25"/>
        <v>0</v>
      </c>
      <c r="AP78" s="39">
        <f t="shared" si="26"/>
        <v>0</v>
      </c>
      <c r="AQ78" s="39">
        <f t="shared" si="27"/>
        <v>0</v>
      </c>
      <c r="AR78" s="39">
        <f t="shared" si="28"/>
        <v>0</v>
      </c>
      <c r="AS78" s="39">
        <f t="shared" si="29"/>
        <v>0</v>
      </c>
      <c r="AT78" s="39">
        <f t="shared" si="30"/>
        <v>0</v>
      </c>
      <c r="AU78" s="39">
        <f t="shared" si="31"/>
        <v>0</v>
      </c>
      <c r="AV78" s="39">
        <f t="shared" si="32"/>
        <v>0</v>
      </c>
      <c r="AW78" s="39">
        <f t="shared" si="33"/>
        <v>0</v>
      </c>
      <c r="AX78" s="39">
        <f t="shared" si="34"/>
        <v>0</v>
      </c>
      <c r="AY78" s="39">
        <f t="shared" si="35"/>
        <v>0</v>
      </c>
      <c r="AZ78" s="39">
        <f t="shared" si="36"/>
        <v>0</v>
      </c>
      <c r="BA78" s="39">
        <f t="shared" si="37"/>
        <v>0</v>
      </c>
      <c r="BB78" s="39">
        <f t="shared" si="38"/>
        <v>0</v>
      </c>
      <c r="BC78" s="39">
        <f t="shared" si="39"/>
        <v>0</v>
      </c>
      <c r="BD78" s="39">
        <f t="shared" si="40"/>
        <v>0</v>
      </c>
      <c r="BE78" s="39">
        <f t="shared" si="41"/>
        <v>0</v>
      </c>
      <c r="BF78" s="39">
        <f t="shared" si="42"/>
        <v>0</v>
      </c>
      <c r="BG78" s="39">
        <f t="shared" si="43"/>
        <v>0</v>
      </c>
      <c r="BH78" s="84">
        <f t="shared" si="44"/>
        <v>2.8800000000000003</v>
      </c>
      <c r="BI78" s="84">
        <f t="shared" si="45"/>
        <v>0</v>
      </c>
      <c r="BJ78" s="84">
        <f t="shared" si="46"/>
        <v>2.8800000000000003</v>
      </c>
      <c r="BK78" s="39">
        <f t="shared" si="47"/>
        <v>35.933815115914278</v>
      </c>
      <c r="BL78" s="39">
        <f t="shared" si="48"/>
        <v>63.2</v>
      </c>
      <c r="BM78" s="39">
        <f t="shared" si="49"/>
        <v>61.199999999999989</v>
      </c>
      <c r="BN78" s="39">
        <f t="shared" si="50"/>
        <v>82.800000000000011</v>
      </c>
      <c r="BO78" s="39">
        <f t="shared" si="51"/>
        <v>79.799999999999983</v>
      </c>
      <c r="BP78" s="39">
        <f t="shared" si="52"/>
        <v>70.800000000000011</v>
      </c>
      <c r="BQ78" s="39">
        <f t="shared" si="53"/>
        <v>70.800000000000011</v>
      </c>
      <c r="BR78" s="39">
        <f t="shared" si="54"/>
        <v>70.800000000000011</v>
      </c>
      <c r="BS78" s="39">
        <f t="shared" si="55"/>
        <v>0</v>
      </c>
      <c r="BT78" s="39">
        <f t="shared" si="56"/>
        <v>0</v>
      </c>
      <c r="BU78" s="39">
        <f t="shared" si="57"/>
        <v>0</v>
      </c>
      <c r="BV78" s="39">
        <f t="shared" si="58"/>
        <v>0</v>
      </c>
      <c r="BW78" s="39">
        <f t="shared" si="59"/>
        <v>0</v>
      </c>
      <c r="BX78" s="39">
        <f t="shared" si="60"/>
        <v>0</v>
      </c>
      <c r="BY78" s="39">
        <f t="shared" si="61"/>
        <v>0</v>
      </c>
      <c r="BZ78" s="39">
        <f t="shared" si="62"/>
        <v>0</v>
      </c>
      <c r="CA78" s="39">
        <f t="shared" si="63"/>
        <v>53.271869382899141</v>
      </c>
      <c r="CB78" s="39">
        <f t="shared" si="64"/>
        <v>63.2</v>
      </c>
      <c r="CC78" s="39">
        <f t="shared" si="65"/>
        <v>61.199999999999989</v>
      </c>
      <c r="CD78" s="39">
        <f t="shared" si="66"/>
        <v>82.800000000000011</v>
      </c>
      <c r="CE78" s="39">
        <f t="shared" si="67"/>
        <v>79.799999999999983</v>
      </c>
      <c r="CF78" s="39">
        <f t="shared" si="68"/>
        <v>70.800000000000011</v>
      </c>
      <c r="CG78" s="39">
        <f t="shared" si="69"/>
        <v>70.800000000000011</v>
      </c>
      <c r="CH78" s="39">
        <f t="shared" si="70"/>
        <v>70.800000000000011</v>
      </c>
      <c r="CI78" s="39">
        <f t="shared" si="71"/>
        <v>0</v>
      </c>
      <c r="CJ78" s="39">
        <f t="shared" si="72"/>
        <v>0</v>
      </c>
      <c r="CK78" s="39">
        <f t="shared" si="73"/>
        <v>0</v>
      </c>
      <c r="CL78" s="39">
        <f t="shared" si="74"/>
        <v>0</v>
      </c>
      <c r="CM78" s="39">
        <f t="shared" si="75"/>
        <v>0</v>
      </c>
      <c r="CN78" s="39">
        <f t="shared" si="76"/>
        <v>0</v>
      </c>
      <c r="CO78" s="39">
        <f t="shared" si="77"/>
        <v>0</v>
      </c>
      <c r="CP78" s="39">
        <f t="shared" si="78"/>
        <v>0</v>
      </c>
    </row>
    <row r="79" spans="12:94" ht="16" customHeight="1" x14ac:dyDescent="0.2">
      <c r="L79" s="63">
        <v>30391</v>
      </c>
      <c r="M79" s="38">
        <v>0</v>
      </c>
      <c r="N79" s="38">
        <v>4.2</v>
      </c>
      <c r="O79" s="39">
        <v>0</v>
      </c>
      <c r="P79" s="39">
        <v>0</v>
      </c>
      <c r="Q79" s="46">
        <f t="shared" si="8"/>
        <v>0.10282729179142067</v>
      </c>
      <c r="R79" s="81">
        <f t="shared" si="9"/>
        <v>0</v>
      </c>
      <c r="S79" s="82">
        <f t="shared" si="10"/>
        <v>0</v>
      </c>
      <c r="T79" s="39">
        <f t="shared" si="11"/>
        <v>0</v>
      </c>
      <c r="U79" s="83">
        <f t="shared" si="12"/>
        <v>0</v>
      </c>
      <c r="V79" s="84">
        <f t="shared" si="13"/>
        <v>3.3600000000000003</v>
      </c>
      <c r="W79" s="52">
        <f t="shared" si="14"/>
        <v>111.47186938289917</v>
      </c>
      <c r="X79" s="52">
        <f t="shared" si="15"/>
        <v>151.20000000000005</v>
      </c>
      <c r="Y79" s="52">
        <f t="shared" si="16"/>
        <v>262.67186938289922</v>
      </c>
      <c r="Z79" s="53">
        <f t="shared" si="17"/>
        <v>0.87087397955389978</v>
      </c>
      <c r="AA79" s="53">
        <f t="shared" si="18"/>
        <v>0.90000000000000024</v>
      </c>
      <c r="AB79" s="53">
        <f t="shared" si="19"/>
        <v>0.88740496413141623</v>
      </c>
      <c r="AC79" s="39" t="str">
        <f t="shared" si="20"/>
        <v>No</v>
      </c>
      <c r="AD79" s="85">
        <f t="shared" si="21"/>
        <v>0</v>
      </c>
      <c r="AE79" s="46">
        <f t="shared" si="22"/>
        <v>1</v>
      </c>
      <c r="AF79" s="46">
        <f t="shared" si="23"/>
        <v>0</v>
      </c>
      <c r="AG79" s="39">
        <f t="shared" si="79"/>
        <v>53.271869382899141</v>
      </c>
      <c r="AH79" s="39">
        <f t="shared" si="80"/>
        <v>63.2</v>
      </c>
      <c r="AI79" s="39">
        <f t="shared" si="81"/>
        <v>61.199999999999989</v>
      </c>
      <c r="AJ79" s="39">
        <f t="shared" si="82"/>
        <v>82.800000000000011</v>
      </c>
      <c r="AK79" s="39">
        <f t="shared" si="83"/>
        <v>79.799999999999983</v>
      </c>
      <c r="AL79" s="39">
        <f t="shared" si="84"/>
        <v>70.800000000000011</v>
      </c>
      <c r="AM79" s="39">
        <f t="shared" si="85"/>
        <v>70.800000000000011</v>
      </c>
      <c r="AN79" s="39">
        <f t="shared" si="86"/>
        <v>70.800000000000011</v>
      </c>
      <c r="AO79" s="39">
        <f t="shared" si="25"/>
        <v>0</v>
      </c>
      <c r="AP79" s="39">
        <f t="shared" si="26"/>
        <v>0</v>
      </c>
      <c r="AQ79" s="39">
        <f t="shared" si="27"/>
        <v>0</v>
      </c>
      <c r="AR79" s="39">
        <f t="shared" si="28"/>
        <v>0</v>
      </c>
      <c r="AS79" s="39">
        <f t="shared" si="29"/>
        <v>0</v>
      </c>
      <c r="AT79" s="39">
        <f t="shared" si="30"/>
        <v>0</v>
      </c>
      <c r="AU79" s="39">
        <f t="shared" si="31"/>
        <v>0</v>
      </c>
      <c r="AV79" s="39">
        <f t="shared" si="32"/>
        <v>0</v>
      </c>
      <c r="AW79" s="39">
        <f t="shared" si="33"/>
        <v>0</v>
      </c>
      <c r="AX79" s="39">
        <f t="shared" si="34"/>
        <v>0</v>
      </c>
      <c r="AY79" s="39">
        <f t="shared" si="35"/>
        <v>0</v>
      </c>
      <c r="AZ79" s="39">
        <f t="shared" si="36"/>
        <v>0</v>
      </c>
      <c r="BA79" s="39">
        <f t="shared" si="37"/>
        <v>0</v>
      </c>
      <c r="BB79" s="39">
        <f t="shared" si="38"/>
        <v>0</v>
      </c>
      <c r="BC79" s="39">
        <f t="shared" si="39"/>
        <v>0</v>
      </c>
      <c r="BD79" s="39">
        <f t="shared" si="40"/>
        <v>0</v>
      </c>
      <c r="BE79" s="39">
        <f t="shared" si="41"/>
        <v>0</v>
      </c>
      <c r="BF79" s="39">
        <f t="shared" si="42"/>
        <v>0</v>
      </c>
      <c r="BG79" s="39">
        <f t="shared" si="43"/>
        <v>0</v>
      </c>
      <c r="BH79" s="84">
        <f t="shared" si="44"/>
        <v>0</v>
      </c>
      <c r="BI79" s="84">
        <f t="shared" si="45"/>
        <v>3.3600000000000003</v>
      </c>
      <c r="BJ79" s="84">
        <f t="shared" si="46"/>
        <v>3.2471979327874929</v>
      </c>
      <c r="BK79" s="39">
        <f t="shared" si="47"/>
        <v>50.024671450111647</v>
      </c>
      <c r="BL79" s="39">
        <f t="shared" si="48"/>
        <v>63.2</v>
      </c>
      <c r="BM79" s="39">
        <f t="shared" si="49"/>
        <v>61.199999999999989</v>
      </c>
      <c r="BN79" s="39">
        <f t="shared" si="50"/>
        <v>82.800000000000011</v>
      </c>
      <c r="BO79" s="39">
        <f t="shared" si="51"/>
        <v>79.799999999999983</v>
      </c>
      <c r="BP79" s="39">
        <f t="shared" si="52"/>
        <v>70.800000000000011</v>
      </c>
      <c r="BQ79" s="39">
        <f t="shared" si="53"/>
        <v>70.800000000000011</v>
      </c>
      <c r="BR79" s="39">
        <f t="shared" si="54"/>
        <v>70.800000000000011</v>
      </c>
      <c r="BS79" s="39">
        <f t="shared" si="55"/>
        <v>0</v>
      </c>
      <c r="BT79" s="39">
        <f t="shared" si="56"/>
        <v>0</v>
      </c>
      <c r="BU79" s="39">
        <f t="shared" si="57"/>
        <v>0</v>
      </c>
      <c r="BV79" s="39">
        <f t="shared" si="58"/>
        <v>0</v>
      </c>
      <c r="BW79" s="39">
        <f t="shared" si="59"/>
        <v>0</v>
      </c>
      <c r="BX79" s="39">
        <f t="shared" si="60"/>
        <v>0</v>
      </c>
      <c r="BY79" s="39">
        <f t="shared" si="61"/>
        <v>0</v>
      </c>
      <c r="BZ79" s="39">
        <f t="shared" si="62"/>
        <v>0</v>
      </c>
      <c r="CA79" s="39">
        <f t="shared" si="63"/>
        <v>50.024671450111647</v>
      </c>
      <c r="CB79" s="39">
        <f t="shared" si="64"/>
        <v>63.2</v>
      </c>
      <c r="CC79" s="39">
        <f t="shared" si="65"/>
        <v>61.199999999999989</v>
      </c>
      <c r="CD79" s="39">
        <f t="shared" si="66"/>
        <v>82.800000000000011</v>
      </c>
      <c r="CE79" s="39">
        <f t="shared" si="67"/>
        <v>79.799999999999983</v>
      </c>
      <c r="CF79" s="39">
        <f t="shared" si="68"/>
        <v>70.800000000000011</v>
      </c>
      <c r="CG79" s="39">
        <f t="shared" si="69"/>
        <v>70.800000000000011</v>
      </c>
      <c r="CH79" s="39">
        <f t="shared" si="70"/>
        <v>70.800000000000011</v>
      </c>
      <c r="CI79" s="39">
        <f t="shared" si="71"/>
        <v>0</v>
      </c>
      <c r="CJ79" s="39">
        <f t="shared" si="72"/>
        <v>0</v>
      </c>
      <c r="CK79" s="39">
        <f t="shared" si="73"/>
        <v>0</v>
      </c>
      <c r="CL79" s="39">
        <f t="shared" si="74"/>
        <v>0</v>
      </c>
      <c r="CM79" s="39">
        <f t="shared" si="75"/>
        <v>0</v>
      </c>
      <c r="CN79" s="39">
        <f t="shared" si="76"/>
        <v>0</v>
      </c>
      <c r="CO79" s="39">
        <f t="shared" si="77"/>
        <v>0</v>
      </c>
      <c r="CP79" s="39">
        <f t="shared" si="78"/>
        <v>0</v>
      </c>
    </row>
    <row r="80" spans="12:94" ht="16" customHeight="1" x14ac:dyDescent="0.2">
      <c r="L80" s="63">
        <v>30392</v>
      </c>
      <c r="M80" s="38">
        <v>0</v>
      </c>
      <c r="N80" s="38">
        <v>3.8</v>
      </c>
      <c r="O80" s="39">
        <v>0</v>
      </c>
      <c r="P80" s="39">
        <v>0</v>
      </c>
      <c r="Q80" s="46">
        <f t="shared" si="8"/>
        <v>0.1094094497632872</v>
      </c>
      <c r="R80" s="81">
        <f t="shared" si="9"/>
        <v>0</v>
      </c>
      <c r="S80" s="82">
        <f t="shared" si="10"/>
        <v>0</v>
      </c>
      <c r="T80" s="39">
        <f t="shared" si="11"/>
        <v>0</v>
      </c>
      <c r="U80" s="83">
        <f t="shared" si="12"/>
        <v>0</v>
      </c>
      <c r="V80" s="84">
        <f t="shared" si="13"/>
        <v>3.04</v>
      </c>
      <c r="W80" s="52">
        <f t="shared" si="14"/>
        <v>108.22467145011166</v>
      </c>
      <c r="X80" s="52">
        <f t="shared" si="15"/>
        <v>151.20000000000005</v>
      </c>
      <c r="Y80" s="52">
        <f t="shared" si="16"/>
        <v>259.4246714501117</v>
      </c>
      <c r="Z80" s="53">
        <f t="shared" si="17"/>
        <v>0.84550524570399732</v>
      </c>
      <c r="AA80" s="53">
        <f t="shared" si="18"/>
        <v>0.90000000000000024</v>
      </c>
      <c r="AB80" s="53">
        <f t="shared" si="19"/>
        <v>0.87643470084497199</v>
      </c>
      <c r="AC80" s="39" t="str">
        <f t="shared" si="20"/>
        <v>No</v>
      </c>
      <c r="AD80" s="85">
        <f t="shared" si="21"/>
        <v>0</v>
      </c>
      <c r="AE80" s="46">
        <f t="shared" si="22"/>
        <v>1</v>
      </c>
      <c r="AF80" s="46">
        <f t="shared" si="23"/>
        <v>0</v>
      </c>
      <c r="AG80" s="39">
        <f t="shared" si="79"/>
        <v>50.024671450111647</v>
      </c>
      <c r="AH80" s="39">
        <f t="shared" si="80"/>
        <v>63.2</v>
      </c>
      <c r="AI80" s="39">
        <f t="shared" si="81"/>
        <v>61.199999999999989</v>
      </c>
      <c r="AJ80" s="39">
        <f t="shared" si="82"/>
        <v>82.800000000000011</v>
      </c>
      <c r="AK80" s="39">
        <f t="shared" si="83"/>
        <v>79.799999999999983</v>
      </c>
      <c r="AL80" s="39">
        <f t="shared" si="84"/>
        <v>70.800000000000011</v>
      </c>
      <c r="AM80" s="39">
        <f t="shared" si="85"/>
        <v>70.800000000000011</v>
      </c>
      <c r="AN80" s="39">
        <f t="shared" si="86"/>
        <v>70.800000000000011</v>
      </c>
      <c r="AO80" s="39">
        <f t="shared" si="25"/>
        <v>0</v>
      </c>
      <c r="AP80" s="39">
        <f t="shared" si="26"/>
        <v>0</v>
      </c>
      <c r="AQ80" s="39">
        <f t="shared" si="27"/>
        <v>0</v>
      </c>
      <c r="AR80" s="39">
        <f t="shared" si="28"/>
        <v>0</v>
      </c>
      <c r="AS80" s="39">
        <f t="shared" si="29"/>
        <v>0</v>
      </c>
      <c r="AT80" s="39">
        <f t="shared" si="30"/>
        <v>0</v>
      </c>
      <c r="AU80" s="39">
        <f t="shared" si="31"/>
        <v>0</v>
      </c>
      <c r="AV80" s="39">
        <f t="shared" si="32"/>
        <v>0</v>
      </c>
      <c r="AW80" s="39">
        <f t="shared" si="33"/>
        <v>0</v>
      </c>
      <c r="AX80" s="39">
        <f t="shared" si="34"/>
        <v>0</v>
      </c>
      <c r="AY80" s="39">
        <f t="shared" si="35"/>
        <v>0</v>
      </c>
      <c r="AZ80" s="39">
        <f t="shared" si="36"/>
        <v>0</v>
      </c>
      <c r="BA80" s="39">
        <f t="shared" si="37"/>
        <v>0</v>
      </c>
      <c r="BB80" s="39">
        <f t="shared" si="38"/>
        <v>0</v>
      </c>
      <c r="BC80" s="39">
        <f t="shared" si="39"/>
        <v>0</v>
      </c>
      <c r="BD80" s="39">
        <f t="shared" si="40"/>
        <v>0</v>
      </c>
      <c r="BE80" s="39">
        <f t="shared" si="41"/>
        <v>0</v>
      </c>
      <c r="BF80" s="39">
        <f t="shared" si="42"/>
        <v>0</v>
      </c>
      <c r="BG80" s="39">
        <f t="shared" si="43"/>
        <v>0</v>
      </c>
      <c r="BH80" s="84">
        <f t="shared" si="44"/>
        <v>0</v>
      </c>
      <c r="BI80" s="84">
        <f t="shared" si="45"/>
        <v>3.04</v>
      </c>
      <c r="BJ80" s="84">
        <f t="shared" si="46"/>
        <v>2.060727872367818</v>
      </c>
      <c r="BK80" s="39">
        <f t="shared" si="47"/>
        <v>47.963943577743827</v>
      </c>
      <c r="BL80" s="39">
        <f t="shared" si="48"/>
        <v>63.2</v>
      </c>
      <c r="BM80" s="39">
        <f t="shared" si="49"/>
        <v>61.199999999999989</v>
      </c>
      <c r="BN80" s="39">
        <f t="shared" si="50"/>
        <v>82.800000000000011</v>
      </c>
      <c r="BO80" s="39">
        <f t="shared" si="51"/>
        <v>79.799999999999983</v>
      </c>
      <c r="BP80" s="39">
        <f t="shared" si="52"/>
        <v>70.800000000000011</v>
      </c>
      <c r="BQ80" s="39">
        <f t="shared" si="53"/>
        <v>70.800000000000011</v>
      </c>
      <c r="BR80" s="39">
        <f t="shared" si="54"/>
        <v>70.800000000000011</v>
      </c>
      <c r="BS80" s="39">
        <f t="shared" si="55"/>
        <v>0</v>
      </c>
      <c r="BT80" s="39">
        <f t="shared" si="56"/>
        <v>0</v>
      </c>
      <c r="BU80" s="39">
        <f t="shared" si="57"/>
        <v>0</v>
      </c>
      <c r="BV80" s="39">
        <f t="shared" si="58"/>
        <v>0</v>
      </c>
      <c r="BW80" s="39">
        <f t="shared" si="59"/>
        <v>0</v>
      </c>
      <c r="BX80" s="39">
        <f t="shared" si="60"/>
        <v>0</v>
      </c>
      <c r="BY80" s="39">
        <f t="shared" si="61"/>
        <v>0</v>
      </c>
      <c r="BZ80" s="39">
        <f t="shared" si="62"/>
        <v>0</v>
      </c>
      <c r="CA80" s="39">
        <f t="shared" si="63"/>
        <v>47.963943577743827</v>
      </c>
      <c r="CB80" s="39">
        <f t="shared" si="64"/>
        <v>63.2</v>
      </c>
      <c r="CC80" s="39">
        <f t="shared" si="65"/>
        <v>61.199999999999989</v>
      </c>
      <c r="CD80" s="39">
        <f t="shared" si="66"/>
        <v>82.800000000000011</v>
      </c>
      <c r="CE80" s="39">
        <f t="shared" si="67"/>
        <v>79.799999999999983</v>
      </c>
      <c r="CF80" s="39">
        <f t="shared" si="68"/>
        <v>70.800000000000011</v>
      </c>
      <c r="CG80" s="39">
        <f t="shared" si="69"/>
        <v>70.800000000000011</v>
      </c>
      <c r="CH80" s="39">
        <f t="shared" si="70"/>
        <v>70.800000000000011</v>
      </c>
      <c r="CI80" s="39">
        <f t="shared" si="71"/>
        <v>0</v>
      </c>
      <c r="CJ80" s="39">
        <f t="shared" si="72"/>
        <v>0</v>
      </c>
      <c r="CK80" s="39">
        <f t="shared" si="73"/>
        <v>0</v>
      </c>
      <c r="CL80" s="39">
        <f t="shared" si="74"/>
        <v>0</v>
      </c>
      <c r="CM80" s="39">
        <f t="shared" si="75"/>
        <v>0</v>
      </c>
      <c r="CN80" s="39">
        <f t="shared" si="76"/>
        <v>0</v>
      </c>
      <c r="CO80" s="39">
        <f t="shared" si="77"/>
        <v>0</v>
      </c>
      <c r="CP80" s="39">
        <f t="shared" si="78"/>
        <v>0</v>
      </c>
    </row>
    <row r="81" spans="12:94" ht="16" customHeight="1" x14ac:dyDescent="0.2">
      <c r="L81" s="63">
        <v>30393</v>
      </c>
      <c r="M81" s="38">
        <v>0</v>
      </c>
      <c r="N81" s="38">
        <v>3.6</v>
      </c>
      <c r="O81" s="39">
        <v>0</v>
      </c>
      <c r="P81" s="39">
        <v>0</v>
      </c>
      <c r="Q81" s="46">
        <f t="shared" si="8"/>
        <v>0.11358660085592466</v>
      </c>
      <c r="R81" s="81">
        <f t="shared" si="9"/>
        <v>0</v>
      </c>
      <c r="S81" s="82">
        <f t="shared" si="10"/>
        <v>0</v>
      </c>
      <c r="T81" s="39">
        <f t="shared" si="11"/>
        <v>0</v>
      </c>
      <c r="U81" s="83">
        <f t="shared" si="12"/>
        <v>0</v>
      </c>
      <c r="V81" s="84">
        <f t="shared" si="13"/>
        <v>2.8800000000000003</v>
      </c>
      <c r="W81" s="52">
        <f t="shared" si="14"/>
        <v>106.16394357774382</v>
      </c>
      <c r="X81" s="52">
        <f t="shared" si="15"/>
        <v>151.20000000000005</v>
      </c>
      <c r="Y81" s="52">
        <f t="shared" si="16"/>
        <v>257.36394357774384</v>
      </c>
      <c r="Z81" s="53">
        <f t="shared" si="17"/>
        <v>0.82940580920112361</v>
      </c>
      <c r="AA81" s="53">
        <f t="shared" si="18"/>
        <v>0.90000000000000024</v>
      </c>
      <c r="AB81" s="53">
        <f t="shared" si="19"/>
        <v>0.86947278235724268</v>
      </c>
      <c r="AC81" s="39" t="str">
        <f t="shared" si="20"/>
        <v>No</v>
      </c>
      <c r="AD81" s="85">
        <f t="shared" si="21"/>
        <v>0</v>
      </c>
      <c r="AE81" s="46">
        <f t="shared" si="22"/>
        <v>1</v>
      </c>
      <c r="AF81" s="46">
        <f t="shared" si="23"/>
        <v>0</v>
      </c>
      <c r="AG81" s="39">
        <f t="shared" si="79"/>
        <v>47.963943577743827</v>
      </c>
      <c r="AH81" s="39">
        <f t="shared" si="80"/>
        <v>63.2</v>
      </c>
      <c r="AI81" s="39">
        <f t="shared" si="81"/>
        <v>61.199999999999989</v>
      </c>
      <c r="AJ81" s="39">
        <f t="shared" si="82"/>
        <v>82.800000000000011</v>
      </c>
      <c r="AK81" s="39">
        <f t="shared" si="83"/>
        <v>79.799999999999983</v>
      </c>
      <c r="AL81" s="39">
        <f t="shared" si="84"/>
        <v>70.800000000000011</v>
      </c>
      <c r="AM81" s="39">
        <f t="shared" si="85"/>
        <v>70.800000000000011</v>
      </c>
      <c r="AN81" s="39">
        <f t="shared" si="86"/>
        <v>70.800000000000011</v>
      </c>
      <c r="AO81" s="39">
        <f t="shared" si="25"/>
        <v>0</v>
      </c>
      <c r="AP81" s="39">
        <f t="shared" si="26"/>
        <v>0</v>
      </c>
      <c r="AQ81" s="39">
        <f t="shared" si="27"/>
        <v>0</v>
      </c>
      <c r="AR81" s="39">
        <f t="shared" si="28"/>
        <v>0</v>
      </c>
      <c r="AS81" s="39">
        <f t="shared" si="29"/>
        <v>0</v>
      </c>
      <c r="AT81" s="39">
        <f t="shared" si="30"/>
        <v>0</v>
      </c>
      <c r="AU81" s="39">
        <f t="shared" si="31"/>
        <v>0</v>
      </c>
      <c r="AV81" s="39">
        <f t="shared" si="32"/>
        <v>0</v>
      </c>
      <c r="AW81" s="39">
        <f t="shared" si="33"/>
        <v>0</v>
      </c>
      <c r="AX81" s="39">
        <f t="shared" si="34"/>
        <v>0</v>
      </c>
      <c r="AY81" s="39">
        <f t="shared" si="35"/>
        <v>0</v>
      </c>
      <c r="AZ81" s="39">
        <f t="shared" si="36"/>
        <v>0</v>
      </c>
      <c r="BA81" s="39">
        <f t="shared" si="37"/>
        <v>0</v>
      </c>
      <c r="BB81" s="39">
        <f t="shared" si="38"/>
        <v>0</v>
      </c>
      <c r="BC81" s="39">
        <f t="shared" si="39"/>
        <v>0</v>
      </c>
      <c r="BD81" s="39">
        <f t="shared" si="40"/>
        <v>0</v>
      </c>
      <c r="BE81" s="39">
        <f t="shared" si="41"/>
        <v>0</v>
      </c>
      <c r="BF81" s="39">
        <f t="shared" si="42"/>
        <v>0</v>
      </c>
      <c r="BG81" s="39">
        <f t="shared" si="43"/>
        <v>0</v>
      </c>
      <c r="BH81" s="84">
        <f t="shared" si="44"/>
        <v>0</v>
      </c>
      <c r="BI81" s="84">
        <f t="shared" si="45"/>
        <v>2.8800000000000003</v>
      </c>
      <c r="BJ81" s="84">
        <f t="shared" si="46"/>
        <v>1.531792425022259</v>
      </c>
      <c r="BK81" s="39">
        <f t="shared" si="47"/>
        <v>46.432151152721566</v>
      </c>
      <c r="BL81" s="39">
        <f t="shared" si="48"/>
        <v>63.2</v>
      </c>
      <c r="BM81" s="39">
        <f t="shared" si="49"/>
        <v>61.199999999999989</v>
      </c>
      <c r="BN81" s="39">
        <f t="shared" si="50"/>
        <v>82.800000000000011</v>
      </c>
      <c r="BO81" s="39">
        <f t="shared" si="51"/>
        <v>79.799999999999983</v>
      </c>
      <c r="BP81" s="39">
        <f t="shared" si="52"/>
        <v>70.800000000000011</v>
      </c>
      <c r="BQ81" s="39">
        <f t="shared" si="53"/>
        <v>70.800000000000011</v>
      </c>
      <c r="BR81" s="39">
        <f t="shared" si="54"/>
        <v>70.800000000000011</v>
      </c>
      <c r="BS81" s="39">
        <f t="shared" si="55"/>
        <v>0</v>
      </c>
      <c r="BT81" s="39">
        <f t="shared" si="56"/>
        <v>0</v>
      </c>
      <c r="BU81" s="39">
        <f t="shared" si="57"/>
        <v>0</v>
      </c>
      <c r="BV81" s="39">
        <f t="shared" si="58"/>
        <v>0</v>
      </c>
      <c r="BW81" s="39">
        <f t="shared" si="59"/>
        <v>0</v>
      </c>
      <c r="BX81" s="39">
        <f t="shared" si="60"/>
        <v>0</v>
      </c>
      <c r="BY81" s="39">
        <f t="shared" si="61"/>
        <v>0</v>
      </c>
      <c r="BZ81" s="39">
        <f t="shared" si="62"/>
        <v>0</v>
      </c>
      <c r="CA81" s="39">
        <f t="shared" si="63"/>
        <v>46.432151152721566</v>
      </c>
      <c r="CB81" s="39">
        <f t="shared" si="64"/>
        <v>63.2</v>
      </c>
      <c r="CC81" s="39">
        <f t="shared" si="65"/>
        <v>61.199999999999989</v>
      </c>
      <c r="CD81" s="39">
        <f t="shared" si="66"/>
        <v>82.800000000000011</v>
      </c>
      <c r="CE81" s="39">
        <f t="shared" si="67"/>
        <v>79.799999999999983</v>
      </c>
      <c r="CF81" s="39">
        <f t="shared" si="68"/>
        <v>70.800000000000011</v>
      </c>
      <c r="CG81" s="39">
        <f t="shared" si="69"/>
        <v>70.800000000000011</v>
      </c>
      <c r="CH81" s="39">
        <f t="shared" si="70"/>
        <v>70.800000000000011</v>
      </c>
      <c r="CI81" s="39">
        <f t="shared" si="71"/>
        <v>0</v>
      </c>
      <c r="CJ81" s="39">
        <f t="shared" si="72"/>
        <v>0</v>
      </c>
      <c r="CK81" s="39">
        <f t="shared" si="73"/>
        <v>0</v>
      </c>
      <c r="CL81" s="39">
        <f t="shared" si="74"/>
        <v>0</v>
      </c>
      <c r="CM81" s="39">
        <f t="shared" si="75"/>
        <v>0</v>
      </c>
      <c r="CN81" s="39">
        <f t="shared" si="76"/>
        <v>0</v>
      </c>
      <c r="CO81" s="39">
        <f t="shared" si="77"/>
        <v>0</v>
      </c>
      <c r="CP81" s="39">
        <f t="shared" si="78"/>
        <v>0</v>
      </c>
    </row>
    <row r="82" spans="12:94" ht="16" customHeight="1" x14ac:dyDescent="0.2">
      <c r="L82" s="63">
        <v>30394</v>
      </c>
      <c r="M82" s="38">
        <v>0</v>
      </c>
      <c r="N82" s="38">
        <v>3.6</v>
      </c>
      <c r="O82" s="39">
        <v>0</v>
      </c>
      <c r="P82" s="39">
        <v>0</v>
      </c>
      <c r="Q82" s="46">
        <f t="shared" si="8"/>
        <v>0.11669158550124005</v>
      </c>
      <c r="R82" s="81">
        <f t="shared" si="9"/>
        <v>0</v>
      </c>
      <c r="S82" s="82">
        <f t="shared" si="10"/>
        <v>0</v>
      </c>
      <c r="T82" s="39">
        <f t="shared" si="11"/>
        <v>0</v>
      </c>
      <c r="U82" s="83">
        <f t="shared" si="12"/>
        <v>0</v>
      </c>
      <c r="V82" s="84">
        <f t="shared" si="13"/>
        <v>2.8800000000000003</v>
      </c>
      <c r="W82" s="52">
        <f t="shared" si="14"/>
        <v>104.63215115272158</v>
      </c>
      <c r="X82" s="52">
        <f t="shared" si="15"/>
        <v>151.20000000000005</v>
      </c>
      <c r="Y82" s="52">
        <f t="shared" si="16"/>
        <v>255.83215115272162</v>
      </c>
      <c r="Z82" s="53">
        <f t="shared" si="17"/>
        <v>0.81743868088063731</v>
      </c>
      <c r="AA82" s="53">
        <f t="shared" si="18"/>
        <v>0.90000000000000024</v>
      </c>
      <c r="AB82" s="53">
        <f t="shared" si="19"/>
        <v>0.86429780794838384</v>
      </c>
      <c r="AC82" s="39" t="str">
        <f t="shared" si="20"/>
        <v>No</v>
      </c>
      <c r="AD82" s="85">
        <f t="shared" si="21"/>
        <v>0</v>
      </c>
      <c r="AE82" s="46">
        <f t="shared" si="22"/>
        <v>1</v>
      </c>
      <c r="AF82" s="46">
        <f t="shared" si="23"/>
        <v>0</v>
      </c>
      <c r="AG82" s="39">
        <f t="shared" si="79"/>
        <v>46.432151152721566</v>
      </c>
      <c r="AH82" s="39">
        <f t="shared" si="80"/>
        <v>63.2</v>
      </c>
      <c r="AI82" s="39">
        <f t="shared" si="81"/>
        <v>61.199999999999989</v>
      </c>
      <c r="AJ82" s="39">
        <f t="shared" si="82"/>
        <v>82.800000000000011</v>
      </c>
      <c r="AK82" s="39">
        <f t="shared" si="83"/>
        <v>79.799999999999983</v>
      </c>
      <c r="AL82" s="39">
        <f t="shared" si="84"/>
        <v>70.800000000000011</v>
      </c>
      <c r="AM82" s="39">
        <f t="shared" si="85"/>
        <v>70.800000000000011</v>
      </c>
      <c r="AN82" s="39">
        <f t="shared" si="86"/>
        <v>70.800000000000011</v>
      </c>
      <c r="AO82" s="39">
        <f t="shared" si="25"/>
        <v>0</v>
      </c>
      <c r="AP82" s="39">
        <f t="shared" si="26"/>
        <v>0</v>
      </c>
      <c r="AQ82" s="39">
        <f t="shared" si="27"/>
        <v>0</v>
      </c>
      <c r="AR82" s="39">
        <f t="shared" si="28"/>
        <v>0</v>
      </c>
      <c r="AS82" s="39">
        <f t="shared" si="29"/>
        <v>0</v>
      </c>
      <c r="AT82" s="39">
        <f t="shared" si="30"/>
        <v>0</v>
      </c>
      <c r="AU82" s="39">
        <f t="shared" si="31"/>
        <v>0</v>
      </c>
      <c r="AV82" s="39">
        <f t="shared" si="32"/>
        <v>0</v>
      </c>
      <c r="AW82" s="39">
        <f t="shared" si="33"/>
        <v>0</v>
      </c>
      <c r="AX82" s="39">
        <f t="shared" si="34"/>
        <v>0</v>
      </c>
      <c r="AY82" s="39">
        <f t="shared" si="35"/>
        <v>0</v>
      </c>
      <c r="AZ82" s="39">
        <f t="shared" si="36"/>
        <v>0</v>
      </c>
      <c r="BA82" s="39">
        <f t="shared" si="37"/>
        <v>0</v>
      </c>
      <c r="BB82" s="39">
        <f t="shared" si="38"/>
        <v>0</v>
      </c>
      <c r="BC82" s="39">
        <f t="shared" si="39"/>
        <v>0</v>
      </c>
      <c r="BD82" s="39">
        <f t="shared" si="40"/>
        <v>0</v>
      </c>
      <c r="BE82" s="39">
        <f t="shared" si="41"/>
        <v>0</v>
      </c>
      <c r="BF82" s="39">
        <f t="shared" si="42"/>
        <v>0</v>
      </c>
      <c r="BG82" s="39">
        <f t="shared" si="43"/>
        <v>0</v>
      </c>
      <c r="BH82" s="84">
        <f t="shared" si="44"/>
        <v>0</v>
      </c>
      <c r="BI82" s="84">
        <f t="shared" si="45"/>
        <v>2.8800000000000003</v>
      </c>
      <c r="BJ82" s="84">
        <f t="shared" si="46"/>
        <v>1.266308978465247</v>
      </c>
      <c r="BK82" s="39">
        <f t="shared" si="47"/>
        <v>45.165842174256319</v>
      </c>
      <c r="BL82" s="39">
        <f t="shared" si="48"/>
        <v>63.2</v>
      </c>
      <c r="BM82" s="39">
        <f t="shared" si="49"/>
        <v>61.199999999999989</v>
      </c>
      <c r="BN82" s="39">
        <f t="shared" si="50"/>
        <v>82.800000000000011</v>
      </c>
      <c r="BO82" s="39">
        <f t="shared" si="51"/>
        <v>79.799999999999983</v>
      </c>
      <c r="BP82" s="39">
        <f t="shared" si="52"/>
        <v>70.800000000000011</v>
      </c>
      <c r="BQ82" s="39">
        <f t="shared" si="53"/>
        <v>70.800000000000011</v>
      </c>
      <c r="BR82" s="39">
        <f t="shared" si="54"/>
        <v>70.800000000000011</v>
      </c>
      <c r="BS82" s="39">
        <f t="shared" si="55"/>
        <v>0</v>
      </c>
      <c r="BT82" s="39">
        <f t="shared" si="56"/>
        <v>0</v>
      </c>
      <c r="BU82" s="39">
        <f t="shared" si="57"/>
        <v>0</v>
      </c>
      <c r="BV82" s="39">
        <f t="shared" si="58"/>
        <v>0</v>
      </c>
      <c r="BW82" s="39">
        <f t="shared" si="59"/>
        <v>0</v>
      </c>
      <c r="BX82" s="39">
        <f t="shared" si="60"/>
        <v>0</v>
      </c>
      <c r="BY82" s="39">
        <f t="shared" si="61"/>
        <v>0</v>
      </c>
      <c r="BZ82" s="39">
        <f t="shared" si="62"/>
        <v>0</v>
      </c>
      <c r="CA82" s="39">
        <f t="shared" si="63"/>
        <v>45.165842174256319</v>
      </c>
      <c r="CB82" s="39">
        <f t="shared" si="64"/>
        <v>63.2</v>
      </c>
      <c r="CC82" s="39">
        <f t="shared" si="65"/>
        <v>61.199999999999989</v>
      </c>
      <c r="CD82" s="39">
        <f t="shared" si="66"/>
        <v>82.800000000000011</v>
      </c>
      <c r="CE82" s="39">
        <f t="shared" si="67"/>
        <v>79.799999999999983</v>
      </c>
      <c r="CF82" s="39">
        <f t="shared" si="68"/>
        <v>70.800000000000011</v>
      </c>
      <c r="CG82" s="39">
        <f t="shared" si="69"/>
        <v>70.800000000000011</v>
      </c>
      <c r="CH82" s="39">
        <f t="shared" si="70"/>
        <v>70.800000000000011</v>
      </c>
      <c r="CI82" s="39">
        <f t="shared" si="71"/>
        <v>0</v>
      </c>
      <c r="CJ82" s="39">
        <f t="shared" si="72"/>
        <v>0</v>
      </c>
      <c r="CK82" s="39">
        <f t="shared" si="73"/>
        <v>0</v>
      </c>
      <c r="CL82" s="39">
        <f t="shared" si="74"/>
        <v>0</v>
      </c>
      <c r="CM82" s="39">
        <f t="shared" si="75"/>
        <v>0</v>
      </c>
      <c r="CN82" s="39">
        <f t="shared" si="76"/>
        <v>0</v>
      </c>
      <c r="CO82" s="39">
        <f t="shared" si="77"/>
        <v>0</v>
      </c>
      <c r="CP82" s="39">
        <f t="shared" si="78"/>
        <v>0</v>
      </c>
    </row>
    <row r="83" spans="12:94" ht="16" customHeight="1" x14ac:dyDescent="0.2">
      <c r="L83" s="63">
        <v>30395</v>
      </c>
      <c r="M83" s="38">
        <v>0</v>
      </c>
      <c r="N83" s="38">
        <v>4.2</v>
      </c>
      <c r="O83" s="39">
        <v>0</v>
      </c>
      <c r="P83" s="39">
        <v>0</v>
      </c>
      <c r="Q83" s="46">
        <f t="shared" si="8"/>
        <v>0.1192584280251561</v>
      </c>
      <c r="R83" s="81">
        <f t="shared" si="9"/>
        <v>0</v>
      </c>
      <c r="S83" s="82">
        <f t="shared" si="10"/>
        <v>0</v>
      </c>
      <c r="T83" s="39">
        <f t="shared" si="11"/>
        <v>0</v>
      </c>
      <c r="U83" s="83">
        <f t="shared" si="12"/>
        <v>0</v>
      </c>
      <c r="V83" s="84">
        <f t="shared" si="13"/>
        <v>3.3600000000000003</v>
      </c>
      <c r="W83" s="52">
        <f t="shared" si="14"/>
        <v>103.36584217425633</v>
      </c>
      <c r="X83" s="52">
        <f t="shared" si="15"/>
        <v>151.20000000000005</v>
      </c>
      <c r="Y83" s="52">
        <f t="shared" si="16"/>
        <v>254.56584217425637</v>
      </c>
      <c r="Z83" s="53">
        <f t="shared" si="17"/>
        <v>0.80754564198637757</v>
      </c>
      <c r="AA83" s="53">
        <f t="shared" si="18"/>
        <v>0.90000000000000024</v>
      </c>
      <c r="AB83" s="53">
        <f t="shared" si="19"/>
        <v>0.86001973707519042</v>
      </c>
      <c r="AC83" s="39" t="str">
        <f t="shared" si="20"/>
        <v>No</v>
      </c>
      <c r="AD83" s="85">
        <f t="shared" si="21"/>
        <v>0</v>
      </c>
      <c r="AE83" s="46">
        <f t="shared" si="22"/>
        <v>1</v>
      </c>
      <c r="AF83" s="46">
        <f t="shared" si="23"/>
        <v>0</v>
      </c>
      <c r="AG83" s="39">
        <f t="shared" si="79"/>
        <v>45.165842174256319</v>
      </c>
      <c r="AH83" s="39">
        <f t="shared" si="80"/>
        <v>63.2</v>
      </c>
      <c r="AI83" s="39">
        <f t="shared" si="81"/>
        <v>61.199999999999989</v>
      </c>
      <c r="AJ83" s="39">
        <f t="shared" si="82"/>
        <v>82.800000000000011</v>
      </c>
      <c r="AK83" s="39">
        <f t="shared" si="83"/>
        <v>79.799999999999983</v>
      </c>
      <c r="AL83" s="39">
        <f t="shared" si="84"/>
        <v>70.800000000000011</v>
      </c>
      <c r="AM83" s="39">
        <f t="shared" si="85"/>
        <v>70.800000000000011</v>
      </c>
      <c r="AN83" s="39">
        <f t="shared" si="86"/>
        <v>70.800000000000011</v>
      </c>
      <c r="AO83" s="39">
        <f t="shared" si="25"/>
        <v>0</v>
      </c>
      <c r="AP83" s="39">
        <f t="shared" si="26"/>
        <v>0</v>
      </c>
      <c r="AQ83" s="39">
        <f t="shared" si="27"/>
        <v>0</v>
      </c>
      <c r="AR83" s="39">
        <f t="shared" si="28"/>
        <v>0</v>
      </c>
      <c r="AS83" s="39">
        <f t="shared" si="29"/>
        <v>0</v>
      </c>
      <c r="AT83" s="39">
        <f t="shared" si="30"/>
        <v>0</v>
      </c>
      <c r="AU83" s="39">
        <f t="shared" si="31"/>
        <v>0</v>
      </c>
      <c r="AV83" s="39">
        <f t="shared" si="32"/>
        <v>0</v>
      </c>
      <c r="AW83" s="39">
        <f t="shared" si="33"/>
        <v>0</v>
      </c>
      <c r="AX83" s="39">
        <f t="shared" si="34"/>
        <v>0</v>
      </c>
      <c r="AY83" s="39">
        <f t="shared" si="35"/>
        <v>0</v>
      </c>
      <c r="AZ83" s="39">
        <f t="shared" si="36"/>
        <v>0</v>
      </c>
      <c r="BA83" s="39">
        <f t="shared" si="37"/>
        <v>0</v>
      </c>
      <c r="BB83" s="39">
        <f t="shared" si="38"/>
        <v>0</v>
      </c>
      <c r="BC83" s="39">
        <f t="shared" si="39"/>
        <v>0</v>
      </c>
      <c r="BD83" s="39">
        <f t="shared" si="40"/>
        <v>0</v>
      </c>
      <c r="BE83" s="39">
        <f t="shared" si="41"/>
        <v>0</v>
      </c>
      <c r="BF83" s="39">
        <f t="shared" si="42"/>
        <v>0</v>
      </c>
      <c r="BG83" s="39">
        <f t="shared" si="43"/>
        <v>0</v>
      </c>
      <c r="BH83" s="84">
        <f t="shared" si="44"/>
        <v>0</v>
      </c>
      <c r="BI83" s="84">
        <f t="shared" si="45"/>
        <v>3.3600000000000003</v>
      </c>
      <c r="BJ83" s="84">
        <f t="shared" si="46"/>
        <v>1.2532908724413516</v>
      </c>
      <c r="BK83" s="39">
        <f t="shared" si="47"/>
        <v>43.912551301814965</v>
      </c>
      <c r="BL83" s="39">
        <f t="shared" si="48"/>
        <v>63.2</v>
      </c>
      <c r="BM83" s="39">
        <f t="shared" si="49"/>
        <v>61.199999999999989</v>
      </c>
      <c r="BN83" s="39">
        <f t="shared" si="50"/>
        <v>82.800000000000011</v>
      </c>
      <c r="BO83" s="39">
        <f t="shared" si="51"/>
        <v>79.799999999999983</v>
      </c>
      <c r="BP83" s="39">
        <f t="shared" si="52"/>
        <v>70.800000000000011</v>
      </c>
      <c r="BQ83" s="39">
        <f t="shared" si="53"/>
        <v>70.800000000000011</v>
      </c>
      <c r="BR83" s="39">
        <f t="shared" si="54"/>
        <v>70.800000000000011</v>
      </c>
      <c r="BS83" s="39">
        <f t="shared" si="55"/>
        <v>0</v>
      </c>
      <c r="BT83" s="39">
        <f t="shared" si="56"/>
        <v>0</v>
      </c>
      <c r="BU83" s="39">
        <f t="shared" si="57"/>
        <v>0</v>
      </c>
      <c r="BV83" s="39">
        <f t="shared" si="58"/>
        <v>0</v>
      </c>
      <c r="BW83" s="39">
        <f t="shared" si="59"/>
        <v>0</v>
      </c>
      <c r="BX83" s="39">
        <f t="shared" si="60"/>
        <v>0</v>
      </c>
      <c r="BY83" s="39">
        <f t="shared" si="61"/>
        <v>0</v>
      </c>
      <c r="BZ83" s="39">
        <f t="shared" si="62"/>
        <v>0</v>
      </c>
      <c r="CA83" s="39">
        <f t="shared" si="63"/>
        <v>43.912551301814965</v>
      </c>
      <c r="CB83" s="39">
        <f t="shared" si="64"/>
        <v>63.2</v>
      </c>
      <c r="CC83" s="39">
        <f t="shared" si="65"/>
        <v>61.199999999999989</v>
      </c>
      <c r="CD83" s="39">
        <f t="shared" si="66"/>
        <v>82.800000000000011</v>
      </c>
      <c r="CE83" s="39">
        <f t="shared" si="67"/>
        <v>79.799999999999983</v>
      </c>
      <c r="CF83" s="39">
        <f t="shared" si="68"/>
        <v>70.800000000000011</v>
      </c>
      <c r="CG83" s="39">
        <f t="shared" si="69"/>
        <v>70.800000000000011</v>
      </c>
      <c r="CH83" s="39">
        <f t="shared" si="70"/>
        <v>70.800000000000011</v>
      </c>
      <c r="CI83" s="39">
        <f t="shared" si="71"/>
        <v>0</v>
      </c>
      <c r="CJ83" s="39">
        <f t="shared" si="72"/>
        <v>0</v>
      </c>
      <c r="CK83" s="39">
        <f t="shared" si="73"/>
        <v>0</v>
      </c>
      <c r="CL83" s="39">
        <f t="shared" si="74"/>
        <v>0</v>
      </c>
      <c r="CM83" s="39">
        <f t="shared" si="75"/>
        <v>0</v>
      </c>
      <c r="CN83" s="39">
        <f t="shared" si="76"/>
        <v>0</v>
      </c>
      <c r="CO83" s="39">
        <f t="shared" si="77"/>
        <v>0</v>
      </c>
      <c r="CP83" s="39">
        <f t="shared" si="78"/>
        <v>0</v>
      </c>
    </row>
    <row r="84" spans="12:94" ht="16" customHeight="1" x14ac:dyDescent="0.2">
      <c r="L84" s="63">
        <v>30396</v>
      </c>
      <c r="M84" s="38">
        <v>0</v>
      </c>
      <c r="N84" s="38">
        <v>5.5</v>
      </c>
      <c r="O84" s="39">
        <v>0</v>
      </c>
      <c r="P84" s="39">
        <v>0</v>
      </c>
      <c r="Q84" s="46">
        <f t="shared" si="8"/>
        <v>0.12179888249632102</v>
      </c>
      <c r="R84" s="81">
        <f t="shared" si="9"/>
        <v>0</v>
      </c>
      <c r="S84" s="82">
        <f t="shared" si="10"/>
        <v>0</v>
      </c>
      <c r="T84" s="39">
        <f t="shared" si="11"/>
        <v>0</v>
      </c>
      <c r="U84" s="83">
        <f t="shared" si="12"/>
        <v>0</v>
      </c>
      <c r="V84" s="84">
        <f t="shared" si="13"/>
        <v>4.4000000000000004</v>
      </c>
      <c r="W84" s="52">
        <f t="shared" si="14"/>
        <v>102.11255130181496</v>
      </c>
      <c r="X84" s="52">
        <f t="shared" si="15"/>
        <v>151.20000000000005</v>
      </c>
      <c r="Y84" s="52">
        <f t="shared" si="16"/>
        <v>253.31255130181501</v>
      </c>
      <c r="Z84" s="53">
        <f t="shared" si="17"/>
        <v>0.79775430704542938</v>
      </c>
      <c r="AA84" s="53">
        <f t="shared" si="18"/>
        <v>0.90000000000000024</v>
      </c>
      <c r="AB84" s="53">
        <f t="shared" si="19"/>
        <v>0.8557856462899156</v>
      </c>
      <c r="AC84" s="39" t="str">
        <f t="shared" si="20"/>
        <v>No</v>
      </c>
      <c r="AD84" s="85">
        <f t="shared" si="21"/>
        <v>0</v>
      </c>
      <c r="AE84" s="46">
        <f t="shared" si="22"/>
        <v>1</v>
      </c>
      <c r="AF84" s="46">
        <f t="shared" si="23"/>
        <v>0</v>
      </c>
      <c r="AG84" s="39">
        <f t="shared" si="79"/>
        <v>43.912551301814965</v>
      </c>
      <c r="AH84" s="39">
        <f t="shared" si="80"/>
        <v>63.2</v>
      </c>
      <c r="AI84" s="39">
        <f t="shared" si="81"/>
        <v>61.199999999999989</v>
      </c>
      <c r="AJ84" s="39">
        <f t="shared" si="82"/>
        <v>82.800000000000011</v>
      </c>
      <c r="AK84" s="39">
        <f t="shared" si="83"/>
        <v>79.799999999999983</v>
      </c>
      <c r="AL84" s="39">
        <f t="shared" si="84"/>
        <v>70.800000000000011</v>
      </c>
      <c r="AM84" s="39">
        <f t="shared" si="85"/>
        <v>70.800000000000011</v>
      </c>
      <c r="AN84" s="39">
        <f t="shared" si="86"/>
        <v>70.800000000000011</v>
      </c>
      <c r="AO84" s="39">
        <f t="shared" si="25"/>
        <v>0</v>
      </c>
      <c r="AP84" s="39">
        <f t="shared" si="26"/>
        <v>0</v>
      </c>
      <c r="AQ84" s="39">
        <f t="shared" si="27"/>
        <v>0</v>
      </c>
      <c r="AR84" s="39">
        <f t="shared" si="28"/>
        <v>0</v>
      </c>
      <c r="AS84" s="39">
        <f t="shared" si="29"/>
        <v>0</v>
      </c>
      <c r="AT84" s="39">
        <f t="shared" si="30"/>
        <v>0</v>
      </c>
      <c r="AU84" s="39">
        <f t="shared" si="31"/>
        <v>0</v>
      </c>
      <c r="AV84" s="39">
        <f t="shared" si="32"/>
        <v>0</v>
      </c>
      <c r="AW84" s="39">
        <f t="shared" si="33"/>
        <v>0</v>
      </c>
      <c r="AX84" s="39">
        <f t="shared" si="34"/>
        <v>0</v>
      </c>
      <c r="AY84" s="39">
        <f t="shared" si="35"/>
        <v>0</v>
      </c>
      <c r="AZ84" s="39">
        <f t="shared" si="36"/>
        <v>0</v>
      </c>
      <c r="BA84" s="39">
        <f t="shared" si="37"/>
        <v>0</v>
      </c>
      <c r="BB84" s="39">
        <f t="shared" si="38"/>
        <v>0</v>
      </c>
      <c r="BC84" s="39">
        <f t="shared" si="39"/>
        <v>0</v>
      </c>
      <c r="BD84" s="39">
        <f t="shared" si="40"/>
        <v>0</v>
      </c>
      <c r="BE84" s="39">
        <f t="shared" si="41"/>
        <v>0</v>
      </c>
      <c r="BF84" s="39">
        <f t="shared" si="42"/>
        <v>0</v>
      </c>
      <c r="BG84" s="39">
        <f t="shared" si="43"/>
        <v>0</v>
      </c>
      <c r="BH84" s="84">
        <f t="shared" si="44"/>
        <v>0</v>
      </c>
      <c r="BI84" s="84">
        <f t="shared" si="45"/>
        <v>4.4000000000000004</v>
      </c>
      <c r="BJ84" s="84">
        <f t="shared" si="46"/>
        <v>1.3849979268685508</v>
      </c>
      <c r="BK84" s="39">
        <f t="shared" si="47"/>
        <v>42.527553374946415</v>
      </c>
      <c r="BL84" s="39">
        <f t="shared" si="48"/>
        <v>63.2</v>
      </c>
      <c r="BM84" s="39">
        <f t="shared" si="49"/>
        <v>61.199999999999989</v>
      </c>
      <c r="BN84" s="39">
        <f t="shared" si="50"/>
        <v>82.800000000000011</v>
      </c>
      <c r="BO84" s="39">
        <f t="shared" si="51"/>
        <v>79.799999999999983</v>
      </c>
      <c r="BP84" s="39">
        <f t="shared" si="52"/>
        <v>70.800000000000011</v>
      </c>
      <c r="BQ84" s="39">
        <f t="shared" si="53"/>
        <v>70.800000000000011</v>
      </c>
      <c r="BR84" s="39">
        <f t="shared" si="54"/>
        <v>70.800000000000011</v>
      </c>
      <c r="BS84" s="39">
        <f t="shared" si="55"/>
        <v>0</v>
      </c>
      <c r="BT84" s="39">
        <f t="shared" si="56"/>
        <v>0</v>
      </c>
      <c r="BU84" s="39">
        <f t="shared" si="57"/>
        <v>0</v>
      </c>
      <c r="BV84" s="39">
        <f t="shared" si="58"/>
        <v>0</v>
      </c>
      <c r="BW84" s="39">
        <f t="shared" si="59"/>
        <v>0</v>
      </c>
      <c r="BX84" s="39">
        <f t="shared" si="60"/>
        <v>0</v>
      </c>
      <c r="BY84" s="39">
        <f t="shared" si="61"/>
        <v>0</v>
      </c>
      <c r="BZ84" s="39">
        <f t="shared" si="62"/>
        <v>0</v>
      </c>
      <c r="CA84" s="39">
        <f t="shared" si="63"/>
        <v>42.527553374946415</v>
      </c>
      <c r="CB84" s="39">
        <f t="shared" si="64"/>
        <v>63.2</v>
      </c>
      <c r="CC84" s="39">
        <f t="shared" si="65"/>
        <v>61.199999999999989</v>
      </c>
      <c r="CD84" s="39">
        <f t="shared" si="66"/>
        <v>82.800000000000011</v>
      </c>
      <c r="CE84" s="39">
        <f t="shared" si="67"/>
        <v>79.799999999999983</v>
      </c>
      <c r="CF84" s="39">
        <f t="shared" si="68"/>
        <v>70.800000000000011</v>
      </c>
      <c r="CG84" s="39">
        <f t="shared" si="69"/>
        <v>70.800000000000011</v>
      </c>
      <c r="CH84" s="39">
        <f t="shared" si="70"/>
        <v>70.800000000000011</v>
      </c>
      <c r="CI84" s="39">
        <f t="shared" si="71"/>
        <v>0</v>
      </c>
      <c r="CJ84" s="39">
        <f t="shared" si="72"/>
        <v>0</v>
      </c>
      <c r="CK84" s="39">
        <f t="shared" si="73"/>
        <v>0</v>
      </c>
      <c r="CL84" s="39">
        <f t="shared" si="74"/>
        <v>0</v>
      </c>
      <c r="CM84" s="39">
        <f t="shared" si="75"/>
        <v>0</v>
      </c>
      <c r="CN84" s="39">
        <f t="shared" si="76"/>
        <v>0</v>
      </c>
      <c r="CO84" s="39">
        <f t="shared" si="77"/>
        <v>0</v>
      </c>
      <c r="CP84" s="39">
        <f t="shared" si="78"/>
        <v>0</v>
      </c>
    </row>
    <row r="85" spans="12:94" ht="16" customHeight="1" x14ac:dyDescent="0.2">
      <c r="L85" s="63">
        <v>30397</v>
      </c>
      <c r="M85" s="38">
        <v>0</v>
      </c>
      <c r="N85" s="38">
        <v>4</v>
      </c>
      <c r="O85" s="39">
        <v>0</v>
      </c>
      <c r="P85" s="39">
        <v>0</v>
      </c>
      <c r="Q85" s="46">
        <f t="shared" si="8"/>
        <v>0.12460631072645996</v>
      </c>
      <c r="R85" s="81">
        <f t="shared" si="9"/>
        <v>0</v>
      </c>
      <c r="S85" s="82">
        <f t="shared" si="10"/>
        <v>0</v>
      </c>
      <c r="T85" s="39">
        <f t="shared" si="11"/>
        <v>0</v>
      </c>
      <c r="U85" s="83">
        <f t="shared" si="12"/>
        <v>0</v>
      </c>
      <c r="V85" s="84">
        <f t="shared" si="13"/>
        <v>3.2</v>
      </c>
      <c r="W85" s="52">
        <f t="shared" si="14"/>
        <v>100.72755337494641</v>
      </c>
      <c r="X85" s="52">
        <f t="shared" si="15"/>
        <v>151.20000000000005</v>
      </c>
      <c r="Y85" s="52">
        <f t="shared" si="16"/>
        <v>251.92755337494646</v>
      </c>
      <c r="Z85" s="53">
        <f t="shared" si="17"/>
        <v>0.78693401074176883</v>
      </c>
      <c r="AA85" s="53">
        <f t="shared" si="18"/>
        <v>0.90000000000000024</v>
      </c>
      <c r="AB85" s="53">
        <f t="shared" si="19"/>
        <v>0.85110659923968401</v>
      </c>
      <c r="AC85" s="39" t="str">
        <f t="shared" si="20"/>
        <v>No</v>
      </c>
      <c r="AD85" s="85">
        <f t="shared" si="21"/>
        <v>0</v>
      </c>
      <c r="AE85" s="46">
        <f t="shared" si="22"/>
        <v>1</v>
      </c>
      <c r="AF85" s="46">
        <f t="shared" si="23"/>
        <v>0</v>
      </c>
      <c r="AG85" s="39">
        <f t="shared" si="79"/>
        <v>42.527553374946415</v>
      </c>
      <c r="AH85" s="39">
        <f t="shared" si="80"/>
        <v>63.2</v>
      </c>
      <c r="AI85" s="39">
        <f t="shared" si="81"/>
        <v>61.199999999999989</v>
      </c>
      <c r="AJ85" s="39">
        <f t="shared" si="82"/>
        <v>82.800000000000011</v>
      </c>
      <c r="AK85" s="39">
        <f t="shared" si="83"/>
        <v>79.799999999999983</v>
      </c>
      <c r="AL85" s="39">
        <f t="shared" si="84"/>
        <v>70.800000000000011</v>
      </c>
      <c r="AM85" s="39">
        <f t="shared" si="85"/>
        <v>70.800000000000011</v>
      </c>
      <c r="AN85" s="39">
        <f t="shared" si="86"/>
        <v>70.800000000000011</v>
      </c>
      <c r="AO85" s="39">
        <f t="shared" si="25"/>
        <v>0</v>
      </c>
      <c r="AP85" s="39">
        <f t="shared" si="26"/>
        <v>0</v>
      </c>
      <c r="AQ85" s="39">
        <f t="shared" si="27"/>
        <v>0</v>
      </c>
      <c r="AR85" s="39">
        <f t="shared" si="28"/>
        <v>0</v>
      </c>
      <c r="AS85" s="39">
        <f t="shared" si="29"/>
        <v>0</v>
      </c>
      <c r="AT85" s="39">
        <f t="shared" si="30"/>
        <v>0</v>
      </c>
      <c r="AU85" s="39">
        <f t="shared" si="31"/>
        <v>0</v>
      </c>
      <c r="AV85" s="39">
        <f t="shared" si="32"/>
        <v>0</v>
      </c>
      <c r="AW85" s="39">
        <f t="shared" si="33"/>
        <v>0</v>
      </c>
      <c r="AX85" s="39">
        <f t="shared" si="34"/>
        <v>0</v>
      </c>
      <c r="AY85" s="39">
        <f t="shared" si="35"/>
        <v>0</v>
      </c>
      <c r="AZ85" s="39">
        <f t="shared" si="36"/>
        <v>0</v>
      </c>
      <c r="BA85" s="39">
        <f t="shared" si="37"/>
        <v>0</v>
      </c>
      <c r="BB85" s="39">
        <f t="shared" si="38"/>
        <v>0</v>
      </c>
      <c r="BC85" s="39">
        <f t="shared" si="39"/>
        <v>0</v>
      </c>
      <c r="BD85" s="39">
        <f t="shared" si="40"/>
        <v>0</v>
      </c>
      <c r="BE85" s="39">
        <f t="shared" si="41"/>
        <v>0</v>
      </c>
      <c r="BF85" s="39">
        <f t="shared" si="42"/>
        <v>0</v>
      </c>
      <c r="BG85" s="39">
        <f t="shared" si="43"/>
        <v>0</v>
      </c>
      <c r="BH85" s="84">
        <f t="shared" si="44"/>
        <v>0</v>
      </c>
      <c r="BI85" s="84">
        <f t="shared" si="45"/>
        <v>3.2</v>
      </c>
      <c r="BJ85" s="84">
        <f t="shared" si="46"/>
        <v>0.82769668001996721</v>
      </c>
      <c r="BK85" s="39">
        <f t="shared" si="47"/>
        <v>41.699856694926446</v>
      </c>
      <c r="BL85" s="39">
        <f t="shared" si="48"/>
        <v>63.2</v>
      </c>
      <c r="BM85" s="39">
        <f t="shared" si="49"/>
        <v>61.199999999999989</v>
      </c>
      <c r="BN85" s="39">
        <f t="shared" si="50"/>
        <v>82.800000000000011</v>
      </c>
      <c r="BO85" s="39">
        <f t="shared" si="51"/>
        <v>79.799999999999983</v>
      </c>
      <c r="BP85" s="39">
        <f t="shared" si="52"/>
        <v>70.800000000000011</v>
      </c>
      <c r="BQ85" s="39">
        <f t="shared" si="53"/>
        <v>70.800000000000011</v>
      </c>
      <c r="BR85" s="39">
        <f t="shared" si="54"/>
        <v>70.800000000000011</v>
      </c>
      <c r="BS85" s="39">
        <f t="shared" si="55"/>
        <v>0</v>
      </c>
      <c r="BT85" s="39">
        <f t="shared" si="56"/>
        <v>0</v>
      </c>
      <c r="BU85" s="39">
        <f t="shared" si="57"/>
        <v>0</v>
      </c>
      <c r="BV85" s="39">
        <f t="shared" si="58"/>
        <v>0</v>
      </c>
      <c r="BW85" s="39">
        <f t="shared" si="59"/>
        <v>0</v>
      </c>
      <c r="BX85" s="39">
        <f t="shared" si="60"/>
        <v>0</v>
      </c>
      <c r="BY85" s="39">
        <f t="shared" si="61"/>
        <v>0</v>
      </c>
      <c r="BZ85" s="39">
        <f t="shared" si="62"/>
        <v>0</v>
      </c>
      <c r="CA85" s="39">
        <f t="shared" si="63"/>
        <v>41.699856694926446</v>
      </c>
      <c r="CB85" s="39">
        <f t="shared" si="64"/>
        <v>63.2</v>
      </c>
      <c r="CC85" s="39">
        <f t="shared" si="65"/>
        <v>61.199999999999989</v>
      </c>
      <c r="CD85" s="39">
        <f t="shared" si="66"/>
        <v>82.800000000000011</v>
      </c>
      <c r="CE85" s="39">
        <f t="shared" si="67"/>
        <v>79.799999999999983</v>
      </c>
      <c r="CF85" s="39">
        <f t="shared" si="68"/>
        <v>70.800000000000011</v>
      </c>
      <c r="CG85" s="39">
        <f t="shared" si="69"/>
        <v>70.800000000000011</v>
      </c>
      <c r="CH85" s="39">
        <f t="shared" si="70"/>
        <v>70.800000000000011</v>
      </c>
      <c r="CI85" s="39">
        <f t="shared" si="71"/>
        <v>0</v>
      </c>
      <c r="CJ85" s="39">
        <f t="shared" si="72"/>
        <v>0</v>
      </c>
      <c r="CK85" s="39">
        <f t="shared" si="73"/>
        <v>0</v>
      </c>
      <c r="CL85" s="39">
        <f t="shared" si="74"/>
        <v>0</v>
      </c>
      <c r="CM85" s="39">
        <f t="shared" si="75"/>
        <v>0</v>
      </c>
      <c r="CN85" s="39">
        <f t="shared" si="76"/>
        <v>0</v>
      </c>
      <c r="CO85" s="39">
        <f t="shared" si="77"/>
        <v>0</v>
      </c>
      <c r="CP85" s="39">
        <f t="shared" si="78"/>
        <v>0</v>
      </c>
    </row>
    <row r="86" spans="12:94" ht="16" customHeight="1" x14ac:dyDescent="0.2">
      <c r="L86" s="63">
        <v>30398</v>
      </c>
      <c r="M86" s="38">
        <v>0</v>
      </c>
      <c r="N86" s="38">
        <v>3.7</v>
      </c>
      <c r="O86" s="39">
        <v>0</v>
      </c>
      <c r="P86" s="39">
        <v>0</v>
      </c>
      <c r="Q86" s="46">
        <f t="shared" si="8"/>
        <v>0.126284074267041</v>
      </c>
      <c r="R86" s="81">
        <f t="shared" si="9"/>
        <v>0</v>
      </c>
      <c r="S86" s="82">
        <f t="shared" si="10"/>
        <v>0</v>
      </c>
      <c r="T86" s="39">
        <f t="shared" si="11"/>
        <v>0</v>
      </c>
      <c r="U86" s="83">
        <f t="shared" si="12"/>
        <v>0</v>
      </c>
      <c r="V86" s="84">
        <f t="shared" si="13"/>
        <v>2.9600000000000004</v>
      </c>
      <c r="W86" s="52">
        <f t="shared" si="14"/>
        <v>99.899856694926456</v>
      </c>
      <c r="X86" s="52">
        <f t="shared" si="15"/>
        <v>151.20000000000005</v>
      </c>
      <c r="Y86" s="52">
        <f t="shared" si="16"/>
        <v>251.0998566949265</v>
      </c>
      <c r="Z86" s="53">
        <f t="shared" si="17"/>
        <v>0.78046763042911294</v>
      </c>
      <c r="AA86" s="53">
        <f t="shared" si="18"/>
        <v>0.90000000000000024</v>
      </c>
      <c r="AB86" s="53">
        <f t="shared" si="19"/>
        <v>0.84831032667204898</v>
      </c>
      <c r="AC86" s="39" t="str">
        <f t="shared" si="20"/>
        <v>No</v>
      </c>
      <c r="AD86" s="85">
        <f t="shared" si="21"/>
        <v>0</v>
      </c>
      <c r="AE86" s="46">
        <f t="shared" si="22"/>
        <v>1</v>
      </c>
      <c r="AF86" s="46">
        <f t="shared" si="23"/>
        <v>0</v>
      </c>
      <c r="AG86" s="39">
        <f t="shared" si="79"/>
        <v>41.699856694926446</v>
      </c>
      <c r="AH86" s="39">
        <f t="shared" si="80"/>
        <v>63.2</v>
      </c>
      <c r="AI86" s="39">
        <f t="shared" si="81"/>
        <v>61.199999999999989</v>
      </c>
      <c r="AJ86" s="39">
        <f t="shared" si="82"/>
        <v>82.800000000000011</v>
      </c>
      <c r="AK86" s="39">
        <f t="shared" si="83"/>
        <v>79.799999999999983</v>
      </c>
      <c r="AL86" s="39">
        <f t="shared" si="84"/>
        <v>70.800000000000011</v>
      </c>
      <c r="AM86" s="39">
        <f t="shared" si="85"/>
        <v>70.800000000000011</v>
      </c>
      <c r="AN86" s="39">
        <f t="shared" si="86"/>
        <v>70.800000000000011</v>
      </c>
      <c r="AO86" s="39">
        <f t="shared" si="25"/>
        <v>0</v>
      </c>
      <c r="AP86" s="39">
        <f t="shared" si="26"/>
        <v>0</v>
      </c>
      <c r="AQ86" s="39">
        <f t="shared" si="27"/>
        <v>0</v>
      </c>
      <c r="AR86" s="39">
        <f t="shared" si="28"/>
        <v>0</v>
      </c>
      <c r="AS86" s="39">
        <f t="shared" si="29"/>
        <v>0</v>
      </c>
      <c r="AT86" s="39">
        <f t="shared" si="30"/>
        <v>0</v>
      </c>
      <c r="AU86" s="39">
        <f t="shared" si="31"/>
        <v>0</v>
      </c>
      <c r="AV86" s="39">
        <f t="shared" si="32"/>
        <v>0</v>
      </c>
      <c r="AW86" s="39">
        <f t="shared" si="33"/>
        <v>0</v>
      </c>
      <c r="AX86" s="39">
        <f t="shared" si="34"/>
        <v>0</v>
      </c>
      <c r="AY86" s="39">
        <f t="shared" si="35"/>
        <v>0</v>
      </c>
      <c r="AZ86" s="39">
        <f t="shared" si="36"/>
        <v>0</v>
      </c>
      <c r="BA86" s="39">
        <f t="shared" si="37"/>
        <v>0</v>
      </c>
      <c r="BB86" s="39">
        <f t="shared" si="38"/>
        <v>0</v>
      </c>
      <c r="BC86" s="39">
        <f t="shared" si="39"/>
        <v>0</v>
      </c>
      <c r="BD86" s="39">
        <f t="shared" si="40"/>
        <v>0</v>
      </c>
      <c r="BE86" s="39">
        <f t="shared" si="41"/>
        <v>0</v>
      </c>
      <c r="BF86" s="39">
        <f t="shared" si="42"/>
        <v>0</v>
      </c>
      <c r="BG86" s="39">
        <f t="shared" si="43"/>
        <v>0</v>
      </c>
      <c r="BH86" s="84">
        <f t="shared" si="44"/>
        <v>0</v>
      </c>
      <c r="BI86" s="84">
        <f t="shared" si="45"/>
        <v>2.9600000000000004</v>
      </c>
      <c r="BJ86" s="84">
        <f t="shared" si="46"/>
        <v>0.67760751512672168</v>
      </c>
      <c r="BK86" s="39">
        <f t="shared" si="47"/>
        <v>41.022249179799722</v>
      </c>
      <c r="BL86" s="39">
        <f t="shared" si="48"/>
        <v>63.2</v>
      </c>
      <c r="BM86" s="39">
        <f t="shared" si="49"/>
        <v>61.199999999999989</v>
      </c>
      <c r="BN86" s="39">
        <f t="shared" si="50"/>
        <v>82.800000000000011</v>
      </c>
      <c r="BO86" s="39">
        <f t="shared" si="51"/>
        <v>79.799999999999983</v>
      </c>
      <c r="BP86" s="39">
        <f t="shared" si="52"/>
        <v>70.800000000000011</v>
      </c>
      <c r="BQ86" s="39">
        <f t="shared" si="53"/>
        <v>70.800000000000011</v>
      </c>
      <c r="BR86" s="39">
        <f t="shared" si="54"/>
        <v>70.800000000000011</v>
      </c>
      <c r="BS86" s="39">
        <f t="shared" si="55"/>
        <v>0</v>
      </c>
      <c r="BT86" s="39">
        <f t="shared" si="56"/>
        <v>0</v>
      </c>
      <c r="BU86" s="39">
        <f t="shared" si="57"/>
        <v>0</v>
      </c>
      <c r="BV86" s="39">
        <f t="shared" si="58"/>
        <v>0</v>
      </c>
      <c r="BW86" s="39">
        <f t="shared" si="59"/>
        <v>0</v>
      </c>
      <c r="BX86" s="39">
        <f t="shared" si="60"/>
        <v>0</v>
      </c>
      <c r="BY86" s="39">
        <f t="shared" si="61"/>
        <v>0</v>
      </c>
      <c r="BZ86" s="39">
        <f t="shared" si="62"/>
        <v>0</v>
      </c>
      <c r="CA86" s="39">
        <f t="shared" si="63"/>
        <v>41.022249179799722</v>
      </c>
      <c r="CB86" s="39">
        <f t="shared" si="64"/>
        <v>63.2</v>
      </c>
      <c r="CC86" s="39">
        <f t="shared" si="65"/>
        <v>61.199999999999989</v>
      </c>
      <c r="CD86" s="39">
        <f t="shared" si="66"/>
        <v>82.800000000000011</v>
      </c>
      <c r="CE86" s="39">
        <f t="shared" si="67"/>
        <v>79.799999999999983</v>
      </c>
      <c r="CF86" s="39">
        <f t="shared" si="68"/>
        <v>70.800000000000011</v>
      </c>
      <c r="CG86" s="39">
        <f t="shared" si="69"/>
        <v>70.800000000000011</v>
      </c>
      <c r="CH86" s="39">
        <f t="shared" si="70"/>
        <v>70.800000000000011</v>
      </c>
      <c r="CI86" s="39">
        <f t="shared" si="71"/>
        <v>0</v>
      </c>
      <c r="CJ86" s="39">
        <f t="shared" si="72"/>
        <v>0</v>
      </c>
      <c r="CK86" s="39">
        <f t="shared" si="73"/>
        <v>0</v>
      </c>
      <c r="CL86" s="39">
        <f t="shared" si="74"/>
        <v>0</v>
      </c>
      <c r="CM86" s="39">
        <f t="shared" si="75"/>
        <v>0</v>
      </c>
      <c r="CN86" s="39">
        <f t="shared" si="76"/>
        <v>0</v>
      </c>
      <c r="CO86" s="39">
        <f t="shared" si="77"/>
        <v>0</v>
      </c>
      <c r="CP86" s="39">
        <f t="shared" si="78"/>
        <v>0</v>
      </c>
    </row>
    <row r="87" spans="12:94" ht="16" customHeight="1" x14ac:dyDescent="0.2">
      <c r="L87" s="63">
        <v>30399</v>
      </c>
      <c r="M87" s="38">
        <v>0</v>
      </c>
      <c r="N87" s="38">
        <v>3.6</v>
      </c>
      <c r="O87" s="39">
        <v>0</v>
      </c>
      <c r="P87" s="39">
        <v>0</v>
      </c>
      <c r="Q87" s="46">
        <f t="shared" si="8"/>
        <v>0.12765760301391949</v>
      </c>
      <c r="R87" s="81">
        <f t="shared" si="9"/>
        <v>0</v>
      </c>
      <c r="S87" s="82">
        <f t="shared" si="10"/>
        <v>0</v>
      </c>
      <c r="T87" s="39">
        <f t="shared" si="11"/>
        <v>0</v>
      </c>
      <c r="U87" s="83">
        <f t="shared" si="12"/>
        <v>0</v>
      </c>
      <c r="V87" s="84">
        <f t="shared" si="13"/>
        <v>2.8800000000000003</v>
      </c>
      <c r="W87" s="52">
        <f t="shared" si="14"/>
        <v>99.222249179799718</v>
      </c>
      <c r="X87" s="52">
        <f t="shared" si="15"/>
        <v>151.20000000000005</v>
      </c>
      <c r="Y87" s="52">
        <f t="shared" si="16"/>
        <v>250.42224917979976</v>
      </c>
      <c r="Z87" s="53">
        <f t="shared" si="17"/>
        <v>0.7751738217171853</v>
      </c>
      <c r="AA87" s="53">
        <f t="shared" si="18"/>
        <v>0.90000000000000024</v>
      </c>
      <c r="AB87" s="53">
        <f t="shared" si="19"/>
        <v>0.84602111209391817</v>
      </c>
      <c r="AC87" s="39" t="str">
        <f t="shared" si="20"/>
        <v>No</v>
      </c>
      <c r="AD87" s="85">
        <f t="shared" si="21"/>
        <v>0</v>
      </c>
      <c r="AE87" s="46">
        <f t="shared" si="22"/>
        <v>1</v>
      </c>
      <c r="AF87" s="46">
        <f t="shared" si="23"/>
        <v>0</v>
      </c>
      <c r="AG87" s="39">
        <f t="shared" si="79"/>
        <v>41.022249179799722</v>
      </c>
      <c r="AH87" s="39">
        <f t="shared" si="80"/>
        <v>63.2</v>
      </c>
      <c r="AI87" s="39">
        <f t="shared" si="81"/>
        <v>61.199999999999989</v>
      </c>
      <c r="AJ87" s="39">
        <f t="shared" si="82"/>
        <v>82.800000000000011</v>
      </c>
      <c r="AK87" s="39">
        <f t="shared" si="83"/>
        <v>79.799999999999983</v>
      </c>
      <c r="AL87" s="39">
        <f t="shared" si="84"/>
        <v>70.800000000000011</v>
      </c>
      <c r="AM87" s="39">
        <f t="shared" si="85"/>
        <v>70.800000000000011</v>
      </c>
      <c r="AN87" s="39">
        <f t="shared" si="86"/>
        <v>70.800000000000011</v>
      </c>
      <c r="AO87" s="39">
        <f t="shared" si="25"/>
        <v>0</v>
      </c>
      <c r="AP87" s="39">
        <f t="shared" si="26"/>
        <v>0</v>
      </c>
      <c r="AQ87" s="39">
        <f t="shared" si="27"/>
        <v>0</v>
      </c>
      <c r="AR87" s="39">
        <f t="shared" si="28"/>
        <v>0</v>
      </c>
      <c r="AS87" s="39">
        <f t="shared" si="29"/>
        <v>0</v>
      </c>
      <c r="AT87" s="39">
        <f t="shared" si="30"/>
        <v>0</v>
      </c>
      <c r="AU87" s="39">
        <f t="shared" si="31"/>
        <v>0</v>
      </c>
      <c r="AV87" s="39">
        <f t="shared" si="32"/>
        <v>0</v>
      </c>
      <c r="AW87" s="39">
        <f t="shared" si="33"/>
        <v>0</v>
      </c>
      <c r="AX87" s="39">
        <f t="shared" si="34"/>
        <v>0</v>
      </c>
      <c r="AY87" s="39">
        <f t="shared" si="35"/>
        <v>0</v>
      </c>
      <c r="AZ87" s="39">
        <f t="shared" si="36"/>
        <v>0</v>
      </c>
      <c r="BA87" s="39">
        <f t="shared" si="37"/>
        <v>0</v>
      </c>
      <c r="BB87" s="39">
        <f t="shared" si="38"/>
        <v>0</v>
      </c>
      <c r="BC87" s="39">
        <f t="shared" si="39"/>
        <v>0</v>
      </c>
      <c r="BD87" s="39">
        <f t="shared" si="40"/>
        <v>0</v>
      </c>
      <c r="BE87" s="39">
        <f t="shared" si="41"/>
        <v>0</v>
      </c>
      <c r="BF87" s="39">
        <f t="shared" si="42"/>
        <v>0</v>
      </c>
      <c r="BG87" s="39">
        <f t="shared" si="43"/>
        <v>0</v>
      </c>
      <c r="BH87" s="84">
        <f t="shared" si="44"/>
        <v>0</v>
      </c>
      <c r="BI87" s="84">
        <f t="shared" si="45"/>
        <v>2.8800000000000003</v>
      </c>
      <c r="BJ87" s="84">
        <f t="shared" si="46"/>
        <v>0.59487072101464067</v>
      </c>
      <c r="BK87" s="39">
        <f t="shared" si="47"/>
        <v>40.427378458785078</v>
      </c>
      <c r="BL87" s="39">
        <f t="shared" si="48"/>
        <v>63.2</v>
      </c>
      <c r="BM87" s="39">
        <f t="shared" si="49"/>
        <v>61.199999999999989</v>
      </c>
      <c r="BN87" s="39">
        <f t="shared" si="50"/>
        <v>82.800000000000011</v>
      </c>
      <c r="BO87" s="39">
        <f t="shared" si="51"/>
        <v>79.799999999999983</v>
      </c>
      <c r="BP87" s="39">
        <f t="shared" si="52"/>
        <v>70.800000000000011</v>
      </c>
      <c r="BQ87" s="39">
        <f t="shared" si="53"/>
        <v>70.800000000000011</v>
      </c>
      <c r="BR87" s="39">
        <f t="shared" si="54"/>
        <v>70.800000000000011</v>
      </c>
      <c r="BS87" s="39">
        <f t="shared" si="55"/>
        <v>0</v>
      </c>
      <c r="BT87" s="39">
        <f t="shared" si="56"/>
        <v>0</v>
      </c>
      <c r="BU87" s="39">
        <f t="shared" si="57"/>
        <v>0</v>
      </c>
      <c r="BV87" s="39">
        <f t="shared" si="58"/>
        <v>0</v>
      </c>
      <c r="BW87" s="39">
        <f t="shared" si="59"/>
        <v>0</v>
      </c>
      <c r="BX87" s="39">
        <f t="shared" si="60"/>
        <v>0</v>
      </c>
      <c r="BY87" s="39">
        <f t="shared" si="61"/>
        <v>0</v>
      </c>
      <c r="BZ87" s="39">
        <f t="shared" si="62"/>
        <v>0</v>
      </c>
      <c r="CA87" s="39">
        <f t="shared" si="63"/>
        <v>40.427378458785078</v>
      </c>
      <c r="CB87" s="39">
        <f t="shared" si="64"/>
        <v>63.2</v>
      </c>
      <c r="CC87" s="39">
        <f t="shared" si="65"/>
        <v>61.199999999999989</v>
      </c>
      <c r="CD87" s="39">
        <f t="shared" si="66"/>
        <v>82.800000000000011</v>
      </c>
      <c r="CE87" s="39">
        <f t="shared" si="67"/>
        <v>79.799999999999983</v>
      </c>
      <c r="CF87" s="39">
        <f t="shared" si="68"/>
        <v>70.800000000000011</v>
      </c>
      <c r="CG87" s="39">
        <f t="shared" si="69"/>
        <v>70.800000000000011</v>
      </c>
      <c r="CH87" s="39">
        <f t="shared" si="70"/>
        <v>70.800000000000011</v>
      </c>
      <c r="CI87" s="39">
        <f t="shared" si="71"/>
        <v>0</v>
      </c>
      <c r="CJ87" s="39">
        <f t="shared" si="72"/>
        <v>0</v>
      </c>
      <c r="CK87" s="39">
        <f t="shared" si="73"/>
        <v>0</v>
      </c>
      <c r="CL87" s="39">
        <f t="shared" si="74"/>
        <v>0</v>
      </c>
      <c r="CM87" s="39">
        <f t="shared" si="75"/>
        <v>0</v>
      </c>
      <c r="CN87" s="39">
        <f t="shared" si="76"/>
        <v>0</v>
      </c>
      <c r="CO87" s="39">
        <f t="shared" si="77"/>
        <v>0</v>
      </c>
      <c r="CP87" s="39">
        <f t="shared" si="78"/>
        <v>0</v>
      </c>
    </row>
    <row r="88" spans="12:94" ht="16" customHeight="1" x14ac:dyDescent="0.2">
      <c r="L88" s="63">
        <v>30400</v>
      </c>
      <c r="M88" s="38">
        <v>0</v>
      </c>
      <c r="N88" s="38">
        <v>4.4000000000000004</v>
      </c>
      <c r="O88" s="39">
        <v>0</v>
      </c>
      <c r="P88" s="39">
        <v>0</v>
      </c>
      <c r="Q88" s="46">
        <f t="shared" si="8"/>
        <v>0.12886342204300322</v>
      </c>
      <c r="R88" s="81">
        <f t="shared" si="9"/>
        <v>0</v>
      </c>
      <c r="S88" s="82">
        <f t="shared" si="10"/>
        <v>0</v>
      </c>
      <c r="T88" s="39">
        <f t="shared" si="11"/>
        <v>0</v>
      </c>
      <c r="U88" s="83">
        <f t="shared" si="12"/>
        <v>0</v>
      </c>
      <c r="V88" s="84">
        <f t="shared" si="13"/>
        <v>3.5200000000000005</v>
      </c>
      <c r="W88" s="52">
        <f t="shared" si="14"/>
        <v>98.627378458785074</v>
      </c>
      <c r="X88" s="52">
        <f t="shared" si="15"/>
        <v>151.20000000000005</v>
      </c>
      <c r="Y88" s="52">
        <f t="shared" si="16"/>
        <v>249.82737845878512</v>
      </c>
      <c r="Z88" s="53">
        <f t="shared" si="17"/>
        <v>0.77052639420925839</v>
      </c>
      <c r="AA88" s="53">
        <f t="shared" si="18"/>
        <v>0.90000000000000024</v>
      </c>
      <c r="AB88" s="53">
        <f t="shared" si="19"/>
        <v>0.84401141371211186</v>
      </c>
      <c r="AC88" s="39" t="str">
        <f t="shared" si="20"/>
        <v>No</v>
      </c>
      <c r="AD88" s="85">
        <f t="shared" si="21"/>
        <v>0</v>
      </c>
      <c r="AE88" s="46">
        <f t="shared" si="22"/>
        <v>1</v>
      </c>
      <c r="AF88" s="46">
        <f t="shared" si="23"/>
        <v>0</v>
      </c>
      <c r="AG88" s="39">
        <f t="shared" si="79"/>
        <v>40.427378458785078</v>
      </c>
      <c r="AH88" s="39">
        <f t="shared" si="80"/>
        <v>63.2</v>
      </c>
      <c r="AI88" s="39">
        <f t="shared" si="81"/>
        <v>61.199999999999989</v>
      </c>
      <c r="AJ88" s="39">
        <f t="shared" si="82"/>
        <v>82.800000000000011</v>
      </c>
      <c r="AK88" s="39">
        <f t="shared" si="83"/>
        <v>79.799999999999983</v>
      </c>
      <c r="AL88" s="39">
        <f t="shared" si="84"/>
        <v>70.800000000000011</v>
      </c>
      <c r="AM88" s="39">
        <f t="shared" si="85"/>
        <v>70.800000000000011</v>
      </c>
      <c r="AN88" s="39">
        <f t="shared" si="86"/>
        <v>70.800000000000011</v>
      </c>
      <c r="AO88" s="39">
        <f t="shared" si="25"/>
        <v>0</v>
      </c>
      <c r="AP88" s="39">
        <f t="shared" si="26"/>
        <v>0</v>
      </c>
      <c r="AQ88" s="39">
        <f t="shared" si="27"/>
        <v>0</v>
      </c>
      <c r="AR88" s="39">
        <f t="shared" si="28"/>
        <v>0</v>
      </c>
      <c r="AS88" s="39">
        <f t="shared" si="29"/>
        <v>0</v>
      </c>
      <c r="AT88" s="39">
        <f t="shared" si="30"/>
        <v>0</v>
      </c>
      <c r="AU88" s="39">
        <f t="shared" si="31"/>
        <v>0</v>
      </c>
      <c r="AV88" s="39">
        <f t="shared" si="32"/>
        <v>0</v>
      </c>
      <c r="AW88" s="39">
        <f t="shared" si="33"/>
        <v>0</v>
      </c>
      <c r="AX88" s="39">
        <f t="shared" si="34"/>
        <v>0</v>
      </c>
      <c r="AY88" s="39">
        <f t="shared" si="35"/>
        <v>0</v>
      </c>
      <c r="AZ88" s="39">
        <f t="shared" si="36"/>
        <v>0</v>
      </c>
      <c r="BA88" s="39">
        <f t="shared" si="37"/>
        <v>0</v>
      </c>
      <c r="BB88" s="39">
        <f t="shared" si="38"/>
        <v>0</v>
      </c>
      <c r="BC88" s="39">
        <f t="shared" si="39"/>
        <v>0</v>
      </c>
      <c r="BD88" s="39">
        <f t="shared" si="40"/>
        <v>0</v>
      </c>
      <c r="BE88" s="39">
        <f t="shared" si="41"/>
        <v>0</v>
      </c>
      <c r="BF88" s="39">
        <f t="shared" si="42"/>
        <v>0</v>
      </c>
      <c r="BG88" s="39">
        <f t="shared" si="43"/>
        <v>0</v>
      </c>
      <c r="BH88" s="84">
        <f t="shared" si="44"/>
        <v>0</v>
      </c>
      <c r="BI88" s="84">
        <f t="shared" si="45"/>
        <v>3.5200000000000005</v>
      </c>
      <c r="BJ88" s="84">
        <f t="shared" si="46"/>
        <v>0.66282639291191647</v>
      </c>
      <c r="BK88" s="39">
        <f t="shared" si="47"/>
        <v>39.764552065873161</v>
      </c>
      <c r="BL88" s="39">
        <f t="shared" si="48"/>
        <v>63.2</v>
      </c>
      <c r="BM88" s="39">
        <f t="shared" si="49"/>
        <v>61.199999999999989</v>
      </c>
      <c r="BN88" s="39">
        <f t="shared" si="50"/>
        <v>82.800000000000011</v>
      </c>
      <c r="BO88" s="39">
        <f t="shared" si="51"/>
        <v>79.799999999999983</v>
      </c>
      <c r="BP88" s="39">
        <f t="shared" si="52"/>
        <v>70.800000000000011</v>
      </c>
      <c r="BQ88" s="39">
        <f t="shared" si="53"/>
        <v>70.800000000000011</v>
      </c>
      <c r="BR88" s="39">
        <f t="shared" si="54"/>
        <v>70.800000000000011</v>
      </c>
      <c r="BS88" s="39">
        <f t="shared" si="55"/>
        <v>0</v>
      </c>
      <c r="BT88" s="39">
        <f t="shared" si="56"/>
        <v>0</v>
      </c>
      <c r="BU88" s="39">
        <f t="shared" si="57"/>
        <v>0</v>
      </c>
      <c r="BV88" s="39">
        <f t="shared" si="58"/>
        <v>0</v>
      </c>
      <c r="BW88" s="39">
        <f t="shared" si="59"/>
        <v>0</v>
      </c>
      <c r="BX88" s="39">
        <f t="shared" si="60"/>
        <v>0</v>
      </c>
      <c r="BY88" s="39">
        <f t="shared" si="61"/>
        <v>0</v>
      </c>
      <c r="BZ88" s="39">
        <f t="shared" si="62"/>
        <v>0</v>
      </c>
      <c r="CA88" s="39">
        <f t="shared" si="63"/>
        <v>39.764552065873161</v>
      </c>
      <c r="CB88" s="39">
        <f t="shared" si="64"/>
        <v>63.2</v>
      </c>
      <c r="CC88" s="39">
        <f t="shared" si="65"/>
        <v>61.199999999999989</v>
      </c>
      <c r="CD88" s="39">
        <f t="shared" si="66"/>
        <v>82.800000000000011</v>
      </c>
      <c r="CE88" s="39">
        <f t="shared" si="67"/>
        <v>79.799999999999983</v>
      </c>
      <c r="CF88" s="39">
        <f t="shared" si="68"/>
        <v>70.800000000000011</v>
      </c>
      <c r="CG88" s="39">
        <f t="shared" si="69"/>
        <v>70.800000000000011</v>
      </c>
      <c r="CH88" s="39">
        <f t="shared" si="70"/>
        <v>70.800000000000011</v>
      </c>
      <c r="CI88" s="39">
        <f t="shared" si="71"/>
        <v>0</v>
      </c>
      <c r="CJ88" s="39">
        <f t="shared" si="72"/>
        <v>0</v>
      </c>
      <c r="CK88" s="39">
        <f t="shared" si="73"/>
        <v>0</v>
      </c>
      <c r="CL88" s="39">
        <f t="shared" si="74"/>
        <v>0</v>
      </c>
      <c r="CM88" s="39">
        <f t="shared" si="75"/>
        <v>0</v>
      </c>
      <c r="CN88" s="39">
        <f t="shared" si="76"/>
        <v>0</v>
      </c>
      <c r="CO88" s="39">
        <f t="shared" si="77"/>
        <v>0</v>
      </c>
      <c r="CP88" s="39">
        <f t="shared" si="78"/>
        <v>0</v>
      </c>
    </row>
    <row r="89" spans="12:94" ht="16" customHeight="1" x14ac:dyDescent="0.2">
      <c r="L89" s="63">
        <v>30401</v>
      </c>
      <c r="M89" s="38">
        <v>0</v>
      </c>
      <c r="N89" s="38">
        <v>4.3</v>
      </c>
      <c r="O89" s="39">
        <v>0</v>
      </c>
      <c r="P89" s="39">
        <v>0</v>
      </c>
      <c r="Q89" s="46">
        <f t="shared" si="8"/>
        <v>0.1302069890556625</v>
      </c>
      <c r="R89" s="81">
        <f t="shared" si="9"/>
        <v>0</v>
      </c>
      <c r="S89" s="82">
        <f t="shared" si="10"/>
        <v>0</v>
      </c>
      <c r="T89" s="39">
        <f t="shared" si="11"/>
        <v>0</v>
      </c>
      <c r="U89" s="83">
        <f t="shared" si="12"/>
        <v>0</v>
      </c>
      <c r="V89" s="84">
        <f t="shared" si="13"/>
        <v>3.44</v>
      </c>
      <c r="W89" s="52">
        <f t="shared" si="14"/>
        <v>97.964552065873164</v>
      </c>
      <c r="X89" s="52">
        <f t="shared" si="15"/>
        <v>151.20000000000005</v>
      </c>
      <c r="Y89" s="52">
        <f t="shared" si="16"/>
        <v>249.16455206587321</v>
      </c>
      <c r="Z89" s="53">
        <f t="shared" si="17"/>
        <v>0.76534806301463409</v>
      </c>
      <c r="AA89" s="53">
        <f t="shared" si="18"/>
        <v>0.90000000000000024</v>
      </c>
      <c r="AB89" s="53">
        <f t="shared" si="19"/>
        <v>0.84177213535767981</v>
      </c>
      <c r="AC89" s="39" t="str">
        <f t="shared" si="20"/>
        <v>No</v>
      </c>
      <c r="AD89" s="85">
        <f t="shared" si="21"/>
        <v>0</v>
      </c>
      <c r="AE89" s="46">
        <f t="shared" si="22"/>
        <v>1</v>
      </c>
      <c r="AF89" s="46">
        <f t="shared" si="23"/>
        <v>0</v>
      </c>
      <c r="AG89" s="39">
        <f t="shared" si="79"/>
        <v>39.764552065873161</v>
      </c>
      <c r="AH89" s="39">
        <f t="shared" si="80"/>
        <v>63.2</v>
      </c>
      <c r="AI89" s="39">
        <f t="shared" si="81"/>
        <v>61.199999999999989</v>
      </c>
      <c r="AJ89" s="39">
        <f t="shared" si="82"/>
        <v>82.800000000000011</v>
      </c>
      <c r="AK89" s="39">
        <f t="shared" si="83"/>
        <v>79.799999999999983</v>
      </c>
      <c r="AL89" s="39">
        <f t="shared" si="84"/>
        <v>70.800000000000011</v>
      </c>
      <c r="AM89" s="39">
        <f t="shared" si="85"/>
        <v>70.800000000000011</v>
      </c>
      <c r="AN89" s="39">
        <f t="shared" si="86"/>
        <v>70.800000000000011</v>
      </c>
      <c r="AO89" s="39">
        <f t="shared" si="25"/>
        <v>0</v>
      </c>
      <c r="AP89" s="39">
        <f t="shared" si="26"/>
        <v>0</v>
      </c>
      <c r="AQ89" s="39">
        <f t="shared" si="27"/>
        <v>0</v>
      </c>
      <c r="AR89" s="39">
        <f t="shared" si="28"/>
        <v>0</v>
      </c>
      <c r="AS89" s="39">
        <f t="shared" si="29"/>
        <v>0</v>
      </c>
      <c r="AT89" s="39">
        <f t="shared" si="30"/>
        <v>0</v>
      </c>
      <c r="AU89" s="39">
        <f t="shared" si="31"/>
        <v>0</v>
      </c>
      <c r="AV89" s="39">
        <f t="shared" si="32"/>
        <v>0</v>
      </c>
      <c r="AW89" s="39">
        <f t="shared" si="33"/>
        <v>0</v>
      </c>
      <c r="AX89" s="39">
        <f t="shared" si="34"/>
        <v>0</v>
      </c>
      <c r="AY89" s="39">
        <f t="shared" si="35"/>
        <v>0</v>
      </c>
      <c r="AZ89" s="39">
        <f t="shared" si="36"/>
        <v>0</v>
      </c>
      <c r="BA89" s="39">
        <f t="shared" si="37"/>
        <v>0</v>
      </c>
      <c r="BB89" s="39">
        <f t="shared" si="38"/>
        <v>0</v>
      </c>
      <c r="BC89" s="39">
        <f t="shared" si="39"/>
        <v>0</v>
      </c>
      <c r="BD89" s="39">
        <f t="shared" si="40"/>
        <v>0</v>
      </c>
      <c r="BE89" s="39">
        <f t="shared" si="41"/>
        <v>0</v>
      </c>
      <c r="BF89" s="39">
        <f t="shared" si="42"/>
        <v>0</v>
      </c>
      <c r="BG89" s="39">
        <f t="shared" si="43"/>
        <v>0</v>
      </c>
      <c r="BH89" s="84">
        <f t="shared" si="44"/>
        <v>0</v>
      </c>
      <c r="BI89" s="84">
        <f t="shared" si="45"/>
        <v>3.44</v>
      </c>
      <c r="BJ89" s="84">
        <f t="shared" si="46"/>
        <v>0.58281555171479249</v>
      </c>
      <c r="BK89" s="39">
        <f t="shared" si="47"/>
        <v>39.181736514158366</v>
      </c>
      <c r="BL89" s="39">
        <f t="shared" si="48"/>
        <v>63.2</v>
      </c>
      <c r="BM89" s="39">
        <f t="shared" si="49"/>
        <v>61.199999999999989</v>
      </c>
      <c r="BN89" s="39">
        <f t="shared" si="50"/>
        <v>82.800000000000011</v>
      </c>
      <c r="BO89" s="39">
        <f t="shared" si="51"/>
        <v>79.799999999999983</v>
      </c>
      <c r="BP89" s="39">
        <f t="shared" si="52"/>
        <v>70.800000000000011</v>
      </c>
      <c r="BQ89" s="39">
        <f t="shared" si="53"/>
        <v>70.800000000000011</v>
      </c>
      <c r="BR89" s="39">
        <f t="shared" si="54"/>
        <v>70.800000000000011</v>
      </c>
      <c r="BS89" s="39">
        <f t="shared" si="55"/>
        <v>0</v>
      </c>
      <c r="BT89" s="39">
        <f t="shared" si="56"/>
        <v>0</v>
      </c>
      <c r="BU89" s="39">
        <f t="shared" si="57"/>
        <v>0</v>
      </c>
      <c r="BV89" s="39">
        <f t="shared" si="58"/>
        <v>0</v>
      </c>
      <c r="BW89" s="39">
        <f t="shared" si="59"/>
        <v>0</v>
      </c>
      <c r="BX89" s="39">
        <f t="shared" si="60"/>
        <v>0</v>
      </c>
      <c r="BY89" s="39">
        <f t="shared" si="61"/>
        <v>0</v>
      </c>
      <c r="BZ89" s="39">
        <f t="shared" si="62"/>
        <v>0</v>
      </c>
      <c r="CA89" s="39">
        <f t="shared" si="63"/>
        <v>39.181736514158366</v>
      </c>
      <c r="CB89" s="39">
        <f t="shared" si="64"/>
        <v>63.2</v>
      </c>
      <c r="CC89" s="39">
        <f t="shared" si="65"/>
        <v>61.199999999999989</v>
      </c>
      <c r="CD89" s="39">
        <f t="shared" si="66"/>
        <v>82.800000000000011</v>
      </c>
      <c r="CE89" s="39">
        <f t="shared" si="67"/>
        <v>79.799999999999983</v>
      </c>
      <c r="CF89" s="39">
        <f t="shared" si="68"/>
        <v>70.800000000000011</v>
      </c>
      <c r="CG89" s="39">
        <f t="shared" si="69"/>
        <v>70.800000000000011</v>
      </c>
      <c r="CH89" s="39">
        <f t="shared" si="70"/>
        <v>70.800000000000011</v>
      </c>
      <c r="CI89" s="39">
        <f t="shared" si="71"/>
        <v>0</v>
      </c>
      <c r="CJ89" s="39">
        <f t="shared" si="72"/>
        <v>0</v>
      </c>
      <c r="CK89" s="39">
        <f t="shared" si="73"/>
        <v>0</v>
      </c>
      <c r="CL89" s="39">
        <f t="shared" si="74"/>
        <v>0</v>
      </c>
      <c r="CM89" s="39">
        <f t="shared" si="75"/>
        <v>0</v>
      </c>
      <c r="CN89" s="39">
        <f t="shared" si="76"/>
        <v>0</v>
      </c>
      <c r="CO89" s="39">
        <f t="shared" si="77"/>
        <v>0</v>
      </c>
      <c r="CP89" s="39">
        <f t="shared" si="78"/>
        <v>0</v>
      </c>
    </row>
    <row r="90" spans="12:94" ht="16" customHeight="1" x14ac:dyDescent="0.2">
      <c r="L90" s="63">
        <v>30402</v>
      </c>
      <c r="M90" s="38">
        <v>1</v>
      </c>
      <c r="N90" s="38">
        <v>2.5</v>
      </c>
      <c r="O90" s="39">
        <v>0</v>
      </c>
      <c r="P90" s="39">
        <v>0</v>
      </c>
      <c r="Q90" s="46">
        <f t="shared" si="8"/>
        <v>0.13138837193076008</v>
      </c>
      <c r="R90" s="81">
        <f t="shared" si="9"/>
        <v>0</v>
      </c>
      <c r="S90" s="82">
        <f t="shared" si="10"/>
        <v>1</v>
      </c>
      <c r="T90" s="39">
        <f t="shared" si="11"/>
        <v>0</v>
      </c>
      <c r="U90" s="83">
        <f t="shared" si="12"/>
        <v>0</v>
      </c>
      <c r="V90" s="84">
        <f t="shared" si="13"/>
        <v>2</v>
      </c>
      <c r="W90" s="52">
        <f t="shared" si="14"/>
        <v>97.381736514158376</v>
      </c>
      <c r="X90" s="52">
        <f t="shared" si="15"/>
        <v>151.20000000000005</v>
      </c>
      <c r="Y90" s="52">
        <f t="shared" si="16"/>
        <v>248.58173651415842</v>
      </c>
      <c r="Z90" s="53">
        <f t="shared" si="17"/>
        <v>0.76079481651686232</v>
      </c>
      <c r="AA90" s="53">
        <f t="shared" si="18"/>
        <v>0.90000000000000024</v>
      </c>
      <c r="AB90" s="53">
        <f t="shared" si="19"/>
        <v>0.83980316389918386</v>
      </c>
      <c r="AC90" s="39" t="str">
        <f t="shared" si="20"/>
        <v>No</v>
      </c>
      <c r="AD90" s="85">
        <f t="shared" si="21"/>
        <v>0</v>
      </c>
      <c r="AE90" s="46">
        <f t="shared" si="22"/>
        <v>1</v>
      </c>
      <c r="AF90" s="46">
        <f t="shared" si="23"/>
        <v>0</v>
      </c>
      <c r="AG90" s="39">
        <f t="shared" si="79"/>
        <v>39.181736514158366</v>
      </c>
      <c r="AH90" s="39">
        <f t="shared" si="80"/>
        <v>63.2</v>
      </c>
      <c r="AI90" s="39">
        <f t="shared" si="81"/>
        <v>61.199999999999989</v>
      </c>
      <c r="AJ90" s="39">
        <f t="shared" si="82"/>
        <v>82.800000000000011</v>
      </c>
      <c r="AK90" s="39">
        <f t="shared" si="83"/>
        <v>79.799999999999983</v>
      </c>
      <c r="AL90" s="39">
        <f t="shared" si="84"/>
        <v>70.800000000000011</v>
      </c>
      <c r="AM90" s="39">
        <f t="shared" si="85"/>
        <v>70.800000000000011</v>
      </c>
      <c r="AN90" s="39">
        <f t="shared" si="86"/>
        <v>70.800000000000011</v>
      </c>
      <c r="AO90" s="39">
        <f t="shared" si="25"/>
        <v>0</v>
      </c>
      <c r="AP90" s="39">
        <f t="shared" si="26"/>
        <v>0</v>
      </c>
      <c r="AQ90" s="39">
        <f t="shared" si="27"/>
        <v>0</v>
      </c>
      <c r="AR90" s="39">
        <f t="shared" si="28"/>
        <v>0</v>
      </c>
      <c r="AS90" s="39">
        <f t="shared" si="29"/>
        <v>0</v>
      </c>
      <c r="AT90" s="39">
        <f t="shared" si="30"/>
        <v>0</v>
      </c>
      <c r="AU90" s="39">
        <f t="shared" si="31"/>
        <v>0</v>
      </c>
      <c r="AV90" s="39">
        <f t="shared" si="32"/>
        <v>0</v>
      </c>
      <c r="AW90" s="39">
        <f t="shared" si="33"/>
        <v>0</v>
      </c>
      <c r="AX90" s="39">
        <f t="shared" si="34"/>
        <v>0</v>
      </c>
      <c r="AY90" s="39">
        <f t="shared" si="35"/>
        <v>0</v>
      </c>
      <c r="AZ90" s="39">
        <f t="shared" si="36"/>
        <v>0</v>
      </c>
      <c r="BA90" s="39">
        <f t="shared" si="37"/>
        <v>0</v>
      </c>
      <c r="BB90" s="39">
        <f t="shared" si="38"/>
        <v>0</v>
      </c>
      <c r="BC90" s="39">
        <f t="shared" si="39"/>
        <v>0</v>
      </c>
      <c r="BD90" s="39">
        <f t="shared" si="40"/>
        <v>0</v>
      </c>
      <c r="BE90" s="39">
        <f t="shared" si="41"/>
        <v>0</v>
      </c>
      <c r="BF90" s="39">
        <f t="shared" si="42"/>
        <v>0</v>
      </c>
      <c r="BG90" s="39">
        <f t="shared" si="43"/>
        <v>0</v>
      </c>
      <c r="BH90" s="84">
        <f t="shared" si="44"/>
        <v>1</v>
      </c>
      <c r="BI90" s="84">
        <f t="shared" si="45"/>
        <v>1</v>
      </c>
      <c r="BJ90" s="84">
        <f t="shared" si="46"/>
        <v>1.1540283702844909</v>
      </c>
      <c r="BK90" s="39">
        <f t="shared" si="47"/>
        <v>38.027708143873873</v>
      </c>
      <c r="BL90" s="39">
        <f t="shared" si="48"/>
        <v>63.2</v>
      </c>
      <c r="BM90" s="39">
        <f t="shared" si="49"/>
        <v>61.199999999999989</v>
      </c>
      <c r="BN90" s="39">
        <f t="shared" si="50"/>
        <v>82.800000000000011</v>
      </c>
      <c r="BO90" s="39">
        <f t="shared" si="51"/>
        <v>79.799999999999983</v>
      </c>
      <c r="BP90" s="39">
        <f t="shared" si="52"/>
        <v>70.800000000000011</v>
      </c>
      <c r="BQ90" s="39">
        <f t="shared" si="53"/>
        <v>70.800000000000011</v>
      </c>
      <c r="BR90" s="39">
        <f t="shared" si="54"/>
        <v>70.800000000000011</v>
      </c>
      <c r="BS90" s="39">
        <f t="shared" si="55"/>
        <v>0</v>
      </c>
      <c r="BT90" s="39">
        <f t="shared" si="56"/>
        <v>0</v>
      </c>
      <c r="BU90" s="39">
        <f t="shared" si="57"/>
        <v>0</v>
      </c>
      <c r="BV90" s="39">
        <f t="shared" si="58"/>
        <v>0</v>
      </c>
      <c r="BW90" s="39">
        <f t="shared" si="59"/>
        <v>0</v>
      </c>
      <c r="BX90" s="39">
        <f t="shared" si="60"/>
        <v>0</v>
      </c>
      <c r="BY90" s="39">
        <f t="shared" si="61"/>
        <v>0</v>
      </c>
      <c r="BZ90" s="39">
        <f t="shared" si="62"/>
        <v>0</v>
      </c>
      <c r="CA90" s="39">
        <f t="shared" si="63"/>
        <v>38.027708143873873</v>
      </c>
      <c r="CB90" s="39">
        <f t="shared" si="64"/>
        <v>63.2</v>
      </c>
      <c r="CC90" s="39">
        <f t="shared" si="65"/>
        <v>61.199999999999989</v>
      </c>
      <c r="CD90" s="39">
        <f t="shared" si="66"/>
        <v>82.800000000000011</v>
      </c>
      <c r="CE90" s="39">
        <f t="shared" si="67"/>
        <v>79.799999999999983</v>
      </c>
      <c r="CF90" s="39">
        <f t="shared" si="68"/>
        <v>70.800000000000011</v>
      </c>
      <c r="CG90" s="39">
        <f t="shared" si="69"/>
        <v>70.800000000000011</v>
      </c>
      <c r="CH90" s="39">
        <f t="shared" si="70"/>
        <v>70.800000000000011</v>
      </c>
      <c r="CI90" s="39">
        <f t="shared" si="71"/>
        <v>0</v>
      </c>
      <c r="CJ90" s="39">
        <f t="shared" si="72"/>
        <v>0</v>
      </c>
      <c r="CK90" s="39">
        <f t="shared" si="73"/>
        <v>0</v>
      </c>
      <c r="CL90" s="39">
        <f t="shared" si="74"/>
        <v>0</v>
      </c>
      <c r="CM90" s="39">
        <f t="shared" si="75"/>
        <v>0</v>
      </c>
      <c r="CN90" s="39">
        <f t="shared" si="76"/>
        <v>0</v>
      </c>
      <c r="CO90" s="39">
        <f t="shared" si="77"/>
        <v>0</v>
      </c>
      <c r="CP90" s="39">
        <f t="shared" si="78"/>
        <v>0</v>
      </c>
    </row>
    <row r="91" spans="12:94" ht="16" customHeight="1" x14ac:dyDescent="0.2">
      <c r="L91" s="63">
        <v>30403</v>
      </c>
      <c r="M91" s="38">
        <v>0</v>
      </c>
      <c r="N91" s="38">
        <v>2.2999999999999998</v>
      </c>
      <c r="O91" s="39">
        <v>0</v>
      </c>
      <c r="P91" s="39">
        <v>0</v>
      </c>
      <c r="Q91" s="46">
        <f t="shared" si="8"/>
        <v>0.13372761862728269</v>
      </c>
      <c r="R91" s="81">
        <f t="shared" si="9"/>
        <v>0</v>
      </c>
      <c r="S91" s="82">
        <f t="shared" si="10"/>
        <v>0</v>
      </c>
      <c r="T91" s="39">
        <f t="shared" si="11"/>
        <v>0</v>
      </c>
      <c r="U91" s="83">
        <f t="shared" si="12"/>
        <v>0</v>
      </c>
      <c r="V91" s="84">
        <f t="shared" si="13"/>
        <v>1.8399999999999999</v>
      </c>
      <c r="W91" s="52">
        <f t="shared" si="14"/>
        <v>96.227708143873883</v>
      </c>
      <c r="X91" s="52">
        <f t="shared" si="15"/>
        <v>151.20000000000005</v>
      </c>
      <c r="Y91" s="52">
        <f t="shared" si="16"/>
        <v>247.42770814387393</v>
      </c>
      <c r="Z91" s="53">
        <f t="shared" si="17"/>
        <v>0.75177896987401471</v>
      </c>
      <c r="AA91" s="53">
        <f t="shared" si="18"/>
        <v>0.90000000000000024</v>
      </c>
      <c r="AB91" s="53">
        <f t="shared" si="19"/>
        <v>0.8359044194049795</v>
      </c>
      <c r="AC91" s="39" t="str">
        <f t="shared" si="20"/>
        <v>No</v>
      </c>
      <c r="AD91" s="85">
        <f t="shared" si="21"/>
        <v>0</v>
      </c>
      <c r="AE91" s="46">
        <f t="shared" si="22"/>
        <v>1</v>
      </c>
      <c r="AF91" s="46">
        <f t="shared" si="23"/>
        <v>0</v>
      </c>
      <c r="AG91" s="39">
        <f t="shared" si="79"/>
        <v>38.027708143873873</v>
      </c>
      <c r="AH91" s="39">
        <f t="shared" si="80"/>
        <v>63.2</v>
      </c>
      <c r="AI91" s="39">
        <f t="shared" si="81"/>
        <v>61.199999999999989</v>
      </c>
      <c r="AJ91" s="39">
        <f t="shared" si="82"/>
        <v>82.800000000000011</v>
      </c>
      <c r="AK91" s="39">
        <f t="shared" si="83"/>
        <v>79.799999999999983</v>
      </c>
      <c r="AL91" s="39">
        <f t="shared" si="84"/>
        <v>70.800000000000011</v>
      </c>
      <c r="AM91" s="39">
        <f t="shared" si="85"/>
        <v>70.800000000000011</v>
      </c>
      <c r="AN91" s="39">
        <f t="shared" si="86"/>
        <v>70.800000000000011</v>
      </c>
      <c r="AO91" s="39">
        <f t="shared" si="25"/>
        <v>0</v>
      </c>
      <c r="AP91" s="39">
        <f t="shared" si="26"/>
        <v>0</v>
      </c>
      <c r="AQ91" s="39">
        <f t="shared" si="27"/>
        <v>0</v>
      </c>
      <c r="AR91" s="39">
        <f t="shared" si="28"/>
        <v>0</v>
      </c>
      <c r="AS91" s="39">
        <f t="shared" si="29"/>
        <v>0</v>
      </c>
      <c r="AT91" s="39">
        <f t="shared" si="30"/>
        <v>0</v>
      </c>
      <c r="AU91" s="39">
        <f t="shared" si="31"/>
        <v>0</v>
      </c>
      <c r="AV91" s="39">
        <f t="shared" si="32"/>
        <v>0</v>
      </c>
      <c r="AW91" s="39">
        <f t="shared" si="33"/>
        <v>0</v>
      </c>
      <c r="AX91" s="39">
        <f t="shared" si="34"/>
        <v>0</v>
      </c>
      <c r="AY91" s="39">
        <f t="shared" si="35"/>
        <v>0</v>
      </c>
      <c r="AZ91" s="39">
        <f t="shared" si="36"/>
        <v>0</v>
      </c>
      <c r="BA91" s="39">
        <f t="shared" si="37"/>
        <v>0</v>
      </c>
      <c r="BB91" s="39">
        <f t="shared" si="38"/>
        <v>0</v>
      </c>
      <c r="BC91" s="39">
        <f t="shared" si="39"/>
        <v>0</v>
      </c>
      <c r="BD91" s="39">
        <f t="shared" si="40"/>
        <v>0</v>
      </c>
      <c r="BE91" s="39">
        <f t="shared" si="41"/>
        <v>0</v>
      </c>
      <c r="BF91" s="39">
        <f t="shared" si="42"/>
        <v>0</v>
      </c>
      <c r="BG91" s="39">
        <f t="shared" si="43"/>
        <v>0</v>
      </c>
      <c r="BH91" s="84">
        <f t="shared" si="44"/>
        <v>0</v>
      </c>
      <c r="BI91" s="84">
        <f t="shared" si="45"/>
        <v>1.8399999999999999</v>
      </c>
      <c r="BJ91" s="84">
        <f t="shared" si="46"/>
        <v>0.23306200074416245</v>
      </c>
      <c r="BK91" s="39">
        <f t="shared" si="47"/>
        <v>37.794646143129711</v>
      </c>
      <c r="BL91" s="39">
        <f t="shared" si="48"/>
        <v>63.2</v>
      </c>
      <c r="BM91" s="39">
        <f t="shared" si="49"/>
        <v>61.199999999999989</v>
      </c>
      <c r="BN91" s="39">
        <f t="shared" si="50"/>
        <v>82.800000000000011</v>
      </c>
      <c r="BO91" s="39">
        <f t="shared" si="51"/>
        <v>79.799999999999983</v>
      </c>
      <c r="BP91" s="39">
        <f t="shared" si="52"/>
        <v>70.800000000000011</v>
      </c>
      <c r="BQ91" s="39">
        <f t="shared" si="53"/>
        <v>70.800000000000011</v>
      </c>
      <c r="BR91" s="39">
        <f t="shared" si="54"/>
        <v>70.800000000000011</v>
      </c>
      <c r="BS91" s="39">
        <f t="shared" si="55"/>
        <v>0</v>
      </c>
      <c r="BT91" s="39">
        <f t="shared" si="56"/>
        <v>0</v>
      </c>
      <c r="BU91" s="39">
        <f t="shared" si="57"/>
        <v>0</v>
      </c>
      <c r="BV91" s="39">
        <f t="shared" si="58"/>
        <v>0</v>
      </c>
      <c r="BW91" s="39">
        <f t="shared" si="59"/>
        <v>0</v>
      </c>
      <c r="BX91" s="39">
        <f t="shared" si="60"/>
        <v>0</v>
      </c>
      <c r="BY91" s="39">
        <f t="shared" si="61"/>
        <v>0</v>
      </c>
      <c r="BZ91" s="39">
        <f t="shared" si="62"/>
        <v>0</v>
      </c>
      <c r="CA91" s="39">
        <f t="shared" si="63"/>
        <v>37.794646143129711</v>
      </c>
      <c r="CB91" s="39">
        <f t="shared" si="64"/>
        <v>63.2</v>
      </c>
      <c r="CC91" s="39">
        <f t="shared" si="65"/>
        <v>61.199999999999989</v>
      </c>
      <c r="CD91" s="39">
        <f t="shared" si="66"/>
        <v>82.800000000000011</v>
      </c>
      <c r="CE91" s="39">
        <f t="shared" si="67"/>
        <v>79.799999999999983</v>
      </c>
      <c r="CF91" s="39">
        <f t="shared" si="68"/>
        <v>70.800000000000011</v>
      </c>
      <c r="CG91" s="39">
        <f t="shared" si="69"/>
        <v>70.800000000000011</v>
      </c>
      <c r="CH91" s="39">
        <f t="shared" si="70"/>
        <v>70.800000000000011</v>
      </c>
      <c r="CI91" s="39">
        <f t="shared" si="71"/>
        <v>0</v>
      </c>
      <c r="CJ91" s="39">
        <f t="shared" si="72"/>
        <v>0</v>
      </c>
      <c r="CK91" s="39">
        <f t="shared" si="73"/>
        <v>0</v>
      </c>
      <c r="CL91" s="39">
        <f t="shared" si="74"/>
        <v>0</v>
      </c>
      <c r="CM91" s="39">
        <f t="shared" si="75"/>
        <v>0</v>
      </c>
      <c r="CN91" s="39">
        <f t="shared" si="76"/>
        <v>0</v>
      </c>
      <c r="CO91" s="39">
        <f t="shared" si="77"/>
        <v>0</v>
      </c>
      <c r="CP91" s="39">
        <f t="shared" si="78"/>
        <v>0</v>
      </c>
    </row>
    <row r="92" spans="12:94" ht="16" customHeight="1" x14ac:dyDescent="0.2">
      <c r="L92" s="63">
        <v>30404</v>
      </c>
      <c r="M92" s="38">
        <v>0.1</v>
      </c>
      <c r="N92" s="38">
        <v>3.4</v>
      </c>
      <c r="O92" s="39">
        <v>0</v>
      </c>
      <c r="P92" s="39">
        <v>0</v>
      </c>
      <c r="Q92" s="46">
        <f t="shared" si="8"/>
        <v>0.1342000416017641</v>
      </c>
      <c r="R92" s="81">
        <f t="shared" si="9"/>
        <v>0</v>
      </c>
      <c r="S92" s="82">
        <f t="shared" si="10"/>
        <v>0.1</v>
      </c>
      <c r="T92" s="39">
        <f t="shared" si="11"/>
        <v>0</v>
      </c>
      <c r="U92" s="83">
        <f t="shared" si="12"/>
        <v>0</v>
      </c>
      <c r="V92" s="84">
        <f t="shared" si="13"/>
        <v>2.72</v>
      </c>
      <c r="W92" s="52">
        <f t="shared" si="14"/>
        <v>95.994646143129728</v>
      </c>
      <c r="X92" s="52">
        <f t="shared" si="15"/>
        <v>151.20000000000005</v>
      </c>
      <c r="Y92" s="52">
        <f t="shared" si="16"/>
        <v>247.19464614312977</v>
      </c>
      <c r="Z92" s="53">
        <f t="shared" si="17"/>
        <v>0.749958172993201</v>
      </c>
      <c r="AA92" s="53">
        <f t="shared" si="18"/>
        <v>0.90000000000000024</v>
      </c>
      <c r="AB92" s="53">
        <f t="shared" si="19"/>
        <v>0.83511704778084384</v>
      </c>
      <c r="AC92" s="39" t="str">
        <f t="shared" si="20"/>
        <v>No</v>
      </c>
      <c r="AD92" s="85">
        <f t="shared" si="21"/>
        <v>0</v>
      </c>
      <c r="AE92" s="46">
        <f t="shared" si="22"/>
        <v>1</v>
      </c>
      <c r="AF92" s="46">
        <f t="shared" si="23"/>
        <v>0</v>
      </c>
      <c r="AG92" s="39">
        <f t="shared" si="79"/>
        <v>37.794646143129711</v>
      </c>
      <c r="AH92" s="39">
        <f t="shared" si="80"/>
        <v>63.2</v>
      </c>
      <c r="AI92" s="39">
        <f t="shared" si="81"/>
        <v>61.199999999999989</v>
      </c>
      <c r="AJ92" s="39">
        <f t="shared" si="82"/>
        <v>82.800000000000011</v>
      </c>
      <c r="AK92" s="39">
        <f t="shared" si="83"/>
        <v>79.799999999999983</v>
      </c>
      <c r="AL92" s="39">
        <f t="shared" si="84"/>
        <v>70.800000000000011</v>
      </c>
      <c r="AM92" s="39">
        <f t="shared" si="85"/>
        <v>70.800000000000011</v>
      </c>
      <c r="AN92" s="39">
        <f t="shared" si="86"/>
        <v>70.800000000000011</v>
      </c>
      <c r="AO92" s="39">
        <f t="shared" si="25"/>
        <v>0</v>
      </c>
      <c r="AP92" s="39">
        <f t="shared" si="26"/>
        <v>0</v>
      </c>
      <c r="AQ92" s="39">
        <f t="shared" si="27"/>
        <v>0</v>
      </c>
      <c r="AR92" s="39">
        <f t="shared" si="28"/>
        <v>0</v>
      </c>
      <c r="AS92" s="39">
        <f t="shared" si="29"/>
        <v>0</v>
      </c>
      <c r="AT92" s="39">
        <f t="shared" si="30"/>
        <v>0</v>
      </c>
      <c r="AU92" s="39">
        <f t="shared" si="31"/>
        <v>0</v>
      </c>
      <c r="AV92" s="39">
        <f t="shared" si="32"/>
        <v>0</v>
      </c>
      <c r="AW92" s="39">
        <f t="shared" si="33"/>
        <v>0</v>
      </c>
      <c r="AX92" s="39">
        <f t="shared" si="34"/>
        <v>0</v>
      </c>
      <c r="AY92" s="39">
        <f t="shared" si="35"/>
        <v>0</v>
      </c>
      <c r="AZ92" s="39">
        <f t="shared" si="36"/>
        <v>0</v>
      </c>
      <c r="BA92" s="39">
        <f t="shared" si="37"/>
        <v>0</v>
      </c>
      <c r="BB92" s="39">
        <f t="shared" si="38"/>
        <v>0</v>
      </c>
      <c r="BC92" s="39">
        <f t="shared" si="39"/>
        <v>0</v>
      </c>
      <c r="BD92" s="39">
        <f t="shared" si="40"/>
        <v>0</v>
      </c>
      <c r="BE92" s="39">
        <f t="shared" si="41"/>
        <v>0</v>
      </c>
      <c r="BF92" s="39">
        <f t="shared" si="42"/>
        <v>0</v>
      </c>
      <c r="BG92" s="39">
        <f t="shared" si="43"/>
        <v>0</v>
      </c>
      <c r="BH92" s="84">
        <f t="shared" si="44"/>
        <v>0.1</v>
      </c>
      <c r="BI92" s="84">
        <f t="shared" si="45"/>
        <v>2.62</v>
      </c>
      <c r="BJ92" s="84">
        <f t="shared" si="46"/>
        <v>0.41862767282431157</v>
      </c>
      <c r="BK92" s="39">
        <f t="shared" si="47"/>
        <v>37.376018470305397</v>
      </c>
      <c r="BL92" s="39">
        <f t="shared" si="48"/>
        <v>63.2</v>
      </c>
      <c r="BM92" s="39">
        <f t="shared" si="49"/>
        <v>61.199999999999989</v>
      </c>
      <c r="BN92" s="39">
        <f t="shared" si="50"/>
        <v>82.800000000000011</v>
      </c>
      <c r="BO92" s="39">
        <f t="shared" si="51"/>
        <v>79.799999999999983</v>
      </c>
      <c r="BP92" s="39">
        <f t="shared" si="52"/>
        <v>70.800000000000011</v>
      </c>
      <c r="BQ92" s="39">
        <f t="shared" si="53"/>
        <v>70.800000000000011</v>
      </c>
      <c r="BR92" s="39">
        <f t="shared" si="54"/>
        <v>70.800000000000011</v>
      </c>
      <c r="BS92" s="39">
        <f t="shared" si="55"/>
        <v>0</v>
      </c>
      <c r="BT92" s="39">
        <f t="shared" si="56"/>
        <v>0</v>
      </c>
      <c r="BU92" s="39">
        <f t="shared" si="57"/>
        <v>0</v>
      </c>
      <c r="BV92" s="39">
        <f t="shared" si="58"/>
        <v>0</v>
      </c>
      <c r="BW92" s="39">
        <f t="shared" si="59"/>
        <v>0</v>
      </c>
      <c r="BX92" s="39">
        <f t="shared" si="60"/>
        <v>0</v>
      </c>
      <c r="BY92" s="39">
        <f t="shared" si="61"/>
        <v>0</v>
      </c>
      <c r="BZ92" s="39">
        <f t="shared" si="62"/>
        <v>0</v>
      </c>
      <c r="CA92" s="39">
        <f t="shared" si="63"/>
        <v>37.376018470305397</v>
      </c>
      <c r="CB92" s="39">
        <f t="shared" si="64"/>
        <v>63.2</v>
      </c>
      <c r="CC92" s="39">
        <f t="shared" si="65"/>
        <v>61.199999999999989</v>
      </c>
      <c r="CD92" s="39">
        <f t="shared" si="66"/>
        <v>82.800000000000011</v>
      </c>
      <c r="CE92" s="39">
        <f t="shared" si="67"/>
        <v>79.799999999999983</v>
      </c>
      <c r="CF92" s="39">
        <f t="shared" si="68"/>
        <v>70.800000000000011</v>
      </c>
      <c r="CG92" s="39">
        <f t="shared" si="69"/>
        <v>70.800000000000011</v>
      </c>
      <c r="CH92" s="39">
        <f t="shared" si="70"/>
        <v>70.800000000000011</v>
      </c>
      <c r="CI92" s="39">
        <f t="shared" si="71"/>
        <v>0</v>
      </c>
      <c r="CJ92" s="39">
        <f t="shared" si="72"/>
        <v>0</v>
      </c>
      <c r="CK92" s="39">
        <f t="shared" si="73"/>
        <v>0</v>
      </c>
      <c r="CL92" s="39">
        <f t="shared" si="74"/>
        <v>0</v>
      </c>
      <c r="CM92" s="39">
        <f t="shared" si="75"/>
        <v>0</v>
      </c>
      <c r="CN92" s="39">
        <f t="shared" si="76"/>
        <v>0</v>
      </c>
      <c r="CO92" s="39">
        <f t="shared" si="77"/>
        <v>0</v>
      </c>
      <c r="CP92" s="39">
        <f t="shared" si="78"/>
        <v>0</v>
      </c>
    </row>
    <row r="93" spans="12:94" ht="16" customHeight="1" x14ac:dyDescent="0.2">
      <c r="L93" s="63">
        <v>30405</v>
      </c>
      <c r="M93" s="38">
        <v>11</v>
      </c>
      <c r="N93" s="38">
        <v>1.2</v>
      </c>
      <c r="O93" s="39">
        <v>0</v>
      </c>
      <c r="P93" s="39">
        <v>0</v>
      </c>
      <c r="Q93" s="46">
        <f t="shared" si="8"/>
        <v>0.1350486112088404</v>
      </c>
      <c r="R93" s="81">
        <f t="shared" si="9"/>
        <v>7.4164943545666877E-3</v>
      </c>
      <c r="S93" s="82">
        <f t="shared" si="10"/>
        <v>10.992583505645433</v>
      </c>
      <c r="T93" s="39">
        <f t="shared" si="11"/>
        <v>0</v>
      </c>
      <c r="U93" s="83">
        <f t="shared" si="12"/>
        <v>0</v>
      </c>
      <c r="V93" s="84">
        <f t="shared" si="13"/>
        <v>0.96</v>
      </c>
      <c r="W93" s="52">
        <f t="shared" si="14"/>
        <v>95.576018470305399</v>
      </c>
      <c r="X93" s="52">
        <f t="shared" si="15"/>
        <v>151.20000000000005</v>
      </c>
      <c r="Y93" s="52">
        <f t="shared" si="16"/>
        <v>246.77601847030544</v>
      </c>
      <c r="Z93" s="53">
        <f t="shared" si="17"/>
        <v>0.74668764429926093</v>
      </c>
      <c r="AA93" s="53">
        <f t="shared" si="18"/>
        <v>0.90000000000000024</v>
      </c>
      <c r="AB93" s="53">
        <f t="shared" si="19"/>
        <v>0.83370276510238328</v>
      </c>
      <c r="AC93" s="39" t="str">
        <f t="shared" si="20"/>
        <v>No</v>
      </c>
      <c r="AD93" s="85">
        <f t="shared" si="21"/>
        <v>0</v>
      </c>
      <c r="AE93" s="46">
        <f t="shared" si="22"/>
        <v>1</v>
      </c>
      <c r="AF93" s="46">
        <f t="shared" si="23"/>
        <v>0</v>
      </c>
      <c r="AG93" s="39">
        <f t="shared" si="79"/>
        <v>37.376018470305397</v>
      </c>
      <c r="AH93" s="39">
        <f t="shared" si="80"/>
        <v>63.2</v>
      </c>
      <c r="AI93" s="39">
        <f t="shared" si="81"/>
        <v>61.199999999999989</v>
      </c>
      <c r="AJ93" s="39">
        <f t="shared" si="82"/>
        <v>82.800000000000011</v>
      </c>
      <c r="AK93" s="39">
        <f t="shared" si="83"/>
        <v>79.799999999999983</v>
      </c>
      <c r="AL93" s="39">
        <f t="shared" si="84"/>
        <v>70.800000000000011</v>
      </c>
      <c r="AM93" s="39">
        <f t="shared" si="85"/>
        <v>70.800000000000011</v>
      </c>
      <c r="AN93" s="39">
        <f t="shared" si="86"/>
        <v>70.800000000000011</v>
      </c>
      <c r="AO93" s="39">
        <f t="shared" si="25"/>
        <v>0</v>
      </c>
      <c r="AP93" s="39">
        <f t="shared" si="26"/>
        <v>0</v>
      </c>
      <c r="AQ93" s="39">
        <f t="shared" si="27"/>
        <v>0</v>
      </c>
      <c r="AR93" s="39">
        <f t="shared" si="28"/>
        <v>0</v>
      </c>
      <c r="AS93" s="39">
        <f t="shared" si="29"/>
        <v>0</v>
      </c>
      <c r="AT93" s="39">
        <f t="shared" si="30"/>
        <v>0</v>
      </c>
      <c r="AU93" s="39">
        <f t="shared" si="31"/>
        <v>0</v>
      </c>
      <c r="AV93" s="39">
        <f t="shared" si="32"/>
        <v>0</v>
      </c>
      <c r="AW93" s="39">
        <f t="shared" si="33"/>
        <v>0</v>
      </c>
      <c r="AX93" s="39">
        <f t="shared" si="34"/>
        <v>0</v>
      </c>
      <c r="AY93" s="39">
        <f t="shared" si="35"/>
        <v>0</v>
      </c>
      <c r="AZ93" s="39">
        <f t="shared" si="36"/>
        <v>0</v>
      </c>
      <c r="BA93" s="39">
        <f t="shared" si="37"/>
        <v>0</v>
      </c>
      <c r="BB93" s="39">
        <f t="shared" si="38"/>
        <v>0</v>
      </c>
      <c r="BC93" s="39">
        <f t="shared" si="39"/>
        <v>0</v>
      </c>
      <c r="BD93" s="39">
        <f t="shared" si="40"/>
        <v>0</v>
      </c>
      <c r="BE93" s="39">
        <f t="shared" si="41"/>
        <v>0</v>
      </c>
      <c r="BF93" s="39">
        <f t="shared" si="42"/>
        <v>0</v>
      </c>
      <c r="BG93" s="39">
        <f t="shared" si="43"/>
        <v>0</v>
      </c>
      <c r="BH93" s="84">
        <f t="shared" si="44"/>
        <v>0.96</v>
      </c>
      <c r="BI93" s="84">
        <f t="shared" si="45"/>
        <v>0</v>
      </c>
      <c r="BJ93" s="84">
        <f t="shared" si="46"/>
        <v>0.96</v>
      </c>
      <c r="BK93" s="39">
        <f t="shared" si="47"/>
        <v>36.416018470305396</v>
      </c>
      <c r="BL93" s="39">
        <f t="shared" si="48"/>
        <v>63.2</v>
      </c>
      <c r="BM93" s="39">
        <f t="shared" si="49"/>
        <v>61.199999999999989</v>
      </c>
      <c r="BN93" s="39">
        <f t="shared" si="50"/>
        <v>82.800000000000011</v>
      </c>
      <c r="BO93" s="39">
        <f t="shared" si="51"/>
        <v>79.799999999999983</v>
      </c>
      <c r="BP93" s="39">
        <f t="shared" si="52"/>
        <v>70.800000000000011</v>
      </c>
      <c r="BQ93" s="39">
        <f t="shared" si="53"/>
        <v>70.800000000000011</v>
      </c>
      <c r="BR93" s="39">
        <f t="shared" si="54"/>
        <v>70.800000000000011</v>
      </c>
      <c r="BS93" s="39">
        <f t="shared" si="55"/>
        <v>0</v>
      </c>
      <c r="BT93" s="39">
        <f t="shared" si="56"/>
        <v>0</v>
      </c>
      <c r="BU93" s="39">
        <f t="shared" si="57"/>
        <v>0</v>
      </c>
      <c r="BV93" s="39">
        <f t="shared" si="58"/>
        <v>0</v>
      </c>
      <c r="BW93" s="39">
        <f t="shared" si="59"/>
        <v>0</v>
      </c>
      <c r="BX93" s="39">
        <f t="shared" si="60"/>
        <v>0</v>
      </c>
      <c r="BY93" s="39">
        <f t="shared" si="61"/>
        <v>0</v>
      </c>
      <c r="BZ93" s="39">
        <f t="shared" si="62"/>
        <v>0</v>
      </c>
      <c r="CA93" s="39">
        <f t="shared" si="63"/>
        <v>46.44860197595083</v>
      </c>
      <c r="CB93" s="39">
        <f t="shared" si="64"/>
        <v>63.2</v>
      </c>
      <c r="CC93" s="39">
        <f t="shared" si="65"/>
        <v>61.199999999999989</v>
      </c>
      <c r="CD93" s="39">
        <f t="shared" si="66"/>
        <v>82.800000000000011</v>
      </c>
      <c r="CE93" s="39">
        <f t="shared" si="67"/>
        <v>79.799999999999983</v>
      </c>
      <c r="CF93" s="39">
        <f t="shared" si="68"/>
        <v>70.800000000000011</v>
      </c>
      <c r="CG93" s="39">
        <f t="shared" si="69"/>
        <v>70.800000000000011</v>
      </c>
      <c r="CH93" s="39">
        <f t="shared" si="70"/>
        <v>70.800000000000011</v>
      </c>
      <c r="CI93" s="39">
        <f t="shared" si="71"/>
        <v>0</v>
      </c>
      <c r="CJ93" s="39">
        <f t="shared" si="72"/>
        <v>0</v>
      </c>
      <c r="CK93" s="39">
        <f t="shared" si="73"/>
        <v>0</v>
      </c>
      <c r="CL93" s="39">
        <f t="shared" si="74"/>
        <v>0</v>
      </c>
      <c r="CM93" s="39">
        <f t="shared" si="75"/>
        <v>0</v>
      </c>
      <c r="CN93" s="39">
        <f t="shared" si="76"/>
        <v>0</v>
      </c>
      <c r="CO93" s="39">
        <f t="shared" si="77"/>
        <v>0</v>
      </c>
      <c r="CP93" s="39">
        <f t="shared" si="78"/>
        <v>0</v>
      </c>
    </row>
    <row r="94" spans="12:94" ht="16" customHeight="1" x14ac:dyDescent="0.2">
      <c r="L94" s="63">
        <v>30406</v>
      </c>
      <c r="M94" s="38">
        <v>0</v>
      </c>
      <c r="N94" s="38">
        <v>1.2</v>
      </c>
      <c r="O94" s="39">
        <v>0</v>
      </c>
      <c r="P94" s="39">
        <v>0</v>
      </c>
      <c r="Q94" s="46">
        <f t="shared" si="8"/>
        <v>0.1166582392379375</v>
      </c>
      <c r="R94" s="81">
        <f t="shared" si="9"/>
        <v>0</v>
      </c>
      <c r="S94" s="82">
        <f t="shared" si="10"/>
        <v>0</v>
      </c>
      <c r="T94" s="39">
        <f t="shared" si="11"/>
        <v>0</v>
      </c>
      <c r="U94" s="83">
        <f t="shared" si="12"/>
        <v>0</v>
      </c>
      <c r="V94" s="84">
        <f t="shared" si="13"/>
        <v>0.96</v>
      </c>
      <c r="W94" s="52">
        <f t="shared" si="14"/>
        <v>104.64860197595084</v>
      </c>
      <c r="X94" s="52">
        <f t="shared" si="15"/>
        <v>151.20000000000005</v>
      </c>
      <c r="Y94" s="52">
        <f t="shared" si="16"/>
        <v>255.84860197595088</v>
      </c>
      <c r="Z94" s="53">
        <f t="shared" si="17"/>
        <v>0.81756720293711593</v>
      </c>
      <c r="AA94" s="53">
        <f t="shared" si="18"/>
        <v>0.90000000000000024</v>
      </c>
      <c r="AB94" s="53">
        <f t="shared" si="19"/>
        <v>0.86435338505388815</v>
      </c>
      <c r="AC94" s="39" t="str">
        <f t="shared" si="20"/>
        <v>No</v>
      </c>
      <c r="AD94" s="85">
        <f t="shared" si="21"/>
        <v>0</v>
      </c>
      <c r="AE94" s="46">
        <f t="shared" si="22"/>
        <v>1</v>
      </c>
      <c r="AF94" s="46">
        <f t="shared" si="23"/>
        <v>0</v>
      </c>
      <c r="AG94" s="39">
        <f t="shared" si="79"/>
        <v>46.44860197595083</v>
      </c>
      <c r="AH94" s="39">
        <f t="shared" si="80"/>
        <v>63.2</v>
      </c>
      <c r="AI94" s="39">
        <f t="shared" si="81"/>
        <v>61.199999999999989</v>
      </c>
      <c r="AJ94" s="39">
        <f t="shared" si="82"/>
        <v>82.800000000000011</v>
      </c>
      <c r="AK94" s="39">
        <f t="shared" si="83"/>
        <v>79.799999999999983</v>
      </c>
      <c r="AL94" s="39">
        <f t="shared" si="84"/>
        <v>70.800000000000011</v>
      </c>
      <c r="AM94" s="39">
        <f t="shared" si="85"/>
        <v>70.800000000000011</v>
      </c>
      <c r="AN94" s="39">
        <f t="shared" si="86"/>
        <v>70.800000000000011</v>
      </c>
      <c r="AO94" s="39">
        <f t="shared" si="25"/>
        <v>0</v>
      </c>
      <c r="AP94" s="39">
        <f t="shared" si="26"/>
        <v>0</v>
      </c>
      <c r="AQ94" s="39">
        <f t="shared" si="27"/>
        <v>0</v>
      </c>
      <c r="AR94" s="39">
        <f t="shared" si="28"/>
        <v>0</v>
      </c>
      <c r="AS94" s="39">
        <f t="shared" si="29"/>
        <v>0</v>
      </c>
      <c r="AT94" s="39">
        <f t="shared" si="30"/>
        <v>0</v>
      </c>
      <c r="AU94" s="39">
        <f t="shared" si="31"/>
        <v>0</v>
      </c>
      <c r="AV94" s="39">
        <f t="shared" si="32"/>
        <v>0</v>
      </c>
      <c r="AW94" s="39">
        <f t="shared" si="33"/>
        <v>0</v>
      </c>
      <c r="AX94" s="39">
        <f t="shared" si="34"/>
        <v>0</v>
      </c>
      <c r="AY94" s="39">
        <f t="shared" si="35"/>
        <v>0</v>
      </c>
      <c r="AZ94" s="39">
        <f t="shared" si="36"/>
        <v>0</v>
      </c>
      <c r="BA94" s="39">
        <f t="shared" si="37"/>
        <v>0</v>
      </c>
      <c r="BB94" s="39">
        <f t="shared" si="38"/>
        <v>0</v>
      </c>
      <c r="BC94" s="39">
        <f t="shared" si="39"/>
        <v>0</v>
      </c>
      <c r="BD94" s="39">
        <f t="shared" si="40"/>
        <v>0</v>
      </c>
      <c r="BE94" s="39">
        <f t="shared" si="41"/>
        <v>0</v>
      </c>
      <c r="BF94" s="39">
        <f t="shared" si="42"/>
        <v>0</v>
      </c>
      <c r="BG94" s="39">
        <f t="shared" si="43"/>
        <v>0</v>
      </c>
      <c r="BH94" s="84">
        <f t="shared" si="44"/>
        <v>0</v>
      </c>
      <c r="BI94" s="84">
        <f t="shared" si="45"/>
        <v>0.96</v>
      </c>
      <c r="BJ94" s="84">
        <f t="shared" si="46"/>
        <v>0.42298736055379238</v>
      </c>
      <c r="BK94" s="39">
        <f t="shared" si="47"/>
        <v>46.025614615397039</v>
      </c>
      <c r="BL94" s="39">
        <f t="shared" si="48"/>
        <v>63.2</v>
      </c>
      <c r="BM94" s="39">
        <f t="shared" si="49"/>
        <v>61.199999999999989</v>
      </c>
      <c r="BN94" s="39">
        <f t="shared" si="50"/>
        <v>82.800000000000011</v>
      </c>
      <c r="BO94" s="39">
        <f t="shared" si="51"/>
        <v>79.799999999999983</v>
      </c>
      <c r="BP94" s="39">
        <f t="shared" si="52"/>
        <v>70.800000000000011</v>
      </c>
      <c r="BQ94" s="39">
        <f t="shared" si="53"/>
        <v>70.800000000000011</v>
      </c>
      <c r="BR94" s="39">
        <f t="shared" si="54"/>
        <v>70.800000000000011</v>
      </c>
      <c r="BS94" s="39">
        <f t="shared" si="55"/>
        <v>0</v>
      </c>
      <c r="BT94" s="39">
        <f t="shared" si="56"/>
        <v>0</v>
      </c>
      <c r="BU94" s="39">
        <f t="shared" si="57"/>
        <v>0</v>
      </c>
      <c r="BV94" s="39">
        <f t="shared" si="58"/>
        <v>0</v>
      </c>
      <c r="BW94" s="39">
        <f t="shared" si="59"/>
        <v>0</v>
      </c>
      <c r="BX94" s="39">
        <f t="shared" si="60"/>
        <v>0</v>
      </c>
      <c r="BY94" s="39">
        <f t="shared" si="61"/>
        <v>0</v>
      </c>
      <c r="BZ94" s="39">
        <f t="shared" si="62"/>
        <v>0</v>
      </c>
      <c r="CA94" s="39">
        <f t="shared" si="63"/>
        <v>46.025614615397039</v>
      </c>
      <c r="CB94" s="39">
        <f t="shared" si="64"/>
        <v>63.2</v>
      </c>
      <c r="CC94" s="39">
        <f t="shared" si="65"/>
        <v>61.199999999999989</v>
      </c>
      <c r="CD94" s="39">
        <f t="shared" si="66"/>
        <v>82.800000000000011</v>
      </c>
      <c r="CE94" s="39">
        <f t="shared" si="67"/>
        <v>79.799999999999983</v>
      </c>
      <c r="CF94" s="39">
        <f t="shared" si="68"/>
        <v>70.800000000000011</v>
      </c>
      <c r="CG94" s="39">
        <f t="shared" si="69"/>
        <v>70.800000000000011</v>
      </c>
      <c r="CH94" s="39">
        <f t="shared" si="70"/>
        <v>70.800000000000011</v>
      </c>
      <c r="CI94" s="39">
        <f t="shared" si="71"/>
        <v>0</v>
      </c>
      <c r="CJ94" s="39">
        <f t="shared" si="72"/>
        <v>0</v>
      </c>
      <c r="CK94" s="39">
        <f t="shared" si="73"/>
        <v>0</v>
      </c>
      <c r="CL94" s="39">
        <f t="shared" si="74"/>
        <v>0</v>
      </c>
      <c r="CM94" s="39">
        <f t="shared" si="75"/>
        <v>0</v>
      </c>
      <c r="CN94" s="39">
        <f t="shared" si="76"/>
        <v>0</v>
      </c>
      <c r="CO94" s="39">
        <f t="shared" si="77"/>
        <v>0</v>
      </c>
      <c r="CP94" s="39">
        <f t="shared" si="78"/>
        <v>0</v>
      </c>
    </row>
    <row r="95" spans="12:94" ht="16" customHeight="1" x14ac:dyDescent="0.2">
      <c r="L95" s="63">
        <v>30407</v>
      </c>
      <c r="M95" s="38">
        <v>2.8</v>
      </c>
      <c r="N95" s="38">
        <v>1.2</v>
      </c>
      <c r="O95" s="39">
        <v>0</v>
      </c>
      <c r="P95" s="39">
        <v>0</v>
      </c>
      <c r="Q95" s="46">
        <f t="shared" si="8"/>
        <v>0.11751564604987086</v>
      </c>
      <c r="R95" s="81">
        <f t="shared" si="9"/>
        <v>0</v>
      </c>
      <c r="S95" s="82">
        <f t="shared" si="10"/>
        <v>2.8</v>
      </c>
      <c r="T95" s="39">
        <f t="shared" si="11"/>
        <v>0</v>
      </c>
      <c r="U95" s="83">
        <f t="shared" si="12"/>
        <v>0</v>
      </c>
      <c r="V95" s="84">
        <f t="shared" si="13"/>
        <v>0.96</v>
      </c>
      <c r="W95" s="52">
        <f t="shared" si="14"/>
        <v>104.22561461539703</v>
      </c>
      <c r="X95" s="52">
        <f t="shared" si="15"/>
        <v>151.20000000000005</v>
      </c>
      <c r="Y95" s="52">
        <f t="shared" si="16"/>
        <v>255.42561461539708</v>
      </c>
      <c r="Z95" s="53">
        <f t="shared" si="17"/>
        <v>0.81426261418278933</v>
      </c>
      <c r="AA95" s="53">
        <f t="shared" si="18"/>
        <v>0.90000000000000024</v>
      </c>
      <c r="AB95" s="53">
        <f t="shared" si="19"/>
        <v>0.86292437370066577</v>
      </c>
      <c r="AC95" s="39" t="str">
        <f t="shared" si="20"/>
        <v>No</v>
      </c>
      <c r="AD95" s="85">
        <f t="shared" si="21"/>
        <v>0</v>
      </c>
      <c r="AE95" s="46">
        <f t="shared" si="22"/>
        <v>1</v>
      </c>
      <c r="AF95" s="46">
        <f t="shared" si="23"/>
        <v>0</v>
      </c>
      <c r="AG95" s="39">
        <f t="shared" si="79"/>
        <v>46.025614615397039</v>
      </c>
      <c r="AH95" s="39">
        <f t="shared" si="80"/>
        <v>63.2</v>
      </c>
      <c r="AI95" s="39">
        <f t="shared" si="81"/>
        <v>61.199999999999989</v>
      </c>
      <c r="AJ95" s="39">
        <f t="shared" si="82"/>
        <v>82.800000000000011</v>
      </c>
      <c r="AK95" s="39">
        <f t="shared" si="83"/>
        <v>79.799999999999983</v>
      </c>
      <c r="AL95" s="39">
        <f t="shared" si="84"/>
        <v>70.800000000000011</v>
      </c>
      <c r="AM95" s="39">
        <f t="shared" si="85"/>
        <v>70.800000000000011</v>
      </c>
      <c r="AN95" s="39">
        <f t="shared" si="86"/>
        <v>70.800000000000011</v>
      </c>
      <c r="AO95" s="39">
        <f t="shared" si="25"/>
        <v>0</v>
      </c>
      <c r="AP95" s="39">
        <f t="shared" si="26"/>
        <v>0</v>
      </c>
      <c r="AQ95" s="39">
        <f t="shared" si="27"/>
        <v>0</v>
      </c>
      <c r="AR95" s="39">
        <f t="shared" si="28"/>
        <v>0</v>
      </c>
      <c r="AS95" s="39">
        <f t="shared" si="29"/>
        <v>0</v>
      </c>
      <c r="AT95" s="39">
        <f t="shared" si="30"/>
        <v>0</v>
      </c>
      <c r="AU95" s="39">
        <f t="shared" si="31"/>
        <v>0</v>
      </c>
      <c r="AV95" s="39">
        <f t="shared" si="32"/>
        <v>0</v>
      </c>
      <c r="AW95" s="39">
        <f t="shared" si="33"/>
        <v>0</v>
      </c>
      <c r="AX95" s="39">
        <f t="shared" si="34"/>
        <v>0</v>
      </c>
      <c r="AY95" s="39">
        <f t="shared" si="35"/>
        <v>0</v>
      </c>
      <c r="AZ95" s="39">
        <f t="shared" si="36"/>
        <v>0</v>
      </c>
      <c r="BA95" s="39">
        <f t="shared" si="37"/>
        <v>0</v>
      </c>
      <c r="BB95" s="39">
        <f t="shared" si="38"/>
        <v>0</v>
      </c>
      <c r="BC95" s="39">
        <f t="shared" si="39"/>
        <v>0</v>
      </c>
      <c r="BD95" s="39">
        <f t="shared" si="40"/>
        <v>0</v>
      </c>
      <c r="BE95" s="39">
        <f t="shared" si="41"/>
        <v>0</v>
      </c>
      <c r="BF95" s="39">
        <f t="shared" si="42"/>
        <v>0</v>
      </c>
      <c r="BG95" s="39">
        <f t="shared" si="43"/>
        <v>0</v>
      </c>
      <c r="BH95" s="84">
        <f t="shared" si="44"/>
        <v>0.96</v>
      </c>
      <c r="BI95" s="84">
        <f t="shared" si="45"/>
        <v>0</v>
      </c>
      <c r="BJ95" s="84">
        <f t="shared" si="46"/>
        <v>0.96</v>
      </c>
      <c r="BK95" s="39">
        <f t="shared" si="47"/>
        <v>45.065614615397038</v>
      </c>
      <c r="BL95" s="39">
        <f t="shared" si="48"/>
        <v>63.2</v>
      </c>
      <c r="BM95" s="39">
        <f t="shared" si="49"/>
        <v>61.199999999999989</v>
      </c>
      <c r="BN95" s="39">
        <f t="shared" si="50"/>
        <v>82.800000000000011</v>
      </c>
      <c r="BO95" s="39">
        <f t="shared" si="51"/>
        <v>79.799999999999983</v>
      </c>
      <c r="BP95" s="39">
        <f t="shared" si="52"/>
        <v>70.800000000000011</v>
      </c>
      <c r="BQ95" s="39">
        <f t="shared" si="53"/>
        <v>70.800000000000011</v>
      </c>
      <c r="BR95" s="39">
        <f t="shared" si="54"/>
        <v>70.800000000000011</v>
      </c>
      <c r="BS95" s="39">
        <f t="shared" si="55"/>
        <v>0</v>
      </c>
      <c r="BT95" s="39">
        <f t="shared" si="56"/>
        <v>0</v>
      </c>
      <c r="BU95" s="39">
        <f t="shared" si="57"/>
        <v>0</v>
      </c>
      <c r="BV95" s="39">
        <f t="shared" si="58"/>
        <v>0</v>
      </c>
      <c r="BW95" s="39">
        <f t="shared" si="59"/>
        <v>0</v>
      </c>
      <c r="BX95" s="39">
        <f t="shared" si="60"/>
        <v>0</v>
      </c>
      <c r="BY95" s="39">
        <f t="shared" si="61"/>
        <v>0</v>
      </c>
      <c r="BZ95" s="39">
        <f t="shared" si="62"/>
        <v>0</v>
      </c>
      <c r="CA95" s="39">
        <f t="shared" si="63"/>
        <v>46.905614615397042</v>
      </c>
      <c r="CB95" s="39">
        <f t="shared" si="64"/>
        <v>63.2</v>
      </c>
      <c r="CC95" s="39">
        <f t="shared" si="65"/>
        <v>61.199999999999989</v>
      </c>
      <c r="CD95" s="39">
        <f t="shared" si="66"/>
        <v>82.800000000000011</v>
      </c>
      <c r="CE95" s="39">
        <f t="shared" si="67"/>
        <v>79.799999999999983</v>
      </c>
      <c r="CF95" s="39">
        <f t="shared" si="68"/>
        <v>70.800000000000011</v>
      </c>
      <c r="CG95" s="39">
        <f t="shared" si="69"/>
        <v>70.800000000000011</v>
      </c>
      <c r="CH95" s="39">
        <f t="shared" si="70"/>
        <v>70.800000000000011</v>
      </c>
      <c r="CI95" s="39">
        <f t="shared" si="71"/>
        <v>0</v>
      </c>
      <c r="CJ95" s="39">
        <f t="shared" si="72"/>
        <v>0</v>
      </c>
      <c r="CK95" s="39">
        <f t="shared" si="73"/>
        <v>0</v>
      </c>
      <c r="CL95" s="39">
        <f t="shared" si="74"/>
        <v>0</v>
      </c>
      <c r="CM95" s="39">
        <f t="shared" si="75"/>
        <v>0</v>
      </c>
      <c r="CN95" s="39">
        <f t="shared" si="76"/>
        <v>0</v>
      </c>
      <c r="CO95" s="39">
        <f t="shared" si="77"/>
        <v>0</v>
      </c>
      <c r="CP95" s="39">
        <f t="shared" si="78"/>
        <v>0</v>
      </c>
    </row>
    <row r="96" spans="12:94" ht="16" customHeight="1" x14ac:dyDescent="0.2">
      <c r="L96" s="63">
        <v>30408</v>
      </c>
      <c r="M96" s="38">
        <v>19.7</v>
      </c>
      <c r="N96" s="38">
        <v>1.4</v>
      </c>
      <c r="O96" s="39">
        <v>0</v>
      </c>
      <c r="P96" s="39">
        <v>0</v>
      </c>
      <c r="Q96" s="46">
        <f t="shared" si="8"/>
        <v>0.11573186226608709</v>
      </c>
      <c r="R96" s="81">
        <f t="shared" si="9"/>
        <v>1.3738232264085437</v>
      </c>
      <c r="S96" s="82">
        <f t="shared" si="10"/>
        <v>18.326176773591456</v>
      </c>
      <c r="T96" s="39">
        <f t="shared" si="11"/>
        <v>0</v>
      </c>
      <c r="U96" s="83">
        <f t="shared" si="12"/>
        <v>0</v>
      </c>
      <c r="V96" s="84">
        <f t="shared" si="13"/>
        <v>1.1199999999999999</v>
      </c>
      <c r="W96" s="52">
        <f t="shared" si="14"/>
        <v>105.10561461539703</v>
      </c>
      <c r="X96" s="52">
        <f t="shared" si="15"/>
        <v>151.20000000000005</v>
      </c>
      <c r="Y96" s="52">
        <f t="shared" si="16"/>
        <v>256.30561461539708</v>
      </c>
      <c r="Z96" s="53">
        <f t="shared" si="17"/>
        <v>0.8211376141827893</v>
      </c>
      <c r="AA96" s="53">
        <f t="shared" si="18"/>
        <v>0.90000000000000024</v>
      </c>
      <c r="AB96" s="53">
        <f t="shared" si="19"/>
        <v>0.86589734667363882</v>
      </c>
      <c r="AC96" s="39" t="str">
        <f t="shared" si="20"/>
        <v>No</v>
      </c>
      <c r="AD96" s="85">
        <f t="shared" si="21"/>
        <v>0</v>
      </c>
      <c r="AE96" s="46">
        <f t="shared" si="22"/>
        <v>1</v>
      </c>
      <c r="AF96" s="46">
        <f t="shared" si="23"/>
        <v>0</v>
      </c>
      <c r="AG96" s="39">
        <f t="shared" si="79"/>
        <v>46.905614615397042</v>
      </c>
      <c r="AH96" s="39">
        <f t="shared" si="80"/>
        <v>63.2</v>
      </c>
      <c r="AI96" s="39">
        <f t="shared" si="81"/>
        <v>61.199999999999989</v>
      </c>
      <c r="AJ96" s="39">
        <f t="shared" si="82"/>
        <v>82.800000000000011</v>
      </c>
      <c r="AK96" s="39">
        <f t="shared" si="83"/>
        <v>79.799999999999983</v>
      </c>
      <c r="AL96" s="39">
        <f t="shared" si="84"/>
        <v>70.800000000000011</v>
      </c>
      <c r="AM96" s="39">
        <f t="shared" si="85"/>
        <v>70.800000000000011</v>
      </c>
      <c r="AN96" s="39">
        <f t="shared" si="86"/>
        <v>70.800000000000011</v>
      </c>
      <c r="AO96" s="39">
        <f t="shared" si="25"/>
        <v>0</v>
      </c>
      <c r="AP96" s="39">
        <f t="shared" si="26"/>
        <v>0</v>
      </c>
      <c r="AQ96" s="39">
        <f t="shared" si="27"/>
        <v>0</v>
      </c>
      <c r="AR96" s="39">
        <f t="shared" si="28"/>
        <v>0</v>
      </c>
      <c r="AS96" s="39">
        <f t="shared" si="29"/>
        <v>0</v>
      </c>
      <c r="AT96" s="39">
        <f t="shared" si="30"/>
        <v>0</v>
      </c>
      <c r="AU96" s="39">
        <f t="shared" si="31"/>
        <v>0</v>
      </c>
      <c r="AV96" s="39">
        <f t="shared" si="32"/>
        <v>0</v>
      </c>
      <c r="AW96" s="39">
        <f t="shared" si="33"/>
        <v>0</v>
      </c>
      <c r="AX96" s="39">
        <f t="shared" si="34"/>
        <v>0</v>
      </c>
      <c r="AY96" s="39">
        <f t="shared" si="35"/>
        <v>0</v>
      </c>
      <c r="AZ96" s="39">
        <f t="shared" si="36"/>
        <v>0</v>
      </c>
      <c r="BA96" s="39">
        <f t="shared" si="37"/>
        <v>0</v>
      </c>
      <c r="BB96" s="39">
        <f t="shared" si="38"/>
        <v>0</v>
      </c>
      <c r="BC96" s="39">
        <f t="shared" si="39"/>
        <v>0</v>
      </c>
      <c r="BD96" s="39">
        <f t="shared" si="40"/>
        <v>0</v>
      </c>
      <c r="BE96" s="39">
        <f t="shared" si="41"/>
        <v>0</v>
      </c>
      <c r="BF96" s="39">
        <f t="shared" si="42"/>
        <v>0</v>
      </c>
      <c r="BG96" s="39">
        <f t="shared" si="43"/>
        <v>0</v>
      </c>
      <c r="BH96" s="84">
        <f t="shared" si="44"/>
        <v>1.1199999999999999</v>
      </c>
      <c r="BI96" s="84">
        <f t="shared" si="45"/>
        <v>0</v>
      </c>
      <c r="BJ96" s="84">
        <f t="shared" si="46"/>
        <v>1.1199999999999999</v>
      </c>
      <c r="BK96" s="39">
        <f t="shared" si="47"/>
        <v>45.785614615397044</v>
      </c>
      <c r="BL96" s="39">
        <f t="shared" si="48"/>
        <v>63.2</v>
      </c>
      <c r="BM96" s="39">
        <f t="shared" si="49"/>
        <v>61.199999999999989</v>
      </c>
      <c r="BN96" s="39">
        <f t="shared" si="50"/>
        <v>82.800000000000011</v>
      </c>
      <c r="BO96" s="39">
        <f t="shared" si="51"/>
        <v>79.799999999999983</v>
      </c>
      <c r="BP96" s="39">
        <f t="shared" si="52"/>
        <v>70.800000000000011</v>
      </c>
      <c r="BQ96" s="39">
        <f t="shared" si="53"/>
        <v>70.800000000000011</v>
      </c>
      <c r="BR96" s="39">
        <f t="shared" si="54"/>
        <v>70.800000000000011</v>
      </c>
      <c r="BS96" s="39">
        <f t="shared" si="55"/>
        <v>0</v>
      </c>
      <c r="BT96" s="39">
        <f t="shared" si="56"/>
        <v>0</v>
      </c>
      <c r="BU96" s="39">
        <f t="shared" si="57"/>
        <v>0</v>
      </c>
      <c r="BV96" s="39">
        <f t="shared" si="58"/>
        <v>0</v>
      </c>
      <c r="BW96" s="39">
        <f t="shared" si="59"/>
        <v>0</v>
      </c>
      <c r="BX96" s="39">
        <f t="shared" si="60"/>
        <v>0</v>
      </c>
      <c r="BY96" s="39">
        <f t="shared" si="61"/>
        <v>0</v>
      </c>
      <c r="BZ96" s="39">
        <f t="shared" si="62"/>
        <v>0</v>
      </c>
      <c r="CA96" s="39">
        <f t="shared" si="63"/>
        <v>62.991791388988503</v>
      </c>
      <c r="CB96" s="39">
        <f t="shared" si="64"/>
        <v>63.2</v>
      </c>
      <c r="CC96" s="39">
        <f t="shared" si="65"/>
        <v>61.199999999999989</v>
      </c>
      <c r="CD96" s="39">
        <f t="shared" si="66"/>
        <v>82.800000000000011</v>
      </c>
      <c r="CE96" s="39">
        <f t="shared" si="67"/>
        <v>79.799999999999983</v>
      </c>
      <c r="CF96" s="39">
        <f t="shared" si="68"/>
        <v>70.800000000000011</v>
      </c>
      <c r="CG96" s="39">
        <f t="shared" si="69"/>
        <v>70.800000000000011</v>
      </c>
      <c r="CH96" s="39">
        <f t="shared" si="70"/>
        <v>70.800000000000011</v>
      </c>
      <c r="CI96" s="39">
        <f t="shared" si="71"/>
        <v>0</v>
      </c>
      <c r="CJ96" s="39">
        <f t="shared" si="72"/>
        <v>0</v>
      </c>
      <c r="CK96" s="39">
        <f t="shared" si="73"/>
        <v>0</v>
      </c>
      <c r="CL96" s="39">
        <f t="shared" si="74"/>
        <v>0</v>
      </c>
      <c r="CM96" s="39">
        <f t="shared" si="75"/>
        <v>0</v>
      </c>
      <c r="CN96" s="39">
        <f t="shared" si="76"/>
        <v>0</v>
      </c>
      <c r="CO96" s="39">
        <f t="shared" si="77"/>
        <v>0</v>
      </c>
      <c r="CP96" s="39">
        <f t="shared" si="78"/>
        <v>0</v>
      </c>
    </row>
    <row r="97" spans="12:94" ht="16" customHeight="1" x14ac:dyDescent="0.2">
      <c r="L97" s="63">
        <v>30409</v>
      </c>
      <c r="M97" s="38">
        <v>0</v>
      </c>
      <c r="N97" s="38">
        <v>2.9</v>
      </c>
      <c r="O97" s="39">
        <v>0</v>
      </c>
      <c r="P97" s="39">
        <v>0</v>
      </c>
      <c r="Q97" s="46">
        <f t="shared" si="8"/>
        <v>8.3124747184482761E-2</v>
      </c>
      <c r="R97" s="81">
        <f t="shared" si="9"/>
        <v>0</v>
      </c>
      <c r="S97" s="82">
        <f t="shared" si="10"/>
        <v>0</v>
      </c>
      <c r="T97" s="39">
        <f t="shared" si="11"/>
        <v>0</v>
      </c>
      <c r="U97" s="83">
        <f t="shared" si="12"/>
        <v>0</v>
      </c>
      <c r="V97" s="84">
        <f t="shared" si="13"/>
        <v>2.3199999999999998</v>
      </c>
      <c r="W97" s="52">
        <f t="shared" si="14"/>
        <v>121.19179138898852</v>
      </c>
      <c r="X97" s="52">
        <f t="shared" si="15"/>
        <v>151.20000000000005</v>
      </c>
      <c r="Y97" s="52">
        <f t="shared" si="16"/>
        <v>272.39179138898857</v>
      </c>
      <c r="Z97" s="53">
        <f t="shared" si="17"/>
        <v>0.94681087022647281</v>
      </c>
      <c r="AA97" s="53">
        <f t="shared" si="18"/>
        <v>0.90000000000000024</v>
      </c>
      <c r="AB97" s="53">
        <f t="shared" si="19"/>
        <v>0.92024253847631277</v>
      </c>
      <c r="AC97" s="39" t="str">
        <f t="shared" si="20"/>
        <v>No</v>
      </c>
      <c r="AD97" s="85">
        <f t="shared" si="21"/>
        <v>0</v>
      </c>
      <c r="AE97" s="46">
        <f t="shared" si="22"/>
        <v>1</v>
      </c>
      <c r="AF97" s="46">
        <f t="shared" si="23"/>
        <v>0</v>
      </c>
      <c r="AG97" s="39">
        <f t="shared" si="79"/>
        <v>62.991791388988503</v>
      </c>
      <c r="AH97" s="39">
        <f t="shared" si="80"/>
        <v>63.2</v>
      </c>
      <c r="AI97" s="39">
        <f t="shared" si="81"/>
        <v>61.199999999999989</v>
      </c>
      <c r="AJ97" s="39">
        <f t="shared" si="82"/>
        <v>82.800000000000011</v>
      </c>
      <c r="AK97" s="39">
        <f t="shared" si="83"/>
        <v>79.799999999999983</v>
      </c>
      <c r="AL97" s="39">
        <f t="shared" si="84"/>
        <v>70.800000000000011</v>
      </c>
      <c r="AM97" s="39">
        <f t="shared" si="85"/>
        <v>70.800000000000011</v>
      </c>
      <c r="AN97" s="39">
        <f t="shared" si="86"/>
        <v>70.800000000000011</v>
      </c>
      <c r="AO97" s="39">
        <f t="shared" si="25"/>
        <v>0</v>
      </c>
      <c r="AP97" s="39">
        <f t="shared" si="26"/>
        <v>0</v>
      </c>
      <c r="AQ97" s="39">
        <f t="shared" si="27"/>
        <v>0</v>
      </c>
      <c r="AR97" s="39">
        <f t="shared" si="28"/>
        <v>0</v>
      </c>
      <c r="AS97" s="39">
        <f t="shared" si="29"/>
        <v>0</v>
      </c>
      <c r="AT97" s="39">
        <f t="shared" si="30"/>
        <v>0</v>
      </c>
      <c r="AU97" s="39">
        <f t="shared" si="31"/>
        <v>0</v>
      </c>
      <c r="AV97" s="39">
        <f t="shared" si="32"/>
        <v>0</v>
      </c>
      <c r="AW97" s="39">
        <f t="shared" si="33"/>
        <v>0</v>
      </c>
      <c r="AX97" s="39">
        <f t="shared" si="34"/>
        <v>0</v>
      </c>
      <c r="AY97" s="39">
        <f t="shared" si="35"/>
        <v>0</v>
      </c>
      <c r="AZ97" s="39">
        <f t="shared" si="36"/>
        <v>0</v>
      </c>
      <c r="BA97" s="39">
        <f t="shared" si="37"/>
        <v>0</v>
      </c>
      <c r="BB97" s="39">
        <f t="shared" si="38"/>
        <v>0</v>
      </c>
      <c r="BC97" s="39">
        <f t="shared" si="39"/>
        <v>0</v>
      </c>
      <c r="BD97" s="39">
        <f t="shared" si="40"/>
        <v>0</v>
      </c>
      <c r="BE97" s="39">
        <f t="shared" si="41"/>
        <v>0</v>
      </c>
      <c r="BF97" s="39">
        <f t="shared" si="42"/>
        <v>0</v>
      </c>
      <c r="BG97" s="39">
        <f t="shared" si="43"/>
        <v>0</v>
      </c>
      <c r="BH97" s="84">
        <f t="shared" si="44"/>
        <v>2.3199999999999998</v>
      </c>
      <c r="BI97" s="84">
        <f t="shared" si="45"/>
        <v>0</v>
      </c>
      <c r="BJ97" s="84">
        <f t="shared" si="46"/>
        <v>2.3199999999999998</v>
      </c>
      <c r="BK97" s="39">
        <f t="shared" si="47"/>
        <v>60.671791388988503</v>
      </c>
      <c r="BL97" s="39">
        <f t="shared" si="48"/>
        <v>63.2</v>
      </c>
      <c r="BM97" s="39">
        <f t="shared" si="49"/>
        <v>61.199999999999989</v>
      </c>
      <c r="BN97" s="39">
        <f t="shared" si="50"/>
        <v>82.800000000000011</v>
      </c>
      <c r="BO97" s="39">
        <f t="shared" si="51"/>
        <v>79.799999999999983</v>
      </c>
      <c r="BP97" s="39">
        <f t="shared" si="52"/>
        <v>70.800000000000011</v>
      </c>
      <c r="BQ97" s="39">
        <f t="shared" si="53"/>
        <v>70.800000000000011</v>
      </c>
      <c r="BR97" s="39">
        <f t="shared" si="54"/>
        <v>70.800000000000011</v>
      </c>
      <c r="BS97" s="39">
        <f t="shared" si="55"/>
        <v>0.40307483339310152</v>
      </c>
      <c r="BT97" s="39">
        <f t="shared" si="56"/>
        <v>0</v>
      </c>
      <c r="BU97" s="39">
        <f t="shared" si="57"/>
        <v>0</v>
      </c>
      <c r="BV97" s="39">
        <f t="shared" si="58"/>
        <v>0</v>
      </c>
      <c r="BW97" s="39">
        <f t="shared" si="59"/>
        <v>0</v>
      </c>
      <c r="BX97" s="39">
        <f t="shared" si="60"/>
        <v>0</v>
      </c>
      <c r="BY97" s="39">
        <f t="shared" si="61"/>
        <v>0</v>
      </c>
      <c r="BZ97" s="39">
        <f t="shared" si="62"/>
        <v>0</v>
      </c>
      <c r="CA97" s="39">
        <f t="shared" si="63"/>
        <v>60.268716555595404</v>
      </c>
      <c r="CB97" s="39">
        <f t="shared" si="64"/>
        <v>63.603074833393102</v>
      </c>
      <c r="CC97" s="39">
        <f t="shared" si="65"/>
        <v>61.199999999999989</v>
      </c>
      <c r="CD97" s="39">
        <f t="shared" si="66"/>
        <v>82.800000000000011</v>
      </c>
      <c r="CE97" s="39">
        <f t="shared" si="67"/>
        <v>79.799999999999983</v>
      </c>
      <c r="CF97" s="39">
        <f t="shared" si="68"/>
        <v>70.800000000000011</v>
      </c>
      <c r="CG97" s="39">
        <f t="shared" si="69"/>
        <v>70.800000000000011</v>
      </c>
      <c r="CH97" s="39">
        <f t="shared" si="70"/>
        <v>70.800000000000011</v>
      </c>
      <c r="CI97" s="39">
        <f t="shared" si="71"/>
        <v>0</v>
      </c>
      <c r="CJ97" s="39">
        <f t="shared" si="72"/>
        <v>0</v>
      </c>
      <c r="CK97" s="39">
        <f t="shared" si="73"/>
        <v>0</v>
      </c>
      <c r="CL97" s="39">
        <f t="shared" si="74"/>
        <v>0</v>
      </c>
      <c r="CM97" s="39">
        <f t="shared" si="75"/>
        <v>0</v>
      </c>
      <c r="CN97" s="39">
        <f t="shared" si="76"/>
        <v>0</v>
      </c>
      <c r="CO97" s="39">
        <f t="shared" si="77"/>
        <v>0</v>
      </c>
      <c r="CP97" s="39">
        <f t="shared" si="78"/>
        <v>0</v>
      </c>
    </row>
    <row r="98" spans="12:94" ht="16" customHeight="1" x14ac:dyDescent="0.2">
      <c r="L98" s="63">
        <v>30410</v>
      </c>
      <c r="M98" s="38">
        <v>0</v>
      </c>
      <c r="N98" s="38">
        <v>2.2000000000000002</v>
      </c>
      <c r="O98" s="39">
        <v>0</v>
      </c>
      <c r="P98" s="39">
        <v>0</v>
      </c>
      <c r="Q98" s="46">
        <f t="shared" si="8"/>
        <v>8.8644493468387695E-2</v>
      </c>
      <c r="R98" s="81">
        <f t="shared" si="9"/>
        <v>0</v>
      </c>
      <c r="S98" s="82">
        <f t="shared" si="10"/>
        <v>0</v>
      </c>
      <c r="T98" s="39">
        <f t="shared" si="11"/>
        <v>0</v>
      </c>
      <c r="U98" s="83">
        <f t="shared" si="12"/>
        <v>0</v>
      </c>
      <c r="V98" s="84">
        <f t="shared" si="13"/>
        <v>1.7600000000000002</v>
      </c>
      <c r="W98" s="52">
        <f t="shared" si="14"/>
        <v>118.87179138898853</v>
      </c>
      <c r="X98" s="52">
        <f t="shared" si="15"/>
        <v>151.20000000000005</v>
      </c>
      <c r="Y98" s="52">
        <f t="shared" si="16"/>
        <v>270.07179138898857</v>
      </c>
      <c r="Z98" s="53">
        <f t="shared" si="17"/>
        <v>0.92868587022647286</v>
      </c>
      <c r="AA98" s="53">
        <f t="shared" si="18"/>
        <v>0.90000000000000024</v>
      </c>
      <c r="AB98" s="53">
        <f t="shared" si="19"/>
        <v>0.9124047006384749</v>
      </c>
      <c r="AC98" s="39" t="str">
        <f t="shared" si="20"/>
        <v>No</v>
      </c>
      <c r="AD98" s="85">
        <f t="shared" si="21"/>
        <v>0</v>
      </c>
      <c r="AE98" s="46">
        <f t="shared" si="22"/>
        <v>1</v>
      </c>
      <c r="AF98" s="46">
        <f t="shared" si="23"/>
        <v>0</v>
      </c>
      <c r="AG98" s="39">
        <f t="shared" si="79"/>
        <v>60.268716555595404</v>
      </c>
      <c r="AH98" s="39">
        <f t="shared" si="80"/>
        <v>63.603074833393102</v>
      </c>
      <c r="AI98" s="39">
        <f t="shared" si="81"/>
        <v>61.199999999999989</v>
      </c>
      <c r="AJ98" s="39">
        <f t="shared" si="82"/>
        <v>82.800000000000011</v>
      </c>
      <c r="AK98" s="39">
        <f t="shared" si="83"/>
        <v>79.799999999999983</v>
      </c>
      <c r="AL98" s="39">
        <f t="shared" si="84"/>
        <v>70.800000000000011</v>
      </c>
      <c r="AM98" s="39">
        <f t="shared" si="85"/>
        <v>70.800000000000011</v>
      </c>
      <c r="AN98" s="39">
        <f t="shared" si="86"/>
        <v>70.800000000000011</v>
      </c>
      <c r="AO98" s="39">
        <f t="shared" si="25"/>
        <v>0</v>
      </c>
      <c r="AP98" s="39">
        <f t="shared" si="26"/>
        <v>0</v>
      </c>
      <c r="AQ98" s="39">
        <f t="shared" si="27"/>
        <v>0</v>
      </c>
      <c r="AR98" s="39">
        <f t="shared" si="28"/>
        <v>0</v>
      </c>
      <c r="AS98" s="39">
        <f t="shared" si="29"/>
        <v>0</v>
      </c>
      <c r="AT98" s="39">
        <f t="shared" si="30"/>
        <v>0</v>
      </c>
      <c r="AU98" s="39">
        <f t="shared" si="31"/>
        <v>0</v>
      </c>
      <c r="AV98" s="39">
        <f t="shared" si="32"/>
        <v>0</v>
      </c>
      <c r="AW98" s="39">
        <f t="shared" si="33"/>
        <v>0</v>
      </c>
      <c r="AX98" s="39">
        <f t="shared" si="34"/>
        <v>0</v>
      </c>
      <c r="AY98" s="39">
        <f t="shared" si="35"/>
        <v>0</v>
      </c>
      <c r="AZ98" s="39">
        <f t="shared" si="36"/>
        <v>0</v>
      </c>
      <c r="BA98" s="39">
        <f t="shared" si="37"/>
        <v>0</v>
      </c>
      <c r="BB98" s="39">
        <f t="shared" si="38"/>
        <v>0</v>
      </c>
      <c r="BC98" s="39">
        <f t="shared" si="39"/>
        <v>0</v>
      </c>
      <c r="BD98" s="39">
        <f t="shared" si="40"/>
        <v>0</v>
      </c>
      <c r="BE98" s="39">
        <f t="shared" si="41"/>
        <v>0</v>
      </c>
      <c r="BF98" s="39">
        <f t="shared" si="42"/>
        <v>0</v>
      </c>
      <c r="BG98" s="39">
        <f t="shared" si="43"/>
        <v>0</v>
      </c>
      <c r="BH98" s="84">
        <f t="shared" si="44"/>
        <v>1.7600000000000002</v>
      </c>
      <c r="BI98" s="84">
        <f t="shared" si="45"/>
        <v>0</v>
      </c>
      <c r="BJ98" s="84">
        <f t="shared" si="46"/>
        <v>1.7600000000000002</v>
      </c>
      <c r="BK98" s="39">
        <f t="shared" si="47"/>
        <v>58.508716555595406</v>
      </c>
      <c r="BL98" s="39">
        <f t="shared" si="48"/>
        <v>63.603074833393102</v>
      </c>
      <c r="BM98" s="39">
        <f t="shared" si="49"/>
        <v>61.199999999999989</v>
      </c>
      <c r="BN98" s="39">
        <f t="shared" si="50"/>
        <v>82.800000000000011</v>
      </c>
      <c r="BO98" s="39">
        <f t="shared" si="51"/>
        <v>79.799999999999983</v>
      </c>
      <c r="BP98" s="39">
        <f t="shared" si="52"/>
        <v>70.800000000000011</v>
      </c>
      <c r="BQ98" s="39">
        <f t="shared" si="53"/>
        <v>70.800000000000011</v>
      </c>
      <c r="BR98" s="39">
        <f t="shared" si="54"/>
        <v>70.800000000000011</v>
      </c>
      <c r="BS98" s="39">
        <f t="shared" si="55"/>
        <v>0</v>
      </c>
      <c r="BT98" s="39">
        <f t="shared" si="56"/>
        <v>0</v>
      </c>
      <c r="BU98" s="39">
        <f t="shared" si="57"/>
        <v>0</v>
      </c>
      <c r="BV98" s="39">
        <f t="shared" si="58"/>
        <v>0</v>
      </c>
      <c r="BW98" s="39">
        <f t="shared" si="59"/>
        <v>0</v>
      </c>
      <c r="BX98" s="39">
        <f t="shared" si="60"/>
        <v>0</v>
      </c>
      <c r="BY98" s="39">
        <f t="shared" si="61"/>
        <v>0</v>
      </c>
      <c r="BZ98" s="39">
        <f t="shared" si="62"/>
        <v>0</v>
      </c>
      <c r="CA98" s="39">
        <f t="shared" si="63"/>
        <v>58.508716555595406</v>
      </c>
      <c r="CB98" s="39">
        <f t="shared" si="64"/>
        <v>63.603074833393102</v>
      </c>
      <c r="CC98" s="39">
        <f t="shared" si="65"/>
        <v>61.199999999999989</v>
      </c>
      <c r="CD98" s="39">
        <f t="shared" si="66"/>
        <v>82.800000000000011</v>
      </c>
      <c r="CE98" s="39">
        <f t="shared" si="67"/>
        <v>79.799999999999983</v>
      </c>
      <c r="CF98" s="39">
        <f t="shared" si="68"/>
        <v>70.800000000000011</v>
      </c>
      <c r="CG98" s="39">
        <f t="shared" si="69"/>
        <v>70.800000000000011</v>
      </c>
      <c r="CH98" s="39">
        <f t="shared" si="70"/>
        <v>70.800000000000011</v>
      </c>
      <c r="CI98" s="39">
        <f t="shared" si="71"/>
        <v>0</v>
      </c>
      <c r="CJ98" s="39">
        <f t="shared" si="72"/>
        <v>0</v>
      </c>
      <c r="CK98" s="39">
        <f t="shared" si="73"/>
        <v>0</v>
      </c>
      <c r="CL98" s="39">
        <f t="shared" si="74"/>
        <v>0</v>
      </c>
      <c r="CM98" s="39">
        <f t="shared" si="75"/>
        <v>0</v>
      </c>
      <c r="CN98" s="39">
        <f t="shared" si="76"/>
        <v>0</v>
      </c>
      <c r="CO98" s="39">
        <f t="shared" si="77"/>
        <v>0</v>
      </c>
      <c r="CP98" s="39">
        <f t="shared" si="78"/>
        <v>0</v>
      </c>
    </row>
    <row r="99" spans="12:94" ht="16" customHeight="1" x14ac:dyDescent="0.2">
      <c r="L99" s="63">
        <v>30411</v>
      </c>
      <c r="M99" s="38">
        <v>0</v>
      </c>
      <c r="N99" s="38">
        <v>3</v>
      </c>
      <c r="O99" s="39">
        <v>0</v>
      </c>
      <c r="P99" s="39">
        <v>0</v>
      </c>
      <c r="Q99" s="46">
        <f t="shared" si="8"/>
        <v>9.2212061035955251E-2</v>
      </c>
      <c r="R99" s="81">
        <f t="shared" si="9"/>
        <v>0</v>
      </c>
      <c r="S99" s="82">
        <f t="shared" si="10"/>
        <v>0</v>
      </c>
      <c r="T99" s="39">
        <f t="shared" si="11"/>
        <v>0</v>
      </c>
      <c r="U99" s="83">
        <f t="shared" si="12"/>
        <v>0</v>
      </c>
      <c r="V99" s="84">
        <f t="shared" si="13"/>
        <v>2.4000000000000004</v>
      </c>
      <c r="W99" s="52">
        <f t="shared" si="14"/>
        <v>117.11179138898854</v>
      </c>
      <c r="X99" s="52">
        <f t="shared" si="15"/>
        <v>151.20000000000005</v>
      </c>
      <c r="Y99" s="52">
        <f t="shared" si="16"/>
        <v>268.31179138898858</v>
      </c>
      <c r="Z99" s="53">
        <f t="shared" si="17"/>
        <v>0.91493587022647294</v>
      </c>
      <c r="AA99" s="53">
        <f t="shared" si="18"/>
        <v>0.90000000000000024</v>
      </c>
      <c r="AB99" s="53">
        <f t="shared" si="19"/>
        <v>0.90645875469252901</v>
      </c>
      <c r="AC99" s="39" t="str">
        <f t="shared" si="20"/>
        <v>No</v>
      </c>
      <c r="AD99" s="85">
        <f t="shared" si="21"/>
        <v>0</v>
      </c>
      <c r="AE99" s="46">
        <f t="shared" si="22"/>
        <v>1</v>
      </c>
      <c r="AF99" s="46">
        <f t="shared" si="23"/>
        <v>0</v>
      </c>
      <c r="AG99" s="39">
        <f t="shared" si="79"/>
        <v>58.508716555595406</v>
      </c>
      <c r="AH99" s="39">
        <f t="shared" si="80"/>
        <v>63.603074833393102</v>
      </c>
      <c r="AI99" s="39">
        <f t="shared" si="81"/>
        <v>61.199999999999989</v>
      </c>
      <c r="AJ99" s="39">
        <f t="shared" si="82"/>
        <v>82.800000000000011</v>
      </c>
      <c r="AK99" s="39">
        <f t="shared" si="83"/>
        <v>79.799999999999983</v>
      </c>
      <c r="AL99" s="39">
        <f t="shared" si="84"/>
        <v>70.800000000000011</v>
      </c>
      <c r="AM99" s="39">
        <f t="shared" si="85"/>
        <v>70.800000000000011</v>
      </c>
      <c r="AN99" s="39">
        <f t="shared" si="86"/>
        <v>70.800000000000011</v>
      </c>
      <c r="AO99" s="39">
        <f t="shared" si="25"/>
        <v>0</v>
      </c>
      <c r="AP99" s="39">
        <f t="shared" si="26"/>
        <v>0</v>
      </c>
      <c r="AQ99" s="39">
        <f t="shared" si="27"/>
        <v>0</v>
      </c>
      <c r="AR99" s="39">
        <f t="shared" si="28"/>
        <v>0</v>
      </c>
      <c r="AS99" s="39">
        <f t="shared" si="29"/>
        <v>0</v>
      </c>
      <c r="AT99" s="39">
        <f t="shared" si="30"/>
        <v>0</v>
      </c>
      <c r="AU99" s="39">
        <f t="shared" si="31"/>
        <v>0</v>
      </c>
      <c r="AV99" s="39">
        <f t="shared" si="32"/>
        <v>0</v>
      </c>
      <c r="AW99" s="39">
        <f t="shared" si="33"/>
        <v>0</v>
      </c>
      <c r="AX99" s="39">
        <f t="shared" si="34"/>
        <v>0</v>
      </c>
      <c r="AY99" s="39">
        <f t="shared" si="35"/>
        <v>0</v>
      </c>
      <c r="AZ99" s="39">
        <f t="shared" si="36"/>
        <v>0</v>
      </c>
      <c r="BA99" s="39">
        <f t="shared" si="37"/>
        <v>0</v>
      </c>
      <c r="BB99" s="39">
        <f t="shared" si="38"/>
        <v>0</v>
      </c>
      <c r="BC99" s="39">
        <f t="shared" si="39"/>
        <v>0</v>
      </c>
      <c r="BD99" s="39">
        <f t="shared" si="40"/>
        <v>0</v>
      </c>
      <c r="BE99" s="39">
        <f t="shared" si="41"/>
        <v>0</v>
      </c>
      <c r="BF99" s="39">
        <f t="shared" si="42"/>
        <v>0</v>
      </c>
      <c r="BG99" s="39">
        <f t="shared" si="43"/>
        <v>0</v>
      </c>
      <c r="BH99" s="84">
        <f t="shared" si="44"/>
        <v>2.4000000000000004</v>
      </c>
      <c r="BI99" s="84">
        <f t="shared" si="45"/>
        <v>0</v>
      </c>
      <c r="BJ99" s="84">
        <f t="shared" si="46"/>
        <v>2.4000000000000004</v>
      </c>
      <c r="BK99" s="39">
        <f t="shared" si="47"/>
        <v>56.108716555595407</v>
      </c>
      <c r="BL99" s="39">
        <f t="shared" si="48"/>
        <v>63.603074833393102</v>
      </c>
      <c r="BM99" s="39">
        <f t="shared" si="49"/>
        <v>61.199999999999989</v>
      </c>
      <c r="BN99" s="39">
        <f t="shared" si="50"/>
        <v>82.800000000000011</v>
      </c>
      <c r="BO99" s="39">
        <f t="shared" si="51"/>
        <v>79.799999999999983</v>
      </c>
      <c r="BP99" s="39">
        <f t="shared" si="52"/>
        <v>70.800000000000011</v>
      </c>
      <c r="BQ99" s="39">
        <f t="shared" si="53"/>
        <v>70.800000000000011</v>
      </c>
      <c r="BR99" s="39">
        <f t="shared" si="54"/>
        <v>70.800000000000011</v>
      </c>
      <c r="BS99" s="39">
        <f t="shared" si="55"/>
        <v>0</v>
      </c>
      <c r="BT99" s="39">
        <f t="shared" si="56"/>
        <v>0</v>
      </c>
      <c r="BU99" s="39">
        <f t="shared" si="57"/>
        <v>0</v>
      </c>
      <c r="BV99" s="39">
        <f t="shared" si="58"/>
        <v>0</v>
      </c>
      <c r="BW99" s="39">
        <f t="shared" si="59"/>
        <v>0</v>
      </c>
      <c r="BX99" s="39">
        <f t="shared" si="60"/>
        <v>0</v>
      </c>
      <c r="BY99" s="39">
        <f t="shared" si="61"/>
        <v>0</v>
      </c>
      <c r="BZ99" s="39">
        <f t="shared" si="62"/>
        <v>0</v>
      </c>
      <c r="CA99" s="39">
        <f t="shared" si="63"/>
        <v>56.108716555595407</v>
      </c>
      <c r="CB99" s="39">
        <f t="shared" si="64"/>
        <v>63.603074833393102</v>
      </c>
      <c r="CC99" s="39">
        <f t="shared" si="65"/>
        <v>61.199999999999989</v>
      </c>
      <c r="CD99" s="39">
        <f t="shared" si="66"/>
        <v>82.800000000000011</v>
      </c>
      <c r="CE99" s="39">
        <f t="shared" si="67"/>
        <v>79.799999999999983</v>
      </c>
      <c r="CF99" s="39">
        <f t="shared" si="68"/>
        <v>70.800000000000011</v>
      </c>
      <c r="CG99" s="39">
        <f t="shared" si="69"/>
        <v>70.800000000000011</v>
      </c>
      <c r="CH99" s="39">
        <f t="shared" si="70"/>
        <v>70.800000000000011</v>
      </c>
      <c r="CI99" s="39">
        <f t="shared" si="71"/>
        <v>0</v>
      </c>
      <c r="CJ99" s="39">
        <f t="shared" si="72"/>
        <v>0</v>
      </c>
      <c r="CK99" s="39">
        <f t="shared" si="73"/>
        <v>0</v>
      </c>
      <c r="CL99" s="39">
        <f t="shared" si="74"/>
        <v>0</v>
      </c>
      <c r="CM99" s="39">
        <f t="shared" si="75"/>
        <v>0</v>
      </c>
      <c r="CN99" s="39">
        <f t="shared" si="76"/>
        <v>0</v>
      </c>
      <c r="CO99" s="39">
        <f t="shared" si="77"/>
        <v>0</v>
      </c>
      <c r="CP99" s="39">
        <f t="shared" si="78"/>
        <v>0</v>
      </c>
    </row>
    <row r="100" spans="12:94" ht="16" customHeight="1" x14ac:dyDescent="0.2">
      <c r="L100" s="63">
        <v>30412</v>
      </c>
      <c r="M100" s="38">
        <v>0</v>
      </c>
      <c r="N100" s="38">
        <v>4.3</v>
      </c>
      <c r="O100" s="39">
        <v>0</v>
      </c>
      <c r="P100" s="39">
        <v>0</v>
      </c>
      <c r="Q100" s="46">
        <f t="shared" si="8"/>
        <v>9.7076925900820121E-2</v>
      </c>
      <c r="R100" s="81">
        <f t="shared" si="9"/>
        <v>0</v>
      </c>
      <c r="S100" s="82">
        <f t="shared" si="10"/>
        <v>0</v>
      </c>
      <c r="T100" s="39">
        <f t="shared" si="11"/>
        <v>0</v>
      </c>
      <c r="U100" s="83">
        <f t="shared" si="12"/>
        <v>0</v>
      </c>
      <c r="V100" s="84">
        <f t="shared" si="13"/>
        <v>3.44</v>
      </c>
      <c r="W100" s="52">
        <f t="shared" si="14"/>
        <v>114.7117913889885</v>
      </c>
      <c r="X100" s="52">
        <f t="shared" si="15"/>
        <v>151.20000000000005</v>
      </c>
      <c r="Y100" s="52">
        <f t="shared" si="16"/>
        <v>265.91179138898855</v>
      </c>
      <c r="Z100" s="53">
        <f t="shared" si="17"/>
        <v>0.89618587022647267</v>
      </c>
      <c r="AA100" s="53">
        <f t="shared" si="18"/>
        <v>0.90000000000000024</v>
      </c>
      <c r="AB100" s="53">
        <f t="shared" si="19"/>
        <v>0.89835064658442076</v>
      </c>
      <c r="AC100" s="39" t="str">
        <f t="shared" si="20"/>
        <v>No</v>
      </c>
      <c r="AD100" s="85">
        <f t="shared" si="21"/>
        <v>0</v>
      </c>
      <c r="AE100" s="46">
        <f t="shared" si="22"/>
        <v>1</v>
      </c>
      <c r="AF100" s="46">
        <f t="shared" si="23"/>
        <v>0</v>
      </c>
      <c r="AG100" s="39">
        <f t="shared" si="79"/>
        <v>56.108716555595407</v>
      </c>
      <c r="AH100" s="39">
        <f t="shared" si="80"/>
        <v>63.603074833393102</v>
      </c>
      <c r="AI100" s="39">
        <f t="shared" si="81"/>
        <v>61.199999999999989</v>
      </c>
      <c r="AJ100" s="39">
        <f t="shared" si="82"/>
        <v>82.800000000000011</v>
      </c>
      <c r="AK100" s="39">
        <f t="shared" si="83"/>
        <v>79.799999999999983</v>
      </c>
      <c r="AL100" s="39">
        <f t="shared" si="84"/>
        <v>70.800000000000011</v>
      </c>
      <c r="AM100" s="39">
        <f t="shared" si="85"/>
        <v>70.800000000000011</v>
      </c>
      <c r="AN100" s="39">
        <f t="shared" si="86"/>
        <v>70.800000000000011</v>
      </c>
      <c r="AO100" s="39">
        <f t="shared" si="25"/>
        <v>0</v>
      </c>
      <c r="AP100" s="39">
        <f t="shared" si="26"/>
        <v>0</v>
      </c>
      <c r="AQ100" s="39">
        <f t="shared" si="27"/>
        <v>0</v>
      </c>
      <c r="AR100" s="39">
        <f t="shared" si="28"/>
        <v>0</v>
      </c>
      <c r="AS100" s="39">
        <f t="shared" si="29"/>
        <v>0</v>
      </c>
      <c r="AT100" s="39">
        <f t="shared" si="30"/>
        <v>0</v>
      </c>
      <c r="AU100" s="39">
        <f t="shared" si="31"/>
        <v>0</v>
      </c>
      <c r="AV100" s="39">
        <f t="shared" si="32"/>
        <v>0</v>
      </c>
      <c r="AW100" s="39">
        <f t="shared" si="33"/>
        <v>0</v>
      </c>
      <c r="AX100" s="39">
        <f t="shared" si="34"/>
        <v>0</v>
      </c>
      <c r="AY100" s="39">
        <f t="shared" si="35"/>
        <v>0</v>
      </c>
      <c r="AZ100" s="39">
        <f t="shared" si="36"/>
        <v>0</v>
      </c>
      <c r="BA100" s="39">
        <f t="shared" si="37"/>
        <v>0</v>
      </c>
      <c r="BB100" s="39">
        <f t="shared" si="38"/>
        <v>0</v>
      </c>
      <c r="BC100" s="39">
        <f t="shared" si="39"/>
        <v>0</v>
      </c>
      <c r="BD100" s="39">
        <f t="shared" si="40"/>
        <v>0</v>
      </c>
      <c r="BE100" s="39">
        <f t="shared" si="41"/>
        <v>0</v>
      </c>
      <c r="BF100" s="39">
        <f t="shared" si="42"/>
        <v>0</v>
      </c>
      <c r="BG100" s="39">
        <f t="shared" si="43"/>
        <v>0</v>
      </c>
      <c r="BH100" s="84">
        <f t="shared" si="44"/>
        <v>2.5087165555954059</v>
      </c>
      <c r="BI100" s="84">
        <f t="shared" si="45"/>
        <v>0.9312834444045941</v>
      </c>
      <c r="BJ100" s="84">
        <f t="shared" si="46"/>
        <v>3.44</v>
      </c>
      <c r="BK100" s="39">
        <f t="shared" si="47"/>
        <v>52.66871655559541</v>
      </c>
      <c r="BL100" s="39">
        <f t="shared" si="48"/>
        <v>63.603074833393102</v>
      </c>
      <c r="BM100" s="39">
        <f t="shared" si="49"/>
        <v>61.199999999999989</v>
      </c>
      <c r="BN100" s="39">
        <f t="shared" si="50"/>
        <v>82.800000000000011</v>
      </c>
      <c r="BO100" s="39">
        <f t="shared" si="51"/>
        <v>79.799999999999983</v>
      </c>
      <c r="BP100" s="39">
        <f t="shared" si="52"/>
        <v>70.800000000000011</v>
      </c>
      <c r="BQ100" s="39">
        <f t="shared" si="53"/>
        <v>70.800000000000011</v>
      </c>
      <c r="BR100" s="39">
        <f t="shared" si="54"/>
        <v>70.800000000000011</v>
      </c>
      <c r="BS100" s="39">
        <f t="shared" si="55"/>
        <v>0</v>
      </c>
      <c r="BT100" s="39">
        <f t="shared" si="56"/>
        <v>0</v>
      </c>
      <c r="BU100" s="39">
        <f t="shared" si="57"/>
        <v>0</v>
      </c>
      <c r="BV100" s="39">
        <f t="shared" si="58"/>
        <v>0</v>
      </c>
      <c r="BW100" s="39">
        <f t="shared" si="59"/>
        <v>0</v>
      </c>
      <c r="BX100" s="39">
        <f t="shared" si="60"/>
        <v>0</v>
      </c>
      <c r="BY100" s="39">
        <f t="shared" si="61"/>
        <v>0</v>
      </c>
      <c r="BZ100" s="39">
        <f t="shared" si="62"/>
        <v>0</v>
      </c>
      <c r="CA100" s="39">
        <f t="shared" si="63"/>
        <v>52.66871655559541</v>
      </c>
      <c r="CB100" s="39">
        <f t="shared" si="64"/>
        <v>63.603074833393102</v>
      </c>
      <c r="CC100" s="39">
        <f t="shared" si="65"/>
        <v>61.199999999999989</v>
      </c>
      <c r="CD100" s="39">
        <f t="shared" si="66"/>
        <v>82.800000000000011</v>
      </c>
      <c r="CE100" s="39">
        <f t="shared" si="67"/>
        <v>79.799999999999983</v>
      </c>
      <c r="CF100" s="39">
        <f t="shared" si="68"/>
        <v>70.800000000000011</v>
      </c>
      <c r="CG100" s="39">
        <f t="shared" si="69"/>
        <v>70.800000000000011</v>
      </c>
      <c r="CH100" s="39">
        <f t="shared" si="70"/>
        <v>70.800000000000011</v>
      </c>
      <c r="CI100" s="39">
        <f t="shared" si="71"/>
        <v>0</v>
      </c>
      <c r="CJ100" s="39">
        <f t="shared" si="72"/>
        <v>0</v>
      </c>
      <c r="CK100" s="39">
        <f t="shared" si="73"/>
        <v>0</v>
      </c>
      <c r="CL100" s="39">
        <f t="shared" si="74"/>
        <v>0</v>
      </c>
      <c r="CM100" s="39">
        <f t="shared" si="75"/>
        <v>0</v>
      </c>
      <c r="CN100" s="39">
        <f t="shared" si="76"/>
        <v>0</v>
      </c>
      <c r="CO100" s="39">
        <f t="shared" si="77"/>
        <v>0</v>
      </c>
      <c r="CP100" s="39">
        <f t="shared" si="78"/>
        <v>0</v>
      </c>
    </row>
    <row r="101" spans="12:94" ht="16" customHeight="1" x14ac:dyDescent="0.2">
      <c r="L101" s="63">
        <v>30413</v>
      </c>
      <c r="M101" s="38">
        <v>0</v>
      </c>
      <c r="N101" s="38">
        <v>4.4000000000000004</v>
      </c>
      <c r="O101" s="39">
        <v>0</v>
      </c>
      <c r="P101" s="39">
        <v>0</v>
      </c>
      <c r="Q101" s="46">
        <f t="shared" si="8"/>
        <v>0.10404989887379308</v>
      </c>
      <c r="R101" s="81">
        <f t="shared" si="9"/>
        <v>0</v>
      </c>
      <c r="S101" s="82">
        <f t="shared" si="10"/>
        <v>0</v>
      </c>
      <c r="T101" s="39">
        <f t="shared" si="11"/>
        <v>0</v>
      </c>
      <c r="U101" s="83">
        <f t="shared" si="12"/>
        <v>0</v>
      </c>
      <c r="V101" s="84">
        <f t="shared" si="13"/>
        <v>3.5200000000000005</v>
      </c>
      <c r="W101" s="52">
        <f t="shared" si="14"/>
        <v>111.2717913889885</v>
      </c>
      <c r="X101" s="52">
        <f t="shared" si="15"/>
        <v>151.20000000000005</v>
      </c>
      <c r="Y101" s="52">
        <f t="shared" si="16"/>
        <v>262.47179138898855</v>
      </c>
      <c r="Z101" s="53">
        <f t="shared" si="17"/>
        <v>0.86931087022647269</v>
      </c>
      <c r="AA101" s="53">
        <f t="shared" si="18"/>
        <v>0.90000000000000024</v>
      </c>
      <c r="AB101" s="53">
        <f t="shared" si="19"/>
        <v>0.88672902496279915</v>
      </c>
      <c r="AC101" s="39" t="str">
        <f t="shared" si="20"/>
        <v>No</v>
      </c>
      <c r="AD101" s="85">
        <f t="shared" si="21"/>
        <v>0</v>
      </c>
      <c r="AE101" s="46">
        <f t="shared" si="22"/>
        <v>1</v>
      </c>
      <c r="AF101" s="46">
        <f t="shared" si="23"/>
        <v>0</v>
      </c>
      <c r="AG101" s="39">
        <f t="shared" si="79"/>
        <v>52.66871655559541</v>
      </c>
      <c r="AH101" s="39">
        <f t="shared" si="80"/>
        <v>63.603074833393102</v>
      </c>
      <c r="AI101" s="39">
        <f t="shared" si="81"/>
        <v>61.199999999999989</v>
      </c>
      <c r="AJ101" s="39">
        <f t="shared" si="82"/>
        <v>82.800000000000011</v>
      </c>
      <c r="AK101" s="39">
        <f t="shared" si="83"/>
        <v>79.799999999999983</v>
      </c>
      <c r="AL101" s="39">
        <f t="shared" si="84"/>
        <v>70.800000000000011</v>
      </c>
      <c r="AM101" s="39">
        <f t="shared" si="85"/>
        <v>70.800000000000011</v>
      </c>
      <c r="AN101" s="39">
        <f t="shared" si="86"/>
        <v>70.800000000000011</v>
      </c>
      <c r="AO101" s="39">
        <f t="shared" si="25"/>
        <v>0</v>
      </c>
      <c r="AP101" s="39">
        <f t="shared" si="26"/>
        <v>0</v>
      </c>
      <c r="AQ101" s="39">
        <f t="shared" si="27"/>
        <v>0</v>
      </c>
      <c r="AR101" s="39">
        <f t="shared" si="28"/>
        <v>0</v>
      </c>
      <c r="AS101" s="39">
        <f t="shared" si="29"/>
        <v>0</v>
      </c>
      <c r="AT101" s="39">
        <f t="shared" si="30"/>
        <v>0</v>
      </c>
      <c r="AU101" s="39">
        <f t="shared" si="31"/>
        <v>0</v>
      </c>
      <c r="AV101" s="39">
        <f t="shared" si="32"/>
        <v>0</v>
      </c>
      <c r="AW101" s="39">
        <f t="shared" si="33"/>
        <v>0</v>
      </c>
      <c r="AX101" s="39">
        <f t="shared" si="34"/>
        <v>0</v>
      </c>
      <c r="AY101" s="39">
        <f t="shared" si="35"/>
        <v>0</v>
      </c>
      <c r="AZ101" s="39">
        <f t="shared" si="36"/>
        <v>0</v>
      </c>
      <c r="BA101" s="39">
        <f t="shared" si="37"/>
        <v>0</v>
      </c>
      <c r="BB101" s="39">
        <f t="shared" si="38"/>
        <v>0</v>
      </c>
      <c r="BC101" s="39">
        <f t="shared" si="39"/>
        <v>0</v>
      </c>
      <c r="BD101" s="39">
        <f t="shared" si="40"/>
        <v>0</v>
      </c>
      <c r="BE101" s="39">
        <f t="shared" si="41"/>
        <v>0</v>
      </c>
      <c r="BF101" s="39">
        <f t="shared" si="42"/>
        <v>0</v>
      </c>
      <c r="BG101" s="39">
        <f t="shared" si="43"/>
        <v>0</v>
      </c>
      <c r="BH101" s="84">
        <f t="shared" si="44"/>
        <v>0</v>
      </c>
      <c r="BI101" s="84">
        <f t="shared" si="45"/>
        <v>3.5200000000000005</v>
      </c>
      <c r="BJ101" s="84">
        <f t="shared" si="46"/>
        <v>3.192395850778746</v>
      </c>
      <c r="BK101" s="39">
        <f t="shared" si="47"/>
        <v>49.476320704816665</v>
      </c>
      <c r="BL101" s="39">
        <f t="shared" si="48"/>
        <v>63.603074833393102</v>
      </c>
      <c r="BM101" s="39">
        <f t="shared" si="49"/>
        <v>61.199999999999989</v>
      </c>
      <c r="BN101" s="39">
        <f t="shared" si="50"/>
        <v>82.800000000000011</v>
      </c>
      <c r="BO101" s="39">
        <f t="shared" si="51"/>
        <v>79.799999999999983</v>
      </c>
      <c r="BP101" s="39">
        <f t="shared" si="52"/>
        <v>70.800000000000011</v>
      </c>
      <c r="BQ101" s="39">
        <f t="shared" si="53"/>
        <v>70.800000000000011</v>
      </c>
      <c r="BR101" s="39">
        <f t="shared" si="54"/>
        <v>70.800000000000011</v>
      </c>
      <c r="BS101" s="39">
        <f t="shared" si="55"/>
        <v>0</v>
      </c>
      <c r="BT101" s="39">
        <f t="shared" si="56"/>
        <v>0</v>
      </c>
      <c r="BU101" s="39">
        <f t="shared" si="57"/>
        <v>0</v>
      </c>
      <c r="BV101" s="39">
        <f t="shared" si="58"/>
        <v>0</v>
      </c>
      <c r="BW101" s="39">
        <f t="shared" si="59"/>
        <v>0</v>
      </c>
      <c r="BX101" s="39">
        <f t="shared" si="60"/>
        <v>0</v>
      </c>
      <c r="BY101" s="39">
        <f t="shared" si="61"/>
        <v>0</v>
      </c>
      <c r="BZ101" s="39">
        <f t="shared" si="62"/>
        <v>0</v>
      </c>
      <c r="CA101" s="39">
        <f t="shared" si="63"/>
        <v>49.476320704816665</v>
      </c>
      <c r="CB101" s="39">
        <f t="shared" si="64"/>
        <v>63.603074833393102</v>
      </c>
      <c r="CC101" s="39">
        <f t="shared" si="65"/>
        <v>61.199999999999989</v>
      </c>
      <c r="CD101" s="39">
        <f t="shared" si="66"/>
        <v>82.800000000000011</v>
      </c>
      <c r="CE101" s="39">
        <f t="shared" si="67"/>
        <v>79.799999999999983</v>
      </c>
      <c r="CF101" s="39">
        <f t="shared" si="68"/>
        <v>70.800000000000011</v>
      </c>
      <c r="CG101" s="39">
        <f t="shared" si="69"/>
        <v>70.800000000000011</v>
      </c>
      <c r="CH101" s="39">
        <f t="shared" si="70"/>
        <v>70.800000000000011</v>
      </c>
      <c r="CI101" s="39">
        <f t="shared" si="71"/>
        <v>0</v>
      </c>
      <c r="CJ101" s="39">
        <f t="shared" si="72"/>
        <v>0</v>
      </c>
      <c r="CK101" s="39">
        <f t="shared" si="73"/>
        <v>0</v>
      </c>
      <c r="CL101" s="39">
        <f t="shared" si="74"/>
        <v>0</v>
      </c>
      <c r="CM101" s="39">
        <f t="shared" si="75"/>
        <v>0</v>
      </c>
      <c r="CN101" s="39">
        <f t="shared" si="76"/>
        <v>0</v>
      </c>
      <c r="CO101" s="39">
        <f t="shared" si="77"/>
        <v>0</v>
      </c>
      <c r="CP101" s="39">
        <f t="shared" si="78"/>
        <v>0</v>
      </c>
    </row>
    <row r="102" spans="12:94" ht="16" customHeight="1" x14ac:dyDescent="0.2">
      <c r="L102" s="63">
        <v>30414</v>
      </c>
      <c r="M102" s="38">
        <v>0</v>
      </c>
      <c r="N102" s="38">
        <v>3.8</v>
      </c>
      <c r="O102" s="39">
        <v>0</v>
      </c>
      <c r="P102" s="39">
        <v>0</v>
      </c>
      <c r="Q102" s="46">
        <f t="shared" si="8"/>
        <v>0.11052097154429055</v>
      </c>
      <c r="R102" s="81">
        <f t="shared" si="9"/>
        <v>0</v>
      </c>
      <c r="S102" s="82">
        <f t="shared" si="10"/>
        <v>0</v>
      </c>
      <c r="T102" s="39">
        <f t="shared" si="11"/>
        <v>0</v>
      </c>
      <c r="U102" s="83">
        <f t="shared" si="12"/>
        <v>0</v>
      </c>
      <c r="V102" s="84">
        <f t="shared" si="13"/>
        <v>3.04</v>
      </c>
      <c r="W102" s="52">
        <f t="shared" si="14"/>
        <v>108.07939553820978</v>
      </c>
      <c r="X102" s="52">
        <f t="shared" si="15"/>
        <v>151.20000000000005</v>
      </c>
      <c r="Y102" s="52">
        <f t="shared" si="16"/>
        <v>259.27939553820983</v>
      </c>
      <c r="Z102" s="53">
        <f t="shared" si="17"/>
        <v>0.84437027764226391</v>
      </c>
      <c r="AA102" s="53">
        <f t="shared" si="18"/>
        <v>0.90000000000000024</v>
      </c>
      <c r="AB102" s="53">
        <f t="shared" si="19"/>
        <v>0.87594390384530352</v>
      </c>
      <c r="AC102" s="39" t="str">
        <f t="shared" si="20"/>
        <v>No</v>
      </c>
      <c r="AD102" s="85">
        <f t="shared" si="21"/>
        <v>0</v>
      </c>
      <c r="AE102" s="46">
        <f t="shared" si="22"/>
        <v>1</v>
      </c>
      <c r="AF102" s="46">
        <f t="shared" si="23"/>
        <v>0</v>
      </c>
      <c r="AG102" s="39">
        <f t="shared" si="79"/>
        <v>49.476320704816665</v>
      </c>
      <c r="AH102" s="39">
        <f t="shared" si="80"/>
        <v>63.603074833393102</v>
      </c>
      <c r="AI102" s="39">
        <f t="shared" si="81"/>
        <v>61.199999999999989</v>
      </c>
      <c r="AJ102" s="39">
        <f t="shared" si="82"/>
        <v>82.800000000000011</v>
      </c>
      <c r="AK102" s="39">
        <f t="shared" si="83"/>
        <v>79.799999999999983</v>
      </c>
      <c r="AL102" s="39">
        <f t="shared" si="84"/>
        <v>70.800000000000011</v>
      </c>
      <c r="AM102" s="39">
        <f t="shared" si="85"/>
        <v>70.800000000000011</v>
      </c>
      <c r="AN102" s="39">
        <f t="shared" si="86"/>
        <v>70.800000000000011</v>
      </c>
      <c r="AO102" s="39">
        <f t="shared" si="25"/>
        <v>0</v>
      </c>
      <c r="AP102" s="39">
        <f t="shared" si="26"/>
        <v>0</v>
      </c>
      <c r="AQ102" s="39">
        <f t="shared" si="27"/>
        <v>0</v>
      </c>
      <c r="AR102" s="39">
        <f t="shared" si="28"/>
        <v>0</v>
      </c>
      <c r="AS102" s="39">
        <f t="shared" si="29"/>
        <v>0</v>
      </c>
      <c r="AT102" s="39">
        <f t="shared" si="30"/>
        <v>0</v>
      </c>
      <c r="AU102" s="39">
        <f t="shared" si="31"/>
        <v>0</v>
      </c>
      <c r="AV102" s="39">
        <f t="shared" si="32"/>
        <v>0</v>
      </c>
      <c r="AW102" s="39">
        <f t="shared" si="33"/>
        <v>0</v>
      </c>
      <c r="AX102" s="39">
        <f t="shared" si="34"/>
        <v>0</v>
      </c>
      <c r="AY102" s="39">
        <f t="shared" si="35"/>
        <v>0</v>
      </c>
      <c r="AZ102" s="39">
        <f t="shared" si="36"/>
        <v>0</v>
      </c>
      <c r="BA102" s="39">
        <f t="shared" si="37"/>
        <v>0</v>
      </c>
      <c r="BB102" s="39">
        <f t="shared" si="38"/>
        <v>0</v>
      </c>
      <c r="BC102" s="39">
        <f t="shared" si="39"/>
        <v>0</v>
      </c>
      <c r="BD102" s="39">
        <f t="shared" si="40"/>
        <v>0</v>
      </c>
      <c r="BE102" s="39">
        <f t="shared" si="41"/>
        <v>0</v>
      </c>
      <c r="BF102" s="39">
        <f t="shared" si="42"/>
        <v>0</v>
      </c>
      <c r="BG102" s="39">
        <f t="shared" si="43"/>
        <v>0</v>
      </c>
      <c r="BH102" s="84">
        <f t="shared" si="44"/>
        <v>0</v>
      </c>
      <c r="BI102" s="84">
        <f t="shared" si="45"/>
        <v>3.04</v>
      </c>
      <c r="BJ102" s="84">
        <f t="shared" si="46"/>
        <v>1.9346749687268789</v>
      </c>
      <c r="BK102" s="39">
        <f t="shared" si="47"/>
        <v>47.541645736089784</v>
      </c>
      <c r="BL102" s="39">
        <f t="shared" si="48"/>
        <v>63.603074833393102</v>
      </c>
      <c r="BM102" s="39">
        <f t="shared" si="49"/>
        <v>61.199999999999989</v>
      </c>
      <c r="BN102" s="39">
        <f t="shared" si="50"/>
        <v>82.800000000000011</v>
      </c>
      <c r="BO102" s="39">
        <f t="shared" si="51"/>
        <v>79.799999999999983</v>
      </c>
      <c r="BP102" s="39">
        <f t="shared" si="52"/>
        <v>70.800000000000011</v>
      </c>
      <c r="BQ102" s="39">
        <f t="shared" si="53"/>
        <v>70.800000000000011</v>
      </c>
      <c r="BR102" s="39">
        <f t="shared" si="54"/>
        <v>70.800000000000011</v>
      </c>
      <c r="BS102" s="39">
        <f t="shared" si="55"/>
        <v>0</v>
      </c>
      <c r="BT102" s="39">
        <f t="shared" si="56"/>
        <v>0</v>
      </c>
      <c r="BU102" s="39">
        <f t="shared" si="57"/>
        <v>0</v>
      </c>
      <c r="BV102" s="39">
        <f t="shared" si="58"/>
        <v>0</v>
      </c>
      <c r="BW102" s="39">
        <f t="shared" si="59"/>
        <v>0</v>
      </c>
      <c r="BX102" s="39">
        <f t="shared" si="60"/>
        <v>0</v>
      </c>
      <c r="BY102" s="39">
        <f t="shared" si="61"/>
        <v>0</v>
      </c>
      <c r="BZ102" s="39">
        <f t="shared" si="62"/>
        <v>0</v>
      </c>
      <c r="CA102" s="39">
        <f t="shared" si="63"/>
        <v>47.541645736089784</v>
      </c>
      <c r="CB102" s="39">
        <f t="shared" si="64"/>
        <v>63.603074833393102</v>
      </c>
      <c r="CC102" s="39">
        <f t="shared" si="65"/>
        <v>61.199999999999989</v>
      </c>
      <c r="CD102" s="39">
        <f t="shared" si="66"/>
        <v>82.800000000000011</v>
      </c>
      <c r="CE102" s="39">
        <f t="shared" si="67"/>
        <v>79.799999999999983</v>
      </c>
      <c r="CF102" s="39">
        <f t="shared" si="68"/>
        <v>70.800000000000011</v>
      </c>
      <c r="CG102" s="39">
        <f t="shared" si="69"/>
        <v>70.800000000000011</v>
      </c>
      <c r="CH102" s="39">
        <f t="shared" si="70"/>
        <v>70.800000000000011</v>
      </c>
      <c r="CI102" s="39">
        <f t="shared" si="71"/>
        <v>0</v>
      </c>
      <c r="CJ102" s="39">
        <f t="shared" si="72"/>
        <v>0</v>
      </c>
      <c r="CK102" s="39">
        <f t="shared" si="73"/>
        <v>0</v>
      </c>
      <c r="CL102" s="39">
        <f t="shared" si="74"/>
        <v>0</v>
      </c>
      <c r="CM102" s="39">
        <f t="shared" si="75"/>
        <v>0</v>
      </c>
      <c r="CN102" s="39">
        <f t="shared" si="76"/>
        <v>0</v>
      </c>
      <c r="CO102" s="39">
        <f t="shared" si="77"/>
        <v>0</v>
      </c>
      <c r="CP102" s="39">
        <f t="shared" si="78"/>
        <v>0</v>
      </c>
    </row>
    <row r="103" spans="12:94" ht="16" customHeight="1" x14ac:dyDescent="0.2">
      <c r="L103" s="63">
        <v>30415</v>
      </c>
      <c r="M103" s="38">
        <v>0</v>
      </c>
      <c r="N103" s="38">
        <v>3.3</v>
      </c>
      <c r="O103" s="39">
        <v>0</v>
      </c>
      <c r="P103" s="39">
        <v>0</v>
      </c>
      <c r="Q103" s="46">
        <f t="shared" si="8"/>
        <v>0.11444260999441259</v>
      </c>
      <c r="R103" s="81">
        <f t="shared" si="9"/>
        <v>0</v>
      </c>
      <c r="S103" s="82">
        <f t="shared" si="10"/>
        <v>0</v>
      </c>
      <c r="T103" s="39">
        <f t="shared" si="11"/>
        <v>0</v>
      </c>
      <c r="U103" s="83">
        <f t="shared" si="12"/>
        <v>0</v>
      </c>
      <c r="V103" s="84">
        <f t="shared" si="13"/>
        <v>2.64</v>
      </c>
      <c r="W103" s="52">
        <f t="shared" si="14"/>
        <v>106.1447205694829</v>
      </c>
      <c r="X103" s="52">
        <f t="shared" si="15"/>
        <v>151.20000000000005</v>
      </c>
      <c r="Y103" s="52">
        <f t="shared" si="16"/>
        <v>257.34472056948294</v>
      </c>
      <c r="Z103" s="53">
        <f t="shared" si="17"/>
        <v>0.82925562944908515</v>
      </c>
      <c r="AA103" s="53">
        <f t="shared" si="18"/>
        <v>0.90000000000000024</v>
      </c>
      <c r="AB103" s="53">
        <f t="shared" si="19"/>
        <v>0.86940783976176672</v>
      </c>
      <c r="AC103" s="39" t="str">
        <f t="shared" si="20"/>
        <v>No</v>
      </c>
      <c r="AD103" s="85">
        <f t="shared" si="21"/>
        <v>0</v>
      </c>
      <c r="AE103" s="46">
        <f t="shared" si="22"/>
        <v>1</v>
      </c>
      <c r="AF103" s="46">
        <f t="shared" si="23"/>
        <v>0</v>
      </c>
      <c r="AG103" s="39">
        <f t="shared" si="79"/>
        <v>47.541645736089784</v>
      </c>
      <c r="AH103" s="39">
        <f t="shared" si="80"/>
        <v>63.603074833393102</v>
      </c>
      <c r="AI103" s="39">
        <f t="shared" si="81"/>
        <v>61.199999999999989</v>
      </c>
      <c r="AJ103" s="39">
        <f t="shared" si="82"/>
        <v>82.800000000000011</v>
      </c>
      <c r="AK103" s="39">
        <f t="shared" si="83"/>
        <v>79.799999999999983</v>
      </c>
      <c r="AL103" s="39">
        <f t="shared" si="84"/>
        <v>70.800000000000011</v>
      </c>
      <c r="AM103" s="39">
        <f t="shared" si="85"/>
        <v>70.800000000000011</v>
      </c>
      <c r="AN103" s="39">
        <f t="shared" si="86"/>
        <v>70.800000000000011</v>
      </c>
      <c r="AO103" s="39">
        <f t="shared" si="25"/>
        <v>0</v>
      </c>
      <c r="AP103" s="39">
        <f t="shared" si="26"/>
        <v>0</v>
      </c>
      <c r="AQ103" s="39">
        <f t="shared" si="27"/>
        <v>0</v>
      </c>
      <c r="AR103" s="39">
        <f t="shared" si="28"/>
        <v>0</v>
      </c>
      <c r="AS103" s="39">
        <f t="shared" si="29"/>
        <v>0</v>
      </c>
      <c r="AT103" s="39">
        <f t="shared" si="30"/>
        <v>0</v>
      </c>
      <c r="AU103" s="39">
        <f t="shared" si="31"/>
        <v>0</v>
      </c>
      <c r="AV103" s="39">
        <f t="shared" si="32"/>
        <v>0</v>
      </c>
      <c r="AW103" s="39">
        <f t="shared" si="33"/>
        <v>0</v>
      </c>
      <c r="AX103" s="39">
        <f t="shared" si="34"/>
        <v>0</v>
      </c>
      <c r="AY103" s="39">
        <f t="shared" si="35"/>
        <v>0</v>
      </c>
      <c r="AZ103" s="39">
        <f t="shared" si="36"/>
        <v>0</v>
      </c>
      <c r="BA103" s="39">
        <f t="shared" si="37"/>
        <v>0</v>
      </c>
      <c r="BB103" s="39">
        <f t="shared" si="38"/>
        <v>0</v>
      </c>
      <c r="BC103" s="39">
        <f t="shared" si="39"/>
        <v>0</v>
      </c>
      <c r="BD103" s="39">
        <f t="shared" si="40"/>
        <v>0</v>
      </c>
      <c r="BE103" s="39">
        <f t="shared" si="41"/>
        <v>0</v>
      </c>
      <c r="BF103" s="39">
        <f t="shared" si="42"/>
        <v>0</v>
      </c>
      <c r="BG103" s="39">
        <f t="shared" si="43"/>
        <v>0</v>
      </c>
      <c r="BH103" s="84">
        <f t="shared" si="44"/>
        <v>0</v>
      </c>
      <c r="BI103" s="84">
        <f t="shared" si="45"/>
        <v>2.64</v>
      </c>
      <c r="BJ103" s="84">
        <f t="shared" si="46"/>
        <v>1.333560611391025</v>
      </c>
      <c r="BK103" s="39">
        <f t="shared" si="47"/>
        <v>46.208085124698762</v>
      </c>
      <c r="BL103" s="39">
        <f t="shared" si="48"/>
        <v>63.603074833393102</v>
      </c>
      <c r="BM103" s="39">
        <f t="shared" si="49"/>
        <v>61.199999999999989</v>
      </c>
      <c r="BN103" s="39">
        <f t="shared" si="50"/>
        <v>82.800000000000011</v>
      </c>
      <c r="BO103" s="39">
        <f t="shared" si="51"/>
        <v>79.799999999999983</v>
      </c>
      <c r="BP103" s="39">
        <f t="shared" si="52"/>
        <v>70.800000000000011</v>
      </c>
      <c r="BQ103" s="39">
        <f t="shared" si="53"/>
        <v>70.800000000000011</v>
      </c>
      <c r="BR103" s="39">
        <f t="shared" si="54"/>
        <v>70.800000000000011</v>
      </c>
      <c r="BS103" s="39">
        <f t="shared" si="55"/>
        <v>0</v>
      </c>
      <c r="BT103" s="39">
        <f t="shared" si="56"/>
        <v>0</v>
      </c>
      <c r="BU103" s="39">
        <f t="shared" si="57"/>
        <v>0</v>
      </c>
      <c r="BV103" s="39">
        <f t="shared" si="58"/>
        <v>0</v>
      </c>
      <c r="BW103" s="39">
        <f t="shared" si="59"/>
        <v>0</v>
      </c>
      <c r="BX103" s="39">
        <f t="shared" si="60"/>
        <v>0</v>
      </c>
      <c r="BY103" s="39">
        <f t="shared" si="61"/>
        <v>0</v>
      </c>
      <c r="BZ103" s="39">
        <f t="shared" si="62"/>
        <v>0</v>
      </c>
      <c r="CA103" s="39">
        <f t="shared" si="63"/>
        <v>46.208085124698762</v>
      </c>
      <c r="CB103" s="39">
        <f t="shared" si="64"/>
        <v>63.603074833393102</v>
      </c>
      <c r="CC103" s="39">
        <f t="shared" si="65"/>
        <v>61.199999999999989</v>
      </c>
      <c r="CD103" s="39">
        <f t="shared" si="66"/>
        <v>82.800000000000011</v>
      </c>
      <c r="CE103" s="39">
        <f t="shared" si="67"/>
        <v>79.799999999999983</v>
      </c>
      <c r="CF103" s="39">
        <f t="shared" si="68"/>
        <v>70.800000000000011</v>
      </c>
      <c r="CG103" s="39">
        <f t="shared" si="69"/>
        <v>70.800000000000011</v>
      </c>
      <c r="CH103" s="39">
        <f t="shared" si="70"/>
        <v>70.800000000000011</v>
      </c>
      <c r="CI103" s="39">
        <f t="shared" si="71"/>
        <v>0</v>
      </c>
      <c r="CJ103" s="39">
        <f t="shared" si="72"/>
        <v>0</v>
      </c>
      <c r="CK103" s="39">
        <f t="shared" si="73"/>
        <v>0</v>
      </c>
      <c r="CL103" s="39">
        <f t="shared" si="74"/>
        <v>0</v>
      </c>
      <c r="CM103" s="39">
        <f t="shared" si="75"/>
        <v>0</v>
      </c>
      <c r="CN103" s="39">
        <f t="shared" si="76"/>
        <v>0</v>
      </c>
      <c r="CO103" s="39">
        <f t="shared" si="77"/>
        <v>0</v>
      </c>
      <c r="CP103" s="39">
        <f t="shared" si="78"/>
        <v>0</v>
      </c>
    </row>
    <row r="104" spans="12:94" ht="16" customHeight="1" x14ac:dyDescent="0.2">
      <c r="L104" s="63">
        <v>30416</v>
      </c>
      <c r="M104" s="38">
        <v>0</v>
      </c>
      <c r="N104" s="38">
        <v>3.4</v>
      </c>
      <c r="O104" s="39">
        <v>0</v>
      </c>
      <c r="P104" s="39">
        <v>0</v>
      </c>
      <c r="Q104" s="46">
        <f t="shared" si="8"/>
        <v>0.11714577339588089</v>
      </c>
      <c r="R104" s="81">
        <f t="shared" si="9"/>
        <v>0</v>
      </c>
      <c r="S104" s="82">
        <f t="shared" si="10"/>
        <v>0</v>
      </c>
      <c r="T104" s="39">
        <f t="shared" si="11"/>
        <v>0</v>
      </c>
      <c r="U104" s="83">
        <f t="shared" si="12"/>
        <v>0</v>
      </c>
      <c r="V104" s="84">
        <f t="shared" si="13"/>
        <v>2.72</v>
      </c>
      <c r="W104" s="52">
        <f t="shared" si="14"/>
        <v>104.81115995809188</v>
      </c>
      <c r="X104" s="52">
        <f t="shared" si="15"/>
        <v>151.20000000000005</v>
      </c>
      <c r="Y104" s="52">
        <f t="shared" si="16"/>
        <v>256.01115995809192</v>
      </c>
      <c r="Z104" s="53">
        <f t="shared" si="17"/>
        <v>0.8188371871725928</v>
      </c>
      <c r="AA104" s="53">
        <f t="shared" si="18"/>
        <v>0.90000000000000024</v>
      </c>
      <c r="AB104" s="53">
        <f t="shared" si="19"/>
        <v>0.86490256742598626</v>
      </c>
      <c r="AC104" s="39" t="str">
        <f t="shared" si="20"/>
        <v>No</v>
      </c>
      <c r="AD104" s="85">
        <f t="shared" si="21"/>
        <v>0</v>
      </c>
      <c r="AE104" s="46">
        <f t="shared" si="22"/>
        <v>1</v>
      </c>
      <c r="AF104" s="46">
        <f t="shared" si="23"/>
        <v>0</v>
      </c>
      <c r="AG104" s="39">
        <f t="shared" si="79"/>
        <v>46.208085124698762</v>
      </c>
      <c r="AH104" s="39">
        <f t="shared" si="80"/>
        <v>63.603074833393102</v>
      </c>
      <c r="AI104" s="39">
        <f t="shared" si="81"/>
        <v>61.199999999999989</v>
      </c>
      <c r="AJ104" s="39">
        <f t="shared" si="82"/>
        <v>82.800000000000011</v>
      </c>
      <c r="AK104" s="39">
        <f t="shared" si="83"/>
        <v>79.799999999999983</v>
      </c>
      <c r="AL104" s="39">
        <f t="shared" si="84"/>
        <v>70.800000000000011</v>
      </c>
      <c r="AM104" s="39">
        <f t="shared" si="85"/>
        <v>70.800000000000011</v>
      </c>
      <c r="AN104" s="39">
        <f t="shared" si="86"/>
        <v>70.800000000000011</v>
      </c>
      <c r="AO104" s="39">
        <f t="shared" si="25"/>
        <v>0</v>
      </c>
      <c r="AP104" s="39">
        <f t="shared" si="26"/>
        <v>0</v>
      </c>
      <c r="AQ104" s="39">
        <f t="shared" si="27"/>
        <v>0</v>
      </c>
      <c r="AR104" s="39">
        <f t="shared" si="28"/>
        <v>0</v>
      </c>
      <c r="AS104" s="39">
        <f t="shared" si="29"/>
        <v>0</v>
      </c>
      <c r="AT104" s="39">
        <f t="shared" si="30"/>
        <v>0</v>
      </c>
      <c r="AU104" s="39">
        <f t="shared" si="31"/>
        <v>0</v>
      </c>
      <c r="AV104" s="39">
        <f t="shared" si="32"/>
        <v>0</v>
      </c>
      <c r="AW104" s="39">
        <f t="shared" si="33"/>
        <v>0</v>
      </c>
      <c r="AX104" s="39">
        <f t="shared" si="34"/>
        <v>0</v>
      </c>
      <c r="AY104" s="39">
        <f t="shared" si="35"/>
        <v>0</v>
      </c>
      <c r="AZ104" s="39">
        <f t="shared" si="36"/>
        <v>0</v>
      </c>
      <c r="BA104" s="39">
        <f t="shared" si="37"/>
        <v>0</v>
      </c>
      <c r="BB104" s="39">
        <f t="shared" si="38"/>
        <v>0</v>
      </c>
      <c r="BC104" s="39">
        <f t="shared" si="39"/>
        <v>0</v>
      </c>
      <c r="BD104" s="39">
        <f t="shared" si="40"/>
        <v>0</v>
      </c>
      <c r="BE104" s="39">
        <f t="shared" si="41"/>
        <v>0</v>
      </c>
      <c r="BF104" s="39">
        <f t="shared" si="42"/>
        <v>0</v>
      </c>
      <c r="BG104" s="39">
        <f t="shared" si="43"/>
        <v>0</v>
      </c>
      <c r="BH104" s="84">
        <f t="shared" si="44"/>
        <v>0</v>
      </c>
      <c r="BI104" s="84">
        <f t="shared" si="45"/>
        <v>2.72</v>
      </c>
      <c r="BJ104" s="84">
        <f t="shared" si="46"/>
        <v>1.1622195404580569</v>
      </c>
      <c r="BK104" s="39">
        <f t="shared" si="47"/>
        <v>45.045865584240708</v>
      </c>
      <c r="BL104" s="39">
        <f t="shared" si="48"/>
        <v>63.603074833393102</v>
      </c>
      <c r="BM104" s="39">
        <f t="shared" si="49"/>
        <v>61.199999999999989</v>
      </c>
      <c r="BN104" s="39">
        <f t="shared" si="50"/>
        <v>82.800000000000011</v>
      </c>
      <c r="BO104" s="39">
        <f t="shared" si="51"/>
        <v>79.799999999999983</v>
      </c>
      <c r="BP104" s="39">
        <f t="shared" si="52"/>
        <v>70.800000000000011</v>
      </c>
      <c r="BQ104" s="39">
        <f t="shared" si="53"/>
        <v>70.800000000000011</v>
      </c>
      <c r="BR104" s="39">
        <f t="shared" si="54"/>
        <v>70.800000000000011</v>
      </c>
      <c r="BS104" s="39">
        <f t="shared" si="55"/>
        <v>0</v>
      </c>
      <c r="BT104" s="39">
        <f t="shared" si="56"/>
        <v>0</v>
      </c>
      <c r="BU104" s="39">
        <f t="shared" si="57"/>
        <v>0</v>
      </c>
      <c r="BV104" s="39">
        <f t="shared" si="58"/>
        <v>0</v>
      </c>
      <c r="BW104" s="39">
        <f t="shared" si="59"/>
        <v>0</v>
      </c>
      <c r="BX104" s="39">
        <f t="shared" si="60"/>
        <v>0</v>
      </c>
      <c r="BY104" s="39">
        <f t="shared" si="61"/>
        <v>0</v>
      </c>
      <c r="BZ104" s="39">
        <f t="shared" si="62"/>
        <v>0</v>
      </c>
      <c r="CA104" s="39">
        <f t="shared" si="63"/>
        <v>45.045865584240708</v>
      </c>
      <c r="CB104" s="39">
        <f t="shared" si="64"/>
        <v>63.603074833393102</v>
      </c>
      <c r="CC104" s="39">
        <f t="shared" si="65"/>
        <v>61.199999999999989</v>
      </c>
      <c r="CD104" s="39">
        <f t="shared" si="66"/>
        <v>82.800000000000011</v>
      </c>
      <c r="CE104" s="39">
        <f t="shared" si="67"/>
        <v>79.799999999999983</v>
      </c>
      <c r="CF104" s="39">
        <f t="shared" si="68"/>
        <v>70.800000000000011</v>
      </c>
      <c r="CG104" s="39">
        <f t="shared" si="69"/>
        <v>70.800000000000011</v>
      </c>
      <c r="CH104" s="39">
        <f t="shared" si="70"/>
        <v>70.800000000000011</v>
      </c>
      <c r="CI104" s="39">
        <f t="shared" si="71"/>
        <v>0</v>
      </c>
      <c r="CJ104" s="39">
        <f t="shared" si="72"/>
        <v>0</v>
      </c>
      <c r="CK104" s="39">
        <f t="shared" si="73"/>
        <v>0</v>
      </c>
      <c r="CL104" s="39">
        <f t="shared" si="74"/>
        <v>0</v>
      </c>
      <c r="CM104" s="39">
        <f t="shared" si="75"/>
        <v>0</v>
      </c>
      <c r="CN104" s="39">
        <f t="shared" si="76"/>
        <v>0</v>
      </c>
      <c r="CO104" s="39">
        <f t="shared" si="77"/>
        <v>0</v>
      </c>
      <c r="CP104" s="39">
        <f t="shared" si="78"/>
        <v>0</v>
      </c>
    </row>
    <row r="105" spans="12:94" ht="16" customHeight="1" x14ac:dyDescent="0.2">
      <c r="L105" s="63">
        <v>30417</v>
      </c>
      <c r="M105" s="38">
        <v>0</v>
      </c>
      <c r="N105" s="38">
        <v>3.8</v>
      </c>
      <c r="O105" s="39">
        <v>0</v>
      </c>
      <c r="P105" s="39">
        <v>0</v>
      </c>
      <c r="Q105" s="46">
        <f t="shared" si="8"/>
        <v>0.11950162381572829</v>
      </c>
      <c r="R105" s="81">
        <f t="shared" si="9"/>
        <v>0</v>
      </c>
      <c r="S105" s="82">
        <f t="shared" si="10"/>
        <v>0</v>
      </c>
      <c r="T105" s="39">
        <f t="shared" si="11"/>
        <v>0</v>
      </c>
      <c r="U105" s="83">
        <f t="shared" si="12"/>
        <v>0</v>
      </c>
      <c r="V105" s="84">
        <f t="shared" si="13"/>
        <v>3.04</v>
      </c>
      <c r="W105" s="52">
        <f t="shared" si="14"/>
        <v>103.64894041763381</v>
      </c>
      <c r="X105" s="52">
        <f t="shared" si="15"/>
        <v>151.20000000000005</v>
      </c>
      <c r="Y105" s="52">
        <f t="shared" si="16"/>
        <v>254.84894041763386</v>
      </c>
      <c r="Z105" s="53">
        <f t="shared" si="17"/>
        <v>0.80975734701276414</v>
      </c>
      <c r="AA105" s="53">
        <f t="shared" si="18"/>
        <v>0.90000000000000024</v>
      </c>
      <c r="AB105" s="53">
        <f t="shared" si="19"/>
        <v>0.86097615005957384</v>
      </c>
      <c r="AC105" s="39" t="str">
        <f t="shared" si="20"/>
        <v>No</v>
      </c>
      <c r="AD105" s="85">
        <f t="shared" si="21"/>
        <v>0</v>
      </c>
      <c r="AE105" s="46">
        <f t="shared" si="22"/>
        <v>1</v>
      </c>
      <c r="AF105" s="46">
        <f t="shared" si="23"/>
        <v>0</v>
      </c>
      <c r="AG105" s="39">
        <f t="shared" si="79"/>
        <v>45.045865584240708</v>
      </c>
      <c r="AH105" s="39">
        <f t="shared" si="80"/>
        <v>63.603074833393102</v>
      </c>
      <c r="AI105" s="39">
        <f t="shared" si="81"/>
        <v>61.199999999999989</v>
      </c>
      <c r="AJ105" s="39">
        <f t="shared" si="82"/>
        <v>82.800000000000011</v>
      </c>
      <c r="AK105" s="39">
        <f t="shared" si="83"/>
        <v>79.799999999999983</v>
      </c>
      <c r="AL105" s="39">
        <f t="shared" si="84"/>
        <v>70.800000000000011</v>
      </c>
      <c r="AM105" s="39">
        <f t="shared" si="85"/>
        <v>70.800000000000011</v>
      </c>
      <c r="AN105" s="39">
        <f t="shared" si="86"/>
        <v>70.800000000000011</v>
      </c>
      <c r="AO105" s="39">
        <f t="shared" si="25"/>
        <v>0</v>
      </c>
      <c r="AP105" s="39">
        <f t="shared" si="26"/>
        <v>0</v>
      </c>
      <c r="AQ105" s="39">
        <f t="shared" si="27"/>
        <v>0</v>
      </c>
      <c r="AR105" s="39">
        <f t="shared" si="28"/>
        <v>0</v>
      </c>
      <c r="AS105" s="39">
        <f t="shared" si="29"/>
        <v>0</v>
      </c>
      <c r="AT105" s="39">
        <f t="shared" si="30"/>
        <v>0</v>
      </c>
      <c r="AU105" s="39">
        <f t="shared" si="31"/>
        <v>0</v>
      </c>
      <c r="AV105" s="39">
        <f t="shared" si="32"/>
        <v>0</v>
      </c>
      <c r="AW105" s="39">
        <f t="shared" si="33"/>
        <v>0</v>
      </c>
      <c r="AX105" s="39">
        <f t="shared" si="34"/>
        <v>0</v>
      </c>
      <c r="AY105" s="39">
        <f t="shared" si="35"/>
        <v>0</v>
      </c>
      <c r="AZ105" s="39">
        <f t="shared" si="36"/>
        <v>0</v>
      </c>
      <c r="BA105" s="39">
        <f t="shared" si="37"/>
        <v>0</v>
      </c>
      <c r="BB105" s="39">
        <f t="shared" si="38"/>
        <v>0</v>
      </c>
      <c r="BC105" s="39">
        <f t="shared" si="39"/>
        <v>0</v>
      </c>
      <c r="BD105" s="39">
        <f t="shared" si="40"/>
        <v>0</v>
      </c>
      <c r="BE105" s="39">
        <f t="shared" si="41"/>
        <v>0</v>
      </c>
      <c r="BF105" s="39">
        <f t="shared" si="42"/>
        <v>0</v>
      </c>
      <c r="BG105" s="39">
        <f t="shared" si="43"/>
        <v>0</v>
      </c>
      <c r="BH105" s="84">
        <f t="shared" si="44"/>
        <v>0</v>
      </c>
      <c r="BI105" s="84">
        <f t="shared" si="45"/>
        <v>3.04</v>
      </c>
      <c r="BJ105" s="84">
        <f t="shared" si="46"/>
        <v>1.1159975597950282</v>
      </c>
      <c r="BK105" s="39">
        <f t="shared" si="47"/>
        <v>43.929868024445682</v>
      </c>
      <c r="BL105" s="39">
        <f t="shared" si="48"/>
        <v>63.603074833393102</v>
      </c>
      <c r="BM105" s="39">
        <f t="shared" si="49"/>
        <v>61.199999999999989</v>
      </c>
      <c r="BN105" s="39">
        <f t="shared" si="50"/>
        <v>82.800000000000011</v>
      </c>
      <c r="BO105" s="39">
        <f t="shared" si="51"/>
        <v>79.799999999999983</v>
      </c>
      <c r="BP105" s="39">
        <f t="shared" si="52"/>
        <v>70.800000000000011</v>
      </c>
      <c r="BQ105" s="39">
        <f t="shared" si="53"/>
        <v>70.800000000000011</v>
      </c>
      <c r="BR105" s="39">
        <f t="shared" si="54"/>
        <v>70.800000000000011</v>
      </c>
      <c r="BS105" s="39">
        <f t="shared" si="55"/>
        <v>0</v>
      </c>
      <c r="BT105" s="39">
        <f t="shared" si="56"/>
        <v>0</v>
      </c>
      <c r="BU105" s="39">
        <f t="shared" si="57"/>
        <v>0</v>
      </c>
      <c r="BV105" s="39">
        <f t="shared" si="58"/>
        <v>0</v>
      </c>
      <c r="BW105" s="39">
        <f t="shared" si="59"/>
        <v>0</v>
      </c>
      <c r="BX105" s="39">
        <f t="shared" si="60"/>
        <v>0</v>
      </c>
      <c r="BY105" s="39">
        <f t="shared" si="61"/>
        <v>0</v>
      </c>
      <c r="BZ105" s="39">
        <f t="shared" si="62"/>
        <v>0</v>
      </c>
      <c r="CA105" s="39">
        <f t="shared" si="63"/>
        <v>43.929868024445682</v>
      </c>
      <c r="CB105" s="39">
        <f t="shared" si="64"/>
        <v>63.603074833393102</v>
      </c>
      <c r="CC105" s="39">
        <f t="shared" si="65"/>
        <v>61.199999999999989</v>
      </c>
      <c r="CD105" s="39">
        <f t="shared" si="66"/>
        <v>82.800000000000011</v>
      </c>
      <c r="CE105" s="39">
        <f t="shared" si="67"/>
        <v>79.799999999999983</v>
      </c>
      <c r="CF105" s="39">
        <f t="shared" si="68"/>
        <v>70.800000000000011</v>
      </c>
      <c r="CG105" s="39">
        <f t="shared" si="69"/>
        <v>70.800000000000011</v>
      </c>
      <c r="CH105" s="39">
        <f t="shared" si="70"/>
        <v>70.800000000000011</v>
      </c>
      <c r="CI105" s="39">
        <f t="shared" si="71"/>
        <v>0</v>
      </c>
      <c r="CJ105" s="39">
        <f t="shared" si="72"/>
        <v>0</v>
      </c>
      <c r="CK105" s="39">
        <f t="shared" si="73"/>
        <v>0</v>
      </c>
      <c r="CL105" s="39">
        <f t="shared" si="74"/>
        <v>0</v>
      </c>
      <c r="CM105" s="39">
        <f t="shared" si="75"/>
        <v>0</v>
      </c>
      <c r="CN105" s="39">
        <f t="shared" si="76"/>
        <v>0</v>
      </c>
      <c r="CO105" s="39">
        <f t="shared" si="77"/>
        <v>0</v>
      </c>
      <c r="CP105" s="39">
        <f t="shared" si="78"/>
        <v>0</v>
      </c>
    </row>
    <row r="106" spans="12:94" ht="16" customHeight="1" x14ac:dyDescent="0.2">
      <c r="L106" s="63">
        <v>30418</v>
      </c>
      <c r="M106" s="38">
        <v>0</v>
      </c>
      <c r="N106" s="38">
        <v>4.8</v>
      </c>
      <c r="O106" s="39">
        <v>0</v>
      </c>
      <c r="P106" s="39">
        <v>0</v>
      </c>
      <c r="Q106" s="46">
        <f t="shared" si="8"/>
        <v>0.12176378103152902</v>
      </c>
      <c r="R106" s="81">
        <f t="shared" si="9"/>
        <v>0</v>
      </c>
      <c r="S106" s="82">
        <f t="shared" si="10"/>
        <v>0</v>
      </c>
      <c r="T106" s="39">
        <f t="shared" si="11"/>
        <v>0</v>
      </c>
      <c r="U106" s="83">
        <f t="shared" si="12"/>
        <v>0</v>
      </c>
      <c r="V106" s="84">
        <f t="shared" si="13"/>
        <v>3.84</v>
      </c>
      <c r="W106" s="52">
        <f t="shared" si="14"/>
        <v>102.53294285783878</v>
      </c>
      <c r="X106" s="52">
        <f t="shared" si="15"/>
        <v>151.20000000000005</v>
      </c>
      <c r="Y106" s="52">
        <f t="shared" si="16"/>
        <v>253.73294285783882</v>
      </c>
      <c r="Z106" s="53">
        <f t="shared" si="17"/>
        <v>0.80103861607686544</v>
      </c>
      <c r="AA106" s="53">
        <f t="shared" si="18"/>
        <v>0.90000000000000024</v>
      </c>
      <c r="AB106" s="53">
        <f t="shared" si="19"/>
        <v>0.85720588803323927</v>
      </c>
      <c r="AC106" s="39" t="str">
        <f t="shared" si="20"/>
        <v>No</v>
      </c>
      <c r="AD106" s="85">
        <f t="shared" si="21"/>
        <v>0</v>
      </c>
      <c r="AE106" s="46">
        <f t="shared" si="22"/>
        <v>1</v>
      </c>
      <c r="AF106" s="46">
        <f t="shared" si="23"/>
        <v>0</v>
      </c>
      <c r="AG106" s="39">
        <f t="shared" si="79"/>
        <v>43.929868024445682</v>
      </c>
      <c r="AH106" s="39">
        <f t="shared" si="80"/>
        <v>63.603074833393102</v>
      </c>
      <c r="AI106" s="39">
        <f t="shared" si="81"/>
        <v>61.199999999999989</v>
      </c>
      <c r="AJ106" s="39">
        <f t="shared" si="82"/>
        <v>82.800000000000011</v>
      </c>
      <c r="AK106" s="39">
        <f t="shared" si="83"/>
        <v>79.799999999999983</v>
      </c>
      <c r="AL106" s="39">
        <f t="shared" si="84"/>
        <v>70.800000000000011</v>
      </c>
      <c r="AM106" s="39">
        <f t="shared" si="85"/>
        <v>70.800000000000011</v>
      </c>
      <c r="AN106" s="39">
        <f t="shared" si="86"/>
        <v>70.800000000000011</v>
      </c>
      <c r="AO106" s="39">
        <f t="shared" si="25"/>
        <v>0</v>
      </c>
      <c r="AP106" s="39">
        <f t="shared" si="26"/>
        <v>0</v>
      </c>
      <c r="AQ106" s="39">
        <f t="shared" si="27"/>
        <v>0</v>
      </c>
      <c r="AR106" s="39">
        <f t="shared" si="28"/>
        <v>0</v>
      </c>
      <c r="AS106" s="39">
        <f t="shared" si="29"/>
        <v>0</v>
      </c>
      <c r="AT106" s="39">
        <f t="shared" si="30"/>
        <v>0</v>
      </c>
      <c r="AU106" s="39">
        <f t="shared" si="31"/>
        <v>0</v>
      </c>
      <c r="AV106" s="39">
        <f t="shared" si="32"/>
        <v>0</v>
      </c>
      <c r="AW106" s="39">
        <f t="shared" si="33"/>
        <v>0</v>
      </c>
      <c r="AX106" s="39">
        <f t="shared" si="34"/>
        <v>0</v>
      </c>
      <c r="AY106" s="39">
        <f t="shared" si="35"/>
        <v>0</v>
      </c>
      <c r="AZ106" s="39">
        <f t="shared" si="36"/>
        <v>0</v>
      </c>
      <c r="BA106" s="39">
        <f t="shared" si="37"/>
        <v>0</v>
      </c>
      <c r="BB106" s="39">
        <f t="shared" si="38"/>
        <v>0</v>
      </c>
      <c r="BC106" s="39">
        <f t="shared" si="39"/>
        <v>0</v>
      </c>
      <c r="BD106" s="39">
        <f t="shared" si="40"/>
        <v>0</v>
      </c>
      <c r="BE106" s="39">
        <f t="shared" si="41"/>
        <v>0</v>
      </c>
      <c r="BF106" s="39">
        <f t="shared" si="42"/>
        <v>0</v>
      </c>
      <c r="BG106" s="39">
        <f t="shared" si="43"/>
        <v>0</v>
      </c>
      <c r="BH106" s="84">
        <f t="shared" si="44"/>
        <v>0</v>
      </c>
      <c r="BI106" s="84">
        <f t="shared" si="45"/>
        <v>3.84</v>
      </c>
      <c r="BJ106" s="84">
        <f t="shared" si="46"/>
        <v>1.2116238552885239</v>
      </c>
      <c r="BK106" s="39">
        <f t="shared" si="47"/>
        <v>42.71824416915716</v>
      </c>
      <c r="BL106" s="39">
        <f t="shared" si="48"/>
        <v>63.603074833393102</v>
      </c>
      <c r="BM106" s="39">
        <f t="shared" si="49"/>
        <v>61.199999999999989</v>
      </c>
      <c r="BN106" s="39">
        <f t="shared" si="50"/>
        <v>82.800000000000011</v>
      </c>
      <c r="BO106" s="39">
        <f t="shared" si="51"/>
        <v>79.799999999999983</v>
      </c>
      <c r="BP106" s="39">
        <f t="shared" si="52"/>
        <v>70.800000000000011</v>
      </c>
      <c r="BQ106" s="39">
        <f t="shared" si="53"/>
        <v>70.800000000000011</v>
      </c>
      <c r="BR106" s="39">
        <f t="shared" si="54"/>
        <v>70.800000000000011</v>
      </c>
      <c r="BS106" s="39">
        <f t="shared" si="55"/>
        <v>0</v>
      </c>
      <c r="BT106" s="39">
        <f t="shared" si="56"/>
        <v>0</v>
      </c>
      <c r="BU106" s="39">
        <f t="shared" si="57"/>
        <v>0</v>
      </c>
      <c r="BV106" s="39">
        <f t="shared" si="58"/>
        <v>0</v>
      </c>
      <c r="BW106" s="39">
        <f t="shared" si="59"/>
        <v>0</v>
      </c>
      <c r="BX106" s="39">
        <f t="shared" si="60"/>
        <v>0</v>
      </c>
      <c r="BY106" s="39">
        <f t="shared" si="61"/>
        <v>0</v>
      </c>
      <c r="BZ106" s="39">
        <f t="shared" si="62"/>
        <v>0</v>
      </c>
      <c r="CA106" s="39">
        <f t="shared" si="63"/>
        <v>42.71824416915716</v>
      </c>
      <c r="CB106" s="39">
        <f t="shared" si="64"/>
        <v>63.603074833393102</v>
      </c>
      <c r="CC106" s="39">
        <f t="shared" si="65"/>
        <v>61.199999999999989</v>
      </c>
      <c r="CD106" s="39">
        <f t="shared" si="66"/>
        <v>82.800000000000011</v>
      </c>
      <c r="CE106" s="39">
        <f t="shared" si="67"/>
        <v>79.799999999999983</v>
      </c>
      <c r="CF106" s="39">
        <f t="shared" si="68"/>
        <v>70.800000000000011</v>
      </c>
      <c r="CG106" s="39">
        <f t="shared" si="69"/>
        <v>70.800000000000011</v>
      </c>
      <c r="CH106" s="39">
        <f t="shared" si="70"/>
        <v>70.800000000000011</v>
      </c>
      <c r="CI106" s="39">
        <f t="shared" si="71"/>
        <v>0</v>
      </c>
      <c r="CJ106" s="39">
        <f t="shared" si="72"/>
        <v>0</v>
      </c>
      <c r="CK106" s="39">
        <f t="shared" si="73"/>
        <v>0</v>
      </c>
      <c r="CL106" s="39">
        <f t="shared" si="74"/>
        <v>0</v>
      </c>
      <c r="CM106" s="39">
        <f t="shared" si="75"/>
        <v>0</v>
      </c>
      <c r="CN106" s="39">
        <f t="shared" si="76"/>
        <v>0</v>
      </c>
      <c r="CO106" s="39">
        <f t="shared" si="77"/>
        <v>0</v>
      </c>
      <c r="CP106" s="39">
        <f t="shared" si="78"/>
        <v>0</v>
      </c>
    </row>
    <row r="107" spans="12:94" ht="16" customHeight="1" x14ac:dyDescent="0.2">
      <c r="L107" s="63">
        <v>30419</v>
      </c>
      <c r="M107" s="38">
        <v>1.6</v>
      </c>
      <c r="N107" s="38">
        <v>3.3</v>
      </c>
      <c r="O107" s="39">
        <v>0</v>
      </c>
      <c r="P107" s="39">
        <v>0</v>
      </c>
      <c r="Q107" s="46">
        <f t="shared" si="8"/>
        <v>0.12421977533278955</v>
      </c>
      <c r="R107" s="81">
        <f t="shared" si="9"/>
        <v>0</v>
      </c>
      <c r="S107" s="82">
        <f t="shared" si="10"/>
        <v>1.6</v>
      </c>
      <c r="T107" s="39">
        <f t="shared" si="11"/>
        <v>0</v>
      </c>
      <c r="U107" s="83">
        <f t="shared" si="12"/>
        <v>0</v>
      </c>
      <c r="V107" s="84">
        <f t="shared" si="13"/>
        <v>2.64</v>
      </c>
      <c r="W107" s="52">
        <f t="shared" si="14"/>
        <v>101.32131900255027</v>
      </c>
      <c r="X107" s="52">
        <f t="shared" si="15"/>
        <v>151.20000000000005</v>
      </c>
      <c r="Y107" s="52">
        <f t="shared" si="16"/>
        <v>252.52131900255031</v>
      </c>
      <c r="Z107" s="53">
        <f t="shared" si="17"/>
        <v>0.79157280470742397</v>
      </c>
      <c r="AA107" s="53">
        <f t="shared" si="18"/>
        <v>0.90000000000000024</v>
      </c>
      <c r="AB107" s="53">
        <f t="shared" si="19"/>
        <v>0.85311256419780512</v>
      </c>
      <c r="AC107" s="39" t="str">
        <f t="shared" si="20"/>
        <v>No</v>
      </c>
      <c r="AD107" s="85">
        <f t="shared" si="21"/>
        <v>0</v>
      </c>
      <c r="AE107" s="46">
        <f t="shared" si="22"/>
        <v>1</v>
      </c>
      <c r="AF107" s="46">
        <f t="shared" si="23"/>
        <v>0</v>
      </c>
      <c r="AG107" s="39">
        <f t="shared" si="79"/>
        <v>42.71824416915716</v>
      </c>
      <c r="AH107" s="39">
        <f t="shared" si="80"/>
        <v>63.603074833393102</v>
      </c>
      <c r="AI107" s="39">
        <f t="shared" si="81"/>
        <v>61.199999999999989</v>
      </c>
      <c r="AJ107" s="39">
        <f t="shared" si="82"/>
        <v>82.800000000000011</v>
      </c>
      <c r="AK107" s="39">
        <f t="shared" si="83"/>
        <v>79.799999999999983</v>
      </c>
      <c r="AL107" s="39">
        <f t="shared" si="84"/>
        <v>70.800000000000011</v>
      </c>
      <c r="AM107" s="39">
        <f t="shared" si="85"/>
        <v>70.800000000000011</v>
      </c>
      <c r="AN107" s="39">
        <f t="shared" si="86"/>
        <v>70.800000000000011</v>
      </c>
      <c r="AO107" s="39">
        <f t="shared" si="25"/>
        <v>0</v>
      </c>
      <c r="AP107" s="39">
        <f t="shared" si="26"/>
        <v>0</v>
      </c>
      <c r="AQ107" s="39">
        <f t="shared" si="27"/>
        <v>0</v>
      </c>
      <c r="AR107" s="39">
        <f t="shared" si="28"/>
        <v>0</v>
      </c>
      <c r="AS107" s="39">
        <f t="shared" si="29"/>
        <v>0</v>
      </c>
      <c r="AT107" s="39">
        <f t="shared" si="30"/>
        <v>0</v>
      </c>
      <c r="AU107" s="39">
        <f t="shared" si="31"/>
        <v>0</v>
      </c>
      <c r="AV107" s="39">
        <f t="shared" si="32"/>
        <v>0</v>
      </c>
      <c r="AW107" s="39">
        <f t="shared" si="33"/>
        <v>0</v>
      </c>
      <c r="AX107" s="39">
        <f t="shared" si="34"/>
        <v>0</v>
      </c>
      <c r="AY107" s="39">
        <f t="shared" si="35"/>
        <v>0</v>
      </c>
      <c r="AZ107" s="39">
        <f t="shared" si="36"/>
        <v>0</v>
      </c>
      <c r="BA107" s="39">
        <f t="shared" si="37"/>
        <v>0</v>
      </c>
      <c r="BB107" s="39">
        <f t="shared" si="38"/>
        <v>0</v>
      </c>
      <c r="BC107" s="39">
        <f t="shared" si="39"/>
        <v>0</v>
      </c>
      <c r="BD107" s="39">
        <f t="shared" si="40"/>
        <v>0</v>
      </c>
      <c r="BE107" s="39">
        <f t="shared" si="41"/>
        <v>0</v>
      </c>
      <c r="BF107" s="39">
        <f t="shared" si="42"/>
        <v>0</v>
      </c>
      <c r="BG107" s="39">
        <f t="shared" si="43"/>
        <v>0</v>
      </c>
      <c r="BH107" s="84">
        <f t="shared" si="44"/>
        <v>1.6</v>
      </c>
      <c r="BI107" s="84">
        <f t="shared" si="45"/>
        <v>1.04</v>
      </c>
      <c r="BJ107" s="84">
        <f t="shared" si="46"/>
        <v>1.8765330127271937</v>
      </c>
      <c r="BK107" s="39">
        <f t="shared" si="47"/>
        <v>40.841711156429966</v>
      </c>
      <c r="BL107" s="39">
        <f t="shared" si="48"/>
        <v>63.603074833393102</v>
      </c>
      <c r="BM107" s="39">
        <f t="shared" si="49"/>
        <v>61.199999999999989</v>
      </c>
      <c r="BN107" s="39">
        <f t="shared" si="50"/>
        <v>82.800000000000011</v>
      </c>
      <c r="BO107" s="39">
        <f t="shared" si="51"/>
        <v>79.799999999999983</v>
      </c>
      <c r="BP107" s="39">
        <f t="shared" si="52"/>
        <v>70.800000000000011</v>
      </c>
      <c r="BQ107" s="39">
        <f t="shared" si="53"/>
        <v>70.800000000000011</v>
      </c>
      <c r="BR107" s="39">
        <f t="shared" si="54"/>
        <v>70.800000000000011</v>
      </c>
      <c r="BS107" s="39">
        <f t="shared" si="55"/>
        <v>0</v>
      </c>
      <c r="BT107" s="39">
        <f t="shared" si="56"/>
        <v>0</v>
      </c>
      <c r="BU107" s="39">
        <f t="shared" si="57"/>
        <v>0</v>
      </c>
      <c r="BV107" s="39">
        <f t="shared" si="58"/>
        <v>0</v>
      </c>
      <c r="BW107" s="39">
        <f t="shared" si="59"/>
        <v>0</v>
      </c>
      <c r="BX107" s="39">
        <f t="shared" si="60"/>
        <v>0</v>
      </c>
      <c r="BY107" s="39">
        <f t="shared" si="61"/>
        <v>0</v>
      </c>
      <c r="BZ107" s="39">
        <f t="shared" si="62"/>
        <v>0</v>
      </c>
      <c r="CA107" s="39">
        <f t="shared" si="63"/>
        <v>40.841711156429966</v>
      </c>
      <c r="CB107" s="39">
        <f t="shared" si="64"/>
        <v>63.603074833393102</v>
      </c>
      <c r="CC107" s="39">
        <f t="shared" si="65"/>
        <v>61.199999999999989</v>
      </c>
      <c r="CD107" s="39">
        <f t="shared" si="66"/>
        <v>82.800000000000011</v>
      </c>
      <c r="CE107" s="39">
        <f t="shared" si="67"/>
        <v>79.799999999999983</v>
      </c>
      <c r="CF107" s="39">
        <f t="shared" si="68"/>
        <v>70.800000000000011</v>
      </c>
      <c r="CG107" s="39">
        <f t="shared" si="69"/>
        <v>70.800000000000011</v>
      </c>
      <c r="CH107" s="39">
        <f t="shared" si="70"/>
        <v>70.800000000000011</v>
      </c>
      <c r="CI107" s="39">
        <f t="shared" si="71"/>
        <v>0</v>
      </c>
      <c r="CJ107" s="39">
        <f t="shared" si="72"/>
        <v>0</v>
      </c>
      <c r="CK107" s="39">
        <f t="shared" si="73"/>
        <v>0</v>
      </c>
      <c r="CL107" s="39">
        <f t="shared" si="74"/>
        <v>0</v>
      </c>
      <c r="CM107" s="39">
        <f t="shared" si="75"/>
        <v>0</v>
      </c>
      <c r="CN107" s="39">
        <f t="shared" si="76"/>
        <v>0</v>
      </c>
      <c r="CO107" s="39">
        <f t="shared" si="77"/>
        <v>0</v>
      </c>
      <c r="CP107" s="39">
        <f t="shared" si="78"/>
        <v>0</v>
      </c>
    </row>
    <row r="108" spans="12:94" ht="16" customHeight="1" x14ac:dyDescent="0.2">
      <c r="L108" s="63">
        <v>30420</v>
      </c>
      <c r="M108" s="38">
        <v>0</v>
      </c>
      <c r="N108" s="38">
        <v>2.4</v>
      </c>
      <c r="O108" s="39">
        <v>0</v>
      </c>
      <c r="P108" s="39">
        <v>0</v>
      </c>
      <c r="Q108" s="46">
        <f t="shared" si="8"/>
        <v>0.12802355846669602</v>
      </c>
      <c r="R108" s="81">
        <f t="shared" si="9"/>
        <v>0</v>
      </c>
      <c r="S108" s="82">
        <f t="shared" si="10"/>
        <v>0</v>
      </c>
      <c r="T108" s="39">
        <f t="shared" si="11"/>
        <v>0</v>
      </c>
      <c r="U108" s="83">
        <f t="shared" si="12"/>
        <v>0</v>
      </c>
      <c r="V108" s="84">
        <f t="shared" si="13"/>
        <v>1.92</v>
      </c>
      <c r="W108" s="52">
        <f t="shared" si="14"/>
        <v>99.44478598982306</v>
      </c>
      <c r="X108" s="52">
        <f t="shared" si="15"/>
        <v>151.20000000000005</v>
      </c>
      <c r="Y108" s="52">
        <f t="shared" si="16"/>
        <v>250.64478598982311</v>
      </c>
      <c r="Z108" s="53">
        <f t="shared" si="17"/>
        <v>0.77691239054549266</v>
      </c>
      <c r="AA108" s="53">
        <f t="shared" si="18"/>
        <v>0.90000000000000024</v>
      </c>
      <c r="AB108" s="53">
        <f t="shared" si="19"/>
        <v>0.84677292564129425</v>
      </c>
      <c r="AC108" s="39" t="str">
        <f t="shared" si="20"/>
        <v>No</v>
      </c>
      <c r="AD108" s="85">
        <f t="shared" si="21"/>
        <v>0</v>
      </c>
      <c r="AE108" s="46">
        <f t="shared" si="22"/>
        <v>1</v>
      </c>
      <c r="AF108" s="46">
        <f t="shared" si="23"/>
        <v>0</v>
      </c>
      <c r="AG108" s="39">
        <f t="shared" si="79"/>
        <v>40.841711156429966</v>
      </c>
      <c r="AH108" s="39">
        <f t="shared" si="80"/>
        <v>63.603074833393102</v>
      </c>
      <c r="AI108" s="39">
        <f t="shared" si="81"/>
        <v>61.199999999999989</v>
      </c>
      <c r="AJ108" s="39">
        <f t="shared" si="82"/>
        <v>82.800000000000011</v>
      </c>
      <c r="AK108" s="39">
        <f t="shared" si="83"/>
        <v>79.799999999999983</v>
      </c>
      <c r="AL108" s="39">
        <f t="shared" si="84"/>
        <v>70.800000000000011</v>
      </c>
      <c r="AM108" s="39">
        <f t="shared" si="85"/>
        <v>70.800000000000011</v>
      </c>
      <c r="AN108" s="39">
        <f t="shared" si="86"/>
        <v>70.800000000000011</v>
      </c>
      <c r="AO108" s="39">
        <f t="shared" si="25"/>
        <v>0</v>
      </c>
      <c r="AP108" s="39">
        <f t="shared" si="26"/>
        <v>0</v>
      </c>
      <c r="AQ108" s="39">
        <f t="shared" si="27"/>
        <v>0</v>
      </c>
      <c r="AR108" s="39">
        <f t="shared" si="28"/>
        <v>0</v>
      </c>
      <c r="AS108" s="39">
        <f t="shared" si="29"/>
        <v>0</v>
      </c>
      <c r="AT108" s="39">
        <f t="shared" si="30"/>
        <v>0</v>
      </c>
      <c r="AU108" s="39">
        <f t="shared" si="31"/>
        <v>0</v>
      </c>
      <c r="AV108" s="39">
        <f t="shared" si="32"/>
        <v>0</v>
      </c>
      <c r="AW108" s="39">
        <f t="shared" si="33"/>
        <v>0</v>
      </c>
      <c r="AX108" s="39">
        <f t="shared" si="34"/>
        <v>0</v>
      </c>
      <c r="AY108" s="39">
        <f t="shared" si="35"/>
        <v>0</v>
      </c>
      <c r="AZ108" s="39">
        <f t="shared" si="36"/>
        <v>0</v>
      </c>
      <c r="BA108" s="39">
        <f t="shared" si="37"/>
        <v>0</v>
      </c>
      <c r="BB108" s="39">
        <f t="shared" si="38"/>
        <v>0</v>
      </c>
      <c r="BC108" s="39">
        <f t="shared" si="39"/>
        <v>0</v>
      </c>
      <c r="BD108" s="39">
        <f t="shared" si="40"/>
        <v>0</v>
      </c>
      <c r="BE108" s="39">
        <f t="shared" si="41"/>
        <v>0</v>
      </c>
      <c r="BF108" s="39">
        <f t="shared" si="42"/>
        <v>0</v>
      </c>
      <c r="BG108" s="39">
        <f t="shared" si="43"/>
        <v>0</v>
      </c>
      <c r="BH108" s="84">
        <f t="shared" si="44"/>
        <v>0</v>
      </c>
      <c r="BI108" s="84">
        <f t="shared" si="45"/>
        <v>1.92</v>
      </c>
      <c r="BJ108" s="84">
        <f t="shared" si="46"/>
        <v>0.38568884791890934</v>
      </c>
      <c r="BK108" s="39">
        <f t="shared" si="47"/>
        <v>40.456022308511059</v>
      </c>
      <c r="BL108" s="39">
        <f t="shared" si="48"/>
        <v>63.603074833393102</v>
      </c>
      <c r="BM108" s="39">
        <f t="shared" si="49"/>
        <v>61.199999999999989</v>
      </c>
      <c r="BN108" s="39">
        <f t="shared" si="50"/>
        <v>82.800000000000011</v>
      </c>
      <c r="BO108" s="39">
        <f t="shared" si="51"/>
        <v>79.799999999999983</v>
      </c>
      <c r="BP108" s="39">
        <f t="shared" si="52"/>
        <v>70.800000000000011</v>
      </c>
      <c r="BQ108" s="39">
        <f t="shared" si="53"/>
        <v>70.800000000000011</v>
      </c>
      <c r="BR108" s="39">
        <f t="shared" si="54"/>
        <v>70.800000000000011</v>
      </c>
      <c r="BS108" s="39">
        <f t="shared" si="55"/>
        <v>0</v>
      </c>
      <c r="BT108" s="39">
        <f t="shared" si="56"/>
        <v>0</v>
      </c>
      <c r="BU108" s="39">
        <f t="shared" si="57"/>
        <v>0</v>
      </c>
      <c r="BV108" s="39">
        <f t="shared" si="58"/>
        <v>0</v>
      </c>
      <c r="BW108" s="39">
        <f t="shared" si="59"/>
        <v>0</v>
      </c>
      <c r="BX108" s="39">
        <f t="shared" si="60"/>
        <v>0</v>
      </c>
      <c r="BY108" s="39">
        <f t="shared" si="61"/>
        <v>0</v>
      </c>
      <c r="BZ108" s="39">
        <f t="shared" si="62"/>
        <v>0</v>
      </c>
      <c r="CA108" s="39">
        <f t="shared" si="63"/>
        <v>40.456022308511059</v>
      </c>
      <c r="CB108" s="39">
        <f t="shared" si="64"/>
        <v>63.603074833393102</v>
      </c>
      <c r="CC108" s="39">
        <f t="shared" si="65"/>
        <v>61.199999999999989</v>
      </c>
      <c r="CD108" s="39">
        <f t="shared" si="66"/>
        <v>82.800000000000011</v>
      </c>
      <c r="CE108" s="39">
        <f t="shared" si="67"/>
        <v>79.799999999999983</v>
      </c>
      <c r="CF108" s="39">
        <f t="shared" si="68"/>
        <v>70.800000000000011</v>
      </c>
      <c r="CG108" s="39">
        <f t="shared" si="69"/>
        <v>70.800000000000011</v>
      </c>
      <c r="CH108" s="39">
        <f t="shared" si="70"/>
        <v>70.800000000000011</v>
      </c>
      <c r="CI108" s="39">
        <f t="shared" si="71"/>
        <v>0</v>
      </c>
      <c r="CJ108" s="39">
        <f t="shared" si="72"/>
        <v>0</v>
      </c>
      <c r="CK108" s="39">
        <f t="shared" si="73"/>
        <v>0</v>
      </c>
      <c r="CL108" s="39">
        <f t="shared" si="74"/>
        <v>0</v>
      </c>
      <c r="CM108" s="39">
        <f t="shared" si="75"/>
        <v>0</v>
      </c>
      <c r="CN108" s="39">
        <f t="shared" si="76"/>
        <v>0</v>
      </c>
      <c r="CO108" s="39">
        <f t="shared" si="77"/>
        <v>0</v>
      </c>
      <c r="CP108" s="39">
        <f t="shared" si="78"/>
        <v>0</v>
      </c>
    </row>
    <row r="109" spans="12:94" ht="16" customHeight="1" x14ac:dyDescent="0.2">
      <c r="L109" s="63">
        <v>30421</v>
      </c>
      <c r="M109" s="38">
        <v>1.7</v>
      </c>
      <c r="N109" s="38">
        <v>2.7</v>
      </c>
      <c r="O109" s="39">
        <v>0</v>
      </c>
      <c r="P109" s="39">
        <v>0</v>
      </c>
      <c r="Q109" s="46">
        <f t="shared" si="8"/>
        <v>0.12880536018545055</v>
      </c>
      <c r="R109" s="81">
        <f t="shared" si="9"/>
        <v>0</v>
      </c>
      <c r="S109" s="82">
        <f t="shared" si="10"/>
        <v>1.7</v>
      </c>
      <c r="T109" s="39">
        <f t="shared" si="11"/>
        <v>0</v>
      </c>
      <c r="U109" s="83">
        <f t="shared" si="12"/>
        <v>0</v>
      </c>
      <c r="V109" s="84">
        <f t="shared" si="13"/>
        <v>2.16</v>
      </c>
      <c r="W109" s="52">
        <f t="shared" si="14"/>
        <v>99.059097141904147</v>
      </c>
      <c r="X109" s="52">
        <f t="shared" si="15"/>
        <v>151.20000000000005</v>
      </c>
      <c r="Y109" s="52">
        <f t="shared" si="16"/>
        <v>250.25909714190419</v>
      </c>
      <c r="Z109" s="53">
        <f t="shared" si="17"/>
        <v>0.77389919642112615</v>
      </c>
      <c r="AA109" s="53">
        <f t="shared" si="18"/>
        <v>0.90000000000000024</v>
      </c>
      <c r="AB109" s="53">
        <f t="shared" si="19"/>
        <v>0.8454699227767033</v>
      </c>
      <c r="AC109" s="39" t="str">
        <f t="shared" si="20"/>
        <v>No</v>
      </c>
      <c r="AD109" s="85">
        <f t="shared" si="21"/>
        <v>0</v>
      </c>
      <c r="AE109" s="46">
        <f t="shared" si="22"/>
        <v>1</v>
      </c>
      <c r="AF109" s="46">
        <f t="shared" si="23"/>
        <v>0</v>
      </c>
      <c r="AG109" s="39">
        <f t="shared" si="79"/>
        <v>40.456022308511059</v>
      </c>
      <c r="AH109" s="39">
        <f t="shared" si="80"/>
        <v>63.603074833393102</v>
      </c>
      <c r="AI109" s="39">
        <f t="shared" si="81"/>
        <v>61.199999999999989</v>
      </c>
      <c r="AJ109" s="39">
        <f t="shared" si="82"/>
        <v>82.800000000000011</v>
      </c>
      <c r="AK109" s="39">
        <f t="shared" si="83"/>
        <v>79.799999999999983</v>
      </c>
      <c r="AL109" s="39">
        <f t="shared" si="84"/>
        <v>70.800000000000011</v>
      </c>
      <c r="AM109" s="39">
        <f t="shared" si="85"/>
        <v>70.800000000000011</v>
      </c>
      <c r="AN109" s="39">
        <f t="shared" si="86"/>
        <v>70.800000000000011</v>
      </c>
      <c r="AO109" s="39">
        <f t="shared" si="25"/>
        <v>0</v>
      </c>
      <c r="AP109" s="39">
        <f t="shared" si="26"/>
        <v>0</v>
      </c>
      <c r="AQ109" s="39">
        <f t="shared" si="27"/>
        <v>0</v>
      </c>
      <c r="AR109" s="39">
        <f t="shared" si="28"/>
        <v>0</v>
      </c>
      <c r="AS109" s="39">
        <f t="shared" si="29"/>
        <v>0</v>
      </c>
      <c r="AT109" s="39">
        <f t="shared" si="30"/>
        <v>0</v>
      </c>
      <c r="AU109" s="39">
        <f t="shared" si="31"/>
        <v>0</v>
      </c>
      <c r="AV109" s="39">
        <f t="shared" si="32"/>
        <v>0</v>
      </c>
      <c r="AW109" s="39">
        <f t="shared" si="33"/>
        <v>0</v>
      </c>
      <c r="AX109" s="39">
        <f t="shared" si="34"/>
        <v>0</v>
      </c>
      <c r="AY109" s="39">
        <f t="shared" si="35"/>
        <v>0</v>
      </c>
      <c r="AZ109" s="39">
        <f t="shared" si="36"/>
        <v>0</v>
      </c>
      <c r="BA109" s="39">
        <f t="shared" si="37"/>
        <v>0</v>
      </c>
      <c r="BB109" s="39">
        <f t="shared" si="38"/>
        <v>0</v>
      </c>
      <c r="BC109" s="39">
        <f t="shared" si="39"/>
        <v>0</v>
      </c>
      <c r="BD109" s="39">
        <f t="shared" si="40"/>
        <v>0</v>
      </c>
      <c r="BE109" s="39">
        <f t="shared" si="41"/>
        <v>0</v>
      </c>
      <c r="BF109" s="39">
        <f t="shared" si="42"/>
        <v>0</v>
      </c>
      <c r="BG109" s="39">
        <f t="shared" si="43"/>
        <v>0</v>
      </c>
      <c r="BH109" s="84">
        <f t="shared" si="44"/>
        <v>1.7</v>
      </c>
      <c r="BI109" s="84">
        <f t="shared" si="45"/>
        <v>0.46000000000000019</v>
      </c>
      <c r="BJ109" s="84">
        <f t="shared" si="46"/>
        <v>1.7870103237495953</v>
      </c>
      <c r="BK109" s="39">
        <f t="shared" si="47"/>
        <v>38.669011984761461</v>
      </c>
      <c r="BL109" s="39">
        <f t="shared" si="48"/>
        <v>63.603074833393102</v>
      </c>
      <c r="BM109" s="39">
        <f t="shared" si="49"/>
        <v>61.199999999999989</v>
      </c>
      <c r="BN109" s="39">
        <f t="shared" si="50"/>
        <v>82.800000000000011</v>
      </c>
      <c r="BO109" s="39">
        <f t="shared" si="51"/>
        <v>79.799999999999983</v>
      </c>
      <c r="BP109" s="39">
        <f t="shared" si="52"/>
        <v>70.800000000000011</v>
      </c>
      <c r="BQ109" s="39">
        <f t="shared" si="53"/>
        <v>70.800000000000011</v>
      </c>
      <c r="BR109" s="39">
        <f t="shared" si="54"/>
        <v>70.800000000000011</v>
      </c>
      <c r="BS109" s="39">
        <f t="shared" si="55"/>
        <v>0</v>
      </c>
      <c r="BT109" s="39">
        <f t="shared" si="56"/>
        <v>0</v>
      </c>
      <c r="BU109" s="39">
        <f t="shared" si="57"/>
        <v>0</v>
      </c>
      <c r="BV109" s="39">
        <f t="shared" si="58"/>
        <v>0</v>
      </c>
      <c r="BW109" s="39">
        <f t="shared" si="59"/>
        <v>0</v>
      </c>
      <c r="BX109" s="39">
        <f t="shared" si="60"/>
        <v>0</v>
      </c>
      <c r="BY109" s="39">
        <f t="shared" si="61"/>
        <v>0</v>
      </c>
      <c r="BZ109" s="39">
        <f t="shared" si="62"/>
        <v>0</v>
      </c>
      <c r="CA109" s="39">
        <f t="shared" si="63"/>
        <v>38.669011984761461</v>
      </c>
      <c r="CB109" s="39">
        <f t="shared" si="64"/>
        <v>63.603074833393102</v>
      </c>
      <c r="CC109" s="39">
        <f t="shared" si="65"/>
        <v>61.199999999999989</v>
      </c>
      <c r="CD109" s="39">
        <f t="shared" si="66"/>
        <v>82.800000000000011</v>
      </c>
      <c r="CE109" s="39">
        <f t="shared" si="67"/>
        <v>79.799999999999983</v>
      </c>
      <c r="CF109" s="39">
        <f t="shared" si="68"/>
        <v>70.800000000000011</v>
      </c>
      <c r="CG109" s="39">
        <f t="shared" si="69"/>
        <v>70.800000000000011</v>
      </c>
      <c r="CH109" s="39">
        <f t="shared" si="70"/>
        <v>70.800000000000011</v>
      </c>
      <c r="CI109" s="39">
        <f t="shared" si="71"/>
        <v>0</v>
      </c>
      <c r="CJ109" s="39">
        <f t="shared" si="72"/>
        <v>0</v>
      </c>
      <c r="CK109" s="39">
        <f t="shared" si="73"/>
        <v>0</v>
      </c>
      <c r="CL109" s="39">
        <f t="shared" si="74"/>
        <v>0</v>
      </c>
      <c r="CM109" s="39">
        <f t="shared" si="75"/>
        <v>0</v>
      </c>
      <c r="CN109" s="39">
        <f t="shared" si="76"/>
        <v>0</v>
      </c>
      <c r="CO109" s="39">
        <f t="shared" si="77"/>
        <v>0</v>
      </c>
      <c r="CP109" s="39">
        <f t="shared" si="78"/>
        <v>0</v>
      </c>
    </row>
    <row r="110" spans="12:94" ht="16" customHeight="1" x14ac:dyDescent="0.2">
      <c r="L110" s="63">
        <v>30422</v>
      </c>
      <c r="M110" s="38">
        <v>0.5</v>
      </c>
      <c r="N110" s="38">
        <v>1.5</v>
      </c>
      <c r="O110" s="39">
        <v>0</v>
      </c>
      <c r="P110" s="39">
        <v>0</v>
      </c>
      <c r="Q110" s="46">
        <f t="shared" si="8"/>
        <v>0.13242767840926734</v>
      </c>
      <c r="R110" s="81">
        <f t="shared" si="9"/>
        <v>0</v>
      </c>
      <c r="S110" s="82">
        <f t="shared" si="10"/>
        <v>0.5</v>
      </c>
      <c r="T110" s="39">
        <f t="shared" si="11"/>
        <v>0</v>
      </c>
      <c r="U110" s="83">
        <f t="shared" si="12"/>
        <v>0</v>
      </c>
      <c r="V110" s="84">
        <f t="shared" si="13"/>
        <v>1.2000000000000002</v>
      </c>
      <c r="W110" s="52">
        <f t="shared" si="14"/>
        <v>97.272086818154548</v>
      </c>
      <c r="X110" s="52">
        <f t="shared" si="15"/>
        <v>151.20000000000005</v>
      </c>
      <c r="Y110" s="52">
        <f t="shared" si="16"/>
        <v>248.47208681815459</v>
      </c>
      <c r="Z110" s="53">
        <f t="shared" si="17"/>
        <v>0.75993817826683241</v>
      </c>
      <c r="AA110" s="53">
        <f t="shared" si="18"/>
        <v>0.90000000000000024</v>
      </c>
      <c r="AB110" s="53">
        <f t="shared" si="19"/>
        <v>0.83943272573700878</v>
      </c>
      <c r="AC110" s="39" t="str">
        <f t="shared" si="20"/>
        <v>No</v>
      </c>
      <c r="AD110" s="85">
        <f t="shared" si="21"/>
        <v>0</v>
      </c>
      <c r="AE110" s="46">
        <f t="shared" si="22"/>
        <v>1</v>
      </c>
      <c r="AF110" s="46">
        <f t="shared" si="23"/>
        <v>0</v>
      </c>
      <c r="AG110" s="39">
        <f t="shared" si="79"/>
        <v>38.669011984761461</v>
      </c>
      <c r="AH110" s="39">
        <f t="shared" si="80"/>
        <v>63.603074833393102</v>
      </c>
      <c r="AI110" s="39">
        <f t="shared" si="81"/>
        <v>61.199999999999989</v>
      </c>
      <c r="AJ110" s="39">
        <f t="shared" si="82"/>
        <v>82.800000000000011</v>
      </c>
      <c r="AK110" s="39">
        <f t="shared" si="83"/>
        <v>79.799999999999983</v>
      </c>
      <c r="AL110" s="39">
        <f t="shared" si="84"/>
        <v>70.800000000000011</v>
      </c>
      <c r="AM110" s="39">
        <f t="shared" si="85"/>
        <v>70.800000000000011</v>
      </c>
      <c r="AN110" s="39">
        <f t="shared" si="86"/>
        <v>70.800000000000011</v>
      </c>
      <c r="AO110" s="39">
        <f t="shared" si="25"/>
        <v>0</v>
      </c>
      <c r="AP110" s="39">
        <f t="shared" si="26"/>
        <v>0</v>
      </c>
      <c r="AQ110" s="39">
        <f t="shared" si="27"/>
        <v>0</v>
      </c>
      <c r="AR110" s="39">
        <f t="shared" si="28"/>
        <v>0</v>
      </c>
      <c r="AS110" s="39">
        <f t="shared" si="29"/>
        <v>0</v>
      </c>
      <c r="AT110" s="39">
        <f t="shared" si="30"/>
        <v>0</v>
      </c>
      <c r="AU110" s="39">
        <f t="shared" si="31"/>
        <v>0</v>
      </c>
      <c r="AV110" s="39">
        <f t="shared" si="32"/>
        <v>0</v>
      </c>
      <c r="AW110" s="39">
        <f t="shared" si="33"/>
        <v>0</v>
      </c>
      <c r="AX110" s="39">
        <f t="shared" si="34"/>
        <v>0</v>
      </c>
      <c r="AY110" s="39">
        <f t="shared" si="35"/>
        <v>0</v>
      </c>
      <c r="AZ110" s="39">
        <f t="shared" si="36"/>
        <v>0</v>
      </c>
      <c r="BA110" s="39">
        <f t="shared" si="37"/>
        <v>0</v>
      </c>
      <c r="BB110" s="39">
        <f t="shared" si="38"/>
        <v>0</v>
      </c>
      <c r="BC110" s="39">
        <f t="shared" si="39"/>
        <v>0</v>
      </c>
      <c r="BD110" s="39">
        <f t="shared" si="40"/>
        <v>0</v>
      </c>
      <c r="BE110" s="39">
        <f t="shared" si="41"/>
        <v>0</v>
      </c>
      <c r="BF110" s="39">
        <f t="shared" si="42"/>
        <v>0</v>
      </c>
      <c r="BG110" s="39">
        <f t="shared" si="43"/>
        <v>0</v>
      </c>
      <c r="BH110" s="84">
        <f t="shared" si="44"/>
        <v>0.5</v>
      </c>
      <c r="BI110" s="84">
        <f t="shared" si="45"/>
        <v>0.70000000000000018</v>
      </c>
      <c r="BJ110" s="84">
        <f t="shared" si="46"/>
        <v>0.59896219958065733</v>
      </c>
      <c r="BK110" s="39">
        <f t="shared" si="47"/>
        <v>38.070049785180807</v>
      </c>
      <c r="BL110" s="39">
        <f t="shared" si="48"/>
        <v>63.603074833393102</v>
      </c>
      <c r="BM110" s="39">
        <f t="shared" si="49"/>
        <v>61.199999999999989</v>
      </c>
      <c r="BN110" s="39">
        <f t="shared" si="50"/>
        <v>82.800000000000011</v>
      </c>
      <c r="BO110" s="39">
        <f t="shared" si="51"/>
        <v>79.799999999999983</v>
      </c>
      <c r="BP110" s="39">
        <f t="shared" si="52"/>
        <v>70.800000000000011</v>
      </c>
      <c r="BQ110" s="39">
        <f t="shared" si="53"/>
        <v>70.800000000000011</v>
      </c>
      <c r="BR110" s="39">
        <f t="shared" si="54"/>
        <v>70.800000000000011</v>
      </c>
      <c r="BS110" s="39">
        <f t="shared" si="55"/>
        <v>0</v>
      </c>
      <c r="BT110" s="39">
        <f t="shared" si="56"/>
        <v>0</v>
      </c>
      <c r="BU110" s="39">
        <f t="shared" si="57"/>
        <v>0</v>
      </c>
      <c r="BV110" s="39">
        <f t="shared" si="58"/>
        <v>0</v>
      </c>
      <c r="BW110" s="39">
        <f t="shared" si="59"/>
        <v>0</v>
      </c>
      <c r="BX110" s="39">
        <f t="shared" si="60"/>
        <v>0</v>
      </c>
      <c r="BY110" s="39">
        <f t="shared" si="61"/>
        <v>0</v>
      </c>
      <c r="BZ110" s="39">
        <f t="shared" si="62"/>
        <v>0</v>
      </c>
      <c r="CA110" s="39">
        <f t="shared" si="63"/>
        <v>38.070049785180807</v>
      </c>
      <c r="CB110" s="39">
        <f t="shared" si="64"/>
        <v>63.603074833393102</v>
      </c>
      <c r="CC110" s="39">
        <f t="shared" si="65"/>
        <v>61.199999999999989</v>
      </c>
      <c r="CD110" s="39">
        <f t="shared" si="66"/>
        <v>82.800000000000011</v>
      </c>
      <c r="CE110" s="39">
        <f t="shared" si="67"/>
        <v>79.799999999999983</v>
      </c>
      <c r="CF110" s="39">
        <f t="shared" si="68"/>
        <v>70.800000000000011</v>
      </c>
      <c r="CG110" s="39">
        <f t="shared" si="69"/>
        <v>70.800000000000011</v>
      </c>
      <c r="CH110" s="39">
        <f t="shared" si="70"/>
        <v>70.800000000000011</v>
      </c>
      <c r="CI110" s="39">
        <f t="shared" si="71"/>
        <v>0</v>
      </c>
      <c r="CJ110" s="39">
        <f t="shared" si="72"/>
        <v>0</v>
      </c>
      <c r="CK110" s="39">
        <f t="shared" si="73"/>
        <v>0</v>
      </c>
      <c r="CL110" s="39">
        <f t="shared" si="74"/>
        <v>0</v>
      </c>
      <c r="CM110" s="39">
        <f t="shared" si="75"/>
        <v>0</v>
      </c>
      <c r="CN110" s="39">
        <f t="shared" si="76"/>
        <v>0</v>
      </c>
      <c r="CO110" s="39">
        <f t="shared" si="77"/>
        <v>0</v>
      </c>
      <c r="CP110" s="39">
        <f t="shared" si="78"/>
        <v>0</v>
      </c>
    </row>
    <row r="111" spans="12:94" ht="16" customHeight="1" x14ac:dyDescent="0.2">
      <c r="L111" s="63">
        <v>30423</v>
      </c>
      <c r="M111" s="38">
        <v>0.3</v>
      </c>
      <c r="N111" s="38">
        <v>1.6</v>
      </c>
      <c r="O111" s="39">
        <v>0</v>
      </c>
      <c r="P111" s="39">
        <v>0</v>
      </c>
      <c r="Q111" s="46">
        <f t="shared" si="8"/>
        <v>0.13364179097598486</v>
      </c>
      <c r="R111" s="81">
        <f t="shared" si="9"/>
        <v>0</v>
      </c>
      <c r="S111" s="82">
        <f t="shared" si="10"/>
        <v>0.3</v>
      </c>
      <c r="T111" s="39">
        <f t="shared" si="11"/>
        <v>0</v>
      </c>
      <c r="U111" s="83">
        <f t="shared" si="12"/>
        <v>0</v>
      </c>
      <c r="V111" s="84">
        <f t="shared" si="13"/>
        <v>1.2800000000000002</v>
      </c>
      <c r="W111" s="52">
        <f t="shared" si="14"/>
        <v>96.673124618573922</v>
      </c>
      <c r="X111" s="52">
        <f t="shared" si="15"/>
        <v>151.20000000000005</v>
      </c>
      <c r="Y111" s="52">
        <f t="shared" si="16"/>
        <v>247.87312461857397</v>
      </c>
      <c r="Z111" s="53">
        <f t="shared" si="17"/>
        <v>0.75525878608260877</v>
      </c>
      <c r="AA111" s="53">
        <f t="shared" si="18"/>
        <v>0.90000000000000024</v>
      </c>
      <c r="AB111" s="53">
        <f t="shared" si="19"/>
        <v>0.8374092047924796</v>
      </c>
      <c r="AC111" s="39" t="str">
        <f t="shared" si="20"/>
        <v>No</v>
      </c>
      <c r="AD111" s="85">
        <f t="shared" si="21"/>
        <v>0</v>
      </c>
      <c r="AE111" s="46">
        <f t="shared" si="22"/>
        <v>1</v>
      </c>
      <c r="AF111" s="46">
        <f t="shared" si="23"/>
        <v>0</v>
      </c>
      <c r="AG111" s="39">
        <f t="shared" si="79"/>
        <v>38.070049785180807</v>
      </c>
      <c r="AH111" s="39">
        <f t="shared" si="80"/>
        <v>63.603074833393102</v>
      </c>
      <c r="AI111" s="39">
        <f t="shared" si="81"/>
        <v>61.199999999999989</v>
      </c>
      <c r="AJ111" s="39">
        <f t="shared" si="82"/>
        <v>82.800000000000011</v>
      </c>
      <c r="AK111" s="39">
        <f t="shared" si="83"/>
        <v>79.799999999999983</v>
      </c>
      <c r="AL111" s="39">
        <f t="shared" si="84"/>
        <v>70.800000000000011</v>
      </c>
      <c r="AM111" s="39">
        <f t="shared" si="85"/>
        <v>70.800000000000011</v>
      </c>
      <c r="AN111" s="39">
        <f t="shared" si="86"/>
        <v>70.800000000000011</v>
      </c>
      <c r="AO111" s="39">
        <f t="shared" si="25"/>
        <v>0</v>
      </c>
      <c r="AP111" s="39">
        <f t="shared" si="26"/>
        <v>0</v>
      </c>
      <c r="AQ111" s="39">
        <f t="shared" si="27"/>
        <v>0</v>
      </c>
      <c r="AR111" s="39">
        <f t="shared" si="28"/>
        <v>0</v>
      </c>
      <c r="AS111" s="39">
        <f t="shared" si="29"/>
        <v>0</v>
      </c>
      <c r="AT111" s="39">
        <f t="shared" si="30"/>
        <v>0</v>
      </c>
      <c r="AU111" s="39">
        <f t="shared" si="31"/>
        <v>0</v>
      </c>
      <c r="AV111" s="39">
        <f t="shared" si="32"/>
        <v>0</v>
      </c>
      <c r="AW111" s="39">
        <f t="shared" si="33"/>
        <v>0</v>
      </c>
      <c r="AX111" s="39">
        <f t="shared" si="34"/>
        <v>0</v>
      </c>
      <c r="AY111" s="39">
        <f t="shared" si="35"/>
        <v>0</v>
      </c>
      <c r="AZ111" s="39">
        <f t="shared" si="36"/>
        <v>0</v>
      </c>
      <c r="BA111" s="39">
        <f t="shared" si="37"/>
        <v>0</v>
      </c>
      <c r="BB111" s="39">
        <f t="shared" si="38"/>
        <v>0</v>
      </c>
      <c r="BC111" s="39">
        <f t="shared" si="39"/>
        <v>0</v>
      </c>
      <c r="BD111" s="39">
        <f t="shared" si="40"/>
        <v>0</v>
      </c>
      <c r="BE111" s="39">
        <f t="shared" si="41"/>
        <v>0</v>
      </c>
      <c r="BF111" s="39">
        <f t="shared" si="42"/>
        <v>0</v>
      </c>
      <c r="BG111" s="39">
        <f t="shared" si="43"/>
        <v>0</v>
      </c>
      <c r="BH111" s="84">
        <f t="shared" si="44"/>
        <v>0.3</v>
      </c>
      <c r="BI111" s="84">
        <f t="shared" si="45"/>
        <v>0.9800000000000002</v>
      </c>
      <c r="BJ111" s="84">
        <f t="shared" si="46"/>
        <v>0.42504633974154649</v>
      </c>
      <c r="BK111" s="39">
        <f t="shared" si="47"/>
        <v>37.645003445439258</v>
      </c>
      <c r="BL111" s="39">
        <f t="shared" si="48"/>
        <v>63.603074833393102</v>
      </c>
      <c r="BM111" s="39">
        <f t="shared" si="49"/>
        <v>61.199999999999989</v>
      </c>
      <c r="BN111" s="39">
        <f t="shared" si="50"/>
        <v>82.800000000000011</v>
      </c>
      <c r="BO111" s="39">
        <f t="shared" si="51"/>
        <v>79.799999999999983</v>
      </c>
      <c r="BP111" s="39">
        <f t="shared" si="52"/>
        <v>70.800000000000011</v>
      </c>
      <c r="BQ111" s="39">
        <f t="shared" si="53"/>
        <v>70.800000000000011</v>
      </c>
      <c r="BR111" s="39">
        <f t="shared" si="54"/>
        <v>70.800000000000011</v>
      </c>
      <c r="BS111" s="39">
        <f t="shared" si="55"/>
        <v>0</v>
      </c>
      <c r="BT111" s="39">
        <f t="shared" si="56"/>
        <v>0</v>
      </c>
      <c r="BU111" s="39">
        <f t="shared" si="57"/>
        <v>0</v>
      </c>
      <c r="BV111" s="39">
        <f t="shared" si="58"/>
        <v>0</v>
      </c>
      <c r="BW111" s="39">
        <f t="shared" si="59"/>
        <v>0</v>
      </c>
      <c r="BX111" s="39">
        <f t="shared" si="60"/>
        <v>0</v>
      </c>
      <c r="BY111" s="39">
        <f t="shared" si="61"/>
        <v>0</v>
      </c>
      <c r="BZ111" s="39">
        <f t="shared" si="62"/>
        <v>0</v>
      </c>
      <c r="CA111" s="39">
        <f t="shared" si="63"/>
        <v>37.645003445439258</v>
      </c>
      <c r="CB111" s="39">
        <f t="shared" si="64"/>
        <v>63.603074833393102</v>
      </c>
      <c r="CC111" s="39">
        <f t="shared" si="65"/>
        <v>61.199999999999989</v>
      </c>
      <c r="CD111" s="39">
        <f t="shared" si="66"/>
        <v>82.800000000000011</v>
      </c>
      <c r="CE111" s="39">
        <f t="shared" si="67"/>
        <v>79.799999999999983</v>
      </c>
      <c r="CF111" s="39">
        <f t="shared" si="68"/>
        <v>70.800000000000011</v>
      </c>
      <c r="CG111" s="39">
        <f t="shared" si="69"/>
        <v>70.800000000000011</v>
      </c>
      <c r="CH111" s="39">
        <f t="shared" si="70"/>
        <v>70.800000000000011</v>
      </c>
      <c r="CI111" s="39">
        <f t="shared" si="71"/>
        <v>0</v>
      </c>
      <c r="CJ111" s="39">
        <f t="shared" si="72"/>
        <v>0</v>
      </c>
      <c r="CK111" s="39">
        <f t="shared" si="73"/>
        <v>0</v>
      </c>
      <c r="CL111" s="39">
        <f t="shared" si="74"/>
        <v>0</v>
      </c>
      <c r="CM111" s="39">
        <f t="shared" si="75"/>
        <v>0</v>
      </c>
      <c r="CN111" s="39">
        <f t="shared" si="76"/>
        <v>0</v>
      </c>
      <c r="CO111" s="39">
        <f t="shared" si="77"/>
        <v>0</v>
      </c>
      <c r="CP111" s="39">
        <f t="shared" si="78"/>
        <v>0</v>
      </c>
    </row>
    <row r="112" spans="12:94" ht="16" customHeight="1" x14ac:dyDescent="0.2">
      <c r="L112" s="63">
        <v>30424</v>
      </c>
      <c r="M112" s="38">
        <v>0</v>
      </c>
      <c r="N112" s="38">
        <v>3.2</v>
      </c>
      <c r="O112" s="39">
        <v>0</v>
      </c>
      <c r="P112" s="39">
        <v>0</v>
      </c>
      <c r="Q112" s="46">
        <f t="shared" si="8"/>
        <v>0.13450337139437987</v>
      </c>
      <c r="R112" s="81">
        <f t="shared" si="9"/>
        <v>0</v>
      </c>
      <c r="S112" s="82">
        <f t="shared" si="10"/>
        <v>0</v>
      </c>
      <c r="T112" s="39">
        <f t="shared" si="11"/>
        <v>0</v>
      </c>
      <c r="U112" s="83">
        <f t="shared" si="12"/>
        <v>0</v>
      </c>
      <c r="V112" s="84">
        <f t="shared" si="13"/>
        <v>2.5600000000000005</v>
      </c>
      <c r="W112" s="52">
        <f t="shared" si="14"/>
        <v>96.248078278832367</v>
      </c>
      <c r="X112" s="52">
        <f t="shared" si="15"/>
        <v>151.20000000000005</v>
      </c>
      <c r="Y112" s="52">
        <f t="shared" si="16"/>
        <v>247.44807827883241</v>
      </c>
      <c r="Z112" s="53">
        <f t="shared" si="17"/>
        <v>0.75193811155337786</v>
      </c>
      <c r="AA112" s="53">
        <f t="shared" si="18"/>
        <v>0.90000000000000024</v>
      </c>
      <c r="AB112" s="53">
        <f t="shared" si="19"/>
        <v>0.83597323742848784</v>
      </c>
      <c r="AC112" s="39" t="str">
        <f t="shared" si="20"/>
        <v>No</v>
      </c>
      <c r="AD112" s="85">
        <f t="shared" si="21"/>
        <v>0</v>
      </c>
      <c r="AE112" s="46">
        <f t="shared" si="22"/>
        <v>1</v>
      </c>
      <c r="AF112" s="46">
        <f t="shared" si="23"/>
        <v>0</v>
      </c>
      <c r="AG112" s="39">
        <f t="shared" si="79"/>
        <v>37.645003445439258</v>
      </c>
      <c r="AH112" s="39">
        <f t="shared" si="80"/>
        <v>63.603074833393102</v>
      </c>
      <c r="AI112" s="39">
        <f t="shared" si="81"/>
        <v>61.199999999999989</v>
      </c>
      <c r="AJ112" s="39">
        <f t="shared" si="82"/>
        <v>82.800000000000011</v>
      </c>
      <c r="AK112" s="39">
        <f t="shared" si="83"/>
        <v>79.799999999999983</v>
      </c>
      <c r="AL112" s="39">
        <f t="shared" si="84"/>
        <v>70.800000000000011</v>
      </c>
      <c r="AM112" s="39">
        <f t="shared" si="85"/>
        <v>70.800000000000011</v>
      </c>
      <c r="AN112" s="39">
        <f t="shared" si="86"/>
        <v>70.800000000000011</v>
      </c>
      <c r="AO112" s="39">
        <f t="shared" si="25"/>
        <v>0</v>
      </c>
      <c r="AP112" s="39">
        <f t="shared" si="26"/>
        <v>0</v>
      </c>
      <c r="AQ112" s="39">
        <f t="shared" si="27"/>
        <v>0</v>
      </c>
      <c r="AR112" s="39">
        <f t="shared" si="28"/>
        <v>0</v>
      </c>
      <c r="AS112" s="39">
        <f t="shared" si="29"/>
        <v>0</v>
      </c>
      <c r="AT112" s="39">
        <f t="shared" si="30"/>
        <v>0</v>
      </c>
      <c r="AU112" s="39">
        <f t="shared" si="31"/>
        <v>0</v>
      </c>
      <c r="AV112" s="39">
        <f t="shared" si="32"/>
        <v>0</v>
      </c>
      <c r="AW112" s="39">
        <f t="shared" si="33"/>
        <v>0</v>
      </c>
      <c r="AX112" s="39">
        <f t="shared" si="34"/>
        <v>0</v>
      </c>
      <c r="AY112" s="39">
        <f t="shared" si="35"/>
        <v>0</v>
      </c>
      <c r="AZ112" s="39">
        <f t="shared" si="36"/>
        <v>0</v>
      </c>
      <c r="BA112" s="39">
        <f t="shared" si="37"/>
        <v>0</v>
      </c>
      <c r="BB112" s="39">
        <f t="shared" si="38"/>
        <v>0</v>
      </c>
      <c r="BC112" s="39">
        <f t="shared" si="39"/>
        <v>0</v>
      </c>
      <c r="BD112" s="39">
        <f t="shared" si="40"/>
        <v>0</v>
      </c>
      <c r="BE112" s="39">
        <f t="shared" si="41"/>
        <v>0</v>
      </c>
      <c r="BF112" s="39">
        <f t="shared" si="42"/>
        <v>0</v>
      </c>
      <c r="BG112" s="39">
        <f t="shared" si="43"/>
        <v>0</v>
      </c>
      <c r="BH112" s="84">
        <f t="shared" si="44"/>
        <v>0</v>
      </c>
      <c r="BI112" s="84">
        <f t="shared" si="45"/>
        <v>2.5600000000000005</v>
      </c>
      <c r="BJ112" s="84">
        <f t="shared" si="46"/>
        <v>0.30323568705890741</v>
      </c>
      <c r="BK112" s="39">
        <f t="shared" si="47"/>
        <v>37.34176775838035</v>
      </c>
      <c r="BL112" s="39">
        <f t="shared" si="48"/>
        <v>63.603074833393102</v>
      </c>
      <c r="BM112" s="39">
        <f t="shared" si="49"/>
        <v>61.199999999999989</v>
      </c>
      <c r="BN112" s="39">
        <f t="shared" si="50"/>
        <v>82.800000000000011</v>
      </c>
      <c r="BO112" s="39">
        <f t="shared" si="51"/>
        <v>79.799999999999983</v>
      </c>
      <c r="BP112" s="39">
        <f t="shared" si="52"/>
        <v>70.800000000000011</v>
      </c>
      <c r="BQ112" s="39">
        <f t="shared" si="53"/>
        <v>70.800000000000011</v>
      </c>
      <c r="BR112" s="39">
        <f t="shared" si="54"/>
        <v>70.800000000000011</v>
      </c>
      <c r="BS112" s="39">
        <f t="shared" si="55"/>
        <v>0</v>
      </c>
      <c r="BT112" s="39">
        <f t="shared" si="56"/>
        <v>0</v>
      </c>
      <c r="BU112" s="39">
        <f t="shared" si="57"/>
        <v>0</v>
      </c>
      <c r="BV112" s="39">
        <f t="shared" si="58"/>
        <v>0</v>
      </c>
      <c r="BW112" s="39">
        <f t="shared" si="59"/>
        <v>0</v>
      </c>
      <c r="BX112" s="39">
        <f t="shared" si="60"/>
        <v>0</v>
      </c>
      <c r="BY112" s="39">
        <f t="shared" si="61"/>
        <v>0</v>
      </c>
      <c r="BZ112" s="39">
        <f t="shared" si="62"/>
        <v>0</v>
      </c>
      <c r="CA112" s="39">
        <f t="shared" si="63"/>
        <v>37.34176775838035</v>
      </c>
      <c r="CB112" s="39">
        <f t="shared" si="64"/>
        <v>63.603074833393102</v>
      </c>
      <c r="CC112" s="39">
        <f t="shared" si="65"/>
        <v>61.199999999999989</v>
      </c>
      <c r="CD112" s="39">
        <f t="shared" si="66"/>
        <v>82.800000000000011</v>
      </c>
      <c r="CE112" s="39">
        <f t="shared" si="67"/>
        <v>79.799999999999983</v>
      </c>
      <c r="CF112" s="39">
        <f t="shared" si="68"/>
        <v>70.800000000000011</v>
      </c>
      <c r="CG112" s="39">
        <f t="shared" si="69"/>
        <v>70.800000000000011</v>
      </c>
      <c r="CH112" s="39">
        <f t="shared" si="70"/>
        <v>70.800000000000011</v>
      </c>
      <c r="CI112" s="39">
        <f t="shared" si="71"/>
        <v>0</v>
      </c>
      <c r="CJ112" s="39">
        <f t="shared" si="72"/>
        <v>0</v>
      </c>
      <c r="CK112" s="39">
        <f t="shared" si="73"/>
        <v>0</v>
      </c>
      <c r="CL112" s="39">
        <f t="shared" si="74"/>
        <v>0</v>
      </c>
      <c r="CM112" s="39">
        <f t="shared" si="75"/>
        <v>0</v>
      </c>
      <c r="CN112" s="39">
        <f t="shared" si="76"/>
        <v>0</v>
      </c>
      <c r="CO112" s="39">
        <f t="shared" si="77"/>
        <v>0</v>
      </c>
      <c r="CP112" s="39">
        <f t="shared" si="78"/>
        <v>0</v>
      </c>
    </row>
    <row r="113" spans="2:94" ht="16" customHeight="1" x14ac:dyDescent="0.2">
      <c r="L113" s="63">
        <v>30425</v>
      </c>
      <c r="M113" s="38">
        <v>0</v>
      </c>
      <c r="N113" s="38">
        <v>1.6</v>
      </c>
      <c r="O113" s="39">
        <v>0</v>
      </c>
      <c r="P113" s="39">
        <v>0</v>
      </c>
      <c r="Q113" s="46">
        <f t="shared" si="8"/>
        <v>0.13511803832760741</v>
      </c>
      <c r="R113" s="81">
        <f t="shared" si="9"/>
        <v>0</v>
      </c>
      <c r="S113" s="82">
        <f t="shared" si="10"/>
        <v>0</v>
      </c>
      <c r="T113" s="39">
        <f t="shared" si="11"/>
        <v>0</v>
      </c>
      <c r="U113" s="83">
        <f t="shared" si="12"/>
        <v>0</v>
      </c>
      <c r="V113" s="84">
        <f t="shared" si="13"/>
        <v>1.2800000000000002</v>
      </c>
      <c r="W113" s="52">
        <f t="shared" si="14"/>
        <v>95.944842591773465</v>
      </c>
      <c r="X113" s="52">
        <f t="shared" si="15"/>
        <v>151.20000000000005</v>
      </c>
      <c r="Y113" s="52">
        <f t="shared" si="16"/>
        <v>247.14484259177351</v>
      </c>
      <c r="Z113" s="53">
        <f t="shared" si="17"/>
        <v>0.7495690827482302</v>
      </c>
      <c r="AA113" s="53">
        <f t="shared" si="18"/>
        <v>0.90000000000000024</v>
      </c>
      <c r="AB113" s="53">
        <f t="shared" si="19"/>
        <v>0.83494879253977539</v>
      </c>
      <c r="AC113" s="39" t="str">
        <f t="shared" si="20"/>
        <v>No</v>
      </c>
      <c r="AD113" s="85">
        <f t="shared" si="21"/>
        <v>0</v>
      </c>
      <c r="AE113" s="46">
        <f t="shared" si="22"/>
        <v>1</v>
      </c>
      <c r="AF113" s="46">
        <f t="shared" si="23"/>
        <v>0</v>
      </c>
      <c r="AG113" s="39">
        <f t="shared" si="79"/>
        <v>37.34176775838035</v>
      </c>
      <c r="AH113" s="39">
        <f t="shared" si="80"/>
        <v>63.603074833393102</v>
      </c>
      <c r="AI113" s="39">
        <f t="shared" si="81"/>
        <v>61.199999999999989</v>
      </c>
      <c r="AJ113" s="39">
        <f t="shared" si="82"/>
        <v>82.800000000000011</v>
      </c>
      <c r="AK113" s="39">
        <f t="shared" si="83"/>
        <v>79.799999999999983</v>
      </c>
      <c r="AL113" s="39">
        <f t="shared" si="84"/>
        <v>70.800000000000011</v>
      </c>
      <c r="AM113" s="39">
        <f t="shared" si="85"/>
        <v>70.800000000000011</v>
      </c>
      <c r="AN113" s="39">
        <f t="shared" si="86"/>
        <v>70.800000000000011</v>
      </c>
      <c r="AO113" s="39">
        <f t="shared" si="25"/>
        <v>0</v>
      </c>
      <c r="AP113" s="39">
        <f t="shared" si="26"/>
        <v>0</v>
      </c>
      <c r="AQ113" s="39">
        <f t="shared" si="27"/>
        <v>0</v>
      </c>
      <c r="AR113" s="39">
        <f t="shared" si="28"/>
        <v>0</v>
      </c>
      <c r="AS113" s="39">
        <f t="shared" si="29"/>
        <v>0</v>
      </c>
      <c r="AT113" s="39">
        <f t="shared" si="30"/>
        <v>0</v>
      </c>
      <c r="AU113" s="39">
        <f t="shared" si="31"/>
        <v>0</v>
      </c>
      <c r="AV113" s="39">
        <f t="shared" si="32"/>
        <v>0</v>
      </c>
      <c r="AW113" s="39">
        <f t="shared" si="33"/>
        <v>0</v>
      </c>
      <c r="AX113" s="39">
        <f t="shared" si="34"/>
        <v>0</v>
      </c>
      <c r="AY113" s="39">
        <f t="shared" si="35"/>
        <v>0</v>
      </c>
      <c r="AZ113" s="39">
        <f t="shared" si="36"/>
        <v>0</v>
      </c>
      <c r="BA113" s="39">
        <f t="shared" si="37"/>
        <v>0</v>
      </c>
      <c r="BB113" s="39">
        <f t="shared" si="38"/>
        <v>0</v>
      </c>
      <c r="BC113" s="39">
        <f t="shared" si="39"/>
        <v>0</v>
      </c>
      <c r="BD113" s="39">
        <f t="shared" si="40"/>
        <v>0</v>
      </c>
      <c r="BE113" s="39">
        <f t="shared" si="41"/>
        <v>0</v>
      </c>
      <c r="BF113" s="39">
        <f t="shared" si="42"/>
        <v>0</v>
      </c>
      <c r="BG113" s="39">
        <f t="shared" si="43"/>
        <v>0</v>
      </c>
      <c r="BH113" s="84">
        <f t="shared" si="44"/>
        <v>0</v>
      </c>
      <c r="BI113" s="84">
        <f t="shared" si="45"/>
        <v>1.2800000000000002</v>
      </c>
      <c r="BJ113" s="84">
        <f t="shared" si="46"/>
        <v>0.1436583530026635</v>
      </c>
      <c r="BK113" s="39">
        <f t="shared" si="47"/>
        <v>37.198109405377686</v>
      </c>
      <c r="BL113" s="39">
        <f t="shared" si="48"/>
        <v>63.603074833393102</v>
      </c>
      <c r="BM113" s="39">
        <f t="shared" si="49"/>
        <v>61.199999999999989</v>
      </c>
      <c r="BN113" s="39">
        <f t="shared" si="50"/>
        <v>82.800000000000011</v>
      </c>
      <c r="BO113" s="39">
        <f t="shared" si="51"/>
        <v>79.799999999999983</v>
      </c>
      <c r="BP113" s="39">
        <f t="shared" si="52"/>
        <v>70.800000000000011</v>
      </c>
      <c r="BQ113" s="39">
        <f t="shared" si="53"/>
        <v>70.800000000000011</v>
      </c>
      <c r="BR113" s="39">
        <f t="shared" si="54"/>
        <v>70.800000000000011</v>
      </c>
      <c r="BS113" s="39">
        <f t="shared" si="55"/>
        <v>0</v>
      </c>
      <c r="BT113" s="39">
        <f t="shared" si="56"/>
        <v>0</v>
      </c>
      <c r="BU113" s="39">
        <f t="shared" si="57"/>
        <v>0</v>
      </c>
      <c r="BV113" s="39">
        <f t="shared" si="58"/>
        <v>0</v>
      </c>
      <c r="BW113" s="39">
        <f t="shared" si="59"/>
        <v>0</v>
      </c>
      <c r="BX113" s="39">
        <f t="shared" si="60"/>
        <v>0</v>
      </c>
      <c r="BY113" s="39">
        <f t="shared" si="61"/>
        <v>0</v>
      </c>
      <c r="BZ113" s="39">
        <f t="shared" si="62"/>
        <v>0</v>
      </c>
      <c r="CA113" s="39">
        <f t="shared" si="63"/>
        <v>37.198109405377686</v>
      </c>
      <c r="CB113" s="39">
        <f t="shared" si="64"/>
        <v>63.603074833393102</v>
      </c>
      <c r="CC113" s="39">
        <f t="shared" si="65"/>
        <v>61.199999999999989</v>
      </c>
      <c r="CD113" s="39">
        <f t="shared" si="66"/>
        <v>82.800000000000011</v>
      </c>
      <c r="CE113" s="39">
        <f t="shared" si="67"/>
        <v>79.799999999999983</v>
      </c>
      <c r="CF113" s="39">
        <f t="shared" si="68"/>
        <v>70.800000000000011</v>
      </c>
      <c r="CG113" s="39">
        <f t="shared" si="69"/>
        <v>70.800000000000011</v>
      </c>
      <c r="CH113" s="39">
        <f t="shared" si="70"/>
        <v>70.800000000000011</v>
      </c>
      <c r="CI113" s="39">
        <f t="shared" si="71"/>
        <v>0</v>
      </c>
      <c r="CJ113" s="39">
        <f t="shared" si="72"/>
        <v>0</v>
      </c>
      <c r="CK113" s="39">
        <f t="shared" si="73"/>
        <v>0</v>
      </c>
      <c r="CL113" s="39">
        <f t="shared" si="74"/>
        <v>0</v>
      </c>
      <c r="CM113" s="39">
        <f t="shared" si="75"/>
        <v>0</v>
      </c>
      <c r="CN113" s="39">
        <f t="shared" si="76"/>
        <v>0</v>
      </c>
      <c r="CO113" s="39">
        <f t="shared" si="77"/>
        <v>0</v>
      </c>
      <c r="CP113" s="39">
        <f t="shared" si="78"/>
        <v>0</v>
      </c>
    </row>
    <row r="114" spans="2:94" ht="16" customHeight="1" x14ac:dyDescent="0.2">
      <c r="L114" s="63">
        <v>30426</v>
      </c>
      <c r="M114" s="38">
        <v>0</v>
      </c>
      <c r="N114" s="38">
        <v>1</v>
      </c>
      <c r="O114" s="39">
        <v>0</v>
      </c>
      <c r="P114" s="39">
        <v>0</v>
      </c>
      <c r="Q114" s="46">
        <f t="shared" si="8"/>
        <v>0.13540923769180196</v>
      </c>
      <c r="R114" s="81">
        <f t="shared" si="9"/>
        <v>0</v>
      </c>
      <c r="S114" s="82">
        <f t="shared" si="10"/>
        <v>0</v>
      </c>
      <c r="T114" s="39">
        <f t="shared" si="11"/>
        <v>0</v>
      </c>
      <c r="U114" s="83">
        <f t="shared" si="12"/>
        <v>0</v>
      </c>
      <c r="V114" s="84">
        <f t="shared" si="13"/>
        <v>0.8</v>
      </c>
      <c r="W114" s="52">
        <f t="shared" si="14"/>
        <v>95.801184238770787</v>
      </c>
      <c r="X114" s="52">
        <f t="shared" si="15"/>
        <v>151.20000000000005</v>
      </c>
      <c r="Y114" s="52">
        <f t="shared" si="16"/>
        <v>247.00118423877083</v>
      </c>
      <c r="Z114" s="53">
        <f t="shared" si="17"/>
        <v>0.74844675186539678</v>
      </c>
      <c r="AA114" s="53">
        <f t="shared" si="18"/>
        <v>0.90000000000000024</v>
      </c>
      <c r="AB114" s="53">
        <f t="shared" si="19"/>
        <v>0.83446346026611773</v>
      </c>
      <c r="AC114" s="39" t="str">
        <f t="shared" si="20"/>
        <v>No</v>
      </c>
      <c r="AD114" s="85">
        <f t="shared" si="21"/>
        <v>0</v>
      </c>
      <c r="AE114" s="46">
        <f t="shared" si="22"/>
        <v>1</v>
      </c>
      <c r="AF114" s="46">
        <f t="shared" si="23"/>
        <v>0</v>
      </c>
      <c r="AG114" s="39">
        <f t="shared" si="79"/>
        <v>37.198109405377686</v>
      </c>
      <c r="AH114" s="39">
        <f t="shared" si="80"/>
        <v>63.603074833393102</v>
      </c>
      <c r="AI114" s="39">
        <f t="shared" si="81"/>
        <v>61.199999999999989</v>
      </c>
      <c r="AJ114" s="39">
        <f t="shared" si="82"/>
        <v>82.800000000000011</v>
      </c>
      <c r="AK114" s="39">
        <f t="shared" si="83"/>
        <v>79.799999999999983</v>
      </c>
      <c r="AL114" s="39">
        <f t="shared" si="84"/>
        <v>70.800000000000011</v>
      </c>
      <c r="AM114" s="39">
        <f t="shared" si="85"/>
        <v>70.800000000000011</v>
      </c>
      <c r="AN114" s="39">
        <f t="shared" si="86"/>
        <v>70.800000000000011</v>
      </c>
      <c r="AO114" s="39">
        <f t="shared" si="25"/>
        <v>0</v>
      </c>
      <c r="AP114" s="39">
        <f t="shared" si="26"/>
        <v>0</v>
      </c>
      <c r="AQ114" s="39">
        <f t="shared" si="27"/>
        <v>0</v>
      </c>
      <c r="AR114" s="39">
        <f t="shared" si="28"/>
        <v>0</v>
      </c>
      <c r="AS114" s="39">
        <f t="shared" si="29"/>
        <v>0</v>
      </c>
      <c r="AT114" s="39">
        <f t="shared" si="30"/>
        <v>0</v>
      </c>
      <c r="AU114" s="39">
        <f t="shared" si="31"/>
        <v>0</v>
      </c>
      <c r="AV114" s="39">
        <f t="shared" si="32"/>
        <v>0</v>
      </c>
      <c r="AW114" s="39">
        <f t="shared" si="33"/>
        <v>0</v>
      </c>
      <c r="AX114" s="39">
        <f t="shared" si="34"/>
        <v>0</v>
      </c>
      <c r="AY114" s="39">
        <f t="shared" si="35"/>
        <v>0</v>
      </c>
      <c r="AZ114" s="39">
        <f t="shared" si="36"/>
        <v>0</v>
      </c>
      <c r="BA114" s="39">
        <f t="shared" si="37"/>
        <v>0</v>
      </c>
      <c r="BB114" s="39">
        <f t="shared" si="38"/>
        <v>0</v>
      </c>
      <c r="BC114" s="39">
        <f t="shared" si="39"/>
        <v>0</v>
      </c>
      <c r="BD114" s="39">
        <f t="shared" si="40"/>
        <v>0</v>
      </c>
      <c r="BE114" s="39">
        <f t="shared" si="41"/>
        <v>0</v>
      </c>
      <c r="BF114" s="39">
        <f t="shared" si="42"/>
        <v>0</v>
      </c>
      <c r="BG114" s="39">
        <f t="shared" si="43"/>
        <v>0</v>
      </c>
      <c r="BH114" s="84">
        <f t="shared" si="44"/>
        <v>0</v>
      </c>
      <c r="BI114" s="84">
        <f t="shared" si="45"/>
        <v>0.8</v>
      </c>
      <c r="BJ114" s="84">
        <f t="shared" si="46"/>
        <v>8.7499328155575457E-2</v>
      </c>
      <c r="BK114" s="39">
        <f t="shared" si="47"/>
        <v>37.110610077222113</v>
      </c>
      <c r="BL114" s="39">
        <f t="shared" si="48"/>
        <v>63.603074833393102</v>
      </c>
      <c r="BM114" s="39">
        <f t="shared" si="49"/>
        <v>61.199999999999989</v>
      </c>
      <c r="BN114" s="39">
        <f t="shared" si="50"/>
        <v>82.800000000000011</v>
      </c>
      <c r="BO114" s="39">
        <f t="shared" si="51"/>
        <v>79.799999999999983</v>
      </c>
      <c r="BP114" s="39">
        <f t="shared" si="52"/>
        <v>70.800000000000011</v>
      </c>
      <c r="BQ114" s="39">
        <f t="shared" si="53"/>
        <v>70.800000000000011</v>
      </c>
      <c r="BR114" s="39">
        <f t="shared" si="54"/>
        <v>70.800000000000011</v>
      </c>
      <c r="BS114" s="39">
        <f t="shared" si="55"/>
        <v>0</v>
      </c>
      <c r="BT114" s="39">
        <f t="shared" si="56"/>
        <v>0</v>
      </c>
      <c r="BU114" s="39">
        <f t="shared" si="57"/>
        <v>0</v>
      </c>
      <c r="BV114" s="39">
        <f t="shared" si="58"/>
        <v>0</v>
      </c>
      <c r="BW114" s="39">
        <f t="shared" si="59"/>
        <v>0</v>
      </c>
      <c r="BX114" s="39">
        <f t="shared" si="60"/>
        <v>0</v>
      </c>
      <c r="BY114" s="39">
        <f t="shared" si="61"/>
        <v>0</v>
      </c>
      <c r="BZ114" s="39">
        <f t="shared" si="62"/>
        <v>0</v>
      </c>
      <c r="CA114" s="39">
        <f t="shared" si="63"/>
        <v>37.110610077222113</v>
      </c>
      <c r="CB114" s="39">
        <f t="shared" si="64"/>
        <v>63.603074833393102</v>
      </c>
      <c r="CC114" s="39">
        <f t="shared" si="65"/>
        <v>61.199999999999989</v>
      </c>
      <c r="CD114" s="39">
        <f t="shared" si="66"/>
        <v>82.800000000000011</v>
      </c>
      <c r="CE114" s="39">
        <f t="shared" si="67"/>
        <v>79.799999999999983</v>
      </c>
      <c r="CF114" s="39">
        <f t="shared" si="68"/>
        <v>70.800000000000011</v>
      </c>
      <c r="CG114" s="39">
        <f t="shared" si="69"/>
        <v>70.800000000000011</v>
      </c>
      <c r="CH114" s="39">
        <f t="shared" si="70"/>
        <v>70.800000000000011</v>
      </c>
      <c r="CI114" s="39">
        <f t="shared" si="71"/>
        <v>0</v>
      </c>
      <c r="CJ114" s="39">
        <f t="shared" si="72"/>
        <v>0</v>
      </c>
      <c r="CK114" s="39">
        <f t="shared" si="73"/>
        <v>0</v>
      </c>
      <c r="CL114" s="39">
        <f t="shared" si="74"/>
        <v>0</v>
      </c>
      <c r="CM114" s="39">
        <f t="shared" si="75"/>
        <v>0</v>
      </c>
      <c r="CN114" s="39">
        <f t="shared" si="76"/>
        <v>0</v>
      </c>
      <c r="CO114" s="39">
        <f t="shared" si="77"/>
        <v>0</v>
      </c>
      <c r="CP114" s="39">
        <f t="shared" si="78"/>
        <v>0</v>
      </c>
    </row>
    <row r="115" spans="2:94" ht="16" customHeight="1" x14ac:dyDescent="0.2">
      <c r="L115" s="63">
        <v>30427</v>
      </c>
      <c r="M115" s="38">
        <v>0</v>
      </c>
      <c r="N115" s="38">
        <v>1.9</v>
      </c>
      <c r="O115" s="39">
        <v>0</v>
      </c>
      <c r="P115" s="39">
        <v>0</v>
      </c>
      <c r="Q115" s="46">
        <f t="shared" si="8"/>
        <v>0.13558660119482005</v>
      </c>
      <c r="R115" s="81">
        <f t="shared" si="9"/>
        <v>0</v>
      </c>
      <c r="S115" s="82">
        <f t="shared" si="10"/>
        <v>0</v>
      </c>
      <c r="T115" s="39">
        <f t="shared" si="11"/>
        <v>0</v>
      </c>
      <c r="U115" s="83">
        <f t="shared" si="12"/>
        <v>0</v>
      </c>
      <c r="V115" s="84">
        <f t="shared" si="13"/>
        <v>1.52</v>
      </c>
      <c r="W115" s="52">
        <f t="shared" si="14"/>
        <v>95.7136849106152</v>
      </c>
      <c r="X115" s="52">
        <f t="shared" si="15"/>
        <v>151.20000000000005</v>
      </c>
      <c r="Y115" s="52">
        <f t="shared" si="16"/>
        <v>246.91368491061525</v>
      </c>
      <c r="Z115" s="53">
        <f t="shared" si="17"/>
        <v>0.74776316336418125</v>
      </c>
      <c r="AA115" s="53">
        <f t="shared" si="18"/>
        <v>0.90000000000000024</v>
      </c>
      <c r="AB115" s="53">
        <f t="shared" si="19"/>
        <v>0.83416785442775421</v>
      </c>
      <c r="AC115" s="39" t="str">
        <f t="shared" si="20"/>
        <v>No</v>
      </c>
      <c r="AD115" s="85">
        <f t="shared" si="21"/>
        <v>0</v>
      </c>
      <c r="AE115" s="46">
        <f t="shared" si="22"/>
        <v>1</v>
      </c>
      <c r="AF115" s="46">
        <f t="shared" si="23"/>
        <v>0</v>
      </c>
      <c r="AG115" s="39">
        <f t="shared" si="79"/>
        <v>37.110610077222113</v>
      </c>
      <c r="AH115" s="39">
        <f t="shared" si="80"/>
        <v>63.603074833393102</v>
      </c>
      <c r="AI115" s="39">
        <f t="shared" si="81"/>
        <v>61.199999999999989</v>
      </c>
      <c r="AJ115" s="39">
        <f t="shared" si="82"/>
        <v>82.800000000000011</v>
      </c>
      <c r="AK115" s="39">
        <f t="shared" si="83"/>
        <v>79.799999999999983</v>
      </c>
      <c r="AL115" s="39">
        <f t="shared" si="84"/>
        <v>70.800000000000011</v>
      </c>
      <c r="AM115" s="39">
        <f t="shared" si="85"/>
        <v>70.800000000000011</v>
      </c>
      <c r="AN115" s="39">
        <f t="shared" si="86"/>
        <v>70.800000000000011</v>
      </c>
      <c r="AO115" s="39">
        <f t="shared" si="25"/>
        <v>0</v>
      </c>
      <c r="AP115" s="39">
        <f t="shared" si="26"/>
        <v>0</v>
      </c>
      <c r="AQ115" s="39">
        <f t="shared" si="27"/>
        <v>0</v>
      </c>
      <c r="AR115" s="39">
        <f t="shared" si="28"/>
        <v>0</v>
      </c>
      <c r="AS115" s="39">
        <f t="shared" si="29"/>
        <v>0</v>
      </c>
      <c r="AT115" s="39">
        <f t="shared" si="30"/>
        <v>0</v>
      </c>
      <c r="AU115" s="39">
        <f t="shared" si="31"/>
        <v>0</v>
      </c>
      <c r="AV115" s="39">
        <f t="shared" si="32"/>
        <v>0</v>
      </c>
      <c r="AW115" s="39">
        <f t="shared" si="33"/>
        <v>0</v>
      </c>
      <c r="AX115" s="39">
        <f t="shared" si="34"/>
        <v>0</v>
      </c>
      <c r="AY115" s="39">
        <f t="shared" si="35"/>
        <v>0</v>
      </c>
      <c r="AZ115" s="39">
        <f t="shared" si="36"/>
        <v>0</v>
      </c>
      <c r="BA115" s="39">
        <f t="shared" si="37"/>
        <v>0</v>
      </c>
      <c r="BB115" s="39">
        <f t="shared" si="38"/>
        <v>0</v>
      </c>
      <c r="BC115" s="39">
        <f t="shared" si="39"/>
        <v>0</v>
      </c>
      <c r="BD115" s="39">
        <f t="shared" si="40"/>
        <v>0</v>
      </c>
      <c r="BE115" s="39">
        <f t="shared" si="41"/>
        <v>0</v>
      </c>
      <c r="BF115" s="39">
        <f t="shared" si="42"/>
        <v>0</v>
      </c>
      <c r="BG115" s="39">
        <f t="shared" si="43"/>
        <v>0</v>
      </c>
      <c r="BH115" s="84">
        <f t="shared" si="44"/>
        <v>0</v>
      </c>
      <c r="BI115" s="84">
        <f t="shared" si="45"/>
        <v>1.52</v>
      </c>
      <c r="BJ115" s="84">
        <f t="shared" si="46"/>
        <v>0.16364293967592114</v>
      </c>
      <c r="BK115" s="39">
        <f t="shared" si="47"/>
        <v>36.946967137546189</v>
      </c>
      <c r="BL115" s="39">
        <f t="shared" si="48"/>
        <v>63.603074833393102</v>
      </c>
      <c r="BM115" s="39">
        <f t="shared" si="49"/>
        <v>61.199999999999989</v>
      </c>
      <c r="BN115" s="39">
        <f t="shared" si="50"/>
        <v>82.800000000000011</v>
      </c>
      <c r="BO115" s="39">
        <f t="shared" si="51"/>
        <v>79.799999999999983</v>
      </c>
      <c r="BP115" s="39">
        <f t="shared" si="52"/>
        <v>70.800000000000011</v>
      </c>
      <c r="BQ115" s="39">
        <f t="shared" si="53"/>
        <v>70.800000000000011</v>
      </c>
      <c r="BR115" s="39">
        <f t="shared" si="54"/>
        <v>70.800000000000011</v>
      </c>
      <c r="BS115" s="39">
        <f t="shared" si="55"/>
        <v>0</v>
      </c>
      <c r="BT115" s="39">
        <f t="shared" si="56"/>
        <v>0</v>
      </c>
      <c r="BU115" s="39">
        <f t="shared" si="57"/>
        <v>0</v>
      </c>
      <c r="BV115" s="39">
        <f t="shared" si="58"/>
        <v>0</v>
      </c>
      <c r="BW115" s="39">
        <f t="shared" si="59"/>
        <v>0</v>
      </c>
      <c r="BX115" s="39">
        <f t="shared" si="60"/>
        <v>0</v>
      </c>
      <c r="BY115" s="39">
        <f t="shared" si="61"/>
        <v>0</v>
      </c>
      <c r="BZ115" s="39">
        <f t="shared" si="62"/>
        <v>0</v>
      </c>
      <c r="CA115" s="39">
        <f t="shared" si="63"/>
        <v>36.946967137546189</v>
      </c>
      <c r="CB115" s="39">
        <f t="shared" si="64"/>
        <v>63.603074833393102</v>
      </c>
      <c r="CC115" s="39">
        <f t="shared" si="65"/>
        <v>61.199999999999989</v>
      </c>
      <c r="CD115" s="39">
        <f t="shared" si="66"/>
        <v>82.800000000000011</v>
      </c>
      <c r="CE115" s="39">
        <f t="shared" si="67"/>
        <v>79.799999999999983</v>
      </c>
      <c r="CF115" s="39">
        <f t="shared" si="68"/>
        <v>70.800000000000011</v>
      </c>
      <c r="CG115" s="39">
        <f t="shared" si="69"/>
        <v>70.800000000000011</v>
      </c>
      <c r="CH115" s="39">
        <f t="shared" si="70"/>
        <v>70.800000000000011</v>
      </c>
      <c r="CI115" s="39">
        <f t="shared" si="71"/>
        <v>0</v>
      </c>
      <c r="CJ115" s="39">
        <f t="shared" si="72"/>
        <v>0</v>
      </c>
      <c r="CK115" s="39">
        <f t="shared" si="73"/>
        <v>0</v>
      </c>
      <c r="CL115" s="39">
        <f t="shared" si="74"/>
        <v>0</v>
      </c>
      <c r="CM115" s="39">
        <f t="shared" si="75"/>
        <v>0</v>
      </c>
      <c r="CN115" s="39">
        <f t="shared" si="76"/>
        <v>0</v>
      </c>
      <c r="CO115" s="39">
        <f t="shared" si="77"/>
        <v>0</v>
      </c>
      <c r="CP115" s="39">
        <f t="shared" si="78"/>
        <v>0</v>
      </c>
    </row>
    <row r="116" spans="2:94" ht="16" customHeight="1" x14ac:dyDescent="0.2">
      <c r="L116" s="63">
        <v>30428</v>
      </c>
      <c r="M116" s="38">
        <v>0</v>
      </c>
      <c r="N116" s="38">
        <v>2.8</v>
      </c>
      <c r="O116" s="39">
        <v>0</v>
      </c>
      <c r="P116" s="39">
        <v>0</v>
      </c>
      <c r="Q116" s="46">
        <f t="shared" si="8"/>
        <v>0.1359183098563253</v>
      </c>
      <c r="R116" s="81">
        <f t="shared" si="9"/>
        <v>0</v>
      </c>
      <c r="S116" s="82">
        <f t="shared" si="10"/>
        <v>0</v>
      </c>
      <c r="T116" s="39">
        <f t="shared" si="11"/>
        <v>0</v>
      </c>
      <c r="U116" s="83">
        <f t="shared" si="12"/>
        <v>0</v>
      </c>
      <c r="V116" s="84">
        <f t="shared" si="13"/>
        <v>2.2399999999999998</v>
      </c>
      <c r="W116" s="52">
        <f t="shared" si="14"/>
        <v>95.550041970939276</v>
      </c>
      <c r="X116" s="52">
        <f t="shared" si="15"/>
        <v>151.20000000000005</v>
      </c>
      <c r="Y116" s="52">
        <f t="shared" si="16"/>
        <v>246.75004197093932</v>
      </c>
      <c r="Z116" s="53">
        <f t="shared" si="17"/>
        <v>0.74648470289796309</v>
      </c>
      <c r="AA116" s="53">
        <f t="shared" si="18"/>
        <v>0.90000000000000024</v>
      </c>
      <c r="AB116" s="53">
        <f t="shared" si="19"/>
        <v>0.83361500665857879</v>
      </c>
      <c r="AC116" s="39" t="str">
        <f t="shared" si="20"/>
        <v>No</v>
      </c>
      <c r="AD116" s="85">
        <f t="shared" si="21"/>
        <v>0</v>
      </c>
      <c r="AE116" s="46">
        <f t="shared" si="22"/>
        <v>1</v>
      </c>
      <c r="AF116" s="46">
        <f t="shared" si="23"/>
        <v>0</v>
      </c>
      <c r="AG116" s="39">
        <f t="shared" si="79"/>
        <v>36.946967137546189</v>
      </c>
      <c r="AH116" s="39">
        <f t="shared" si="80"/>
        <v>63.603074833393102</v>
      </c>
      <c r="AI116" s="39">
        <f t="shared" si="81"/>
        <v>61.199999999999989</v>
      </c>
      <c r="AJ116" s="39">
        <f t="shared" si="82"/>
        <v>82.800000000000011</v>
      </c>
      <c r="AK116" s="39">
        <f t="shared" si="83"/>
        <v>79.799999999999983</v>
      </c>
      <c r="AL116" s="39">
        <f t="shared" si="84"/>
        <v>70.800000000000011</v>
      </c>
      <c r="AM116" s="39">
        <f t="shared" si="85"/>
        <v>70.800000000000011</v>
      </c>
      <c r="AN116" s="39">
        <f t="shared" si="86"/>
        <v>70.800000000000011</v>
      </c>
      <c r="AO116" s="39">
        <f t="shared" si="25"/>
        <v>0</v>
      </c>
      <c r="AP116" s="39">
        <f t="shared" si="26"/>
        <v>0</v>
      </c>
      <c r="AQ116" s="39">
        <f t="shared" si="27"/>
        <v>0</v>
      </c>
      <c r="AR116" s="39">
        <f t="shared" si="28"/>
        <v>0</v>
      </c>
      <c r="AS116" s="39">
        <f t="shared" si="29"/>
        <v>0</v>
      </c>
      <c r="AT116" s="39">
        <f t="shared" si="30"/>
        <v>0</v>
      </c>
      <c r="AU116" s="39">
        <f t="shared" si="31"/>
        <v>0</v>
      </c>
      <c r="AV116" s="39">
        <f t="shared" si="32"/>
        <v>0</v>
      </c>
      <c r="AW116" s="39">
        <f t="shared" si="33"/>
        <v>0</v>
      </c>
      <c r="AX116" s="39">
        <f t="shared" si="34"/>
        <v>0</v>
      </c>
      <c r="AY116" s="39">
        <f t="shared" si="35"/>
        <v>0</v>
      </c>
      <c r="AZ116" s="39">
        <f t="shared" si="36"/>
        <v>0</v>
      </c>
      <c r="BA116" s="39">
        <f t="shared" si="37"/>
        <v>0</v>
      </c>
      <c r="BB116" s="39">
        <f t="shared" si="38"/>
        <v>0</v>
      </c>
      <c r="BC116" s="39">
        <f t="shared" si="39"/>
        <v>0</v>
      </c>
      <c r="BD116" s="39">
        <f t="shared" si="40"/>
        <v>0</v>
      </c>
      <c r="BE116" s="39">
        <f t="shared" si="41"/>
        <v>0</v>
      </c>
      <c r="BF116" s="39">
        <f t="shared" si="42"/>
        <v>0</v>
      </c>
      <c r="BG116" s="39">
        <f t="shared" si="43"/>
        <v>0</v>
      </c>
      <c r="BH116" s="84">
        <f t="shared" si="44"/>
        <v>0</v>
      </c>
      <c r="BI116" s="84">
        <f t="shared" si="45"/>
        <v>2.2399999999999998</v>
      </c>
      <c r="BJ116" s="84">
        <f t="shared" si="46"/>
        <v>0.2340975416648565</v>
      </c>
      <c r="BK116" s="39">
        <f t="shared" si="47"/>
        <v>36.71286959588133</v>
      </c>
      <c r="BL116" s="39">
        <f t="shared" si="48"/>
        <v>63.603074833393102</v>
      </c>
      <c r="BM116" s="39">
        <f t="shared" si="49"/>
        <v>61.199999999999989</v>
      </c>
      <c r="BN116" s="39">
        <f t="shared" si="50"/>
        <v>82.800000000000011</v>
      </c>
      <c r="BO116" s="39">
        <f t="shared" si="51"/>
        <v>79.799999999999983</v>
      </c>
      <c r="BP116" s="39">
        <f t="shared" si="52"/>
        <v>70.800000000000011</v>
      </c>
      <c r="BQ116" s="39">
        <f t="shared" si="53"/>
        <v>70.800000000000011</v>
      </c>
      <c r="BR116" s="39">
        <f t="shared" si="54"/>
        <v>70.800000000000011</v>
      </c>
      <c r="BS116" s="39">
        <f t="shared" si="55"/>
        <v>0</v>
      </c>
      <c r="BT116" s="39">
        <f t="shared" si="56"/>
        <v>0</v>
      </c>
      <c r="BU116" s="39">
        <f t="shared" si="57"/>
        <v>0</v>
      </c>
      <c r="BV116" s="39">
        <f t="shared" si="58"/>
        <v>0</v>
      </c>
      <c r="BW116" s="39">
        <f t="shared" si="59"/>
        <v>0</v>
      </c>
      <c r="BX116" s="39">
        <f t="shared" si="60"/>
        <v>0</v>
      </c>
      <c r="BY116" s="39">
        <f t="shared" si="61"/>
        <v>0</v>
      </c>
      <c r="BZ116" s="39">
        <f t="shared" si="62"/>
        <v>0</v>
      </c>
      <c r="CA116" s="39">
        <f t="shared" si="63"/>
        <v>36.71286959588133</v>
      </c>
      <c r="CB116" s="39">
        <f t="shared" si="64"/>
        <v>63.603074833393102</v>
      </c>
      <c r="CC116" s="39">
        <f t="shared" si="65"/>
        <v>61.199999999999989</v>
      </c>
      <c r="CD116" s="39">
        <f t="shared" si="66"/>
        <v>82.800000000000011</v>
      </c>
      <c r="CE116" s="39">
        <f t="shared" si="67"/>
        <v>79.799999999999983</v>
      </c>
      <c r="CF116" s="39">
        <f t="shared" si="68"/>
        <v>70.800000000000011</v>
      </c>
      <c r="CG116" s="39">
        <f t="shared" si="69"/>
        <v>70.800000000000011</v>
      </c>
      <c r="CH116" s="39">
        <f t="shared" si="70"/>
        <v>70.800000000000011</v>
      </c>
      <c r="CI116" s="39">
        <f t="shared" si="71"/>
        <v>0</v>
      </c>
      <c r="CJ116" s="39">
        <f t="shared" si="72"/>
        <v>0</v>
      </c>
      <c r="CK116" s="39">
        <f t="shared" si="73"/>
        <v>0</v>
      </c>
      <c r="CL116" s="39">
        <f t="shared" si="74"/>
        <v>0</v>
      </c>
      <c r="CM116" s="39">
        <f t="shared" si="75"/>
        <v>0</v>
      </c>
      <c r="CN116" s="39">
        <f t="shared" si="76"/>
        <v>0</v>
      </c>
      <c r="CO116" s="39">
        <f t="shared" si="77"/>
        <v>0</v>
      </c>
      <c r="CP116" s="39">
        <f t="shared" si="78"/>
        <v>0</v>
      </c>
    </row>
    <row r="117" spans="2:94" ht="16" customHeight="1" x14ac:dyDescent="0.2">
      <c r="L117" s="63">
        <v>30429</v>
      </c>
      <c r="M117" s="38">
        <v>0</v>
      </c>
      <c r="N117" s="38">
        <v>1.2</v>
      </c>
      <c r="O117" s="39">
        <v>0</v>
      </c>
      <c r="P117" s="39">
        <v>0</v>
      </c>
      <c r="Q117" s="46">
        <f t="shared" si="8"/>
        <v>0.13639283190024054</v>
      </c>
      <c r="R117" s="81">
        <f t="shared" si="9"/>
        <v>0</v>
      </c>
      <c r="S117" s="82">
        <f t="shared" si="10"/>
        <v>0</v>
      </c>
      <c r="T117" s="39">
        <f t="shared" si="11"/>
        <v>0</v>
      </c>
      <c r="U117" s="83">
        <f t="shared" si="12"/>
        <v>0</v>
      </c>
      <c r="V117" s="84">
        <f t="shared" si="13"/>
        <v>0.96</v>
      </c>
      <c r="W117" s="52">
        <f t="shared" si="14"/>
        <v>95.315944429274424</v>
      </c>
      <c r="X117" s="52">
        <f t="shared" si="15"/>
        <v>151.20000000000005</v>
      </c>
      <c r="Y117" s="52">
        <f t="shared" si="16"/>
        <v>246.51594442927447</v>
      </c>
      <c r="Z117" s="53">
        <f t="shared" si="17"/>
        <v>0.74465581585370644</v>
      </c>
      <c r="AA117" s="53">
        <f t="shared" si="18"/>
        <v>0.90000000000000024</v>
      </c>
      <c r="AB117" s="53">
        <f t="shared" si="19"/>
        <v>0.83282413658538668</v>
      </c>
      <c r="AC117" s="39" t="str">
        <f t="shared" si="20"/>
        <v>No</v>
      </c>
      <c r="AD117" s="85">
        <f t="shared" si="21"/>
        <v>0</v>
      </c>
      <c r="AE117" s="46">
        <f t="shared" si="22"/>
        <v>1</v>
      </c>
      <c r="AF117" s="46">
        <f t="shared" si="23"/>
        <v>0</v>
      </c>
      <c r="AG117" s="39">
        <f t="shared" si="79"/>
        <v>36.71286959588133</v>
      </c>
      <c r="AH117" s="39">
        <f t="shared" si="80"/>
        <v>63.603074833393102</v>
      </c>
      <c r="AI117" s="39">
        <f t="shared" si="81"/>
        <v>61.199999999999989</v>
      </c>
      <c r="AJ117" s="39">
        <f t="shared" si="82"/>
        <v>82.800000000000011</v>
      </c>
      <c r="AK117" s="39">
        <f t="shared" si="83"/>
        <v>79.799999999999983</v>
      </c>
      <c r="AL117" s="39">
        <f t="shared" si="84"/>
        <v>70.800000000000011</v>
      </c>
      <c r="AM117" s="39">
        <f t="shared" si="85"/>
        <v>70.800000000000011</v>
      </c>
      <c r="AN117" s="39">
        <f t="shared" si="86"/>
        <v>70.800000000000011</v>
      </c>
      <c r="AO117" s="39">
        <f t="shared" si="25"/>
        <v>0</v>
      </c>
      <c r="AP117" s="39">
        <f t="shared" si="26"/>
        <v>0</v>
      </c>
      <c r="AQ117" s="39">
        <f t="shared" si="27"/>
        <v>0</v>
      </c>
      <c r="AR117" s="39">
        <f t="shared" si="28"/>
        <v>0</v>
      </c>
      <c r="AS117" s="39">
        <f t="shared" si="29"/>
        <v>0</v>
      </c>
      <c r="AT117" s="39">
        <f t="shared" si="30"/>
        <v>0</v>
      </c>
      <c r="AU117" s="39">
        <f t="shared" si="31"/>
        <v>0</v>
      </c>
      <c r="AV117" s="39">
        <f t="shared" si="32"/>
        <v>0</v>
      </c>
      <c r="AW117" s="39">
        <f t="shared" si="33"/>
        <v>0</v>
      </c>
      <c r="AX117" s="39">
        <f t="shared" si="34"/>
        <v>0</v>
      </c>
      <c r="AY117" s="39">
        <f t="shared" si="35"/>
        <v>0</v>
      </c>
      <c r="AZ117" s="39">
        <f t="shared" si="36"/>
        <v>0</v>
      </c>
      <c r="BA117" s="39">
        <f t="shared" si="37"/>
        <v>0</v>
      </c>
      <c r="BB117" s="39">
        <f t="shared" si="38"/>
        <v>0</v>
      </c>
      <c r="BC117" s="39">
        <f t="shared" si="39"/>
        <v>0</v>
      </c>
      <c r="BD117" s="39">
        <f t="shared" si="40"/>
        <v>0</v>
      </c>
      <c r="BE117" s="39">
        <f t="shared" si="41"/>
        <v>0</v>
      </c>
      <c r="BF117" s="39">
        <f t="shared" si="42"/>
        <v>0</v>
      </c>
      <c r="BG117" s="39">
        <f t="shared" si="43"/>
        <v>0</v>
      </c>
      <c r="BH117" s="84">
        <f t="shared" si="44"/>
        <v>0</v>
      </c>
      <c r="BI117" s="84">
        <f t="shared" si="45"/>
        <v>0.96</v>
      </c>
      <c r="BJ117" s="84">
        <f t="shared" si="46"/>
        <v>9.6114942534257633E-2</v>
      </c>
      <c r="BK117" s="39">
        <f t="shared" si="47"/>
        <v>36.616754653347073</v>
      </c>
      <c r="BL117" s="39">
        <f t="shared" si="48"/>
        <v>63.603074833393102</v>
      </c>
      <c r="BM117" s="39">
        <f t="shared" si="49"/>
        <v>61.199999999999989</v>
      </c>
      <c r="BN117" s="39">
        <f t="shared" si="50"/>
        <v>82.800000000000011</v>
      </c>
      <c r="BO117" s="39">
        <f t="shared" si="51"/>
        <v>79.799999999999983</v>
      </c>
      <c r="BP117" s="39">
        <f t="shared" si="52"/>
        <v>70.800000000000011</v>
      </c>
      <c r="BQ117" s="39">
        <f t="shared" si="53"/>
        <v>70.800000000000011</v>
      </c>
      <c r="BR117" s="39">
        <f t="shared" si="54"/>
        <v>70.800000000000011</v>
      </c>
      <c r="BS117" s="39">
        <f t="shared" si="55"/>
        <v>0</v>
      </c>
      <c r="BT117" s="39">
        <f t="shared" si="56"/>
        <v>0</v>
      </c>
      <c r="BU117" s="39">
        <f t="shared" si="57"/>
        <v>0</v>
      </c>
      <c r="BV117" s="39">
        <f t="shared" si="58"/>
        <v>0</v>
      </c>
      <c r="BW117" s="39">
        <f t="shared" si="59"/>
        <v>0</v>
      </c>
      <c r="BX117" s="39">
        <f t="shared" si="60"/>
        <v>0</v>
      </c>
      <c r="BY117" s="39">
        <f t="shared" si="61"/>
        <v>0</v>
      </c>
      <c r="BZ117" s="39">
        <f t="shared" si="62"/>
        <v>0</v>
      </c>
      <c r="CA117" s="39">
        <f t="shared" si="63"/>
        <v>36.616754653347073</v>
      </c>
      <c r="CB117" s="39">
        <f t="shared" si="64"/>
        <v>63.603074833393102</v>
      </c>
      <c r="CC117" s="39">
        <f t="shared" si="65"/>
        <v>61.199999999999989</v>
      </c>
      <c r="CD117" s="39">
        <f t="shared" si="66"/>
        <v>82.800000000000011</v>
      </c>
      <c r="CE117" s="39">
        <f t="shared" si="67"/>
        <v>79.799999999999983</v>
      </c>
      <c r="CF117" s="39">
        <f t="shared" si="68"/>
        <v>70.800000000000011</v>
      </c>
      <c r="CG117" s="39">
        <f t="shared" si="69"/>
        <v>70.800000000000011</v>
      </c>
      <c r="CH117" s="39">
        <f t="shared" si="70"/>
        <v>70.800000000000011</v>
      </c>
      <c r="CI117" s="39">
        <f t="shared" si="71"/>
        <v>0</v>
      </c>
      <c r="CJ117" s="39">
        <f t="shared" si="72"/>
        <v>0</v>
      </c>
      <c r="CK117" s="39">
        <f t="shared" si="73"/>
        <v>0</v>
      </c>
      <c r="CL117" s="39">
        <f t="shared" si="74"/>
        <v>0</v>
      </c>
      <c r="CM117" s="39">
        <f t="shared" si="75"/>
        <v>0</v>
      </c>
      <c r="CN117" s="39">
        <f t="shared" si="76"/>
        <v>0</v>
      </c>
      <c r="CO117" s="39">
        <f t="shared" si="77"/>
        <v>0</v>
      </c>
      <c r="CP117" s="39">
        <f t="shared" si="78"/>
        <v>0</v>
      </c>
    </row>
    <row r="118" spans="2:94" ht="16" customHeight="1" x14ac:dyDescent="0.2">
      <c r="L118" s="63">
        <v>30430</v>
      </c>
      <c r="M118" s="38">
        <v>0</v>
      </c>
      <c r="N118" s="38">
        <v>1.4</v>
      </c>
      <c r="O118" s="39">
        <v>0</v>
      </c>
      <c r="P118" s="39">
        <v>0</v>
      </c>
      <c r="Q118" s="46">
        <f t="shared" si="8"/>
        <v>0.13658765948645862</v>
      </c>
      <c r="R118" s="81">
        <f t="shared" si="9"/>
        <v>0</v>
      </c>
      <c r="S118" s="82">
        <f t="shared" si="10"/>
        <v>0</v>
      </c>
      <c r="T118" s="39">
        <f t="shared" si="11"/>
        <v>0</v>
      </c>
      <c r="U118" s="83">
        <f t="shared" si="12"/>
        <v>0</v>
      </c>
      <c r="V118" s="84">
        <f t="shared" si="13"/>
        <v>1.1199999999999999</v>
      </c>
      <c r="W118" s="52">
        <f t="shared" si="14"/>
        <v>95.219829486740167</v>
      </c>
      <c r="X118" s="52">
        <f t="shared" si="15"/>
        <v>151.20000000000005</v>
      </c>
      <c r="Y118" s="52">
        <f t="shared" si="16"/>
        <v>246.41982948674021</v>
      </c>
      <c r="Z118" s="53">
        <f t="shared" si="17"/>
        <v>0.74390491786515756</v>
      </c>
      <c r="AA118" s="53">
        <f t="shared" si="18"/>
        <v>0.90000000000000024</v>
      </c>
      <c r="AB118" s="53">
        <f t="shared" si="19"/>
        <v>0.83249942394168985</v>
      </c>
      <c r="AC118" s="39" t="str">
        <f t="shared" si="20"/>
        <v>No</v>
      </c>
      <c r="AD118" s="85">
        <f t="shared" si="21"/>
        <v>0</v>
      </c>
      <c r="AE118" s="46">
        <f t="shared" si="22"/>
        <v>1</v>
      </c>
      <c r="AF118" s="46">
        <f t="shared" si="23"/>
        <v>0</v>
      </c>
      <c r="AG118" s="39">
        <f t="shared" si="79"/>
        <v>36.616754653347073</v>
      </c>
      <c r="AH118" s="39">
        <f t="shared" si="80"/>
        <v>63.603074833393102</v>
      </c>
      <c r="AI118" s="39">
        <f t="shared" si="81"/>
        <v>61.199999999999989</v>
      </c>
      <c r="AJ118" s="39">
        <f t="shared" si="82"/>
        <v>82.800000000000011</v>
      </c>
      <c r="AK118" s="39">
        <f t="shared" si="83"/>
        <v>79.799999999999983</v>
      </c>
      <c r="AL118" s="39">
        <f t="shared" si="84"/>
        <v>70.800000000000011</v>
      </c>
      <c r="AM118" s="39">
        <f t="shared" si="85"/>
        <v>70.800000000000011</v>
      </c>
      <c r="AN118" s="39">
        <f t="shared" si="86"/>
        <v>70.800000000000011</v>
      </c>
      <c r="AO118" s="39">
        <f t="shared" si="25"/>
        <v>0</v>
      </c>
      <c r="AP118" s="39">
        <f t="shared" si="26"/>
        <v>0</v>
      </c>
      <c r="AQ118" s="39">
        <f t="shared" si="27"/>
        <v>0</v>
      </c>
      <c r="AR118" s="39">
        <f t="shared" si="28"/>
        <v>0</v>
      </c>
      <c r="AS118" s="39">
        <f t="shared" si="29"/>
        <v>0</v>
      </c>
      <c r="AT118" s="39">
        <f t="shared" si="30"/>
        <v>0</v>
      </c>
      <c r="AU118" s="39">
        <f t="shared" si="31"/>
        <v>0</v>
      </c>
      <c r="AV118" s="39">
        <f t="shared" si="32"/>
        <v>0</v>
      </c>
      <c r="AW118" s="39">
        <f t="shared" si="33"/>
        <v>0</v>
      </c>
      <c r="AX118" s="39">
        <f t="shared" si="34"/>
        <v>0</v>
      </c>
      <c r="AY118" s="39">
        <f t="shared" si="35"/>
        <v>0</v>
      </c>
      <c r="AZ118" s="39">
        <f t="shared" si="36"/>
        <v>0</v>
      </c>
      <c r="BA118" s="39">
        <f t="shared" si="37"/>
        <v>0</v>
      </c>
      <c r="BB118" s="39">
        <f t="shared" si="38"/>
        <v>0</v>
      </c>
      <c r="BC118" s="39">
        <f t="shared" si="39"/>
        <v>0</v>
      </c>
      <c r="BD118" s="39">
        <f t="shared" si="40"/>
        <v>0</v>
      </c>
      <c r="BE118" s="39">
        <f t="shared" si="41"/>
        <v>0</v>
      </c>
      <c r="BF118" s="39">
        <f t="shared" si="42"/>
        <v>0</v>
      </c>
      <c r="BG118" s="39">
        <f t="shared" si="43"/>
        <v>0</v>
      </c>
      <c r="BH118" s="84">
        <f t="shared" si="44"/>
        <v>0</v>
      </c>
      <c r="BI118" s="84">
        <f t="shared" si="45"/>
        <v>1.1199999999999999</v>
      </c>
      <c r="BJ118" s="84">
        <f t="shared" si="46"/>
        <v>0.11016173763313186</v>
      </c>
      <c r="BK118" s="39">
        <f t="shared" si="47"/>
        <v>36.506592915713938</v>
      </c>
      <c r="BL118" s="39">
        <f t="shared" si="48"/>
        <v>63.603074833393102</v>
      </c>
      <c r="BM118" s="39">
        <f t="shared" si="49"/>
        <v>61.199999999999989</v>
      </c>
      <c r="BN118" s="39">
        <f t="shared" si="50"/>
        <v>82.800000000000011</v>
      </c>
      <c r="BO118" s="39">
        <f t="shared" si="51"/>
        <v>79.799999999999983</v>
      </c>
      <c r="BP118" s="39">
        <f t="shared" si="52"/>
        <v>70.800000000000011</v>
      </c>
      <c r="BQ118" s="39">
        <f t="shared" si="53"/>
        <v>70.800000000000011</v>
      </c>
      <c r="BR118" s="39">
        <f t="shared" si="54"/>
        <v>70.800000000000011</v>
      </c>
      <c r="BS118" s="39">
        <f t="shared" si="55"/>
        <v>0</v>
      </c>
      <c r="BT118" s="39">
        <f t="shared" si="56"/>
        <v>0</v>
      </c>
      <c r="BU118" s="39">
        <f t="shared" si="57"/>
        <v>0</v>
      </c>
      <c r="BV118" s="39">
        <f t="shared" si="58"/>
        <v>0</v>
      </c>
      <c r="BW118" s="39">
        <f t="shared" si="59"/>
        <v>0</v>
      </c>
      <c r="BX118" s="39">
        <f t="shared" si="60"/>
        <v>0</v>
      </c>
      <c r="BY118" s="39">
        <f t="shared" si="61"/>
        <v>0</v>
      </c>
      <c r="BZ118" s="39">
        <f t="shared" si="62"/>
        <v>0</v>
      </c>
      <c r="CA118" s="39">
        <f t="shared" si="63"/>
        <v>36.506592915713938</v>
      </c>
      <c r="CB118" s="39">
        <f t="shared" si="64"/>
        <v>63.603074833393102</v>
      </c>
      <c r="CC118" s="39">
        <f t="shared" si="65"/>
        <v>61.199999999999989</v>
      </c>
      <c r="CD118" s="39">
        <f t="shared" si="66"/>
        <v>82.800000000000011</v>
      </c>
      <c r="CE118" s="39">
        <f t="shared" si="67"/>
        <v>79.799999999999983</v>
      </c>
      <c r="CF118" s="39">
        <f t="shared" si="68"/>
        <v>70.800000000000011</v>
      </c>
      <c r="CG118" s="39">
        <f t="shared" si="69"/>
        <v>70.800000000000011</v>
      </c>
      <c r="CH118" s="39">
        <f t="shared" si="70"/>
        <v>70.800000000000011</v>
      </c>
      <c r="CI118" s="39">
        <f t="shared" si="71"/>
        <v>0</v>
      </c>
      <c r="CJ118" s="39">
        <f t="shared" si="72"/>
        <v>0</v>
      </c>
      <c r="CK118" s="39">
        <f t="shared" si="73"/>
        <v>0</v>
      </c>
      <c r="CL118" s="39">
        <f t="shared" si="74"/>
        <v>0</v>
      </c>
      <c r="CM118" s="39">
        <f t="shared" si="75"/>
        <v>0</v>
      </c>
      <c r="CN118" s="39">
        <f t="shared" si="76"/>
        <v>0</v>
      </c>
      <c r="CO118" s="39">
        <f t="shared" si="77"/>
        <v>0</v>
      </c>
      <c r="CP118" s="39">
        <f t="shared" si="78"/>
        <v>0</v>
      </c>
    </row>
    <row r="119" spans="2:94" ht="16" customHeight="1" x14ac:dyDescent="0.2">
      <c r="L119" s="63">
        <v>30431</v>
      </c>
      <c r="M119" s="38">
        <v>0</v>
      </c>
      <c r="N119" s="38">
        <v>2.1</v>
      </c>
      <c r="O119" s="39">
        <v>0</v>
      </c>
      <c r="P119" s="39">
        <v>0</v>
      </c>
      <c r="Q119" s="46">
        <f t="shared" si="8"/>
        <v>0.13681096030598525</v>
      </c>
      <c r="R119" s="81">
        <f t="shared" si="9"/>
        <v>0</v>
      </c>
      <c r="S119" s="82">
        <f t="shared" si="10"/>
        <v>0</v>
      </c>
      <c r="T119" s="39">
        <f t="shared" si="11"/>
        <v>0</v>
      </c>
      <c r="U119" s="83">
        <f t="shared" si="12"/>
        <v>0</v>
      </c>
      <c r="V119" s="84">
        <f t="shared" si="13"/>
        <v>1.6800000000000002</v>
      </c>
      <c r="W119" s="52">
        <f t="shared" si="14"/>
        <v>95.109667749107047</v>
      </c>
      <c r="X119" s="52">
        <f t="shared" si="15"/>
        <v>151.20000000000005</v>
      </c>
      <c r="Y119" s="52">
        <f t="shared" si="16"/>
        <v>246.30966774910709</v>
      </c>
      <c r="Z119" s="53">
        <f t="shared" si="17"/>
        <v>0.7430442792898988</v>
      </c>
      <c r="AA119" s="53">
        <f t="shared" si="18"/>
        <v>0.90000000000000024</v>
      </c>
      <c r="AB119" s="53">
        <f t="shared" si="19"/>
        <v>0.8321272559091456</v>
      </c>
      <c r="AC119" s="39" t="str">
        <f t="shared" si="20"/>
        <v>No</v>
      </c>
      <c r="AD119" s="85">
        <f t="shared" si="21"/>
        <v>0</v>
      </c>
      <c r="AE119" s="46">
        <f t="shared" si="22"/>
        <v>1</v>
      </c>
      <c r="AF119" s="46">
        <f t="shared" si="23"/>
        <v>0</v>
      </c>
      <c r="AG119" s="39">
        <f t="shared" si="79"/>
        <v>36.506592915713938</v>
      </c>
      <c r="AH119" s="39">
        <f t="shared" si="80"/>
        <v>63.603074833393102</v>
      </c>
      <c r="AI119" s="39">
        <f t="shared" si="81"/>
        <v>61.199999999999989</v>
      </c>
      <c r="AJ119" s="39">
        <f t="shared" si="82"/>
        <v>82.800000000000011</v>
      </c>
      <c r="AK119" s="39">
        <f t="shared" si="83"/>
        <v>79.799999999999983</v>
      </c>
      <c r="AL119" s="39">
        <f t="shared" si="84"/>
        <v>70.800000000000011</v>
      </c>
      <c r="AM119" s="39">
        <f t="shared" si="85"/>
        <v>70.800000000000011</v>
      </c>
      <c r="AN119" s="39">
        <f t="shared" si="86"/>
        <v>70.800000000000011</v>
      </c>
      <c r="AO119" s="39">
        <f t="shared" si="25"/>
        <v>0</v>
      </c>
      <c r="AP119" s="39">
        <f t="shared" si="26"/>
        <v>0</v>
      </c>
      <c r="AQ119" s="39">
        <f t="shared" si="27"/>
        <v>0</v>
      </c>
      <c r="AR119" s="39">
        <f t="shared" si="28"/>
        <v>0</v>
      </c>
      <c r="AS119" s="39">
        <f t="shared" si="29"/>
        <v>0</v>
      </c>
      <c r="AT119" s="39">
        <f t="shared" si="30"/>
        <v>0</v>
      </c>
      <c r="AU119" s="39">
        <f t="shared" si="31"/>
        <v>0</v>
      </c>
      <c r="AV119" s="39">
        <f t="shared" si="32"/>
        <v>0</v>
      </c>
      <c r="AW119" s="39">
        <f t="shared" si="33"/>
        <v>0</v>
      </c>
      <c r="AX119" s="39">
        <f t="shared" si="34"/>
        <v>0</v>
      </c>
      <c r="AY119" s="39">
        <f t="shared" si="35"/>
        <v>0</v>
      </c>
      <c r="AZ119" s="39">
        <f t="shared" si="36"/>
        <v>0</v>
      </c>
      <c r="BA119" s="39">
        <f t="shared" si="37"/>
        <v>0</v>
      </c>
      <c r="BB119" s="39">
        <f t="shared" si="38"/>
        <v>0</v>
      </c>
      <c r="BC119" s="39">
        <f t="shared" si="39"/>
        <v>0</v>
      </c>
      <c r="BD119" s="39">
        <f t="shared" si="40"/>
        <v>0</v>
      </c>
      <c r="BE119" s="39">
        <f t="shared" si="41"/>
        <v>0</v>
      </c>
      <c r="BF119" s="39">
        <f t="shared" si="42"/>
        <v>0</v>
      </c>
      <c r="BG119" s="39">
        <f t="shared" si="43"/>
        <v>0</v>
      </c>
      <c r="BH119" s="84">
        <f t="shared" si="44"/>
        <v>0</v>
      </c>
      <c r="BI119" s="84">
        <f t="shared" si="45"/>
        <v>1.6800000000000002</v>
      </c>
      <c r="BJ119" s="84">
        <f t="shared" si="46"/>
        <v>0.16189987813928441</v>
      </c>
      <c r="BK119" s="39">
        <f t="shared" si="47"/>
        <v>36.34469303757465</v>
      </c>
      <c r="BL119" s="39">
        <f t="shared" si="48"/>
        <v>63.603074833393102</v>
      </c>
      <c r="BM119" s="39">
        <f t="shared" si="49"/>
        <v>61.199999999999989</v>
      </c>
      <c r="BN119" s="39">
        <f t="shared" si="50"/>
        <v>82.800000000000011</v>
      </c>
      <c r="BO119" s="39">
        <f t="shared" si="51"/>
        <v>79.799999999999983</v>
      </c>
      <c r="BP119" s="39">
        <f t="shared" si="52"/>
        <v>70.800000000000011</v>
      </c>
      <c r="BQ119" s="39">
        <f t="shared" si="53"/>
        <v>70.800000000000011</v>
      </c>
      <c r="BR119" s="39">
        <f t="shared" si="54"/>
        <v>70.800000000000011</v>
      </c>
      <c r="BS119" s="39">
        <f t="shared" si="55"/>
        <v>0</v>
      </c>
      <c r="BT119" s="39">
        <f t="shared" si="56"/>
        <v>0</v>
      </c>
      <c r="BU119" s="39">
        <f t="shared" si="57"/>
        <v>0</v>
      </c>
      <c r="BV119" s="39">
        <f t="shared" si="58"/>
        <v>0</v>
      </c>
      <c r="BW119" s="39">
        <f t="shared" si="59"/>
        <v>0</v>
      </c>
      <c r="BX119" s="39">
        <f t="shared" si="60"/>
        <v>0</v>
      </c>
      <c r="BY119" s="39">
        <f t="shared" si="61"/>
        <v>0</v>
      </c>
      <c r="BZ119" s="39">
        <f t="shared" si="62"/>
        <v>0</v>
      </c>
      <c r="CA119" s="39">
        <f t="shared" si="63"/>
        <v>36.34469303757465</v>
      </c>
      <c r="CB119" s="39">
        <f t="shared" si="64"/>
        <v>63.603074833393102</v>
      </c>
      <c r="CC119" s="39">
        <f t="shared" si="65"/>
        <v>61.199999999999989</v>
      </c>
      <c r="CD119" s="39">
        <f t="shared" si="66"/>
        <v>82.800000000000011</v>
      </c>
      <c r="CE119" s="39">
        <f t="shared" si="67"/>
        <v>79.799999999999983</v>
      </c>
      <c r="CF119" s="39">
        <f t="shared" si="68"/>
        <v>70.800000000000011</v>
      </c>
      <c r="CG119" s="39">
        <f t="shared" si="69"/>
        <v>70.800000000000011</v>
      </c>
      <c r="CH119" s="39">
        <f t="shared" si="70"/>
        <v>70.800000000000011</v>
      </c>
      <c r="CI119" s="39">
        <f t="shared" si="71"/>
        <v>0</v>
      </c>
      <c r="CJ119" s="39">
        <f t="shared" si="72"/>
        <v>0</v>
      </c>
      <c r="CK119" s="39">
        <f t="shared" si="73"/>
        <v>0</v>
      </c>
      <c r="CL119" s="39">
        <f t="shared" si="74"/>
        <v>0</v>
      </c>
      <c r="CM119" s="39">
        <f t="shared" si="75"/>
        <v>0</v>
      </c>
      <c r="CN119" s="39">
        <f t="shared" si="76"/>
        <v>0</v>
      </c>
      <c r="CO119" s="39">
        <f t="shared" si="77"/>
        <v>0</v>
      </c>
      <c r="CP119" s="39">
        <f t="shared" si="78"/>
        <v>0</v>
      </c>
    </row>
    <row r="120" spans="2:94" ht="16" customHeight="1" x14ac:dyDescent="0.2">
      <c r="L120" s="63">
        <v>30432</v>
      </c>
      <c r="M120" s="38">
        <v>0</v>
      </c>
      <c r="N120" s="38">
        <v>3.6</v>
      </c>
      <c r="O120" s="39">
        <v>0</v>
      </c>
      <c r="P120" s="39">
        <v>0</v>
      </c>
      <c r="Q120" s="46">
        <f t="shared" si="8"/>
        <v>0.13713913573464601</v>
      </c>
      <c r="R120" s="81">
        <f t="shared" si="9"/>
        <v>0</v>
      </c>
      <c r="S120" s="82">
        <f t="shared" si="10"/>
        <v>0</v>
      </c>
      <c r="T120" s="39">
        <f t="shared" si="11"/>
        <v>0</v>
      </c>
      <c r="U120" s="83">
        <f t="shared" si="12"/>
        <v>0</v>
      </c>
      <c r="V120" s="84">
        <f t="shared" si="13"/>
        <v>2.8800000000000003</v>
      </c>
      <c r="W120" s="52">
        <f t="shared" si="14"/>
        <v>94.947767870967766</v>
      </c>
      <c r="X120" s="52">
        <f t="shared" si="15"/>
        <v>151.20000000000005</v>
      </c>
      <c r="Y120" s="52">
        <f t="shared" si="16"/>
        <v>246.14776787096781</v>
      </c>
      <c r="Z120" s="53">
        <f t="shared" si="17"/>
        <v>0.74177943649193567</v>
      </c>
      <c r="AA120" s="53">
        <f t="shared" si="18"/>
        <v>0.90000000000000024</v>
      </c>
      <c r="AB120" s="53">
        <f t="shared" si="19"/>
        <v>0.83158029686137769</v>
      </c>
      <c r="AC120" s="39" t="str">
        <f t="shared" si="20"/>
        <v>No</v>
      </c>
      <c r="AD120" s="85">
        <f t="shared" si="21"/>
        <v>0</v>
      </c>
      <c r="AE120" s="46">
        <f t="shared" si="22"/>
        <v>1</v>
      </c>
      <c r="AF120" s="46">
        <f t="shared" si="23"/>
        <v>0</v>
      </c>
      <c r="AG120" s="39">
        <f t="shared" si="79"/>
        <v>36.34469303757465</v>
      </c>
      <c r="AH120" s="39">
        <f t="shared" si="80"/>
        <v>63.603074833393102</v>
      </c>
      <c r="AI120" s="39">
        <f t="shared" si="81"/>
        <v>61.199999999999989</v>
      </c>
      <c r="AJ120" s="39">
        <f t="shared" si="82"/>
        <v>82.800000000000011</v>
      </c>
      <c r="AK120" s="39">
        <f t="shared" si="83"/>
        <v>79.799999999999983</v>
      </c>
      <c r="AL120" s="39">
        <f t="shared" si="84"/>
        <v>70.800000000000011</v>
      </c>
      <c r="AM120" s="39">
        <f t="shared" si="85"/>
        <v>70.800000000000011</v>
      </c>
      <c r="AN120" s="39">
        <f t="shared" si="86"/>
        <v>70.800000000000011</v>
      </c>
      <c r="AO120" s="39">
        <f t="shared" si="25"/>
        <v>0</v>
      </c>
      <c r="AP120" s="39">
        <f t="shared" si="26"/>
        <v>0</v>
      </c>
      <c r="AQ120" s="39">
        <f t="shared" si="27"/>
        <v>0</v>
      </c>
      <c r="AR120" s="39">
        <f t="shared" si="28"/>
        <v>0</v>
      </c>
      <c r="AS120" s="39">
        <f t="shared" si="29"/>
        <v>0</v>
      </c>
      <c r="AT120" s="39">
        <f t="shared" si="30"/>
        <v>0</v>
      </c>
      <c r="AU120" s="39">
        <f t="shared" si="31"/>
        <v>0</v>
      </c>
      <c r="AV120" s="39">
        <f t="shared" si="32"/>
        <v>0</v>
      </c>
      <c r="AW120" s="39">
        <f t="shared" si="33"/>
        <v>0</v>
      </c>
      <c r="AX120" s="39">
        <f t="shared" si="34"/>
        <v>0</v>
      </c>
      <c r="AY120" s="39">
        <f t="shared" si="35"/>
        <v>0</v>
      </c>
      <c r="AZ120" s="39">
        <f t="shared" si="36"/>
        <v>0</v>
      </c>
      <c r="BA120" s="39">
        <f t="shared" si="37"/>
        <v>0</v>
      </c>
      <c r="BB120" s="39">
        <f t="shared" si="38"/>
        <v>0</v>
      </c>
      <c r="BC120" s="39">
        <f t="shared" si="39"/>
        <v>0</v>
      </c>
      <c r="BD120" s="39">
        <f t="shared" si="40"/>
        <v>0</v>
      </c>
      <c r="BE120" s="39">
        <f t="shared" si="41"/>
        <v>0</v>
      </c>
      <c r="BF120" s="39">
        <f t="shared" si="42"/>
        <v>0</v>
      </c>
      <c r="BG120" s="39">
        <f t="shared" si="43"/>
        <v>0</v>
      </c>
      <c r="BH120" s="84">
        <f t="shared" si="44"/>
        <v>0</v>
      </c>
      <c r="BI120" s="84">
        <f t="shared" si="45"/>
        <v>2.8800000000000003</v>
      </c>
      <c r="BJ120" s="84">
        <f t="shared" si="46"/>
        <v>0.26927927112306732</v>
      </c>
      <c r="BK120" s="39">
        <f t="shared" si="47"/>
        <v>36.075413766451582</v>
      </c>
      <c r="BL120" s="39">
        <f t="shared" si="48"/>
        <v>63.603074833393102</v>
      </c>
      <c r="BM120" s="39">
        <f t="shared" si="49"/>
        <v>61.199999999999989</v>
      </c>
      <c r="BN120" s="39">
        <f t="shared" si="50"/>
        <v>82.800000000000011</v>
      </c>
      <c r="BO120" s="39">
        <f t="shared" si="51"/>
        <v>79.799999999999983</v>
      </c>
      <c r="BP120" s="39">
        <f t="shared" si="52"/>
        <v>70.800000000000011</v>
      </c>
      <c r="BQ120" s="39">
        <f t="shared" si="53"/>
        <v>70.800000000000011</v>
      </c>
      <c r="BR120" s="39">
        <f t="shared" si="54"/>
        <v>70.800000000000011</v>
      </c>
      <c r="BS120" s="39">
        <f t="shared" si="55"/>
        <v>0</v>
      </c>
      <c r="BT120" s="39">
        <f t="shared" si="56"/>
        <v>0</v>
      </c>
      <c r="BU120" s="39">
        <f t="shared" si="57"/>
        <v>0</v>
      </c>
      <c r="BV120" s="39">
        <f t="shared" si="58"/>
        <v>0</v>
      </c>
      <c r="BW120" s="39">
        <f t="shared" si="59"/>
        <v>0</v>
      </c>
      <c r="BX120" s="39">
        <f t="shared" si="60"/>
        <v>0</v>
      </c>
      <c r="BY120" s="39">
        <f t="shared" si="61"/>
        <v>0</v>
      </c>
      <c r="BZ120" s="39">
        <f t="shared" si="62"/>
        <v>0</v>
      </c>
      <c r="CA120" s="39">
        <f t="shared" si="63"/>
        <v>36.075413766451582</v>
      </c>
      <c r="CB120" s="39">
        <f t="shared" si="64"/>
        <v>63.603074833393102</v>
      </c>
      <c r="CC120" s="39">
        <f t="shared" si="65"/>
        <v>61.199999999999989</v>
      </c>
      <c r="CD120" s="39">
        <f t="shared" si="66"/>
        <v>82.800000000000011</v>
      </c>
      <c r="CE120" s="39">
        <f t="shared" si="67"/>
        <v>79.799999999999983</v>
      </c>
      <c r="CF120" s="39">
        <f t="shared" si="68"/>
        <v>70.800000000000011</v>
      </c>
      <c r="CG120" s="39">
        <f t="shared" si="69"/>
        <v>70.800000000000011</v>
      </c>
      <c r="CH120" s="39">
        <f t="shared" si="70"/>
        <v>70.800000000000011</v>
      </c>
      <c r="CI120" s="39">
        <f t="shared" si="71"/>
        <v>0</v>
      </c>
      <c r="CJ120" s="39">
        <f t="shared" si="72"/>
        <v>0</v>
      </c>
      <c r="CK120" s="39">
        <f t="shared" si="73"/>
        <v>0</v>
      </c>
      <c r="CL120" s="39">
        <f t="shared" si="74"/>
        <v>0</v>
      </c>
      <c r="CM120" s="39">
        <f t="shared" si="75"/>
        <v>0</v>
      </c>
      <c r="CN120" s="39">
        <f t="shared" si="76"/>
        <v>0</v>
      </c>
      <c r="CO120" s="39">
        <f t="shared" si="77"/>
        <v>0</v>
      </c>
      <c r="CP120" s="39">
        <f t="shared" si="78"/>
        <v>0</v>
      </c>
    </row>
    <row r="121" spans="2:94" ht="16" customHeight="1" x14ac:dyDescent="0.2">
      <c r="L121" s="63">
        <v>30433</v>
      </c>
      <c r="M121" s="38">
        <v>0</v>
      </c>
      <c r="N121" s="38">
        <v>2.1</v>
      </c>
      <c r="O121" s="39">
        <v>0</v>
      </c>
      <c r="P121" s="39">
        <v>0</v>
      </c>
      <c r="Q121" s="46">
        <f t="shared" si="8"/>
        <v>0.13768497209503056</v>
      </c>
      <c r="R121" s="81">
        <f t="shared" si="9"/>
        <v>0</v>
      </c>
      <c r="S121" s="82">
        <f t="shared" si="10"/>
        <v>0</v>
      </c>
      <c r="T121" s="39">
        <f t="shared" si="11"/>
        <v>0</v>
      </c>
      <c r="U121" s="83">
        <f t="shared" si="12"/>
        <v>0</v>
      </c>
      <c r="V121" s="84">
        <f t="shared" si="13"/>
        <v>1.6800000000000002</v>
      </c>
      <c r="W121" s="52">
        <f t="shared" si="14"/>
        <v>94.678488599844684</v>
      </c>
      <c r="X121" s="52">
        <f t="shared" si="15"/>
        <v>151.20000000000005</v>
      </c>
      <c r="Y121" s="52">
        <f t="shared" si="16"/>
        <v>245.87848859984473</v>
      </c>
      <c r="Z121" s="53">
        <f t="shared" si="17"/>
        <v>0.73967569218628659</v>
      </c>
      <c r="AA121" s="53">
        <f t="shared" si="18"/>
        <v>0.90000000000000024</v>
      </c>
      <c r="AB121" s="53">
        <f t="shared" si="19"/>
        <v>0.83067056959407004</v>
      </c>
      <c r="AC121" s="39" t="str">
        <f t="shared" si="20"/>
        <v>No</v>
      </c>
      <c r="AD121" s="85">
        <f t="shared" si="21"/>
        <v>0</v>
      </c>
      <c r="AE121" s="46">
        <f t="shared" si="22"/>
        <v>1</v>
      </c>
      <c r="AF121" s="46">
        <f t="shared" si="23"/>
        <v>0</v>
      </c>
      <c r="AG121" s="39">
        <f t="shared" si="79"/>
        <v>36.075413766451582</v>
      </c>
      <c r="AH121" s="39">
        <f t="shared" si="80"/>
        <v>63.603074833393102</v>
      </c>
      <c r="AI121" s="39">
        <f t="shared" si="81"/>
        <v>61.199999999999989</v>
      </c>
      <c r="AJ121" s="39">
        <f t="shared" si="82"/>
        <v>82.800000000000011</v>
      </c>
      <c r="AK121" s="39">
        <f t="shared" si="83"/>
        <v>79.799999999999983</v>
      </c>
      <c r="AL121" s="39">
        <f t="shared" si="84"/>
        <v>70.800000000000011</v>
      </c>
      <c r="AM121" s="39">
        <f t="shared" si="85"/>
        <v>70.800000000000011</v>
      </c>
      <c r="AN121" s="39">
        <f t="shared" si="86"/>
        <v>70.800000000000011</v>
      </c>
      <c r="AO121" s="39">
        <f t="shared" si="25"/>
        <v>0</v>
      </c>
      <c r="AP121" s="39">
        <f t="shared" si="26"/>
        <v>0</v>
      </c>
      <c r="AQ121" s="39">
        <f t="shared" si="27"/>
        <v>0</v>
      </c>
      <c r="AR121" s="39">
        <f t="shared" si="28"/>
        <v>0</v>
      </c>
      <c r="AS121" s="39">
        <f t="shared" si="29"/>
        <v>0</v>
      </c>
      <c r="AT121" s="39">
        <f t="shared" si="30"/>
        <v>0</v>
      </c>
      <c r="AU121" s="39">
        <f t="shared" si="31"/>
        <v>0</v>
      </c>
      <c r="AV121" s="39">
        <f t="shared" si="32"/>
        <v>0</v>
      </c>
      <c r="AW121" s="39">
        <f t="shared" si="33"/>
        <v>0</v>
      </c>
      <c r="AX121" s="39">
        <f t="shared" si="34"/>
        <v>0</v>
      </c>
      <c r="AY121" s="39">
        <f t="shared" si="35"/>
        <v>0</v>
      </c>
      <c r="AZ121" s="39">
        <f t="shared" si="36"/>
        <v>0</v>
      </c>
      <c r="BA121" s="39">
        <f t="shared" si="37"/>
        <v>0</v>
      </c>
      <c r="BB121" s="39">
        <f t="shared" si="38"/>
        <v>0</v>
      </c>
      <c r="BC121" s="39">
        <f t="shared" si="39"/>
        <v>0</v>
      </c>
      <c r="BD121" s="39">
        <f t="shared" si="40"/>
        <v>0</v>
      </c>
      <c r="BE121" s="39">
        <f t="shared" si="41"/>
        <v>0</v>
      </c>
      <c r="BF121" s="39">
        <f t="shared" si="42"/>
        <v>0</v>
      </c>
      <c r="BG121" s="39">
        <f t="shared" si="43"/>
        <v>0</v>
      </c>
      <c r="BH121" s="84">
        <f t="shared" si="44"/>
        <v>0</v>
      </c>
      <c r="BI121" s="84">
        <f t="shared" si="45"/>
        <v>1.6800000000000002</v>
      </c>
      <c r="BJ121" s="84">
        <f t="shared" si="46"/>
        <v>0.14930161378273896</v>
      </c>
      <c r="BK121" s="39">
        <f t="shared" si="47"/>
        <v>35.926112152668843</v>
      </c>
      <c r="BL121" s="39">
        <f t="shared" si="48"/>
        <v>63.603074833393102</v>
      </c>
      <c r="BM121" s="39">
        <f t="shared" si="49"/>
        <v>61.199999999999989</v>
      </c>
      <c r="BN121" s="39">
        <f t="shared" si="50"/>
        <v>82.800000000000011</v>
      </c>
      <c r="BO121" s="39">
        <f t="shared" si="51"/>
        <v>79.799999999999983</v>
      </c>
      <c r="BP121" s="39">
        <f t="shared" si="52"/>
        <v>70.800000000000011</v>
      </c>
      <c r="BQ121" s="39">
        <f t="shared" si="53"/>
        <v>70.800000000000011</v>
      </c>
      <c r="BR121" s="39">
        <f t="shared" si="54"/>
        <v>70.800000000000011</v>
      </c>
      <c r="BS121" s="39">
        <f t="shared" si="55"/>
        <v>0</v>
      </c>
      <c r="BT121" s="39">
        <f t="shared" si="56"/>
        <v>0</v>
      </c>
      <c r="BU121" s="39">
        <f t="shared" si="57"/>
        <v>0</v>
      </c>
      <c r="BV121" s="39">
        <f t="shared" si="58"/>
        <v>0</v>
      </c>
      <c r="BW121" s="39">
        <f t="shared" si="59"/>
        <v>0</v>
      </c>
      <c r="BX121" s="39">
        <f t="shared" si="60"/>
        <v>0</v>
      </c>
      <c r="BY121" s="39">
        <f t="shared" si="61"/>
        <v>0</v>
      </c>
      <c r="BZ121" s="39">
        <f t="shared" si="62"/>
        <v>0</v>
      </c>
      <c r="CA121" s="39">
        <f t="shared" si="63"/>
        <v>35.926112152668843</v>
      </c>
      <c r="CB121" s="39">
        <f t="shared" si="64"/>
        <v>63.603074833393102</v>
      </c>
      <c r="CC121" s="39">
        <f t="shared" si="65"/>
        <v>61.199999999999989</v>
      </c>
      <c r="CD121" s="39">
        <f t="shared" si="66"/>
        <v>82.800000000000011</v>
      </c>
      <c r="CE121" s="39">
        <f t="shared" si="67"/>
        <v>79.799999999999983</v>
      </c>
      <c r="CF121" s="39">
        <f t="shared" si="68"/>
        <v>70.800000000000011</v>
      </c>
      <c r="CG121" s="39">
        <f t="shared" si="69"/>
        <v>70.800000000000011</v>
      </c>
      <c r="CH121" s="39">
        <f t="shared" si="70"/>
        <v>70.800000000000011</v>
      </c>
      <c r="CI121" s="39">
        <f t="shared" si="71"/>
        <v>0</v>
      </c>
      <c r="CJ121" s="39">
        <f t="shared" si="72"/>
        <v>0</v>
      </c>
      <c r="CK121" s="39">
        <f t="shared" si="73"/>
        <v>0</v>
      </c>
      <c r="CL121" s="39">
        <f t="shared" si="74"/>
        <v>0</v>
      </c>
      <c r="CM121" s="39">
        <f t="shared" si="75"/>
        <v>0</v>
      </c>
      <c r="CN121" s="39">
        <f t="shared" si="76"/>
        <v>0</v>
      </c>
      <c r="CO121" s="39">
        <f t="shared" si="77"/>
        <v>0</v>
      </c>
      <c r="CP121" s="39">
        <f t="shared" si="78"/>
        <v>0</v>
      </c>
    </row>
    <row r="122" spans="2:94" ht="16" customHeight="1" x14ac:dyDescent="0.2">
      <c r="L122" s="63">
        <v>30434</v>
      </c>
      <c r="M122" s="38">
        <v>1.1000000000000001</v>
      </c>
      <c r="N122" s="38">
        <v>2</v>
      </c>
      <c r="O122" s="39">
        <v>0</v>
      </c>
      <c r="P122" s="39">
        <v>0</v>
      </c>
      <c r="Q122" s="46">
        <f t="shared" si="8"/>
        <v>0.13798761050134692</v>
      </c>
      <c r="R122" s="81">
        <f t="shared" si="9"/>
        <v>0</v>
      </c>
      <c r="S122" s="82">
        <f t="shared" si="10"/>
        <v>1.1000000000000001</v>
      </c>
      <c r="T122" s="39">
        <f t="shared" si="11"/>
        <v>0</v>
      </c>
      <c r="U122" s="83">
        <f t="shared" si="12"/>
        <v>0</v>
      </c>
      <c r="V122" s="84">
        <f t="shared" si="13"/>
        <v>1.6</v>
      </c>
      <c r="W122" s="52">
        <f t="shared" si="14"/>
        <v>94.529186986061944</v>
      </c>
      <c r="X122" s="52">
        <f t="shared" si="15"/>
        <v>151.20000000000005</v>
      </c>
      <c r="Y122" s="52">
        <f t="shared" si="16"/>
        <v>245.72918698606199</v>
      </c>
      <c r="Z122" s="53">
        <f t="shared" si="17"/>
        <v>0.73850927332860894</v>
      </c>
      <c r="AA122" s="53">
        <f t="shared" si="18"/>
        <v>0.90000000000000024</v>
      </c>
      <c r="AB122" s="53">
        <f t="shared" si="19"/>
        <v>0.83016617225020939</v>
      </c>
      <c r="AC122" s="39" t="str">
        <f t="shared" si="20"/>
        <v>No</v>
      </c>
      <c r="AD122" s="85">
        <f t="shared" si="21"/>
        <v>0</v>
      </c>
      <c r="AE122" s="46">
        <f t="shared" si="22"/>
        <v>1</v>
      </c>
      <c r="AF122" s="46">
        <f t="shared" si="23"/>
        <v>0</v>
      </c>
      <c r="AG122" s="39">
        <f t="shared" si="79"/>
        <v>35.926112152668843</v>
      </c>
      <c r="AH122" s="39">
        <f t="shared" si="80"/>
        <v>63.603074833393102</v>
      </c>
      <c r="AI122" s="39">
        <f t="shared" si="81"/>
        <v>61.199999999999989</v>
      </c>
      <c r="AJ122" s="39">
        <f t="shared" si="82"/>
        <v>82.800000000000011</v>
      </c>
      <c r="AK122" s="39">
        <f t="shared" si="83"/>
        <v>79.799999999999983</v>
      </c>
      <c r="AL122" s="39">
        <f t="shared" si="84"/>
        <v>70.800000000000011</v>
      </c>
      <c r="AM122" s="39">
        <f t="shared" si="85"/>
        <v>70.800000000000011</v>
      </c>
      <c r="AN122" s="39">
        <f t="shared" si="86"/>
        <v>70.800000000000011</v>
      </c>
      <c r="AO122" s="39">
        <f t="shared" si="25"/>
        <v>0</v>
      </c>
      <c r="AP122" s="39">
        <f t="shared" si="26"/>
        <v>0</v>
      </c>
      <c r="AQ122" s="39">
        <f t="shared" si="27"/>
        <v>0</v>
      </c>
      <c r="AR122" s="39">
        <f t="shared" si="28"/>
        <v>0</v>
      </c>
      <c r="AS122" s="39">
        <f t="shared" si="29"/>
        <v>0</v>
      </c>
      <c r="AT122" s="39">
        <f t="shared" si="30"/>
        <v>0</v>
      </c>
      <c r="AU122" s="39">
        <f t="shared" si="31"/>
        <v>0</v>
      </c>
      <c r="AV122" s="39">
        <f t="shared" si="32"/>
        <v>0</v>
      </c>
      <c r="AW122" s="39">
        <f t="shared" si="33"/>
        <v>0</v>
      </c>
      <c r="AX122" s="39">
        <f t="shared" si="34"/>
        <v>0</v>
      </c>
      <c r="AY122" s="39">
        <f t="shared" si="35"/>
        <v>0</v>
      </c>
      <c r="AZ122" s="39">
        <f t="shared" si="36"/>
        <v>0</v>
      </c>
      <c r="BA122" s="39">
        <f t="shared" si="37"/>
        <v>0</v>
      </c>
      <c r="BB122" s="39">
        <f t="shared" si="38"/>
        <v>0</v>
      </c>
      <c r="BC122" s="39">
        <f t="shared" si="39"/>
        <v>0</v>
      </c>
      <c r="BD122" s="39">
        <f t="shared" si="40"/>
        <v>0</v>
      </c>
      <c r="BE122" s="39">
        <f t="shared" si="41"/>
        <v>0</v>
      </c>
      <c r="BF122" s="39">
        <f t="shared" si="42"/>
        <v>0</v>
      </c>
      <c r="BG122" s="39">
        <f t="shared" si="43"/>
        <v>0</v>
      </c>
      <c r="BH122" s="84">
        <f t="shared" si="44"/>
        <v>1.1000000000000001</v>
      </c>
      <c r="BI122" s="84">
        <f t="shared" si="45"/>
        <v>0.5</v>
      </c>
      <c r="BJ122" s="84">
        <f t="shared" si="46"/>
        <v>1.1431891821317057</v>
      </c>
      <c r="BK122" s="39">
        <f t="shared" si="47"/>
        <v>34.782922970537136</v>
      </c>
      <c r="BL122" s="39">
        <f t="shared" si="48"/>
        <v>63.603074833393102</v>
      </c>
      <c r="BM122" s="39">
        <f t="shared" si="49"/>
        <v>61.199999999999989</v>
      </c>
      <c r="BN122" s="39">
        <f t="shared" si="50"/>
        <v>82.800000000000011</v>
      </c>
      <c r="BO122" s="39">
        <f t="shared" si="51"/>
        <v>79.799999999999983</v>
      </c>
      <c r="BP122" s="39">
        <f t="shared" si="52"/>
        <v>70.800000000000011</v>
      </c>
      <c r="BQ122" s="39">
        <f t="shared" si="53"/>
        <v>70.800000000000011</v>
      </c>
      <c r="BR122" s="39">
        <f t="shared" si="54"/>
        <v>70.800000000000011</v>
      </c>
      <c r="BS122" s="39">
        <f t="shared" si="55"/>
        <v>0</v>
      </c>
      <c r="BT122" s="39">
        <f t="shared" si="56"/>
        <v>0</v>
      </c>
      <c r="BU122" s="39">
        <f t="shared" si="57"/>
        <v>0</v>
      </c>
      <c r="BV122" s="39">
        <f t="shared" si="58"/>
        <v>0</v>
      </c>
      <c r="BW122" s="39">
        <f t="shared" si="59"/>
        <v>0</v>
      </c>
      <c r="BX122" s="39">
        <f t="shared" si="60"/>
        <v>0</v>
      </c>
      <c r="BY122" s="39">
        <f t="shared" si="61"/>
        <v>0</v>
      </c>
      <c r="BZ122" s="39">
        <f t="shared" si="62"/>
        <v>0</v>
      </c>
      <c r="CA122" s="39">
        <f t="shared" si="63"/>
        <v>34.782922970537136</v>
      </c>
      <c r="CB122" s="39">
        <f t="shared" si="64"/>
        <v>63.603074833393102</v>
      </c>
      <c r="CC122" s="39">
        <f t="shared" si="65"/>
        <v>61.199999999999989</v>
      </c>
      <c r="CD122" s="39">
        <f t="shared" si="66"/>
        <v>82.800000000000011</v>
      </c>
      <c r="CE122" s="39">
        <f t="shared" si="67"/>
        <v>79.799999999999983</v>
      </c>
      <c r="CF122" s="39">
        <f t="shared" si="68"/>
        <v>70.800000000000011</v>
      </c>
      <c r="CG122" s="39">
        <f t="shared" si="69"/>
        <v>70.800000000000011</v>
      </c>
      <c r="CH122" s="39">
        <f t="shared" si="70"/>
        <v>70.800000000000011</v>
      </c>
      <c r="CI122" s="39">
        <f t="shared" si="71"/>
        <v>0</v>
      </c>
      <c r="CJ122" s="39">
        <f t="shared" si="72"/>
        <v>0</v>
      </c>
      <c r="CK122" s="39">
        <f t="shared" si="73"/>
        <v>0</v>
      </c>
      <c r="CL122" s="39">
        <f t="shared" si="74"/>
        <v>0</v>
      </c>
      <c r="CM122" s="39">
        <f t="shared" si="75"/>
        <v>0</v>
      </c>
      <c r="CN122" s="39">
        <f t="shared" si="76"/>
        <v>0</v>
      </c>
      <c r="CO122" s="39">
        <f t="shared" si="77"/>
        <v>0</v>
      </c>
      <c r="CP122" s="39">
        <f t="shared" si="78"/>
        <v>0</v>
      </c>
    </row>
    <row r="123" spans="2:94" ht="16" customHeight="1" x14ac:dyDescent="0.2">
      <c r="L123" s="63">
        <v>30435</v>
      </c>
      <c r="M123" s="38">
        <v>0</v>
      </c>
      <c r="N123" s="38">
        <v>2.8</v>
      </c>
      <c r="O123" s="39">
        <v>0</v>
      </c>
      <c r="P123" s="39">
        <v>0</v>
      </c>
      <c r="Q123" s="46">
        <f t="shared" si="8"/>
        <v>0.14030488587053283</v>
      </c>
      <c r="R123" s="81">
        <f t="shared" si="9"/>
        <v>0</v>
      </c>
      <c r="S123" s="82">
        <f t="shared" si="10"/>
        <v>0</v>
      </c>
      <c r="T123" s="39">
        <f t="shared" si="11"/>
        <v>0</v>
      </c>
      <c r="U123" s="83">
        <f t="shared" si="12"/>
        <v>0</v>
      </c>
      <c r="V123" s="84">
        <f t="shared" si="13"/>
        <v>2.2399999999999998</v>
      </c>
      <c r="W123" s="52">
        <f t="shared" si="14"/>
        <v>93.385997803930252</v>
      </c>
      <c r="X123" s="52">
        <f t="shared" si="15"/>
        <v>151.20000000000005</v>
      </c>
      <c r="Y123" s="52">
        <f t="shared" si="16"/>
        <v>244.5859978039303</v>
      </c>
      <c r="Z123" s="53">
        <f t="shared" si="17"/>
        <v>0.72957810784320509</v>
      </c>
      <c r="AA123" s="53">
        <f t="shared" si="18"/>
        <v>0.90000000000000024</v>
      </c>
      <c r="AB123" s="53">
        <f t="shared" si="19"/>
        <v>0.82630404663489965</v>
      </c>
      <c r="AC123" s="39" t="str">
        <f t="shared" si="20"/>
        <v>No</v>
      </c>
      <c r="AD123" s="85">
        <f t="shared" si="21"/>
        <v>0</v>
      </c>
      <c r="AE123" s="46">
        <f t="shared" si="22"/>
        <v>1</v>
      </c>
      <c r="AF123" s="46">
        <f t="shared" si="23"/>
        <v>0</v>
      </c>
      <c r="AG123" s="39">
        <f t="shared" si="79"/>
        <v>34.782922970537136</v>
      </c>
      <c r="AH123" s="39">
        <f t="shared" si="80"/>
        <v>63.603074833393102</v>
      </c>
      <c r="AI123" s="39">
        <f t="shared" si="81"/>
        <v>61.199999999999989</v>
      </c>
      <c r="AJ123" s="39">
        <f t="shared" si="82"/>
        <v>82.800000000000011</v>
      </c>
      <c r="AK123" s="39">
        <f t="shared" si="83"/>
        <v>79.799999999999983</v>
      </c>
      <c r="AL123" s="39">
        <f t="shared" si="84"/>
        <v>70.800000000000011</v>
      </c>
      <c r="AM123" s="39">
        <f t="shared" si="85"/>
        <v>70.800000000000011</v>
      </c>
      <c r="AN123" s="39">
        <f t="shared" si="86"/>
        <v>70.800000000000011</v>
      </c>
      <c r="AO123" s="39">
        <f t="shared" si="25"/>
        <v>0</v>
      </c>
      <c r="AP123" s="39">
        <f t="shared" si="26"/>
        <v>0</v>
      </c>
      <c r="AQ123" s="39">
        <f t="shared" si="27"/>
        <v>0</v>
      </c>
      <c r="AR123" s="39">
        <f t="shared" si="28"/>
        <v>0</v>
      </c>
      <c r="AS123" s="39">
        <f t="shared" si="29"/>
        <v>0</v>
      </c>
      <c r="AT123" s="39">
        <f t="shared" si="30"/>
        <v>0</v>
      </c>
      <c r="AU123" s="39">
        <f t="shared" si="31"/>
        <v>0</v>
      </c>
      <c r="AV123" s="39">
        <f t="shared" si="32"/>
        <v>0</v>
      </c>
      <c r="AW123" s="39">
        <f t="shared" si="33"/>
        <v>0</v>
      </c>
      <c r="AX123" s="39">
        <f t="shared" si="34"/>
        <v>0</v>
      </c>
      <c r="AY123" s="39">
        <f t="shared" si="35"/>
        <v>0</v>
      </c>
      <c r="AZ123" s="39">
        <f t="shared" si="36"/>
        <v>0</v>
      </c>
      <c r="BA123" s="39">
        <f t="shared" si="37"/>
        <v>0</v>
      </c>
      <c r="BB123" s="39">
        <f t="shared" si="38"/>
        <v>0</v>
      </c>
      <c r="BC123" s="39">
        <f t="shared" si="39"/>
        <v>0</v>
      </c>
      <c r="BD123" s="39">
        <f t="shared" si="40"/>
        <v>0</v>
      </c>
      <c r="BE123" s="39">
        <f t="shared" si="41"/>
        <v>0</v>
      </c>
      <c r="BF123" s="39">
        <f t="shared" si="42"/>
        <v>0</v>
      </c>
      <c r="BG123" s="39">
        <f t="shared" si="43"/>
        <v>0</v>
      </c>
      <c r="BH123" s="84">
        <f t="shared" si="44"/>
        <v>0</v>
      </c>
      <c r="BI123" s="84">
        <f t="shared" si="45"/>
        <v>2.2399999999999998</v>
      </c>
      <c r="BJ123" s="84">
        <f t="shared" si="46"/>
        <v>0.15454702148875485</v>
      </c>
      <c r="BK123" s="39">
        <f t="shared" si="47"/>
        <v>34.628375949048383</v>
      </c>
      <c r="BL123" s="39">
        <f t="shared" si="48"/>
        <v>63.603074833393102</v>
      </c>
      <c r="BM123" s="39">
        <f t="shared" si="49"/>
        <v>61.199999999999989</v>
      </c>
      <c r="BN123" s="39">
        <f t="shared" si="50"/>
        <v>82.800000000000011</v>
      </c>
      <c r="BO123" s="39">
        <f t="shared" si="51"/>
        <v>79.799999999999983</v>
      </c>
      <c r="BP123" s="39">
        <f t="shared" si="52"/>
        <v>70.800000000000011</v>
      </c>
      <c r="BQ123" s="39">
        <f t="shared" si="53"/>
        <v>70.800000000000011</v>
      </c>
      <c r="BR123" s="39">
        <f t="shared" si="54"/>
        <v>70.800000000000011</v>
      </c>
      <c r="BS123" s="39">
        <f t="shared" si="55"/>
        <v>0</v>
      </c>
      <c r="BT123" s="39">
        <f t="shared" si="56"/>
        <v>0</v>
      </c>
      <c r="BU123" s="39">
        <f t="shared" si="57"/>
        <v>0</v>
      </c>
      <c r="BV123" s="39">
        <f t="shared" si="58"/>
        <v>0</v>
      </c>
      <c r="BW123" s="39">
        <f t="shared" si="59"/>
        <v>0</v>
      </c>
      <c r="BX123" s="39">
        <f t="shared" si="60"/>
        <v>0</v>
      </c>
      <c r="BY123" s="39">
        <f t="shared" si="61"/>
        <v>0</v>
      </c>
      <c r="BZ123" s="39">
        <f t="shared" si="62"/>
        <v>0</v>
      </c>
      <c r="CA123" s="39">
        <f t="shared" si="63"/>
        <v>34.628375949048383</v>
      </c>
      <c r="CB123" s="39">
        <f t="shared" si="64"/>
        <v>63.603074833393102</v>
      </c>
      <c r="CC123" s="39">
        <f t="shared" si="65"/>
        <v>61.199999999999989</v>
      </c>
      <c r="CD123" s="39">
        <f t="shared" si="66"/>
        <v>82.800000000000011</v>
      </c>
      <c r="CE123" s="39">
        <f t="shared" si="67"/>
        <v>79.799999999999983</v>
      </c>
      <c r="CF123" s="39">
        <f t="shared" si="68"/>
        <v>70.800000000000011</v>
      </c>
      <c r="CG123" s="39">
        <f t="shared" si="69"/>
        <v>70.800000000000011</v>
      </c>
      <c r="CH123" s="39">
        <f t="shared" si="70"/>
        <v>70.800000000000011</v>
      </c>
      <c r="CI123" s="39">
        <f t="shared" si="71"/>
        <v>0</v>
      </c>
      <c r="CJ123" s="39">
        <f t="shared" si="72"/>
        <v>0</v>
      </c>
      <c r="CK123" s="39">
        <f t="shared" si="73"/>
        <v>0</v>
      </c>
      <c r="CL123" s="39">
        <f t="shared" si="74"/>
        <v>0</v>
      </c>
      <c r="CM123" s="39">
        <f t="shared" si="75"/>
        <v>0</v>
      </c>
      <c r="CN123" s="39">
        <f t="shared" si="76"/>
        <v>0</v>
      </c>
      <c r="CO123" s="39">
        <f t="shared" si="77"/>
        <v>0</v>
      </c>
      <c r="CP123" s="39">
        <f t="shared" si="78"/>
        <v>0</v>
      </c>
    </row>
    <row r="124" spans="2:94" ht="16" customHeight="1" x14ac:dyDescent="0.2">
      <c r="L124" s="63">
        <v>30436</v>
      </c>
      <c r="M124" s="38">
        <v>0</v>
      </c>
      <c r="N124" s="38">
        <v>1.2</v>
      </c>
      <c r="O124" s="39">
        <v>0</v>
      </c>
      <c r="P124" s="39">
        <v>0</v>
      </c>
      <c r="Q124" s="46">
        <f t="shared" si="8"/>
        <v>0.14061815686003706</v>
      </c>
      <c r="R124" s="81">
        <f t="shared" si="9"/>
        <v>0</v>
      </c>
      <c r="S124" s="82">
        <f t="shared" si="10"/>
        <v>0</v>
      </c>
      <c r="T124" s="39">
        <f t="shared" si="11"/>
        <v>0</v>
      </c>
      <c r="U124" s="83">
        <f t="shared" si="12"/>
        <v>0</v>
      </c>
      <c r="V124" s="84">
        <f t="shared" si="13"/>
        <v>0.96</v>
      </c>
      <c r="W124" s="52">
        <f t="shared" si="14"/>
        <v>93.23145078244147</v>
      </c>
      <c r="X124" s="52">
        <f t="shared" si="15"/>
        <v>151.20000000000005</v>
      </c>
      <c r="Y124" s="52">
        <f t="shared" si="16"/>
        <v>244.43145078244152</v>
      </c>
      <c r="Z124" s="53">
        <f t="shared" si="17"/>
        <v>0.72837070923782399</v>
      </c>
      <c r="AA124" s="53">
        <f t="shared" si="18"/>
        <v>0.90000000000000024</v>
      </c>
      <c r="AB124" s="53">
        <f t="shared" si="19"/>
        <v>0.82578192831905917</v>
      </c>
      <c r="AC124" s="39" t="str">
        <f t="shared" si="20"/>
        <v>No</v>
      </c>
      <c r="AD124" s="85">
        <f t="shared" si="21"/>
        <v>0</v>
      </c>
      <c r="AE124" s="46">
        <f t="shared" si="22"/>
        <v>1</v>
      </c>
      <c r="AF124" s="46">
        <f t="shared" si="23"/>
        <v>0</v>
      </c>
      <c r="AG124" s="39">
        <f t="shared" si="79"/>
        <v>34.628375949048383</v>
      </c>
      <c r="AH124" s="39">
        <f t="shared" si="80"/>
        <v>63.603074833393102</v>
      </c>
      <c r="AI124" s="39">
        <f t="shared" si="81"/>
        <v>61.199999999999989</v>
      </c>
      <c r="AJ124" s="39">
        <f t="shared" si="82"/>
        <v>82.800000000000011</v>
      </c>
      <c r="AK124" s="39">
        <f t="shared" si="83"/>
        <v>79.799999999999983</v>
      </c>
      <c r="AL124" s="39">
        <f t="shared" si="84"/>
        <v>70.800000000000011</v>
      </c>
      <c r="AM124" s="39">
        <f t="shared" si="85"/>
        <v>70.800000000000011</v>
      </c>
      <c r="AN124" s="39">
        <f t="shared" si="86"/>
        <v>70.800000000000011</v>
      </c>
      <c r="AO124" s="39">
        <f t="shared" si="25"/>
        <v>0</v>
      </c>
      <c r="AP124" s="39">
        <f t="shared" si="26"/>
        <v>0</v>
      </c>
      <c r="AQ124" s="39">
        <f t="shared" si="27"/>
        <v>0</v>
      </c>
      <c r="AR124" s="39">
        <f t="shared" si="28"/>
        <v>0</v>
      </c>
      <c r="AS124" s="39">
        <f t="shared" si="29"/>
        <v>0</v>
      </c>
      <c r="AT124" s="39">
        <f t="shared" si="30"/>
        <v>0</v>
      </c>
      <c r="AU124" s="39">
        <f t="shared" si="31"/>
        <v>0</v>
      </c>
      <c r="AV124" s="39">
        <f t="shared" si="32"/>
        <v>0</v>
      </c>
      <c r="AW124" s="39">
        <f t="shared" si="33"/>
        <v>0</v>
      </c>
      <c r="AX124" s="39">
        <f t="shared" si="34"/>
        <v>0</v>
      </c>
      <c r="AY124" s="39">
        <f t="shared" si="35"/>
        <v>0</v>
      </c>
      <c r="AZ124" s="39">
        <f t="shared" si="36"/>
        <v>0</v>
      </c>
      <c r="BA124" s="39">
        <f t="shared" si="37"/>
        <v>0</v>
      </c>
      <c r="BB124" s="39">
        <f t="shared" si="38"/>
        <v>0</v>
      </c>
      <c r="BC124" s="39">
        <f t="shared" si="39"/>
        <v>0</v>
      </c>
      <c r="BD124" s="39">
        <f t="shared" si="40"/>
        <v>0</v>
      </c>
      <c r="BE124" s="39">
        <f t="shared" si="41"/>
        <v>0</v>
      </c>
      <c r="BF124" s="39">
        <f t="shared" si="42"/>
        <v>0</v>
      </c>
      <c r="BG124" s="39">
        <f t="shared" si="43"/>
        <v>0</v>
      </c>
      <c r="BH124" s="84">
        <f t="shared" si="44"/>
        <v>0</v>
      </c>
      <c r="BI124" s="84">
        <f t="shared" si="45"/>
        <v>0.96</v>
      </c>
      <c r="BJ124" s="84">
        <f t="shared" si="46"/>
        <v>6.4188833696125838E-2</v>
      </c>
      <c r="BK124" s="39">
        <f t="shared" si="47"/>
        <v>34.564187115352254</v>
      </c>
      <c r="BL124" s="39">
        <f t="shared" si="48"/>
        <v>63.603074833393102</v>
      </c>
      <c r="BM124" s="39">
        <f t="shared" si="49"/>
        <v>61.199999999999989</v>
      </c>
      <c r="BN124" s="39">
        <f t="shared" si="50"/>
        <v>82.800000000000011</v>
      </c>
      <c r="BO124" s="39">
        <f t="shared" si="51"/>
        <v>79.799999999999983</v>
      </c>
      <c r="BP124" s="39">
        <f t="shared" si="52"/>
        <v>70.800000000000011</v>
      </c>
      <c r="BQ124" s="39">
        <f t="shared" si="53"/>
        <v>70.800000000000011</v>
      </c>
      <c r="BR124" s="39">
        <f t="shared" si="54"/>
        <v>70.800000000000011</v>
      </c>
      <c r="BS124" s="39">
        <f t="shared" si="55"/>
        <v>0</v>
      </c>
      <c r="BT124" s="39">
        <f t="shared" si="56"/>
        <v>0</v>
      </c>
      <c r="BU124" s="39">
        <f t="shared" si="57"/>
        <v>0</v>
      </c>
      <c r="BV124" s="39">
        <f t="shared" si="58"/>
        <v>0</v>
      </c>
      <c r="BW124" s="39">
        <f t="shared" si="59"/>
        <v>0</v>
      </c>
      <c r="BX124" s="39">
        <f t="shared" si="60"/>
        <v>0</v>
      </c>
      <c r="BY124" s="39">
        <f t="shared" si="61"/>
        <v>0</v>
      </c>
      <c r="BZ124" s="39">
        <f t="shared" si="62"/>
        <v>0</v>
      </c>
      <c r="CA124" s="39">
        <f t="shared" si="63"/>
        <v>34.564187115352254</v>
      </c>
      <c r="CB124" s="39">
        <f t="shared" si="64"/>
        <v>63.603074833393102</v>
      </c>
      <c r="CC124" s="39">
        <f t="shared" si="65"/>
        <v>61.199999999999989</v>
      </c>
      <c r="CD124" s="39">
        <f t="shared" si="66"/>
        <v>82.800000000000011</v>
      </c>
      <c r="CE124" s="39">
        <f t="shared" si="67"/>
        <v>79.799999999999983</v>
      </c>
      <c r="CF124" s="39">
        <f t="shared" si="68"/>
        <v>70.800000000000011</v>
      </c>
      <c r="CG124" s="39">
        <f t="shared" si="69"/>
        <v>70.800000000000011</v>
      </c>
      <c r="CH124" s="39">
        <f t="shared" si="70"/>
        <v>70.800000000000011</v>
      </c>
      <c r="CI124" s="39">
        <f t="shared" si="71"/>
        <v>0</v>
      </c>
      <c r="CJ124" s="39">
        <f t="shared" si="72"/>
        <v>0</v>
      </c>
      <c r="CK124" s="39">
        <f t="shared" si="73"/>
        <v>0</v>
      </c>
      <c r="CL124" s="39">
        <f t="shared" si="74"/>
        <v>0</v>
      </c>
      <c r="CM124" s="39">
        <f t="shared" si="75"/>
        <v>0</v>
      </c>
      <c r="CN124" s="39">
        <f t="shared" si="76"/>
        <v>0</v>
      </c>
      <c r="CO124" s="39">
        <f t="shared" si="77"/>
        <v>0</v>
      </c>
      <c r="CP124" s="39">
        <f t="shared" si="78"/>
        <v>0</v>
      </c>
    </row>
    <row r="125" spans="2:94" ht="16" customHeight="1" x14ac:dyDescent="0.2">
      <c r="B125" s="38"/>
      <c r="L125" s="63">
        <v>30437</v>
      </c>
      <c r="M125" s="38">
        <v>0</v>
      </c>
      <c r="N125" s="38">
        <v>1.3</v>
      </c>
      <c r="O125" s="39">
        <v>0</v>
      </c>
      <c r="P125" s="39">
        <v>0</v>
      </c>
      <c r="Q125" s="46">
        <f t="shared" si="8"/>
        <v>0.14074826936077245</v>
      </c>
      <c r="R125" s="81">
        <f t="shared" si="9"/>
        <v>0</v>
      </c>
      <c r="S125" s="82">
        <f t="shared" si="10"/>
        <v>0</v>
      </c>
      <c r="T125" s="39">
        <f t="shared" si="11"/>
        <v>0</v>
      </c>
      <c r="U125" s="83">
        <f t="shared" si="12"/>
        <v>0</v>
      </c>
      <c r="V125" s="84">
        <f t="shared" si="13"/>
        <v>1.04</v>
      </c>
      <c r="W125" s="52">
        <f t="shared" si="14"/>
        <v>93.167261948745363</v>
      </c>
      <c r="X125" s="52">
        <f t="shared" si="15"/>
        <v>151.20000000000005</v>
      </c>
      <c r="Y125" s="52">
        <f t="shared" si="16"/>
        <v>244.36726194874541</v>
      </c>
      <c r="Z125" s="53">
        <f t="shared" si="17"/>
        <v>0.72786923397457315</v>
      </c>
      <c r="AA125" s="53">
        <f t="shared" si="18"/>
        <v>0.90000000000000024</v>
      </c>
      <c r="AB125" s="53">
        <f t="shared" si="19"/>
        <v>0.82556507415116687</v>
      </c>
      <c r="AC125" s="39" t="str">
        <f t="shared" si="20"/>
        <v>No</v>
      </c>
      <c r="AD125" s="85">
        <f t="shared" si="21"/>
        <v>0</v>
      </c>
      <c r="AE125" s="46">
        <f t="shared" si="22"/>
        <v>1</v>
      </c>
      <c r="AF125" s="46">
        <f t="shared" si="23"/>
        <v>0</v>
      </c>
      <c r="AG125" s="39">
        <f t="shared" si="79"/>
        <v>34.564187115352254</v>
      </c>
      <c r="AH125" s="39">
        <f t="shared" si="80"/>
        <v>63.603074833393102</v>
      </c>
      <c r="AI125" s="39">
        <f t="shared" si="81"/>
        <v>61.199999999999989</v>
      </c>
      <c r="AJ125" s="39">
        <f t="shared" si="82"/>
        <v>82.800000000000011</v>
      </c>
      <c r="AK125" s="39">
        <f t="shared" si="83"/>
        <v>79.799999999999983</v>
      </c>
      <c r="AL125" s="39">
        <f t="shared" si="84"/>
        <v>70.800000000000011</v>
      </c>
      <c r="AM125" s="39">
        <f t="shared" si="85"/>
        <v>70.800000000000011</v>
      </c>
      <c r="AN125" s="39">
        <f t="shared" si="86"/>
        <v>70.800000000000011</v>
      </c>
      <c r="AO125" s="39">
        <f t="shared" si="25"/>
        <v>0</v>
      </c>
      <c r="AP125" s="39">
        <f t="shared" si="26"/>
        <v>0</v>
      </c>
      <c r="AQ125" s="39">
        <f t="shared" si="27"/>
        <v>0</v>
      </c>
      <c r="AR125" s="39">
        <f t="shared" si="28"/>
        <v>0</v>
      </c>
      <c r="AS125" s="39">
        <f t="shared" si="29"/>
        <v>0</v>
      </c>
      <c r="AT125" s="39">
        <f t="shared" si="30"/>
        <v>0</v>
      </c>
      <c r="AU125" s="39">
        <f t="shared" si="31"/>
        <v>0</v>
      </c>
      <c r="AV125" s="39">
        <f t="shared" si="32"/>
        <v>0</v>
      </c>
      <c r="AW125" s="39">
        <f t="shared" si="33"/>
        <v>0</v>
      </c>
      <c r="AX125" s="39">
        <f t="shared" si="34"/>
        <v>0</v>
      </c>
      <c r="AY125" s="39">
        <f t="shared" si="35"/>
        <v>0</v>
      </c>
      <c r="AZ125" s="39">
        <f t="shared" si="36"/>
        <v>0</v>
      </c>
      <c r="BA125" s="39">
        <f t="shared" si="37"/>
        <v>0</v>
      </c>
      <c r="BB125" s="39">
        <f t="shared" si="38"/>
        <v>0</v>
      </c>
      <c r="BC125" s="39">
        <f t="shared" si="39"/>
        <v>0</v>
      </c>
      <c r="BD125" s="39">
        <f t="shared" si="40"/>
        <v>0</v>
      </c>
      <c r="BE125" s="39">
        <f t="shared" si="41"/>
        <v>0</v>
      </c>
      <c r="BF125" s="39">
        <f t="shared" si="42"/>
        <v>0</v>
      </c>
      <c r="BG125" s="39">
        <f t="shared" si="43"/>
        <v>0</v>
      </c>
      <c r="BH125" s="84">
        <f t="shared" si="44"/>
        <v>0</v>
      </c>
      <c r="BI125" s="84">
        <f t="shared" si="45"/>
        <v>1.04</v>
      </c>
      <c r="BJ125" s="84">
        <f t="shared" si="46"/>
        <v>6.8632742299023317E-2</v>
      </c>
      <c r="BK125" s="39">
        <f t="shared" si="47"/>
        <v>34.495554373053231</v>
      </c>
      <c r="BL125" s="39">
        <f t="shared" si="48"/>
        <v>63.603074833393102</v>
      </c>
      <c r="BM125" s="39">
        <f t="shared" si="49"/>
        <v>61.199999999999989</v>
      </c>
      <c r="BN125" s="39">
        <f t="shared" si="50"/>
        <v>82.800000000000011</v>
      </c>
      <c r="BO125" s="39">
        <f t="shared" si="51"/>
        <v>79.799999999999983</v>
      </c>
      <c r="BP125" s="39">
        <f t="shared" si="52"/>
        <v>70.800000000000011</v>
      </c>
      <c r="BQ125" s="39">
        <f t="shared" si="53"/>
        <v>70.800000000000011</v>
      </c>
      <c r="BR125" s="39">
        <f t="shared" si="54"/>
        <v>70.800000000000011</v>
      </c>
      <c r="BS125" s="39">
        <f t="shared" si="55"/>
        <v>0</v>
      </c>
      <c r="BT125" s="39">
        <f t="shared" si="56"/>
        <v>0</v>
      </c>
      <c r="BU125" s="39">
        <f t="shared" si="57"/>
        <v>0</v>
      </c>
      <c r="BV125" s="39">
        <f t="shared" si="58"/>
        <v>0</v>
      </c>
      <c r="BW125" s="39">
        <f t="shared" si="59"/>
        <v>0</v>
      </c>
      <c r="BX125" s="39">
        <f t="shared" si="60"/>
        <v>0</v>
      </c>
      <c r="BY125" s="39">
        <f t="shared" si="61"/>
        <v>0</v>
      </c>
      <c r="BZ125" s="39">
        <f t="shared" si="62"/>
        <v>0</v>
      </c>
      <c r="CA125" s="39">
        <f t="shared" si="63"/>
        <v>34.495554373053231</v>
      </c>
      <c r="CB125" s="39">
        <f t="shared" si="64"/>
        <v>63.603074833393102</v>
      </c>
      <c r="CC125" s="39">
        <f t="shared" si="65"/>
        <v>61.199999999999989</v>
      </c>
      <c r="CD125" s="39">
        <f t="shared" si="66"/>
        <v>82.800000000000011</v>
      </c>
      <c r="CE125" s="39">
        <f t="shared" si="67"/>
        <v>79.799999999999983</v>
      </c>
      <c r="CF125" s="39">
        <f t="shared" si="68"/>
        <v>70.800000000000011</v>
      </c>
      <c r="CG125" s="39">
        <f t="shared" si="69"/>
        <v>70.800000000000011</v>
      </c>
      <c r="CH125" s="39">
        <f t="shared" si="70"/>
        <v>70.800000000000011</v>
      </c>
      <c r="CI125" s="39">
        <f t="shared" si="71"/>
        <v>0</v>
      </c>
      <c r="CJ125" s="39">
        <f t="shared" si="72"/>
        <v>0</v>
      </c>
      <c r="CK125" s="39">
        <f t="shared" si="73"/>
        <v>0</v>
      </c>
      <c r="CL125" s="39">
        <f t="shared" si="74"/>
        <v>0</v>
      </c>
      <c r="CM125" s="39">
        <f t="shared" si="75"/>
        <v>0</v>
      </c>
      <c r="CN125" s="39">
        <f t="shared" si="76"/>
        <v>0</v>
      </c>
      <c r="CO125" s="39">
        <f t="shared" si="77"/>
        <v>0</v>
      </c>
      <c r="CP125" s="39">
        <f t="shared" si="78"/>
        <v>0</v>
      </c>
    </row>
    <row r="126" spans="2:94" ht="16" customHeight="1" x14ac:dyDescent="0.2">
      <c r="B126" s="38"/>
      <c r="L126" s="63">
        <v>30438</v>
      </c>
      <c r="M126" s="38">
        <v>5.0999999999999996</v>
      </c>
      <c r="N126" s="38">
        <v>1.3</v>
      </c>
      <c r="O126" s="39">
        <v>0</v>
      </c>
      <c r="P126" s="39">
        <v>0</v>
      </c>
      <c r="Q126" s="46">
        <f t="shared" si="8"/>
        <v>0.14088738978435156</v>
      </c>
      <c r="R126" s="81">
        <f t="shared" si="9"/>
        <v>0</v>
      </c>
      <c r="S126" s="82">
        <f t="shared" si="10"/>
        <v>5.0999999999999996</v>
      </c>
      <c r="T126" s="39">
        <f t="shared" si="11"/>
        <v>0</v>
      </c>
      <c r="U126" s="83">
        <f t="shared" si="12"/>
        <v>0</v>
      </c>
      <c r="V126" s="84">
        <f t="shared" si="13"/>
        <v>1.04</v>
      </c>
      <c r="W126" s="52">
        <f t="shared" si="14"/>
        <v>93.098629206446333</v>
      </c>
      <c r="X126" s="52">
        <f t="shared" si="15"/>
        <v>151.20000000000005</v>
      </c>
      <c r="Y126" s="52">
        <f t="shared" si="16"/>
        <v>244.29862920644638</v>
      </c>
      <c r="Z126" s="53">
        <f t="shared" si="17"/>
        <v>0.72733304067536197</v>
      </c>
      <c r="AA126" s="53">
        <f t="shared" si="18"/>
        <v>0.90000000000000024</v>
      </c>
      <c r="AB126" s="53">
        <f t="shared" si="19"/>
        <v>0.82533320677853506</v>
      </c>
      <c r="AC126" s="39" t="str">
        <f t="shared" si="20"/>
        <v>No</v>
      </c>
      <c r="AD126" s="85">
        <f t="shared" si="21"/>
        <v>0</v>
      </c>
      <c r="AE126" s="46">
        <f t="shared" si="22"/>
        <v>1</v>
      </c>
      <c r="AF126" s="46">
        <f t="shared" si="23"/>
        <v>0</v>
      </c>
      <c r="AG126" s="39">
        <f t="shared" si="79"/>
        <v>34.495554373053231</v>
      </c>
      <c r="AH126" s="39">
        <f t="shared" si="80"/>
        <v>63.603074833393102</v>
      </c>
      <c r="AI126" s="39">
        <f t="shared" si="81"/>
        <v>61.199999999999989</v>
      </c>
      <c r="AJ126" s="39">
        <f t="shared" si="82"/>
        <v>82.800000000000011</v>
      </c>
      <c r="AK126" s="39">
        <f t="shared" si="83"/>
        <v>79.799999999999983</v>
      </c>
      <c r="AL126" s="39">
        <f t="shared" si="84"/>
        <v>70.800000000000011</v>
      </c>
      <c r="AM126" s="39">
        <f t="shared" si="85"/>
        <v>70.800000000000011</v>
      </c>
      <c r="AN126" s="39">
        <f t="shared" si="86"/>
        <v>70.800000000000011</v>
      </c>
      <c r="AO126" s="39">
        <f t="shared" si="25"/>
        <v>0</v>
      </c>
      <c r="AP126" s="39">
        <f t="shared" si="26"/>
        <v>0</v>
      </c>
      <c r="AQ126" s="39">
        <f t="shared" si="27"/>
        <v>0</v>
      </c>
      <c r="AR126" s="39">
        <f t="shared" si="28"/>
        <v>0</v>
      </c>
      <c r="AS126" s="39">
        <f t="shared" si="29"/>
        <v>0</v>
      </c>
      <c r="AT126" s="39">
        <f t="shared" si="30"/>
        <v>0</v>
      </c>
      <c r="AU126" s="39">
        <f t="shared" si="31"/>
        <v>0</v>
      </c>
      <c r="AV126" s="39">
        <f t="shared" si="32"/>
        <v>0</v>
      </c>
      <c r="AW126" s="39">
        <f t="shared" si="33"/>
        <v>0</v>
      </c>
      <c r="AX126" s="39">
        <f t="shared" si="34"/>
        <v>0</v>
      </c>
      <c r="AY126" s="39">
        <f t="shared" si="35"/>
        <v>0</v>
      </c>
      <c r="AZ126" s="39">
        <f t="shared" si="36"/>
        <v>0</v>
      </c>
      <c r="BA126" s="39">
        <f t="shared" si="37"/>
        <v>0</v>
      </c>
      <c r="BB126" s="39">
        <f t="shared" si="38"/>
        <v>0</v>
      </c>
      <c r="BC126" s="39">
        <f t="shared" si="39"/>
        <v>0</v>
      </c>
      <c r="BD126" s="39">
        <f t="shared" si="40"/>
        <v>0</v>
      </c>
      <c r="BE126" s="39">
        <f t="shared" si="41"/>
        <v>0</v>
      </c>
      <c r="BF126" s="39">
        <f t="shared" si="42"/>
        <v>0</v>
      </c>
      <c r="BG126" s="39">
        <f t="shared" si="43"/>
        <v>0</v>
      </c>
      <c r="BH126" s="84">
        <f t="shared" si="44"/>
        <v>1.04</v>
      </c>
      <c r="BI126" s="84">
        <f t="shared" si="45"/>
        <v>0</v>
      </c>
      <c r="BJ126" s="84">
        <f t="shared" si="46"/>
        <v>1.04</v>
      </c>
      <c r="BK126" s="39">
        <f t="shared" si="47"/>
        <v>33.455554373053232</v>
      </c>
      <c r="BL126" s="39">
        <f t="shared" si="48"/>
        <v>63.603074833393102</v>
      </c>
      <c r="BM126" s="39">
        <f t="shared" si="49"/>
        <v>61.199999999999989</v>
      </c>
      <c r="BN126" s="39">
        <f t="shared" si="50"/>
        <v>82.800000000000011</v>
      </c>
      <c r="BO126" s="39">
        <f t="shared" si="51"/>
        <v>79.799999999999983</v>
      </c>
      <c r="BP126" s="39">
        <f t="shared" si="52"/>
        <v>70.800000000000011</v>
      </c>
      <c r="BQ126" s="39">
        <f t="shared" si="53"/>
        <v>70.800000000000011</v>
      </c>
      <c r="BR126" s="39">
        <f t="shared" si="54"/>
        <v>70.800000000000011</v>
      </c>
      <c r="BS126" s="39">
        <f t="shared" si="55"/>
        <v>0</v>
      </c>
      <c r="BT126" s="39">
        <f t="shared" si="56"/>
        <v>0</v>
      </c>
      <c r="BU126" s="39">
        <f t="shared" si="57"/>
        <v>0</v>
      </c>
      <c r="BV126" s="39">
        <f t="shared" si="58"/>
        <v>0</v>
      </c>
      <c r="BW126" s="39">
        <f t="shared" si="59"/>
        <v>0</v>
      </c>
      <c r="BX126" s="39">
        <f t="shared" si="60"/>
        <v>0</v>
      </c>
      <c r="BY126" s="39">
        <f t="shared" si="61"/>
        <v>0</v>
      </c>
      <c r="BZ126" s="39">
        <f t="shared" si="62"/>
        <v>0</v>
      </c>
      <c r="CA126" s="39">
        <f t="shared" si="63"/>
        <v>37.515554373053234</v>
      </c>
      <c r="CB126" s="39">
        <f t="shared" si="64"/>
        <v>63.603074833393102</v>
      </c>
      <c r="CC126" s="39">
        <f t="shared" si="65"/>
        <v>61.199999999999989</v>
      </c>
      <c r="CD126" s="39">
        <f t="shared" si="66"/>
        <v>82.800000000000011</v>
      </c>
      <c r="CE126" s="39">
        <f t="shared" si="67"/>
        <v>79.799999999999983</v>
      </c>
      <c r="CF126" s="39">
        <f t="shared" si="68"/>
        <v>70.800000000000011</v>
      </c>
      <c r="CG126" s="39">
        <f t="shared" si="69"/>
        <v>70.800000000000011</v>
      </c>
      <c r="CH126" s="39">
        <f t="shared" si="70"/>
        <v>70.800000000000011</v>
      </c>
      <c r="CI126" s="39">
        <f t="shared" si="71"/>
        <v>0</v>
      </c>
      <c r="CJ126" s="39">
        <f t="shared" si="72"/>
        <v>0</v>
      </c>
      <c r="CK126" s="39">
        <f t="shared" si="73"/>
        <v>0</v>
      </c>
      <c r="CL126" s="39">
        <f t="shared" si="74"/>
        <v>0</v>
      </c>
      <c r="CM126" s="39">
        <f t="shared" si="75"/>
        <v>0</v>
      </c>
      <c r="CN126" s="39">
        <f t="shared" si="76"/>
        <v>0</v>
      </c>
      <c r="CO126" s="39">
        <f t="shared" si="77"/>
        <v>0</v>
      </c>
      <c r="CP126" s="39">
        <f t="shared" si="78"/>
        <v>0</v>
      </c>
    </row>
    <row r="127" spans="2:94" ht="16" customHeight="1" x14ac:dyDescent="0.2">
      <c r="B127" s="38"/>
      <c r="L127" s="63">
        <v>30439</v>
      </c>
      <c r="M127" s="38">
        <v>2.5</v>
      </c>
      <c r="N127" s="38">
        <v>1</v>
      </c>
      <c r="O127" s="39">
        <v>0</v>
      </c>
      <c r="P127" s="39">
        <v>0</v>
      </c>
      <c r="Q127" s="46">
        <f t="shared" si="8"/>
        <v>0.13476576816272995</v>
      </c>
      <c r="R127" s="81">
        <f t="shared" si="9"/>
        <v>0</v>
      </c>
      <c r="S127" s="82">
        <f t="shared" si="10"/>
        <v>2.5</v>
      </c>
      <c r="T127" s="39">
        <f t="shared" si="11"/>
        <v>0</v>
      </c>
      <c r="U127" s="83">
        <f t="shared" si="12"/>
        <v>0</v>
      </c>
      <c r="V127" s="84">
        <f t="shared" si="13"/>
        <v>0.8</v>
      </c>
      <c r="W127" s="52">
        <f t="shared" si="14"/>
        <v>96.118629206446343</v>
      </c>
      <c r="X127" s="52">
        <f t="shared" si="15"/>
        <v>151.20000000000005</v>
      </c>
      <c r="Y127" s="52">
        <f t="shared" si="16"/>
        <v>247.31862920644639</v>
      </c>
      <c r="Z127" s="53">
        <f t="shared" si="17"/>
        <v>0.75092679067536205</v>
      </c>
      <c r="AA127" s="53">
        <f t="shared" si="18"/>
        <v>0.90000000000000024</v>
      </c>
      <c r="AB127" s="53">
        <f t="shared" si="19"/>
        <v>0.83553590948123779</v>
      </c>
      <c r="AC127" s="39" t="str">
        <f t="shared" si="20"/>
        <v>No</v>
      </c>
      <c r="AD127" s="85">
        <f t="shared" si="21"/>
        <v>0</v>
      </c>
      <c r="AE127" s="46">
        <f t="shared" si="22"/>
        <v>1</v>
      </c>
      <c r="AF127" s="46">
        <f t="shared" si="23"/>
        <v>0</v>
      </c>
      <c r="AG127" s="39">
        <f t="shared" si="79"/>
        <v>37.515554373053234</v>
      </c>
      <c r="AH127" s="39">
        <f t="shared" si="80"/>
        <v>63.603074833393102</v>
      </c>
      <c r="AI127" s="39">
        <f t="shared" si="81"/>
        <v>61.199999999999989</v>
      </c>
      <c r="AJ127" s="39">
        <f t="shared" si="82"/>
        <v>82.800000000000011</v>
      </c>
      <c r="AK127" s="39">
        <f t="shared" si="83"/>
        <v>79.799999999999983</v>
      </c>
      <c r="AL127" s="39">
        <f t="shared" si="84"/>
        <v>70.800000000000011</v>
      </c>
      <c r="AM127" s="39">
        <f t="shared" si="85"/>
        <v>70.800000000000011</v>
      </c>
      <c r="AN127" s="39">
        <f t="shared" si="86"/>
        <v>70.800000000000011</v>
      </c>
      <c r="AO127" s="39">
        <f t="shared" si="25"/>
        <v>0</v>
      </c>
      <c r="AP127" s="39">
        <f t="shared" si="26"/>
        <v>0</v>
      </c>
      <c r="AQ127" s="39">
        <f t="shared" si="27"/>
        <v>0</v>
      </c>
      <c r="AR127" s="39">
        <f t="shared" si="28"/>
        <v>0</v>
      </c>
      <c r="AS127" s="39">
        <f t="shared" si="29"/>
        <v>0</v>
      </c>
      <c r="AT127" s="39">
        <f t="shared" si="30"/>
        <v>0</v>
      </c>
      <c r="AU127" s="39">
        <f t="shared" si="31"/>
        <v>0</v>
      </c>
      <c r="AV127" s="39">
        <f t="shared" si="32"/>
        <v>0</v>
      </c>
      <c r="AW127" s="39">
        <f t="shared" si="33"/>
        <v>0</v>
      </c>
      <c r="AX127" s="39">
        <f t="shared" si="34"/>
        <v>0</v>
      </c>
      <c r="AY127" s="39">
        <f t="shared" si="35"/>
        <v>0</v>
      </c>
      <c r="AZ127" s="39">
        <f t="shared" si="36"/>
        <v>0</v>
      </c>
      <c r="BA127" s="39">
        <f t="shared" si="37"/>
        <v>0</v>
      </c>
      <c r="BB127" s="39">
        <f t="shared" si="38"/>
        <v>0</v>
      </c>
      <c r="BC127" s="39">
        <f t="shared" si="39"/>
        <v>0</v>
      </c>
      <c r="BD127" s="39">
        <f t="shared" si="40"/>
        <v>0</v>
      </c>
      <c r="BE127" s="39">
        <f t="shared" si="41"/>
        <v>0</v>
      </c>
      <c r="BF127" s="39">
        <f t="shared" si="42"/>
        <v>0</v>
      </c>
      <c r="BG127" s="39">
        <f t="shared" si="43"/>
        <v>0</v>
      </c>
      <c r="BH127" s="84">
        <f t="shared" si="44"/>
        <v>0.8</v>
      </c>
      <c r="BI127" s="84">
        <f t="shared" si="45"/>
        <v>0</v>
      </c>
      <c r="BJ127" s="84">
        <f t="shared" si="46"/>
        <v>0.8</v>
      </c>
      <c r="BK127" s="39">
        <f t="shared" si="47"/>
        <v>36.715554373053237</v>
      </c>
      <c r="BL127" s="39">
        <f t="shared" si="48"/>
        <v>63.603074833393102</v>
      </c>
      <c r="BM127" s="39">
        <f t="shared" si="49"/>
        <v>61.199999999999989</v>
      </c>
      <c r="BN127" s="39">
        <f t="shared" si="50"/>
        <v>82.800000000000011</v>
      </c>
      <c r="BO127" s="39">
        <f t="shared" si="51"/>
        <v>79.799999999999983</v>
      </c>
      <c r="BP127" s="39">
        <f t="shared" si="52"/>
        <v>70.800000000000011</v>
      </c>
      <c r="BQ127" s="39">
        <f t="shared" si="53"/>
        <v>70.800000000000011</v>
      </c>
      <c r="BR127" s="39">
        <f t="shared" si="54"/>
        <v>70.800000000000011</v>
      </c>
      <c r="BS127" s="39">
        <f t="shared" si="55"/>
        <v>0</v>
      </c>
      <c r="BT127" s="39">
        <f t="shared" si="56"/>
        <v>0</v>
      </c>
      <c r="BU127" s="39">
        <f t="shared" si="57"/>
        <v>0</v>
      </c>
      <c r="BV127" s="39">
        <f t="shared" si="58"/>
        <v>0</v>
      </c>
      <c r="BW127" s="39">
        <f t="shared" si="59"/>
        <v>0</v>
      </c>
      <c r="BX127" s="39">
        <f t="shared" si="60"/>
        <v>0</v>
      </c>
      <c r="BY127" s="39">
        <f t="shared" si="61"/>
        <v>0</v>
      </c>
      <c r="BZ127" s="39">
        <f t="shared" si="62"/>
        <v>0</v>
      </c>
      <c r="CA127" s="39">
        <f t="shared" si="63"/>
        <v>38.41555437305324</v>
      </c>
      <c r="CB127" s="39">
        <f t="shared" si="64"/>
        <v>63.603074833393102</v>
      </c>
      <c r="CC127" s="39">
        <f t="shared" si="65"/>
        <v>61.199999999999989</v>
      </c>
      <c r="CD127" s="39">
        <f t="shared" si="66"/>
        <v>82.800000000000011</v>
      </c>
      <c r="CE127" s="39">
        <f t="shared" si="67"/>
        <v>79.799999999999983</v>
      </c>
      <c r="CF127" s="39">
        <f t="shared" si="68"/>
        <v>70.800000000000011</v>
      </c>
      <c r="CG127" s="39">
        <f t="shared" si="69"/>
        <v>70.800000000000011</v>
      </c>
      <c r="CH127" s="39">
        <f t="shared" si="70"/>
        <v>70.800000000000011</v>
      </c>
      <c r="CI127" s="39">
        <f t="shared" si="71"/>
        <v>0</v>
      </c>
      <c r="CJ127" s="39">
        <f t="shared" si="72"/>
        <v>0</v>
      </c>
      <c r="CK127" s="39">
        <f t="shared" si="73"/>
        <v>0</v>
      </c>
      <c r="CL127" s="39">
        <f t="shared" si="74"/>
        <v>0</v>
      </c>
      <c r="CM127" s="39">
        <f t="shared" si="75"/>
        <v>0</v>
      </c>
      <c r="CN127" s="39">
        <f t="shared" si="76"/>
        <v>0</v>
      </c>
      <c r="CO127" s="39">
        <f t="shared" si="77"/>
        <v>0</v>
      </c>
      <c r="CP127" s="39">
        <f t="shared" si="78"/>
        <v>0</v>
      </c>
    </row>
    <row r="128" spans="2:94" ht="16" customHeight="1" x14ac:dyDescent="0.2">
      <c r="B128" s="38"/>
      <c r="L128" s="63">
        <v>30440</v>
      </c>
      <c r="M128" s="38">
        <v>0</v>
      </c>
      <c r="N128" s="38">
        <v>2.6</v>
      </c>
      <c r="O128" s="39">
        <v>0</v>
      </c>
      <c r="P128" s="39">
        <v>0</v>
      </c>
      <c r="Q128" s="46">
        <f t="shared" ref="Q128:Q191" si="87">0.15*($D$12-MAX(AG128,$D$10))/($D$12-$D$10)</f>
        <v>0.13294144383840559</v>
      </c>
      <c r="R128" s="81">
        <f t="shared" ref="R128:R191" si="88">MAX(0,M128-Q128*$B$10)^2/(M128+$B$10*(1-Q128))</f>
        <v>0</v>
      </c>
      <c r="S128" s="82">
        <f t="shared" ref="S128:S191" si="89">M128-R128</f>
        <v>0</v>
      </c>
      <c r="T128" s="39">
        <f t="shared" ref="T128:T191" si="90">BZ128+CP128</f>
        <v>0</v>
      </c>
      <c r="U128" s="83">
        <f t="shared" ref="U128:U191" si="91">N128*P128</f>
        <v>0</v>
      </c>
      <c r="V128" s="84">
        <f t="shared" ref="V128:V191" si="92">MAX(0,N128*MAX(0,1-P128)*$B$2)</f>
        <v>2.08</v>
      </c>
      <c r="W128" s="52">
        <f t="shared" ref="W128:W191" si="93">SUM(AG128:AJ128)-SUM(D$10:G$10)</f>
        <v>97.018629206446349</v>
      </c>
      <c r="X128" s="52">
        <f t="shared" ref="X128:X191" si="94">SUM(AK128:AN128)-SUM(H$10:K$10)</f>
        <v>151.20000000000005</v>
      </c>
      <c r="Y128" s="52">
        <f t="shared" ref="Y128:Y191" si="95">X128+W128</f>
        <v>248.21862920644639</v>
      </c>
      <c r="Z128" s="53">
        <f t="shared" ref="Z128:Z191" si="96">W128/(SUM(D$11:G$11)-SUM(D$10:G$10))</f>
        <v>0.7579580406753621</v>
      </c>
      <c r="AA128" s="53">
        <f t="shared" ref="AA128:AA191" si="97">X128/(SUM(H$11:K$11)-SUM(H$10:K$10))</f>
        <v>0.90000000000000024</v>
      </c>
      <c r="AB128" s="53">
        <f t="shared" ref="AB128:AB191" si="98">Y128/(SUM(D$11:K$11)-SUM(D$10:K$10))</f>
        <v>0.83857645002177839</v>
      </c>
      <c r="AC128" s="39" t="str">
        <f t="shared" ref="AC128:AC191" si="99">IF((AJ128-G$10)/(G$11-G$10)&lt;0.3,"Si","No")</f>
        <v>No</v>
      </c>
      <c r="AD128" s="85">
        <f t="shared" ref="AD128:AD191" si="100">IF(O128&gt;0.2,O128-O127,0)</f>
        <v>0</v>
      </c>
      <c r="AE128" s="46">
        <f t="shared" ref="AE128:AE191" si="101">IF(AF127&lt;D$6,1,IF(AF127&lt;E$6,MIN(1,(AH128-E$10)/(0.3*(E$11-E$10))),IF(AF127&lt;F$6,MIN(1,(AI128-F$10)/(0.3*(F$11-F$10))),IF(AF127&lt;G$6,MIN(1,(AJ128-G$10)/(0.3*(G$11-G$10))),IF(AF127&lt;H$6,MIN(1,(AK128-H$10)/(0.3*(H$11-H$10))),IF(AF127&lt;I$6,MIN(1,(AL128-I$10)/(0.3*(I$11-I$10))),IF(AF127&lt;J$6,MIN(1,(AM128-J$10)/(0.3*(J$11-J$10))),IF(AF127&lt;K$6,MIN(1,(AN128-K$10)/(0.3*(K$11-K$10))),0))))))))</f>
        <v>1</v>
      </c>
      <c r="AF128" s="46">
        <f t="shared" ref="AF128:AF191" si="102">IF(O128&lt;0.2,0,IF(O128=0.2,0.2,AF127+AD128*AE128))</f>
        <v>0</v>
      </c>
      <c r="AG128" s="39">
        <f t="shared" si="79"/>
        <v>38.41555437305324</v>
      </c>
      <c r="AH128" s="39">
        <f t="shared" si="80"/>
        <v>63.603074833393102</v>
      </c>
      <c r="AI128" s="39">
        <f t="shared" si="81"/>
        <v>61.199999999999989</v>
      </c>
      <c r="AJ128" s="39">
        <f t="shared" si="82"/>
        <v>82.800000000000011</v>
      </c>
      <c r="AK128" s="39">
        <f t="shared" si="83"/>
        <v>79.799999999999983</v>
      </c>
      <c r="AL128" s="39">
        <f t="shared" si="84"/>
        <v>70.800000000000011</v>
      </c>
      <c r="AM128" s="39">
        <f t="shared" si="85"/>
        <v>70.800000000000011</v>
      </c>
      <c r="AN128" s="39">
        <f t="shared" si="86"/>
        <v>70.800000000000011</v>
      </c>
      <c r="AO128" s="39">
        <f t="shared" ref="AO128:AO191" si="103">MAX(0,(AG128-D$10)*$B$8*MIN(1,(AG128-D$10)/($B$9*(D$11-D$10))))*MIN(1,$AF128/D$6)</f>
        <v>0</v>
      </c>
      <c r="AP128" s="39">
        <f t="shared" ref="AP128:AP191" si="104">MAX(0,(AH128-E$10)*$B$8*MIN(1,(AH128-E$10)/($B$9*(E$11-E$10))))*MIN(1,MAX(0,($AF128-D$6))/(E$6-D$6))</f>
        <v>0</v>
      </c>
      <c r="AQ128" s="39">
        <f t="shared" ref="AQ128:AQ191" si="105">MAX(0,(AI128-F$10)*$B$8*MIN(1,(AI128-F$10)/($B$9*(F$11-F$10))))*MIN(1,MAX(0,($AF128-E$6))/(F$6-E$6))</f>
        <v>0</v>
      </c>
      <c r="AR128" s="39">
        <f t="shared" ref="AR128:AR191" si="106">MAX(0,(AJ128-G$10)*$B$8*MIN(1,(AJ128-G$10)/($B$9*(G$11-G$10))))*MIN(1,MAX(0,($AF128-F$6))/(G$6-F$6))</f>
        <v>0</v>
      </c>
      <c r="AS128" s="39">
        <f t="shared" ref="AS128:AS191" si="107">MAX(0,(AK128-H$10)*$B$8*MIN(1,(AK128-H$10)/($B$9*(H$11-H$10))))*MIN(1,MAX(0,($AF128-G$6))/(H$6-G$6))</f>
        <v>0</v>
      </c>
      <c r="AT128" s="39">
        <f t="shared" ref="AT128:AT191" si="108">MAX(0,(AL128-I$10)*$B$8*MIN(1,(AL128-I$10)/($B$9*(I$11-I$10))))*MIN(1,MAX(0,($AF128-H$6))/(I$6-H$6))</f>
        <v>0</v>
      </c>
      <c r="AU128" s="39">
        <f t="shared" ref="AU128:AU191" si="109">MAX(0,(AM128-J$10)*$B$8*MIN(1,(AM128-J$10)/($B$9*(J$11-J$10))))*MIN(1,MAX(0,($AF128-I$6))/(J$6-I$6))</f>
        <v>0</v>
      </c>
      <c r="AV128" s="39">
        <f t="shared" ref="AV128:AV191" si="110">MAX(0,(AN128-K$10)*$B$8*MIN(1,(AN128-K$10)/($B$9*(K$11-K$10))))*MIN(1,MAX(0,($AF128-J$6))/(K$6-J$6))</f>
        <v>0</v>
      </c>
      <c r="AW128" s="39">
        <f t="shared" ref="AW128:AW191" si="111">SUM(AO128:AV128)</f>
        <v>0</v>
      </c>
      <c r="AX128" s="39">
        <f t="shared" ref="AX128:AX191" si="112">MIN(U128,AW128+S128)</f>
        <v>0</v>
      </c>
      <c r="AY128" s="39">
        <f t="shared" ref="AY128:AY191" si="113">MAX(0,AX128-S128)</f>
        <v>0</v>
      </c>
      <c r="AZ128" s="39">
        <f t="shared" ref="AZ128:AZ191" si="114">IF($AW128&gt;0,$AY128*(AO128/$AW128),0)</f>
        <v>0</v>
      </c>
      <c r="BA128" s="39">
        <f t="shared" ref="BA128:BA191" si="115">IF($AW128&gt;0,$AY128*(AP128/$AW128),0)</f>
        <v>0</v>
      </c>
      <c r="BB128" s="39">
        <f t="shared" ref="BB128:BB191" si="116">IF($AW128&gt;0,$AY128*(AQ128/$AW128),0)</f>
        <v>0</v>
      </c>
      <c r="BC128" s="39">
        <f t="shared" ref="BC128:BC191" si="117">IF($AW128&gt;0,$AY128*(AR128/$AW128),0)</f>
        <v>0</v>
      </c>
      <c r="BD128" s="39">
        <f t="shared" ref="BD128:BD191" si="118">IF($AW128&gt;0,$AY128*(AS128/$AW128),0)</f>
        <v>0</v>
      </c>
      <c r="BE128" s="39">
        <f t="shared" ref="BE128:BE191" si="119">IF($AW128&gt;0,$AY128*(AT128/$AW128),0)</f>
        <v>0</v>
      </c>
      <c r="BF128" s="39">
        <f t="shared" ref="BF128:BF191" si="120">IF($AW128&gt;0,$AY128*(AU128/$AW128),0)</f>
        <v>0</v>
      </c>
      <c r="BG128" s="39">
        <f t="shared" ref="BG128:BG191" si="121">IF($AW128&gt;0,$AY128*(AV128/$AW128),0)</f>
        <v>0</v>
      </c>
      <c r="BH128" s="84">
        <f t="shared" ref="BH128:BH191" si="122">MIN(V128,MAX(0,(AG128-(D$11-$B$5*$B$2)))+MAX(0,S128-AX128))</f>
        <v>0</v>
      </c>
      <c r="BI128" s="84">
        <f t="shared" ref="BI128:BI191" si="123">V128-BH128</f>
        <v>2.08</v>
      </c>
      <c r="BJ128" s="84">
        <f t="shared" ref="BJ128:BJ191" si="124">BH128+MIN(BI128,BI128*((S128+AG128-AZ128-BH128-D$10*0.5)/(D$11-$B$5*$B$2-D$10*0.5))^4)</f>
        <v>0.28166435742096418</v>
      </c>
      <c r="BK128" s="39">
        <f t="shared" ref="BK128:BK191" si="125">AG128-AZ128-BJ128</f>
        <v>38.133890015632275</v>
      </c>
      <c r="BL128" s="39">
        <f t="shared" ref="BL128:BL191" si="126">AH128-BA128</f>
        <v>63.603074833393102</v>
      </c>
      <c r="BM128" s="39">
        <f t="shared" ref="BM128:BM191" si="127">AI128-BB128</f>
        <v>61.199999999999989</v>
      </c>
      <c r="BN128" s="39">
        <f t="shared" ref="BN128:BN191" si="128">AJ128-BC128</f>
        <v>82.800000000000011</v>
      </c>
      <c r="BO128" s="39">
        <f t="shared" ref="BO128:BO191" si="129">AK128-BD128</f>
        <v>79.799999999999983</v>
      </c>
      <c r="BP128" s="39">
        <f t="shared" ref="BP128:BP191" si="130">AL128-BE128</f>
        <v>70.800000000000011</v>
      </c>
      <c r="BQ128" s="39">
        <f t="shared" ref="BQ128:BQ191" si="131">AM128-BF128</f>
        <v>70.800000000000011</v>
      </c>
      <c r="BR128" s="39">
        <f t="shared" ref="BR128:BR191" si="132">AN128-BG128</f>
        <v>70.800000000000011</v>
      </c>
      <c r="BS128" s="39">
        <f t="shared" ref="BS128:BS191" si="133">MAX(0,(BK128-D$11)*$B$6)</f>
        <v>0</v>
      </c>
      <c r="BT128" s="39">
        <f t="shared" ref="BT128:BT191" si="134">MAX(0,(BL128-E$11)*$B$6)</f>
        <v>0</v>
      </c>
      <c r="BU128" s="39">
        <f t="shared" ref="BU128:BU191" si="135">MAX(0,(BM128-F$11)*$B$6)</f>
        <v>0</v>
      </c>
      <c r="BV128" s="39">
        <f t="shared" ref="BV128:BV191" si="136">MAX(0,(BN128-G$11)*$B$6)</f>
        <v>0</v>
      </c>
      <c r="BW128" s="39">
        <f t="shared" ref="BW128:BW191" si="137">MAX(0,(BO128-H$11)*$B$6)</f>
        <v>0</v>
      </c>
      <c r="BX128" s="39">
        <f t="shared" ref="BX128:BX191" si="138">MAX(0,(BP128-I$11)*$B$6)</f>
        <v>0</v>
      </c>
      <c r="BY128" s="39">
        <f t="shared" ref="BY128:BY191" si="139">MAX(0,(BQ128-J$11)*$B$6)</f>
        <v>0</v>
      </c>
      <c r="BZ128" s="39">
        <f t="shared" ref="BZ128:BZ191" si="140">MAX(0,(BR128-K$11)*$B$6)</f>
        <v>0</v>
      </c>
      <c r="CA128" s="39">
        <f t="shared" ref="CA128:CA191" si="141">BK128-BS128+MAX(0,S128-AY128-BJ128)</f>
        <v>38.133890015632275</v>
      </c>
      <c r="CB128" s="39">
        <f t="shared" ref="CB128:CB191" si="142">BL128-BT128+BS128+CI128</f>
        <v>63.603074833393102</v>
      </c>
      <c r="CC128" s="39">
        <f t="shared" ref="CC128:CC191" si="143">BM128-BU128+BT128+CJ128</f>
        <v>61.199999999999989</v>
      </c>
      <c r="CD128" s="39">
        <f t="shared" ref="CD128:CD191" si="144">BN128-BV128+BU128+CK128</f>
        <v>82.800000000000011</v>
      </c>
      <c r="CE128" s="39">
        <f t="shared" ref="CE128:CE191" si="145">BO128-BW128+BV128+CL128</f>
        <v>79.799999999999983</v>
      </c>
      <c r="CF128" s="39">
        <f t="shared" ref="CF128:CF191" si="146">BP128-BX128+BW128+CM128</f>
        <v>70.800000000000011</v>
      </c>
      <c r="CG128" s="39">
        <f t="shared" ref="CG128:CG191" si="147">BQ128-BY128+BX128+CN128</f>
        <v>70.800000000000011</v>
      </c>
      <c r="CH128" s="39">
        <f t="shared" ref="CH128:CH191" si="148">BR128-BZ128+BY128+CO128</f>
        <v>70.800000000000011</v>
      </c>
      <c r="CI128" s="39">
        <f t="shared" ref="CI128:CI191" si="149">MAX(0,CA128-D$12)</f>
        <v>0</v>
      </c>
      <c r="CJ128" s="39">
        <f t="shared" ref="CJ128:CJ191" si="150">MAX(0,CB128-E$12)</f>
        <v>0</v>
      </c>
      <c r="CK128" s="39">
        <f t="shared" ref="CK128:CK191" si="151">MAX(0,CC128-F$12)</f>
        <v>0</v>
      </c>
      <c r="CL128" s="39">
        <f t="shared" ref="CL128:CL191" si="152">MAX(0,CD128-G$12)</f>
        <v>0</v>
      </c>
      <c r="CM128" s="39">
        <f t="shared" ref="CM128:CM191" si="153">MAX(0,CE128-H$12)</f>
        <v>0</v>
      </c>
      <c r="CN128" s="39">
        <f t="shared" ref="CN128:CN191" si="154">MAX(0,CF128-I$12)</f>
        <v>0</v>
      </c>
      <c r="CO128" s="39">
        <f t="shared" ref="CO128:CO191" si="155">MAX(0,CG128-J$12)</f>
        <v>0</v>
      </c>
      <c r="CP128" s="39">
        <f t="shared" ref="CP128:CP191" si="156">MAX(0,CH128-K$12)</f>
        <v>0</v>
      </c>
    </row>
    <row r="129" spans="2:94" ht="16" customHeight="1" x14ac:dyDescent="0.2">
      <c r="B129" s="38"/>
      <c r="L129" s="63">
        <v>30441</v>
      </c>
      <c r="M129" s="38">
        <v>0</v>
      </c>
      <c r="N129" s="38">
        <v>2.2999999999999998</v>
      </c>
      <c r="O129" s="39">
        <v>0</v>
      </c>
      <c r="P129" s="39">
        <v>0</v>
      </c>
      <c r="Q129" s="46">
        <f t="shared" si="87"/>
        <v>0.13351238510344807</v>
      </c>
      <c r="R129" s="81">
        <f t="shared" si="88"/>
        <v>0</v>
      </c>
      <c r="S129" s="82">
        <f t="shared" si="89"/>
        <v>0</v>
      </c>
      <c r="T129" s="39">
        <f t="shared" si="90"/>
        <v>0</v>
      </c>
      <c r="U129" s="83">
        <f t="shared" si="91"/>
        <v>0</v>
      </c>
      <c r="V129" s="84">
        <f t="shared" si="92"/>
        <v>1.8399999999999999</v>
      </c>
      <c r="W129" s="52">
        <f t="shared" si="93"/>
        <v>96.736964849025384</v>
      </c>
      <c r="X129" s="52">
        <f t="shared" si="94"/>
        <v>151.20000000000005</v>
      </c>
      <c r="Y129" s="52">
        <f t="shared" si="95"/>
        <v>247.93696484902543</v>
      </c>
      <c r="Z129" s="53">
        <f t="shared" si="96"/>
        <v>0.75575753788301081</v>
      </c>
      <c r="AA129" s="53">
        <f t="shared" si="97"/>
        <v>0.90000000000000024</v>
      </c>
      <c r="AB129" s="53">
        <f t="shared" si="98"/>
        <v>0.83762488124670753</v>
      </c>
      <c r="AC129" s="39" t="str">
        <f t="shared" si="99"/>
        <v>No</v>
      </c>
      <c r="AD129" s="85">
        <f t="shared" si="100"/>
        <v>0</v>
      </c>
      <c r="AE129" s="46">
        <f t="shared" si="101"/>
        <v>1</v>
      </c>
      <c r="AF129" s="46">
        <f t="shared" si="102"/>
        <v>0</v>
      </c>
      <c r="AG129" s="39">
        <f t="shared" ref="AG129:AG192" si="157">MIN(D$12,CA128)</f>
        <v>38.133890015632275</v>
      </c>
      <c r="AH129" s="39">
        <f t="shared" ref="AH129:AH192" si="158">MIN(E$12,CB128)</f>
        <v>63.603074833393102</v>
      </c>
      <c r="AI129" s="39">
        <f t="shared" ref="AI129:AI192" si="159">MIN(F$12,CC128)</f>
        <v>61.199999999999989</v>
      </c>
      <c r="AJ129" s="39">
        <f t="shared" ref="AJ129:AJ192" si="160">MIN(G$12,CD128)</f>
        <v>82.800000000000011</v>
      </c>
      <c r="AK129" s="39">
        <f t="shared" ref="AK129:AK192" si="161">MIN(H$12,CE128)</f>
        <v>79.799999999999983</v>
      </c>
      <c r="AL129" s="39">
        <f t="shared" ref="AL129:AL192" si="162">MIN(I$12,CF128)</f>
        <v>70.800000000000011</v>
      </c>
      <c r="AM129" s="39">
        <f t="shared" ref="AM129:AM192" si="163">MIN(J$12,CG128)</f>
        <v>70.800000000000011</v>
      </c>
      <c r="AN129" s="39">
        <f t="shared" ref="AN129:AN192" si="164">MIN(K$12,CH128)</f>
        <v>70.800000000000011</v>
      </c>
      <c r="AO129" s="39">
        <f t="shared" si="103"/>
        <v>0</v>
      </c>
      <c r="AP129" s="39">
        <f t="shared" si="104"/>
        <v>0</v>
      </c>
      <c r="AQ129" s="39">
        <f t="shared" si="105"/>
        <v>0</v>
      </c>
      <c r="AR129" s="39">
        <f t="shared" si="106"/>
        <v>0</v>
      </c>
      <c r="AS129" s="39">
        <f t="shared" si="107"/>
        <v>0</v>
      </c>
      <c r="AT129" s="39">
        <f t="shared" si="108"/>
        <v>0</v>
      </c>
      <c r="AU129" s="39">
        <f t="shared" si="109"/>
        <v>0</v>
      </c>
      <c r="AV129" s="39">
        <f t="shared" si="110"/>
        <v>0</v>
      </c>
      <c r="AW129" s="39">
        <f t="shared" si="111"/>
        <v>0</v>
      </c>
      <c r="AX129" s="39">
        <f t="shared" si="112"/>
        <v>0</v>
      </c>
      <c r="AY129" s="39">
        <f t="shared" si="113"/>
        <v>0</v>
      </c>
      <c r="AZ129" s="39">
        <f t="shared" si="114"/>
        <v>0</v>
      </c>
      <c r="BA129" s="39">
        <f t="shared" si="115"/>
        <v>0</v>
      </c>
      <c r="BB129" s="39">
        <f t="shared" si="116"/>
        <v>0</v>
      </c>
      <c r="BC129" s="39">
        <f t="shared" si="117"/>
        <v>0</v>
      </c>
      <c r="BD129" s="39">
        <f t="shared" si="118"/>
        <v>0</v>
      </c>
      <c r="BE129" s="39">
        <f t="shared" si="119"/>
        <v>0</v>
      </c>
      <c r="BF129" s="39">
        <f t="shared" si="120"/>
        <v>0</v>
      </c>
      <c r="BG129" s="39">
        <f t="shared" si="121"/>
        <v>0</v>
      </c>
      <c r="BH129" s="84">
        <f t="shared" si="122"/>
        <v>0</v>
      </c>
      <c r="BI129" s="84">
        <f t="shared" si="123"/>
        <v>1.8399999999999999</v>
      </c>
      <c r="BJ129" s="84">
        <f t="shared" si="124"/>
        <v>0.23739046456234067</v>
      </c>
      <c r="BK129" s="39">
        <f t="shared" si="125"/>
        <v>37.896499551069937</v>
      </c>
      <c r="BL129" s="39">
        <f t="shared" si="126"/>
        <v>63.603074833393102</v>
      </c>
      <c r="BM129" s="39">
        <f t="shared" si="127"/>
        <v>61.199999999999989</v>
      </c>
      <c r="BN129" s="39">
        <f t="shared" si="128"/>
        <v>82.800000000000011</v>
      </c>
      <c r="BO129" s="39">
        <f t="shared" si="129"/>
        <v>79.799999999999983</v>
      </c>
      <c r="BP129" s="39">
        <f t="shared" si="130"/>
        <v>70.800000000000011</v>
      </c>
      <c r="BQ129" s="39">
        <f t="shared" si="131"/>
        <v>70.800000000000011</v>
      </c>
      <c r="BR129" s="39">
        <f t="shared" si="132"/>
        <v>70.800000000000011</v>
      </c>
      <c r="BS129" s="39">
        <f t="shared" si="133"/>
        <v>0</v>
      </c>
      <c r="BT129" s="39">
        <f t="shared" si="134"/>
        <v>0</v>
      </c>
      <c r="BU129" s="39">
        <f t="shared" si="135"/>
        <v>0</v>
      </c>
      <c r="BV129" s="39">
        <f t="shared" si="136"/>
        <v>0</v>
      </c>
      <c r="BW129" s="39">
        <f t="shared" si="137"/>
        <v>0</v>
      </c>
      <c r="BX129" s="39">
        <f t="shared" si="138"/>
        <v>0</v>
      </c>
      <c r="BY129" s="39">
        <f t="shared" si="139"/>
        <v>0</v>
      </c>
      <c r="BZ129" s="39">
        <f t="shared" si="140"/>
        <v>0</v>
      </c>
      <c r="CA129" s="39">
        <f t="shared" si="141"/>
        <v>37.896499551069937</v>
      </c>
      <c r="CB129" s="39">
        <f t="shared" si="142"/>
        <v>63.603074833393102</v>
      </c>
      <c r="CC129" s="39">
        <f t="shared" si="143"/>
        <v>61.199999999999989</v>
      </c>
      <c r="CD129" s="39">
        <f t="shared" si="144"/>
        <v>82.800000000000011</v>
      </c>
      <c r="CE129" s="39">
        <f t="shared" si="145"/>
        <v>79.799999999999983</v>
      </c>
      <c r="CF129" s="39">
        <f t="shared" si="146"/>
        <v>70.800000000000011</v>
      </c>
      <c r="CG129" s="39">
        <f t="shared" si="147"/>
        <v>70.800000000000011</v>
      </c>
      <c r="CH129" s="39">
        <f t="shared" si="148"/>
        <v>70.800000000000011</v>
      </c>
      <c r="CI129" s="39">
        <f t="shared" si="149"/>
        <v>0</v>
      </c>
      <c r="CJ129" s="39">
        <f t="shared" si="150"/>
        <v>0</v>
      </c>
      <c r="CK129" s="39">
        <f t="shared" si="151"/>
        <v>0</v>
      </c>
      <c r="CL129" s="39">
        <f t="shared" si="152"/>
        <v>0</v>
      </c>
      <c r="CM129" s="39">
        <f t="shared" si="153"/>
        <v>0</v>
      </c>
      <c r="CN129" s="39">
        <f t="shared" si="154"/>
        <v>0</v>
      </c>
      <c r="CO129" s="39">
        <f t="shared" si="155"/>
        <v>0</v>
      </c>
      <c r="CP129" s="39">
        <f t="shared" si="156"/>
        <v>0</v>
      </c>
    </row>
    <row r="130" spans="2:94" ht="16" customHeight="1" x14ac:dyDescent="0.2">
      <c r="B130" s="38"/>
      <c r="L130" s="63">
        <v>30442</v>
      </c>
      <c r="M130" s="38">
        <v>0</v>
      </c>
      <c r="N130" s="38">
        <v>1.7</v>
      </c>
      <c r="O130" s="39">
        <v>0</v>
      </c>
      <c r="P130" s="39">
        <v>0</v>
      </c>
      <c r="Q130" s="46">
        <f t="shared" si="87"/>
        <v>0.13399358199107445</v>
      </c>
      <c r="R130" s="81">
        <f t="shared" si="88"/>
        <v>0</v>
      </c>
      <c r="S130" s="82">
        <f t="shared" si="89"/>
        <v>0</v>
      </c>
      <c r="T130" s="39">
        <f t="shared" si="90"/>
        <v>0</v>
      </c>
      <c r="U130" s="83">
        <f t="shared" si="91"/>
        <v>0</v>
      </c>
      <c r="V130" s="84">
        <f t="shared" si="92"/>
        <v>1.36</v>
      </c>
      <c r="W130" s="52">
        <f t="shared" si="93"/>
        <v>96.499574384463045</v>
      </c>
      <c r="X130" s="52">
        <f t="shared" si="94"/>
        <v>151.20000000000005</v>
      </c>
      <c r="Y130" s="52">
        <f t="shared" si="95"/>
        <v>247.69957438446309</v>
      </c>
      <c r="Z130" s="53">
        <f t="shared" si="96"/>
        <v>0.75390292487861754</v>
      </c>
      <c r="AA130" s="53">
        <f t="shared" si="97"/>
        <v>0.90000000000000024</v>
      </c>
      <c r="AB130" s="53">
        <f t="shared" si="98"/>
        <v>0.83682288643399694</v>
      </c>
      <c r="AC130" s="39" t="str">
        <f t="shared" si="99"/>
        <v>No</v>
      </c>
      <c r="AD130" s="85">
        <f t="shared" si="100"/>
        <v>0</v>
      </c>
      <c r="AE130" s="46">
        <f t="shared" si="101"/>
        <v>1</v>
      </c>
      <c r="AF130" s="46">
        <f t="shared" si="102"/>
        <v>0</v>
      </c>
      <c r="AG130" s="39">
        <f t="shared" si="157"/>
        <v>37.896499551069937</v>
      </c>
      <c r="AH130" s="39">
        <f t="shared" si="158"/>
        <v>63.603074833393102</v>
      </c>
      <c r="AI130" s="39">
        <f t="shared" si="159"/>
        <v>61.199999999999989</v>
      </c>
      <c r="AJ130" s="39">
        <f t="shared" si="160"/>
        <v>82.800000000000011</v>
      </c>
      <c r="AK130" s="39">
        <f t="shared" si="161"/>
        <v>79.799999999999983</v>
      </c>
      <c r="AL130" s="39">
        <f t="shared" si="162"/>
        <v>70.800000000000011</v>
      </c>
      <c r="AM130" s="39">
        <f t="shared" si="163"/>
        <v>70.800000000000011</v>
      </c>
      <c r="AN130" s="39">
        <f t="shared" si="164"/>
        <v>70.800000000000011</v>
      </c>
      <c r="AO130" s="39">
        <f t="shared" si="103"/>
        <v>0</v>
      </c>
      <c r="AP130" s="39">
        <f t="shared" si="104"/>
        <v>0</v>
      </c>
      <c r="AQ130" s="39">
        <f t="shared" si="105"/>
        <v>0</v>
      </c>
      <c r="AR130" s="39">
        <f t="shared" si="106"/>
        <v>0</v>
      </c>
      <c r="AS130" s="39">
        <f t="shared" si="107"/>
        <v>0</v>
      </c>
      <c r="AT130" s="39">
        <f t="shared" si="108"/>
        <v>0</v>
      </c>
      <c r="AU130" s="39">
        <f t="shared" si="109"/>
        <v>0</v>
      </c>
      <c r="AV130" s="39">
        <f t="shared" si="110"/>
        <v>0</v>
      </c>
      <c r="AW130" s="39">
        <f t="shared" si="111"/>
        <v>0</v>
      </c>
      <c r="AX130" s="39">
        <f t="shared" si="112"/>
        <v>0</v>
      </c>
      <c r="AY130" s="39">
        <f t="shared" si="113"/>
        <v>0</v>
      </c>
      <c r="AZ130" s="39">
        <f t="shared" si="114"/>
        <v>0</v>
      </c>
      <c r="BA130" s="39">
        <f t="shared" si="115"/>
        <v>0</v>
      </c>
      <c r="BB130" s="39">
        <f t="shared" si="116"/>
        <v>0</v>
      </c>
      <c r="BC130" s="39">
        <f t="shared" si="117"/>
        <v>0</v>
      </c>
      <c r="BD130" s="39">
        <f t="shared" si="118"/>
        <v>0</v>
      </c>
      <c r="BE130" s="39">
        <f t="shared" si="119"/>
        <v>0</v>
      </c>
      <c r="BF130" s="39">
        <f t="shared" si="120"/>
        <v>0</v>
      </c>
      <c r="BG130" s="39">
        <f t="shared" si="121"/>
        <v>0</v>
      </c>
      <c r="BH130" s="84">
        <f t="shared" si="122"/>
        <v>0</v>
      </c>
      <c r="BI130" s="84">
        <f t="shared" si="123"/>
        <v>1.36</v>
      </c>
      <c r="BJ130" s="84">
        <f t="shared" si="124"/>
        <v>0.16837052153607304</v>
      </c>
      <c r="BK130" s="39">
        <f t="shared" si="125"/>
        <v>37.728129029533861</v>
      </c>
      <c r="BL130" s="39">
        <f t="shared" si="126"/>
        <v>63.603074833393102</v>
      </c>
      <c r="BM130" s="39">
        <f t="shared" si="127"/>
        <v>61.199999999999989</v>
      </c>
      <c r="BN130" s="39">
        <f t="shared" si="128"/>
        <v>82.800000000000011</v>
      </c>
      <c r="BO130" s="39">
        <f t="shared" si="129"/>
        <v>79.799999999999983</v>
      </c>
      <c r="BP130" s="39">
        <f t="shared" si="130"/>
        <v>70.800000000000011</v>
      </c>
      <c r="BQ130" s="39">
        <f t="shared" si="131"/>
        <v>70.800000000000011</v>
      </c>
      <c r="BR130" s="39">
        <f t="shared" si="132"/>
        <v>70.800000000000011</v>
      </c>
      <c r="BS130" s="39">
        <f t="shared" si="133"/>
        <v>0</v>
      </c>
      <c r="BT130" s="39">
        <f t="shared" si="134"/>
        <v>0</v>
      </c>
      <c r="BU130" s="39">
        <f t="shared" si="135"/>
        <v>0</v>
      </c>
      <c r="BV130" s="39">
        <f t="shared" si="136"/>
        <v>0</v>
      </c>
      <c r="BW130" s="39">
        <f t="shared" si="137"/>
        <v>0</v>
      </c>
      <c r="BX130" s="39">
        <f t="shared" si="138"/>
        <v>0</v>
      </c>
      <c r="BY130" s="39">
        <f t="shared" si="139"/>
        <v>0</v>
      </c>
      <c r="BZ130" s="39">
        <f t="shared" si="140"/>
        <v>0</v>
      </c>
      <c r="CA130" s="39">
        <f t="shared" si="141"/>
        <v>37.728129029533861</v>
      </c>
      <c r="CB130" s="39">
        <f t="shared" si="142"/>
        <v>63.603074833393102</v>
      </c>
      <c r="CC130" s="39">
        <f t="shared" si="143"/>
        <v>61.199999999999989</v>
      </c>
      <c r="CD130" s="39">
        <f t="shared" si="144"/>
        <v>82.800000000000011</v>
      </c>
      <c r="CE130" s="39">
        <f t="shared" si="145"/>
        <v>79.799999999999983</v>
      </c>
      <c r="CF130" s="39">
        <f t="shared" si="146"/>
        <v>70.800000000000011</v>
      </c>
      <c r="CG130" s="39">
        <f t="shared" si="147"/>
        <v>70.800000000000011</v>
      </c>
      <c r="CH130" s="39">
        <f t="shared" si="148"/>
        <v>70.800000000000011</v>
      </c>
      <c r="CI130" s="39">
        <f t="shared" si="149"/>
        <v>0</v>
      </c>
      <c r="CJ130" s="39">
        <f t="shared" si="150"/>
        <v>0</v>
      </c>
      <c r="CK130" s="39">
        <f t="shared" si="151"/>
        <v>0</v>
      </c>
      <c r="CL130" s="39">
        <f t="shared" si="152"/>
        <v>0</v>
      </c>
      <c r="CM130" s="39">
        <f t="shared" si="153"/>
        <v>0</v>
      </c>
      <c r="CN130" s="39">
        <f t="shared" si="154"/>
        <v>0</v>
      </c>
      <c r="CO130" s="39">
        <f t="shared" si="155"/>
        <v>0</v>
      </c>
      <c r="CP130" s="39">
        <f t="shared" si="156"/>
        <v>0</v>
      </c>
    </row>
    <row r="131" spans="2:94" ht="16" customHeight="1" x14ac:dyDescent="0.2">
      <c r="B131" s="38"/>
      <c r="L131" s="63">
        <v>30443</v>
      </c>
      <c r="M131" s="38">
        <v>0</v>
      </c>
      <c r="N131" s="38">
        <v>1.1000000000000001</v>
      </c>
      <c r="O131" s="39">
        <v>0</v>
      </c>
      <c r="P131" s="39">
        <v>0</v>
      </c>
      <c r="Q131" s="46">
        <f t="shared" si="87"/>
        <v>0.13433487358878271</v>
      </c>
      <c r="R131" s="81">
        <f t="shared" si="88"/>
        <v>0</v>
      </c>
      <c r="S131" s="82">
        <f t="shared" si="89"/>
        <v>0</v>
      </c>
      <c r="T131" s="39">
        <f t="shared" si="90"/>
        <v>0</v>
      </c>
      <c r="U131" s="83">
        <f t="shared" si="91"/>
        <v>0</v>
      </c>
      <c r="V131" s="84">
        <f t="shared" si="92"/>
        <v>0.88000000000000012</v>
      </c>
      <c r="W131" s="52">
        <f t="shared" si="93"/>
        <v>96.331203862926969</v>
      </c>
      <c r="X131" s="52">
        <f t="shared" si="94"/>
        <v>151.20000000000005</v>
      </c>
      <c r="Y131" s="52">
        <f t="shared" si="95"/>
        <v>247.53120386292701</v>
      </c>
      <c r="Z131" s="53">
        <f t="shared" si="96"/>
        <v>0.75258753017911695</v>
      </c>
      <c r="AA131" s="53">
        <f t="shared" si="97"/>
        <v>0.90000000000000024</v>
      </c>
      <c r="AB131" s="53">
        <f t="shared" si="98"/>
        <v>0.83625406710448313</v>
      </c>
      <c r="AC131" s="39" t="str">
        <f t="shared" si="99"/>
        <v>No</v>
      </c>
      <c r="AD131" s="85">
        <f t="shared" si="100"/>
        <v>0</v>
      </c>
      <c r="AE131" s="46">
        <f t="shared" si="101"/>
        <v>1</v>
      </c>
      <c r="AF131" s="46">
        <f t="shared" si="102"/>
        <v>0</v>
      </c>
      <c r="AG131" s="39">
        <f t="shared" si="157"/>
        <v>37.728129029533861</v>
      </c>
      <c r="AH131" s="39">
        <f t="shared" si="158"/>
        <v>63.603074833393102</v>
      </c>
      <c r="AI131" s="39">
        <f t="shared" si="159"/>
        <v>61.199999999999989</v>
      </c>
      <c r="AJ131" s="39">
        <f t="shared" si="160"/>
        <v>82.800000000000011</v>
      </c>
      <c r="AK131" s="39">
        <f t="shared" si="161"/>
        <v>79.799999999999983</v>
      </c>
      <c r="AL131" s="39">
        <f t="shared" si="162"/>
        <v>70.800000000000011</v>
      </c>
      <c r="AM131" s="39">
        <f t="shared" si="163"/>
        <v>70.800000000000011</v>
      </c>
      <c r="AN131" s="39">
        <f t="shared" si="164"/>
        <v>70.800000000000011</v>
      </c>
      <c r="AO131" s="39">
        <f t="shared" si="103"/>
        <v>0</v>
      </c>
      <c r="AP131" s="39">
        <f t="shared" si="104"/>
        <v>0</v>
      </c>
      <c r="AQ131" s="39">
        <f t="shared" si="105"/>
        <v>0</v>
      </c>
      <c r="AR131" s="39">
        <f t="shared" si="106"/>
        <v>0</v>
      </c>
      <c r="AS131" s="39">
        <f t="shared" si="107"/>
        <v>0</v>
      </c>
      <c r="AT131" s="39">
        <f t="shared" si="108"/>
        <v>0</v>
      </c>
      <c r="AU131" s="39">
        <f t="shared" si="109"/>
        <v>0</v>
      </c>
      <c r="AV131" s="39">
        <f t="shared" si="110"/>
        <v>0</v>
      </c>
      <c r="AW131" s="39">
        <f t="shared" si="111"/>
        <v>0</v>
      </c>
      <c r="AX131" s="39">
        <f t="shared" si="112"/>
        <v>0</v>
      </c>
      <c r="AY131" s="39">
        <f t="shared" si="113"/>
        <v>0</v>
      </c>
      <c r="AZ131" s="39">
        <f t="shared" si="114"/>
        <v>0</v>
      </c>
      <c r="BA131" s="39">
        <f t="shared" si="115"/>
        <v>0</v>
      </c>
      <c r="BB131" s="39">
        <f t="shared" si="116"/>
        <v>0</v>
      </c>
      <c r="BC131" s="39">
        <f t="shared" si="117"/>
        <v>0</v>
      </c>
      <c r="BD131" s="39">
        <f t="shared" si="118"/>
        <v>0</v>
      </c>
      <c r="BE131" s="39">
        <f t="shared" si="119"/>
        <v>0</v>
      </c>
      <c r="BF131" s="39">
        <f t="shared" si="120"/>
        <v>0</v>
      </c>
      <c r="BG131" s="39">
        <f t="shared" si="121"/>
        <v>0</v>
      </c>
      <c r="BH131" s="84">
        <f t="shared" si="122"/>
        <v>0</v>
      </c>
      <c r="BI131" s="84">
        <f t="shared" si="123"/>
        <v>0.88000000000000012</v>
      </c>
      <c r="BJ131" s="84">
        <f t="shared" si="124"/>
        <v>0.10577625784118928</v>
      </c>
      <c r="BK131" s="39">
        <f t="shared" si="125"/>
        <v>37.622352771692668</v>
      </c>
      <c r="BL131" s="39">
        <f t="shared" si="126"/>
        <v>63.603074833393102</v>
      </c>
      <c r="BM131" s="39">
        <f t="shared" si="127"/>
        <v>61.199999999999989</v>
      </c>
      <c r="BN131" s="39">
        <f t="shared" si="128"/>
        <v>82.800000000000011</v>
      </c>
      <c r="BO131" s="39">
        <f t="shared" si="129"/>
        <v>79.799999999999983</v>
      </c>
      <c r="BP131" s="39">
        <f t="shared" si="130"/>
        <v>70.800000000000011</v>
      </c>
      <c r="BQ131" s="39">
        <f t="shared" si="131"/>
        <v>70.800000000000011</v>
      </c>
      <c r="BR131" s="39">
        <f t="shared" si="132"/>
        <v>70.800000000000011</v>
      </c>
      <c r="BS131" s="39">
        <f t="shared" si="133"/>
        <v>0</v>
      </c>
      <c r="BT131" s="39">
        <f t="shared" si="134"/>
        <v>0</v>
      </c>
      <c r="BU131" s="39">
        <f t="shared" si="135"/>
        <v>0</v>
      </c>
      <c r="BV131" s="39">
        <f t="shared" si="136"/>
        <v>0</v>
      </c>
      <c r="BW131" s="39">
        <f t="shared" si="137"/>
        <v>0</v>
      </c>
      <c r="BX131" s="39">
        <f t="shared" si="138"/>
        <v>0</v>
      </c>
      <c r="BY131" s="39">
        <f t="shared" si="139"/>
        <v>0</v>
      </c>
      <c r="BZ131" s="39">
        <f t="shared" si="140"/>
        <v>0</v>
      </c>
      <c r="CA131" s="39">
        <f t="shared" si="141"/>
        <v>37.622352771692668</v>
      </c>
      <c r="CB131" s="39">
        <f t="shared" si="142"/>
        <v>63.603074833393102</v>
      </c>
      <c r="CC131" s="39">
        <f t="shared" si="143"/>
        <v>61.199999999999989</v>
      </c>
      <c r="CD131" s="39">
        <f t="shared" si="144"/>
        <v>82.800000000000011</v>
      </c>
      <c r="CE131" s="39">
        <f t="shared" si="145"/>
        <v>79.799999999999983</v>
      </c>
      <c r="CF131" s="39">
        <f t="shared" si="146"/>
        <v>70.800000000000011</v>
      </c>
      <c r="CG131" s="39">
        <f t="shared" si="147"/>
        <v>70.800000000000011</v>
      </c>
      <c r="CH131" s="39">
        <f t="shared" si="148"/>
        <v>70.800000000000011</v>
      </c>
      <c r="CI131" s="39">
        <f t="shared" si="149"/>
        <v>0</v>
      </c>
      <c r="CJ131" s="39">
        <f t="shared" si="150"/>
        <v>0</v>
      </c>
      <c r="CK131" s="39">
        <f t="shared" si="151"/>
        <v>0</v>
      </c>
      <c r="CL131" s="39">
        <f t="shared" si="152"/>
        <v>0</v>
      </c>
      <c r="CM131" s="39">
        <f t="shared" si="153"/>
        <v>0</v>
      </c>
      <c r="CN131" s="39">
        <f t="shared" si="154"/>
        <v>0</v>
      </c>
      <c r="CO131" s="39">
        <f t="shared" si="155"/>
        <v>0</v>
      </c>
      <c r="CP131" s="39">
        <f t="shared" si="156"/>
        <v>0</v>
      </c>
    </row>
    <row r="132" spans="2:94" ht="16" customHeight="1" x14ac:dyDescent="0.2">
      <c r="B132" s="38"/>
      <c r="L132" s="63">
        <v>30444</v>
      </c>
      <c r="M132" s="38">
        <v>0</v>
      </c>
      <c r="N132" s="38">
        <v>1.9</v>
      </c>
      <c r="O132" s="39">
        <v>0</v>
      </c>
      <c r="P132" s="39">
        <v>0</v>
      </c>
      <c r="Q132" s="46">
        <f t="shared" si="87"/>
        <v>0.13454928492224458</v>
      </c>
      <c r="R132" s="81">
        <f t="shared" si="88"/>
        <v>0</v>
      </c>
      <c r="S132" s="82">
        <f t="shared" si="89"/>
        <v>0</v>
      </c>
      <c r="T132" s="39">
        <f t="shared" si="90"/>
        <v>0</v>
      </c>
      <c r="U132" s="83">
        <f t="shared" si="91"/>
        <v>0</v>
      </c>
      <c r="V132" s="84">
        <f t="shared" si="92"/>
        <v>1.52</v>
      </c>
      <c r="W132" s="52">
        <f t="shared" si="93"/>
        <v>96.22542760508577</v>
      </c>
      <c r="X132" s="52">
        <f t="shared" si="94"/>
        <v>151.20000000000005</v>
      </c>
      <c r="Y132" s="52">
        <f t="shared" si="95"/>
        <v>247.42542760508582</v>
      </c>
      <c r="Z132" s="53">
        <f t="shared" si="96"/>
        <v>0.75176115316473258</v>
      </c>
      <c r="AA132" s="53">
        <f t="shared" si="97"/>
        <v>0.90000000000000024</v>
      </c>
      <c r="AB132" s="53">
        <f t="shared" si="98"/>
        <v>0.83589671488204664</v>
      </c>
      <c r="AC132" s="39" t="str">
        <f t="shared" si="99"/>
        <v>No</v>
      </c>
      <c r="AD132" s="85">
        <f t="shared" si="100"/>
        <v>0</v>
      </c>
      <c r="AE132" s="46">
        <f t="shared" si="101"/>
        <v>1</v>
      </c>
      <c r="AF132" s="46">
        <f t="shared" si="102"/>
        <v>0</v>
      </c>
      <c r="AG132" s="39">
        <f t="shared" si="157"/>
        <v>37.622352771692668</v>
      </c>
      <c r="AH132" s="39">
        <f t="shared" si="158"/>
        <v>63.603074833393102</v>
      </c>
      <c r="AI132" s="39">
        <f t="shared" si="159"/>
        <v>61.199999999999989</v>
      </c>
      <c r="AJ132" s="39">
        <f t="shared" si="160"/>
        <v>82.800000000000011</v>
      </c>
      <c r="AK132" s="39">
        <f t="shared" si="161"/>
        <v>79.799999999999983</v>
      </c>
      <c r="AL132" s="39">
        <f t="shared" si="162"/>
        <v>70.800000000000011</v>
      </c>
      <c r="AM132" s="39">
        <f t="shared" si="163"/>
        <v>70.800000000000011</v>
      </c>
      <c r="AN132" s="39">
        <f t="shared" si="164"/>
        <v>70.800000000000011</v>
      </c>
      <c r="AO132" s="39">
        <f t="shared" si="103"/>
        <v>0</v>
      </c>
      <c r="AP132" s="39">
        <f t="shared" si="104"/>
        <v>0</v>
      </c>
      <c r="AQ132" s="39">
        <f t="shared" si="105"/>
        <v>0</v>
      </c>
      <c r="AR132" s="39">
        <f t="shared" si="106"/>
        <v>0</v>
      </c>
      <c r="AS132" s="39">
        <f t="shared" si="107"/>
        <v>0</v>
      </c>
      <c r="AT132" s="39">
        <f t="shared" si="108"/>
        <v>0</v>
      </c>
      <c r="AU132" s="39">
        <f t="shared" si="109"/>
        <v>0</v>
      </c>
      <c r="AV132" s="39">
        <f t="shared" si="110"/>
        <v>0</v>
      </c>
      <c r="AW132" s="39">
        <f t="shared" si="111"/>
        <v>0</v>
      </c>
      <c r="AX132" s="39">
        <f t="shared" si="112"/>
        <v>0</v>
      </c>
      <c r="AY132" s="39">
        <f t="shared" si="113"/>
        <v>0</v>
      </c>
      <c r="AZ132" s="39">
        <f t="shared" si="114"/>
        <v>0</v>
      </c>
      <c r="BA132" s="39">
        <f t="shared" si="115"/>
        <v>0</v>
      </c>
      <c r="BB132" s="39">
        <f t="shared" si="116"/>
        <v>0</v>
      </c>
      <c r="BC132" s="39">
        <f t="shared" si="117"/>
        <v>0</v>
      </c>
      <c r="BD132" s="39">
        <f t="shared" si="118"/>
        <v>0</v>
      </c>
      <c r="BE132" s="39">
        <f t="shared" si="119"/>
        <v>0</v>
      </c>
      <c r="BF132" s="39">
        <f t="shared" si="120"/>
        <v>0</v>
      </c>
      <c r="BG132" s="39">
        <f t="shared" si="121"/>
        <v>0</v>
      </c>
      <c r="BH132" s="84">
        <f t="shared" si="122"/>
        <v>0</v>
      </c>
      <c r="BI132" s="84">
        <f t="shared" si="123"/>
        <v>1.52</v>
      </c>
      <c r="BJ132" s="84">
        <f t="shared" si="124"/>
        <v>0.17932690419810282</v>
      </c>
      <c r="BK132" s="39">
        <f t="shared" si="125"/>
        <v>37.443025867494562</v>
      </c>
      <c r="BL132" s="39">
        <f t="shared" si="126"/>
        <v>63.603074833393102</v>
      </c>
      <c r="BM132" s="39">
        <f t="shared" si="127"/>
        <v>61.199999999999989</v>
      </c>
      <c r="BN132" s="39">
        <f t="shared" si="128"/>
        <v>82.800000000000011</v>
      </c>
      <c r="BO132" s="39">
        <f t="shared" si="129"/>
        <v>79.799999999999983</v>
      </c>
      <c r="BP132" s="39">
        <f t="shared" si="130"/>
        <v>70.800000000000011</v>
      </c>
      <c r="BQ132" s="39">
        <f t="shared" si="131"/>
        <v>70.800000000000011</v>
      </c>
      <c r="BR132" s="39">
        <f t="shared" si="132"/>
        <v>70.800000000000011</v>
      </c>
      <c r="BS132" s="39">
        <f t="shared" si="133"/>
        <v>0</v>
      </c>
      <c r="BT132" s="39">
        <f t="shared" si="134"/>
        <v>0</v>
      </c>
      <c r="BU132" s="39">
        <f t="shared" si="135"/>
        <v>0</v>
      </c>
      <c r="BV132" s="39">
        <f t="shared" si="136"/>
        <v>0</v>
      </c>
      <c r="BW132" s="39">
        <f t="shared" si="137"/>
        <v>0</v>
      </c>
      <c r="BX132" s="39">
        <f t="shared" si="138"/>
        <v>0</v>
      </c>
      <c r="BY132" s="39">
        <f t="shared" si="139"/>
        <v>0</v>
      </c>
      <c r="BZ132" s="39">
        <f t="shared" si="140"/>
        <v>0</v>
      </c>
      <c r="CA132" s="39">
        <f t="shared" si="141"/>
        <v>37.443025867494562</v>
      </c>
      <c r="CB132" s="39">
        <f t="shared" si="142"/>
        <v>63.603074833393102</v>
      </c>
      <c r="CC132" s="39">
        <f t="shared" si="143"/>
        <v>61.199999999999989</v>
      </c>
      <c r="CD132" s="39">
        <f t="shared" si="144"/>
        <v>82.800000000000011</v>
      </c>
      <c r="CE132" s="39">
        <f t="shared" si="145"/>
        <v>79.799999999999983</v>
      </c>
      <c r="CF132" s="39">
        <f t="shared" si="146"/>
        <v>70.800000000000011</v>
      </c>
      <c r="CG132" s="39">
        <f t="shared" si="147"/>
        <v>70.800000000000011</v>
      </c>
      <c r="CH132" s="39">
        <f t="shared" si="148"/>
        <v>70.800000000000011</v>
      </c>
      <c r="CI132" s="39">
        <f t="shared" si="149"/>
        <v>0</v>
      </c>
      <c r="CJ132" s="39">
        <f t="shared" si="150"/>
        <v>0</v>
      </c>
      <c r="CK132" s="39">
        <f t="shared" si="151"/>
        <v>0</v>
      </c>
      <c r="CL132" s="39">
        <f t="shared" si="152"/>
        <v>0</v>
      </c>
      <c r="CM132" s="39">
        <f t="shared" si="153"/>
        <v>0</v>
      </c>
      <c r="CN132" s="39">
        <f t="shared" si="154"/>
        <v>0</v>
      </c>
      <c r="CO132" s="39">
        <f t="shared" si="155"/>
        <v>0</v>
      </c>
      <c r="CP132" s="39">
        <f t="shared" si="156"/>
        <v>0</v>
      </c>
    </row>
    <row r="133" spans="2:94" ht="16" customHeight="1" x14ac:dyDescent="0.2">
      <c r="B133" s="38"/>
      <c r="L133" s="63">
        <v>30445</v>
      </c>
      <c r="M133" s="38">
        <v>0</v>
      </c>
      <c r="N133" s="38">
        <v>1.7</v>
      </c>
      <c r="O133" s="39">
        <v>0</v>
      </c>
      <c r="P133" s="39">
        <v>0</v>
      </c>
      <c r="Q133" s="46">
        <f t="shared" si="87"/>
        <v>0.13491278540372725</v>
      </c>
      <c r="R133" s="81">
        <f t="shared" si="88"/>
        <v>0</v>
      </c>
      <c r="S133" s="82">
        <f t="shared" si="89"/>
        <v>0</v>
      </c>
      <c r="T133" s="39">
        <f t="shared" si="90"/>
        <v>0</v>
      </c>
      <c r="U133" s="83">
        <f t="shared" si="91"/>
        <v>0</v>
      </c>
      <c r="V133" s="84">
        <f t="shared" si="92"/>
        <v>1.36</v>
      </c>
      <c r="W133" s="52">
        <f t="shared" si="93"/>
        <v>96.046100700887678</v>
      </c>
      <c r="X133" s="52">
        <f t="shared" si="94"/>
        <v>151.20000000000005</v>
      </c>
      <c r="Y133" s="52">
        <f t="shared" si="95"/>
        <v>247.24610070088772</v>
      </c>
      <c r="Z133" s="53">
        <f t="shared" si="96"/>
        <v>0.75036016172568498</v>
      </c>
      <c r="AA133" s="53">
        <f t="shared" si="97"/>
        <v>0.90000000000000024</v>
      </c>
      <c r="AB133" s="53">
        <f t="shared" si="98"/>
        <v>0.83529088074624236</v>
      </c>
      <c r="AC133" s="39" t="str">
        <f t="shared" si="99"/>
        <v>No</v>
      </c>
      <c r="AD133" s="85">
        <f t="shared" si="100"/>
        <v>0</v>
      </c>
      <c r="AE133" s="46">
        <f t="shared" si="101"/>
        <v>1</v>
      </c>
      <c r="AF133" s="46">
        <f t="shared" si="102"/>
        <v>0</v>
      </c>
      <c r="AG133" s="39">
        <f t="shared" si="157"/>
        <v>37.443025867494562</v>
      </c>
      <c r="AH133" s="39">
        <f t="shared" si="158"/>
        <v>63.603074833393102</v>
      </c>
      <c r="AI133" s="39">
        <f t="shared" si="159"/>
        <v>61.199999999999989</v>
      </c>
      <c r="AJ133" s="39">
        <f t="shared" si="160"/>
        <v>82.800000000000011</v>
      </c>
      <c r="AK133" s="39">
        <f t="shared" si="161"/>
        <v>79.799999999999983</v>
      </c>
      <c r="AL133" s="39">
        <f t="shared" si="162"/>
        <v>70.800000000000011</v>
      </c>
      <c r="AM133" s="39">
        <f t="shared" si="163"/>
        <v>70.800000000000011</v>
      </c>
      <c r="AN133" s="39">
        <f t="shared" si="164"/>
        <v>70.800000000000011</v>
      </c>
      <c r="AO133" s="39">
        <f t="shared" si="103"/>
        <v>0</v>
      </c>
      <c r="AP133" s="39">
        <f t="shared" si="104"/>
        <v>0</v>
      </c>
      <c r="AQ133" s="39">
        <f t="shared" si="105"/>
        <v>0</v>
      </c>
      <c r="AR133" s="39">
        <f t="shared" si="106"/>
        <v>0</v>
      </c>
      <c r="AS133" s="39">
        <f t="shared" si="107"/>
        <v>0</v>
      </c>
      <c r="AT133" s="39">
        <f t="shared" si="108"/>
        <v>0</v>
      </c>
      <c r="AU133" s="39">
        <f t="shared" si="109"/>
        <v>0</v>
      </c>
      <c r="AV133" s="39">
        <f t="shared" si="110"/>
        <v>0</v>
      </c>
      <c r="AW133" s="39">
        <f t="shared" si="111"/>
        <v>0</v>
      </c>
      <c r="AX133" s="39">
        <f t="shared" si="112"/>
        <v>0</v>
      </c>
      <c r="AY133" s="39">
        <f t="shared" si="113"/>
        <v>0</v>
      </c>
      <c r="AZ133" s="39">
        <f t="shared" si="114"/>
        <v>0</v>
      </c>
      <c r="BA133" s="39">
        <f t="shared" si="115"/>
        <v>0</v>
      </c>
      <c r="BB133" s="39">
        <f t="shared" si="116"/>
        <v>0</v>
      </c>
      <c r="BC133" s="39">
        <f t="shared" si="117"/>
        <v>0</v>
      </c>
      <c r="BD133" s="39">
        <f t="shared" si="118"/>
        <v>0</v>
      </c>
      <c r="BE133" s="39">
        <f t="shared" si="119"/>
        <v>0</v>
      </c>
      <c r="BF133" s="39">
        <f t="shared" si="120"/>
        <v>0</v>
      </c>
      <c r="BG133" s="39">
        <f t="shared" si="121"/>
        <v>0</v>
      </c>
      <c r="BH133" s="84">
        <f t="shared" si="122"/>
        <v>0</v>
      </c>
      <c r="BI133" s="84">
        <f t="shared" si="123"/>
        <v>1.36</v>
      </c>
      <c r="BJ133" s="84">
        <f t="shared" si="124"/>
        <v>0.1554230151215987</v>
      </c>
      <c r="BK133" s="39">
        <f t="shared" si="125"/>
        <v>37.287602852372963</v>
      </c>
      <c r="BL133" s="39">
        <f t="shared" si="126"/>
        <v>63.603074833393102</v>
      </c>
      <c r="BM133" s="39">
        <f t="shared" si="127"/>
        <v>61.199999999999989</v>
      </c>
      <c r="BN133" s="39">
        <f t="shared" si="128"/>
        <v>82.800000000000011</v>
      </c>
      <c r="BO133" s="39">
        <f t="shared" si="129"/>
        <v>79.799999999999983</v>
      </c>
      <c r="BP133" s="39">
        <f t="shared" si="130"/>
        <v>70.800000000000011</v>
      </c>
      <c r="BQ133" s="39">
        <f t="shared" si="131"/>
        <v>70.800000000000011</v>
      </c>
      <c r="BR133" s="39">
        <f t="shared" si="132"/>
        <v>70.800000000000011</v>
      </c>
      <c r="BS133" s="39">
        <f t="shared" si="133"/>
        <v>0</v>
      </c>
      <c r="BT133" s="39">
        <f t="shared" si="134"/>
        <v>0</v>
      </c>
      <c r="BU133" s="39">
        <f t="shared" si="135"/>
        <v>0</v>
      </c>
      <c r="BV133" s="39">
        <f t="shared" si="136"/>
        <v>0</v>
      </c>
      <c r="BW133" s="39">
        <f t="shared" si="137"/>
        <v>0</v>
      </c>
      <c r="BX133" s="39">
        <f t="shared" si="138"/>
        <v>0</v>
      </c>
      <c r="BY133" s="39">
        <f t="shared" si="139"/>
        <v>0</v>
      </c>
      <c r="BZ133" s="39">
        <f t="shared" si="140"/>
        <v>0</v>
      </c>
      <c r="CA133" s="39">
        <f t="shared" si="141"/>
        <v>37.287602852372963</v>
      </c>
      <c r="CB133" s="39">
        <f t="shared" si="142"/>
        <v>63.603074833393102</v>
      </c>
      <c r="CC133" s="39">
        <f t="shared" si="143"/>
        <v>61.199999999999989</v>
      </c>
      <c r="CD133" s="39">
        <f t="shared" si="144"/>
        <v>82.800000000000011</v>
      </c>
      <c r="CE133" s="39">
        <f t="shared" si="145"/>
        <v>79.799999999999983</v>
      </c>
      <c r="CF133" s="39">
        <f t="shared" si="146"/>
        <v>70.800000000000011</v>
      </c>
      <c r="CG133" s="39">
        <f t="shared" si="147"/>
        <v>70.800000000000011</v>
      </c>
      <c r="CH133" s="39">
        <f t="shared" si="148"/>
        <v>70.800000000000011</v>
      </c>
      <c r="CI133" s="39">
        <f t="shared" si="149"/>
        <v>0</v>
      </c>
      <c r="CJ133" s="39">
        <f t="shared" si="150"/>
        <v>0</v>
      </c>
      <c r="CK133" s="39">
        <f t="shared" si="151"/>
        <v>0</v>
      </c>
      <c r="CL133" s="39">
        <f t="shared" si="152"/>
        <v>0</v>
      </c>
      <c r="CM133" s="39">
        <f t="shared" si="153"/>
        <v>0</v>
      </c>
      <c r="CN133" s="39">
        <f t="shared" si="154"/>
        <v>0</v>
      </c>
      <c r="CO133" s="39">
        <f t="shared" si="155"/>
        <v>0</v>
      </c>
      <c r="CP133" s="39">
        <f t="shared" si="156"/>
        <v>0</v>
      </c>
    </row>
    <row r="134" spans="2:94" ht="16" customHeight="1" x14ac:dyDescent="0.2">
      <c r="B134" s="38"/>
      <c r="L134" s="63">
        <v>30446</v>
      </c>
      <c r="M134" s="38">
        <v>0</v>
      </c>
      <c r="N134" s="38">
        <v>1.8</v>
      </c>
      <c r="O134" s="39">
        <v>0</v>
      </c>
      <c r="P134" s="39">
        <v>0</v>
      </c>
      <c r="Q134" s="46">
        <f t="shared" si="87"/>
        <v>0.13522783205600072</v>
      </c>
      <c r="R134" s="81">
        <f t="shared" si="88"/>
        <v>0</v>
      </c>
      <c r="S134" s="82">
        <f t="shared" si="89"/>
        <v>0</v>
      </c>
      <c r="T134" s="39">
        <f t="shared" si="90"/>
        <v>0</v>
      </c>
      <c r="U134" s="83">
        <f t="shared" si="91"/>
        <v>0</v>
      </c>
      <c r="V134" s="84">
        <f t="shared" si="92"/>
        <v>1.4400000000000002</v>
      </c>
      <c r="W134" s="52">
        <f t="shared" si="93"/>
        <v>95.890677685766065</v>
      </c>
      <c r="X134" s="52">
        <f t="shared" si="94"/>
        <v>151.20000000000005</v>
      </c>
      <c r="Y134" s="52">
        <f t="shared" si="95"/>
        <v>247.09067768576611</v>
      </c>
      <c r="Z134" s="53">
        <f t="shared" si="96"/>
        <v>0.74914591942004738</v>
      </c>
      <c r="AA134" s="53">
        <f t="shared" si="97"/>
        <v>0.90000000000000024</v>
      </c>
      <c r="AB134" s="53">
        <f t="shared" si="98"/>
        <v>0.83476580299245307</v>
      </c>
      <c r="AC134" s="39" t="str">
        <f t="shared" si="99"/>
        <v>No</v>
      </c>
      <c r="AD134" s="85">
        <f t="shared" si="100"/>
        <v>0</v>
      </c>
      <c r="AE134" s="46">
        <f t="shared" si="101"/>
        <v>1</v>
      </c>
      <c r="AF134" s="46">
        <f t="shared" si="102"/>
        <v>0</v>
      </c>
      <c r="AG134" s="39">
        <f t="shared" si="157"/>
        <v>37.287602852372963</v>
      </c>
      <c r="AH134" s="39">
        <f t="shared" si="158"/>
        <v>63.603074833393102</v>
      </c>
      <c r="AI134" s="39">
        <f t="shared" si="159"/>
        <v>61.199999999999989</v>
      </c>
      <c r="AJ134" s="39">
        <f t="shared" si="160"/>
        <v>82.800000000000011</v>
      </c>
      <c r="AK134" s="39">
        <f t="shared" si="161"/>
        <v>79.799999999999983</v>
      </c>
      <c r="AL134" s="39">
        <f t="shared" si="162"/>
        <v>70.800000000000011</v>
      </c>
      <c r="AM134" s="39">
        <f t="shared" si="163"/>
        <v>70.800000000000011</v>
      </c>
      <c r="AN134" s="39">
        <f t="shared" si="164"/>
        <v>70.800000000000011</v>
      </c>
      <c r="AO134" s="39">
        <f t="shared" si="103"/>
        <v>0</v>
      </c>
      <c r="AP134" s="39">
        <f t="shared" si="104"/>
        <v>0</v>
      </c>
      <c r="AQ134" s="39">
        <f t="shared" si="105"/>
        <v>0</v>
      </c>
      <c r="AR134" s="39">
        <f t="shared" si="106"/>
        <v>0</v>
      </c>
      <c r="AS134" s="39">
        <f t="shared" si="107"/>
        <v>0</v>
      </c>
      <c r="AT134" s="39">
        <f t="shared" si="108"/>
        <v>0</v>
      </c>
      <c r="AU134" s="39">
        <f t="shared" si="109"/>
        <v>0</v>
      </c>
      <c r="AV134" s="39">
        <f t="shared" si="110"/>
        <v>0</v>
      </c>
      <c r="AW134" s="39">
        <f t="shared" si="111"/>
        <v>0</v>
      </c>
      <c r="AX134" s="39">
        <f t="shared" si="112"/>
        <v>0</v>
      </c>
      <c r="AY134" s="39">
        <f t="shared" si="113"/>
        <v>0</v>
      </c>
      <c r="AZ134" s="39">
        <f t="shared" si="114"/>
        <v>0</v>
      </c>
      <c r="BA134" s="39">
        <f t="shared" si="115"/>
        <v>0</v>
      </c>
      <c r="BB134" s="39">
        <f t="shared" si="116"/>
        <v>0</v>
      </c>
      <c r="BC134" s="39">
        <f t="shared" si="117"/>
        <v>0</v>
      </c>
      <c r="BD134" s="39">
        <f t="shared" si="118"/>
        <v>0</v>
      </c>
      <c r="BE134" s="39">
        <f t="shared" si="119"/>
        <v>0</v>
      </c>
      <c r="BF134" s="39">
        <f t="shared" si="120"/>
        <v>0</v>
      </c>
      <c r="BG134" s="39">
        <f t="shared" si="121"/>
        <v>0</v>
      </c>
      <c r="BH134" s="84">
        <f t="shared" si="122"/>
        <v>0</v>
      </c>
      <c r="BI134" s="84">
        <f t="shared" si="123"/>
        <v>1.4400000000000002</v>
      </c>
      <c r="BJ134" s="84">
        <f t="shared" si="124"/>
        <v>0.16005406727248034</v>
      </c>
      <c r="BK134" s="39">
        <f t="shared" si="125"/>
        <v>37.12754878510048</v>
      </c>
      <c r="BL134" s="39">
        <f t="shared" si="126"/>
        <v>63.603074833393102</v>
      </c>
      <c r="BM134" s="39">
        <f t="shared" si="127"/>
        <v>61.199999999999989</v>
      </c>
      <c r="BN134" s="39">
        <f t="shared" si="128"/>
        <v>82.800000000000011</v>
      </c>
      <c r="BO134" s="39">
        <f t="shared" si="129"/>
        <v>79.799999999999983</v>
      </c>
      <c r="BP134" s="39">
        <f t="shared" si="130"/>
        <v>70.800000000000011</v>
      </c>
      <c r="BQ134" s="39">
        <f t="shared" si="131"/>
        <v>70.800000000000011</v>
      </c>
      <c r="BR134" s="39">
        <f t="shared" si="132"/>
        <v>70.800000000000011</v>
      </c>
      <c r="BS134" s="39">
        <f t="shared" si="133"/>
        <v>0</v>
      </c>
      <c r="BT134" s="39">
        <f t="shared" si="134"/>
        <v>0</v>
      </c>
      <c r="BU134" s="39">
        <f t="shared" si="135"/>
        <v>0</v>
      </c>
      <c r="BV134" s="39">
        <f t="shared" si="136"/>
        <v>0</v>
      </c>
      <c r="BW134" s="39">
        <f t="shared" si="137"/>
        <v>0</v>
      </c>
      <c r="BX134" s="39">
        <f t="shared" si="138"/>
        <v>0</v>
      </c>
      <c r="BY134" s="39">
        <f t="shared" si="139"/>
        <v>0</v>
      </c>
      <c r="BZ134" s="39">
        <f t="shared" si="140"/>
        <v>0</v>
      </c>
      <c r="CA134" s="39">
        <f t="shared" si="141"/>
        <v>37.12754878510048</v>
      </c>
      <c r="CB134" s="39">
        <f t="shared" si="142"/>
        <v>63.603074833393102</v>
      </c>
      <c r="CC134" s="39">
        <f t="shared" si="143"/>
        <v>61.199999999999989</v>
      </c>
      <c r="CD134" s="39">
        <f t="shared" si="144"/>
        <v>82.800000000000011</v>
      </c>
      <c r="CE134" s="39">
        <f t="shared" si="145"/>
        <v>79.799999999999983</v>
      </c>
      <c r="CF134" s="39">
        <f t="shared" si="146"/>
        <v>70.800000000000011</v>
      </c>
      <c r="CG134" s="39">
        <f t="shared" si="147"/>
        <v>70.800000000000011</v>
      </c>
      <c r="CH134" s="39">
        <f t="shared" si="148"/>
        <v>70.800000000000011</v>
      </c>
      <c r="CI134" s="39">
        <f t="shared" si="149"/>
        <v>0</v>
      </c>
      <c r="CJ134" s="39">
        <f t="shared" si="150"/>
        <v>0</v>
      </c>
      <c r="CK134" s="39">
        <f t="shared" si="151"/>
        <v>0</v>
      </c>
      <c r="CL134" s="39">
        <f t="shared" si="152"/>
        <v>0</v>
      </c>
      <c r="CM134" s="39">
        <f t="shared" si="153"/>
        <v>0</v>
      </c>
      <c r="CN134" s="39">
        <f t="shared" si="154"/>
        <v>0</v>
      </c>
      <c r="CO134" s="39">
        <f t="shared" si="155"/>
        <v>0</v>
      </c>
      <c r="CP134" s="39">
        <f t="shared" si="156"/>
        <v>0</v>
      </c>
    </row>
    <row r="135" spans="2:94" ht="16" customHeight="1" x14ac:dyDescent="0.2">
      <c r="B135" s="38"/>
      <c r="L135" s="63">
        <v>30447</v>
      </c>
      <c r="M135" s="38">
        <v>0</v>
      </c>
      <c r="N135" s="38">
        <v>1.4</v>
      </c>
      <c r="O135" s="39">
        <v>0</v>
      </c>
      <c r="P135" s="39">
        <v>0</v>
      </c>
      <c r="Q135" s="46">
        <f t="shared" si="87"/>
        <v>0.13555226597614767</v>
      </c>
      <c r="R135" s="81">
        <f t="shared" si="88"/>
        <v>0</v>
      </c>
      <c r="S135" s="82">
        <f t="shared" si="89"/>
        <v>0</v>
      </c>
      <c r="T135" s="39">
        <f t="shared" si="90"/>
        <v>0</v>
      </c>
      <c r="U135" s="83">
        <f t="shared" si="91"/>
        <v>0</v>
      </c>
      <c r="V135" s="84">
        <f t="shared" si="92"/>
        <v>1.1199999999999999</v>
      </c>
      <c r="W135" s="52">
        <f t="shared" si="93"/>
        <v>95.730623618493581</v>
      </c>
      <c r="X135" s="52">
        <f t="shared" si="94"/>
        <v>151.20000000000005</v>
      </c>
      <c r="Y135" s="52">
        <f t="shared" si="95"/>
        <v>246.93062361849363</v>
      </c>
      <c r="Z135" s="53">
        <f t="shared" si="96"/>
        <v>0.7478954970194811</v>
      </c>
      <c r="AA135" s="53">
        <f t="shared" si="97"/>
        <v>0.90000000000000024</v>
      </c>
      <c r="AB135" s="53">
        <f t="shared" si="98"/>
        <v>0.83422507979220817</v>
      </c>
      <c r="AC135" s="39" t="str">
        <f t="shared" si="99"/>
        <v>No</v>
      </c>
      <c r="AD135" s="85">
        <f t="shared" si="100"/>
        <v>0</v>
      </c>
      <c r="AE135" s="46">
        <f t="shared" si="101"/>
        <v>1</v>
      </c>
      <c r="AF135" s="46">
        <f t="shared" si="102"/>
        <v>0</v>
      </c>
      <c r="AG135" s="39">
        <f t="shared" si="157"/>
        <v>37.12754878510048</v>
      </c>
      <c r="AH135" s="39">
        <f t="shared" si="158"/>
        <v>63.603074833393102</v>
      </c>
      <c r="AI135" s="39">
        <f t="shared" si="159"/>
        <v>61.199999999999989</v>
      </c>
      <c r="AJ135" s="39">
        <f t="shared" si="160"/>
        <v>82.800000000000011</v>
      </c>
      <c r="AK135" s="39">
        <f t="shared" si="161"/>
        <v>79.799999999999983</v>
      </c>
      <c r="AL135" s="39">
        <f t="shared" si="162"/>
        <v>70.800000000000011</v>
      </c>
      <c r="AM135" s="39">
        <f t="shared" si="163"/>
        <v>70.800000000000011</v>
      </c>
      <c r="AN135" s="39">
        <f t="shared" si="164"/>
        <v>70.800000000000011</v>
      </c>
      <c r="AO135" s="39">
        <f t="shared" si="103"/>
        <v>0</v>
      </c>
      <c r="AP135" s="39">
        <f t="shared" si="104"/>
        <v>0</v>
      </c>
      <c r="AQ135" s="39">
        <f t="shared" si="105"/>
        <v>0</v>
      </c>
      <c r="AR135" s="39">
        <f t="shared" si="106"/>
        <v>0</v>
      </c>
      <c r="AS135" s="39">
        <f t="shared" si="107"/>
        <v>0</v>
      </c>
      <c r="AT135" s="39">
        <f t="shared" si="108"/>
        <v>0</v>
      </c>
      <c r="AU135" s="39">
        <f t="shared" si="109"/>
        <v>0</v>
      </c>
      <c r="AV135" s="39">
        <f t="shared" si="110"/>
        <v>0</v>
      </c>
      <c r="AW135" s="39">
        <f t="shared" si="111"/>
        <v>0</v>
      </c>
      <c r="AX135" s="39">
        <f t="shared" si="112"/>
        <v>0</v>
      </c>
      <c r="AY135" s="39">
        <f t="shared" si="113"/>
        <v>0</v>
      </c>
      <c r="AZ135" s="39">
        <f t="shared" si="114"/>
        <v>0</v>
      </c>
      <c r="BA135" s="39">
        <f t="shared" si="115"/>
        <v>0</v>
      </c>
      <c r="BB135" s="39">
        <f t="shared" si="116"/>
        <v>0</v>
      </c>
      <c r="BC135" s="39">
        <f t="shared" si="117"/>
        <v>0</v>
      </c>
      <c r="BD135" s="39">
        <f t="shared" si="118"/>
        <v>0</v>
      </c>
      <c r="BE135" s="39">
        <f t="shared" si="119"/>
        <v>0</v>
      </c>
      <c r="BF135" s="39">
        <f t="shared" si="120"/>
        <v>0</v>
      </c>
      <c r="BG135" s="39">
        <f t="shared" si="121"/>
        <v>0</v>
      </c>
      <c r="BH135" s="84">
        <f t="shared" si="122"/>
        <v>0</v>
      </c>
      <c r="BI135" s="84">
        <f t="shared" si="123"/>
        <v>1.1199999999999999</v>
      </c>
      <c r="BJ135" s="84">
        <f t="shared" si="124"/>
        <v>0.12094893028573903</v>
      </c>
      <c r="BK135" s="39">
        <f t="shared" si="125"/>
        <v>37.006599854814738</v>
      </c>
      <c r="BL135" s="39">
        <f t="shared" si="126"/>
        <v>63.603074833393102</v>
      </c>
      <c r="BM135" s="39">
        <f t="shared" si="127"/>
        <v>61.199999999999989</v>
      </c>
      <c r="BN135" s="39">
        <f t="shared" si="128"/>
        <v>82.800000000000011</v>
      </c>
      <c r="BO135" s="39">
        <f t="shared" si="129"/>
        <v>79.799999999999983</v>
      </c>
      <c r="BP135" s="39">
        <f t="shared" si="130"/>
        <v>70.800000000000011</v>
      </c>
      <c r="BQ135" s="39">
        <f t="shared" si="131"/>
        <v>70.800000000000011</v>
      </c>
      <c r="BR135" s="39">
        <f t="shared" si="132"/>
        <v>70.800000000000011</v>
      </c>
      <c r="BS135" s="39">
        <f t="shared" si="133"/>
        <v>0</v>
      </c>
      <c r="BT135" s="39">
        <f t="shared" si="134"/>
        <v>0</v>
      </c>
      <c r="BU135" s="39">
        <f t="shared" si="135"/>
        <v>0</v>
      </c>
      <c r="BV135" s="39">
        <f t="shared" si="136"/>
        <v>0</v>
      </c>
      <c r="BW135" s="39">
        <f t="shared" si="137"/>
        <v>0</v>
      </c>
      <c r="BX135" s="39">
        <f t="shared" si="138"/>
        <v>0</v>
      </c>
      <c r="BY135" s="39">
        <f t="shared" si="139"/>
        <v>0</v>
      </c>
      <c r="BZ135" s="39">
        <f t="shared" si="140"/>
        <v>0</v>
      </c>
      <c r="CA135" s="39">
        <f t="shared" si="141"/>
        <v>37.006599854814738</v>
      </c>
      <c r="CB135" s="39">
        <f t="shared" si="142"/>
        <v>63.603074833393102</v>
      </c>
      <c r="CC135" s="39">
        <f t="shared" si="143"/>
        <v>61.199999999999989</v>
      </c>
      <c r="CD135" s="39">
        <f t="shared" si="144"/>
        <v>82.800000000000011</v>
      </c>
      <c r="CE135" s="39">
        <f t="shared" si="145"/>
        <v>79.799999999999983</v>
      </c>
      <c r="CF135" s="39">
        <f t="shared" si="146"/>
        <v>70.800000000000011</v>
      </c>
      <c r="CG135" s="39">
        <f t="shared" si="147"/>
        <v>70.800000000000011</v>
      </c>
      <c r="CH135" s="39">
        <f t="shared" si="148"/>
        <v>70.800000000000011</v>
      </c>
      <c r="CI135" s="39">
        <f t="shared" si="149"/>
        <v>0</v>
      </c>
      <c r="CJ135" s="39">
        <f t="shared" si="150"/>
        <v>0</v>
      </c>
      <c r="CK135" s="39">
        <f t="shared" si="151"/>
        <v>0</v>
      </c>
      <c r="CL135" s="39">
        <f t="shared" si="152"/>
        <v>0</v>
      </c>
      <c r="CM135" s="39">
        <f t="shared" si="153"/>
        <v>0</v>
      </c>
      <c r="CN135" s="39">
        <f t="shared" si="154"/>
        <v>0</v>
      </c>
      <c r="CO135" s="39">
        <f t="shared" si="155"/>
        <v>0</v>
      </c>
      <c r="CP135" s="39">
        <f t="shared" si="156"/>
        <v>0</v>
      </c>
    </row>
    <row r="136" spans="2:94" ht="16" customHeight="1" x14ac:dyDescent="0.2">
      <c r="B136" s="38"/>
      <c r="L136" s="63">
        <v>30448</v>
      </c>
      <c r="M136" s="38">
        <v>0</v>
      </c>
      <c r="N136" s="38">
        <v>2.4</v>
      </c>
      <c r="O136" s="39">
        <v>0</v>
      </c>
      <c r="P136" s="39">
        <v>0</v>
      </c>
      <c r="Q136" s="46">
        <f t="shared" si="87"/>
        <v>0.1357974327267269</v>
      </c>
      <c r="R136" s="81">
        <f t="shared" si="88"/>
        <v>0</v>
      </c>
      <c r="S136" s="82">
        <f t="shared" si="89"/>
        <v>0</v>
      </c>
      <c r="T136" s="39">
        <f t="shared" si="90"/>
        <v>0</v>
      </c>
      <c r="U136" s="83">
        <f t="shared" si="91"/>
        <v>0</v>
      </c>
      <c r="V136" s="84">
        <f t="shared" si="92"/>
        <v>1.92</v>
      </c>
      <c r="W136" s="52">
        <f t="shared" si="93"/>
        <v>95.609674688207832</v>
      </c>
      <c r="X136" s="52">
        <f t="shared" si="94"/>
        <v>151.20000000000005</v>
      </c>
      <c r="Y136" s="52">
        <f t="shared" si="95"/>
        <v>246.80967468820788</v>
      </c>
      <c r="Z136" s="53">
        <f t="shared" si="96"/>
        <v>0.74695058350162369</v>
      </c>
      <c r="AA136" s="53">
        <f t="shared" si="97"/>
        <v>0.90000000000000024</v>
      </c>
      <c r="AB136" s="53">
        <f t="shared" si="98"/>
        <v>0.83381646854124281</v>
      </c>
      <c r="AC136" s="39" t="str">
        <f t="shared" si="99"/>
        <v>No</v>
      </c>
      <c r="AD136" s="85">
        <f t="shared" si="100"/>
        <v>0</v>
      </c>
      <c r="AE136" s="46">
        <f t="shared" si="101"/>
        <v>1</v>
      </c>
      <c r="AF136" s="46">
        <f t="shared" si="102"/>
        <v>0</v>
      </c>
      <c r="AG136" s="39">
        <f t="shared" si="157"/>
        <v>37.006599854814738</v>
      </c>
      <c r="AH136" s="39">
        <f t="shared" si="158"/>
        <v>63.603074833393102</v>
      </c>
      <c r="AI136" s="39">
        <f t="shared" si="159"/>
        <v>61.199999999999989</v>
      </c>
      <c r="AJ136" s="39">
        <f t="shared" si="160"/>
        <v>82.800000000000011</v>
      </c>
      <c r="AK136" s="39">
        <f t="shared" si="161"/>
        <v>79.799999999999983</v>
      </c>
      <c r="AL136" s="39">
        <f t="shared" si="162"/>
        <v>70.800000000000011</v>
      </c>
      <c r="AM136" s="39">
        <f t="shared" si="163"/>
        <v>70.800000000000011</v>
      </c>
      <c r="AN136" s="39">
        <f t="shared" si="164"/>
        <v>70.800000000000011</v>
      </c>
      <c r="AO136" s="39">
        <f t="shared" si="103"/>
        <v>0</v>
      </c>
      <c r="AP136" s="39">
        <f t="shared" si="104"/>
        <v>0</v>
      </c>
      <c r="AQ136" s="39">
        <f t="shared" si="105"/>
        <v>0</v>
      </c>
      <c r="AR136" s="39">
        <f t="shared" si="106"/>
        <v>0</v>
      </c>
      <c r="AS136" s="39">
        <f t="shared" si="107"/>
        <v>0</v>
      </c>
      <c r="AT136" s="39">
        <f t="shared" si="108"/>
        <v>0</v>
      </c>
      <c r="AU136" s="39">
        <f t="shared" si="109"/>
        <v>0</v>
      </c>
      <c r="AV136" s="39">
        <f t="shared" si="110"/>
        <v>0</v>
      </c>
      <c r="AW136" s="39">
        <f t="shared" si="111"/>
        <v>0</v>
      </c>
      <c r="AX136" s="39">
        <f t="shared" si="112"/>
        <v>0</v>
      </c>
      <c r="AY136" s="39">
        <f t="shared" si="113"/>
        <v>0</v>
      </c>
      <c r="AZ136" s="39">
        <f t="shared" si="114"/>
        <v>0</v>
      </c>
      <c r="BA136" s="39">
        <f t="shared" si="115"/>
        <v>0</v>
      </c>
      <c r="BB136" s="39">
        <f t="shared" si="116"/>
        <v>0</v>
      </c>
      <c r="BC136" s="39">
        <f t="shared" si="117"/>
        <v>0</v>
      </c>
      <c r="BD136" s="39">
        <f t="shared" si="118"/>
        <v>0</v>
      </c>
      <c r="BE136" s="39">
        <f t="shared" si="119"/>
        <v>0</v>
      </c>
      <c r="BF136" s="39">
        <f t="shared" si="120"/>
        <v>0</v>
      </c>
      <c r="BG136" s="39">
        <f t="shared" si="121"/>
        <v>0</v>
      </c>
      <c r="BH136" s="84">
        <f t="shared" si="122"/>
        <v>0</v>
      </c>
      <c r="BI136" s="84">
        <f t="shared" si="123"/>
        <v>1.92</v>
      </c>
      <c r="BJ136" s="84">
        <f t="shared" si="124"/>
        <v>0.20284476178406433</v>
      </c>
      <c r="BK136" s="39">
        <f t="shared" si="125"/>
        <v>36.803755093030674</v>
      </c>
      <c r="BL136" s="39">
        <f t="shared" si="126"/>
        <v>63.603074833393102</v>
      </c>
      <c r="BM136" s="39">
        <f t="shared" si="127"/>
        <v>61.199999999999989</v>
      </c>
      <c r="BN136" s="39">
        <f t="shared" si="128"/>
        <v>82.800000000000011</v>
      </c>
      <c r="BO136" s="39">
        <f t="shared" si="129"/>
        <v>79.799999999999983</v>
      </c>
      <c r="BP136" s="39">
        <f t="shared" si="130"/>
        <v>70.800000000000011</v>
      </c>
      <c r="BQ136" s="39">
        <f t="shared" si="131"/>
        <v>70.800000000000011</v>
      </c>
      <c r="BR136" s="39">
        <f t="shared" si="132"/>
        <v>70.800000000000011</v>
      </c>
      <c r="BS136" s="39">
        <f t="shared" si="133"/>
        <v>0</v>
      </c>
      <c r="BT136" s="39">
        <f t="shared" si="134"/>
        <v>0</v>
      </c>
      <c r="BU136" s="39">
        <f t="shared" si="135"/>
        <v>0</v>
      </c>
      <c r="BV136" s="39">
        <f t="shared" si="136"/>
        <v>0</v>
      </c>
      <c r="BW136" s="39">
        <f t="shared" si="137"/>
        <v>0</v>
      </c>
      <c r="BX136" s="39">
        <f t="shared" si="138"/>
        <v>0</v>
      </c>
      <c r="BY136" s="39">
        <f t="shared" si="139"/>
        <v>0</v>
      </c>
      <c r="BZ136" s="39">
        <f t="shared" si="140"/>
        <v>0</v>
      </c>
      <c r="CA136" s="39">
        <f t="shared" si="141"/>
        <v>36.803755093030674</v>
      </c>
      <c r="CB136" s="39">
        <f t="shared" si="142"/>
        <v>63.603074833393102</v>
      </c>
      <c r="CC136" s="39">
        <f t="shared" si="143"/>
        <v>61.199999999999989</v>
      </c>
      <c r="CD136" s="39">
        <f t="shared" si="144"/>
        <v>82.800000000000011</v>
      </c>
      <c r="CE136" s="39">
        <f t="shared" si="145"/>
        <v>79.799999999999983</v>
      </c>
      <c r="CF136" s="39">
        <f t="shared" si="146"/>
        <v>70.800000000000011</v>
      </c>
      <c r="CG136" s="39">
        <f t="shared" si="147"/>
        <v>70.800000000000011</v>
      </c>
      <c r="CH136" s="39">
        <f t="shared" si="148"/>
        <v>70.800000000000011</v>
      </c>
      <c r="CI136" s="39">
        <f t="shared" si="149"/>
        <v>0</v>
      </c>
      <c r="CJ136" s="39">
        <f t="shared" si="150"/>
        <v>0</v>
      </c>
      <c r="CK136" s="39">
        <f t="shared" si="151"/>
        <v>0</v>
      </c>
      <c r="CL136" s="39">
        <f t="shared" si="152"/>
        <v>0</v>
      </c>
      <c r="CM136" s="39">
        <f t="shared" si="153"/>
        <v>0</v>
      </c>
      <c r="CN136" s="39">
        <f t="shared" si="154"/>
        <v>0</v>
      </c>
      <c r="CO136" s="39">
        <f t="shared" si="155"/>
        <v>0</v>
      </c>
      <c r="CP136" s="39">
        <f t="shared" si="156"/>
        <v>0</v>
      </c>
    </row>
    <row r="137" spans="2:94" ht="16" customHeight="1" x14ac:dyDescent="0.2">
      <c r="B137" s="38"/>
      <c r="L137" s="63">
        <v>30449</v>
      </c>
      <c r="M137" s="38">
        <v>0</v>
      </c>
      <c r="N137" s="38">
        <v>3</v>
      </c>
      <c r="O137" s="39">
        <v>0</v>
      </c>
      <c r="P137" s="39">
        <v>0</v>
      </c>
      <c r="Q137" s="46">
        <f t="shared" si="87"/>
        <v>0.13620860454115402</v>
      </c>
      <c r="R137" s="81">
        <f t="shared" si="88"/>
        <v>0</v>
      </c>
      <c r="S137" s="82">
        <f t="shared" si="89"/>
        <v>0</v>
      </c>
      <c r="T137" s="39">
        <f t="shared" si="90"/>
        <v>0</v>
      </c>
      <c r="U137" s="83">
        <f t="shared" si="91"/>
        <v>0</v>
      </c>
      <c r="V137" s="84">
        <f t="shared" si="92"/>
        <v>2.4000000000000004</v>
      </c>
      <c r="W137" s="52">
        <f t="shared" si="93"/>
        <v>95.406829926423768</v>
      </c>
      <c r="X137" s="52">
        <f t="shared" si="94"/>
        <v>151.20000000000005</v>
      </c>
      <c r="Y137" s="52">
        <f t="shared" si="95"/>
        <v>246.60682992642381</v>
      </c>
      <c r="Z137" s="53">
        <f t="shared" si="96"/>
        <v>0.74536585880018569</v>
      </c>
      <c r="AA137" s="53">
        <f t="shared" si="97"/>
        <v>0.90000000000000024</v>
      </c>
      <c r="AB137" s="53">
        <f t="shared" si="98"/>
        <v>0.83313118218386428</v>
      </c>
      <c r="AC137" s="39" t="str">
        <f t="shared" si="99"/>
        <v>No</v>
      </c>
      <c r="AD137" s="85">
        <f t="shared" si="100"/>
        <v>0</v>
      </c>
      <c r="AE137" s="46">
        <f t="shared" si="101"/>
        <v>1</v>
      </c>
      <c r="AF137" s="46">
        <f t="shared" si="102"/>
        <v>0</v>
      </c>
      <c r="AG137" s="39">
        <f t="shared" si="157"/>
        <v>36.803755093030674</v>
      </c>
      <c r="AH137" s="39">
        <f t="shared" si="158"/>
        <v>63.603074833393102</v>
      </c>
      <c r="AI137" s="39">
        <f t="shared" si="159"/>
        <v>61.199999999999989</v>
      </c>
      <c r="AJ137" s="39">
        <f t="shared" si="160"/>
        <v>82.800000000000011</v>
      </c>
      <c r="AK137" s="39">
        <f t="shared" si="161"/>
        <v>79.799999999999983</v>
      </c>
      <c r="AL137" s="39">
        <f t="shared" si="162"/>
        <v>70.800000000000011</v>
      </c>
      <c r="AM137" s="39">
        <f t="shared" si="163"/>
        <v>70.800000000000011</v>
      </c>
      <c r="AN137" s="39">
        <f t="shared" si="164"/>
        <v>70.800000000000011</v>
      </c>
      <c r="AO137" s="39">
        <f t="shared" si="103"/>
        <v>0</v>
      </c>
      <c r="AP137" s="39">
        <f t="shared" si="104"/>
        <v>0</v>
      </c>
      <c r="AQ137" s="39">
        <f t="shared" si="105"/>
        <v>0</v>
      </c>
      <c r="AR137" s="39">
        <f t="shared" si="106"/>
        <v>0</v>
      </c>
      <c r="AS137" s="39">
        <f t="shared" si="107"/>
        <v>0</v>
      </c>
      <c r="AT137" s="39">
        <f t="shared" si="108"/>
        <v>0</v>
      </c>
      <c r="AU137" s="39">
        <f t="shared" si="109"/>
        <v>0</v>
      </c>
      <c r="AV137" s="39">
        <f t="shared" si="110"/>
        <v>0</v>
      </c>
      <c r="AW137" s="39">
        <f t="shared" si="111"/>
        <v>0</v>
      </c>
      <c r="AX137" s="39">
        <f t="shared" si="112"/>
        <v>0</v>
      </c>
      <c r="AY137" s="39">
        <f t="shared" si="113"/>
        <v>0</v>
      </c>
      <c r="AZ137" s="39">
        <f t="shared" si="114"/>
        <v>0</v>
      </c>
      <c r="BA137" s="39">
        <f t="shared" si="115"/>
        <v>0</v>
      </c>
      <c r="BB137" s="39">
        <f t="shared" si="116"/>
        <v>0</v>
      </c>
      <c r="BC137" s="39">
        <f t="shared" si="117"/>
        <v>0</v>
      </c>
      <c r="BD137" s="39">
        <f t="shared" si="118"/>
        <v>0</v>
      </c>
      <c r="BE137" s="39">
        <f t="shared" si="119"/>
        <v>0</v>
      </c>
      <c r="BF137" s="39">
        <f t="shared" si="120"/>
        <v>0</v>
      </c>
      <c r="BG137" s="39">
        <f t="shared" si="121"/>
        <v>0</v>
      </c>
      <c r="BH137" s="84">
        <f t="shared" si="122"/>
        <v>0</v>
      </c>
      <c r="BI137" s="84">
        <f t="shared" si="123"/>
        <v>2.4000000000000004</v>
      </c>
      <c r="BJ137" s="84">
        <f t="shared" si="124"/>
        <v>0.24433585608201136</v>
      </c>
      <c r="BK137" s="39">
        <f t="shared" si="125"/>
        <v>36.559419236948663</v>
      </c>
      <c r="BL137" s="39">
        <f t="shared" si="126"/>
        <v>63.603074833393102</v>
      </c>
      <c r="BM137" s="39">
        <f t="shared" si="127"/>
        <v>61.199999999999989</v>
      </c>
      <c r="BN137" s="39">
        <f t="shared" si="128"/>
        <v>82.800000000000011</v>
      </c>
      <c r="BO137" s="39">
        <f t="shared" si="129"/>
        <v>79.799999999999983</v>
      </c>
      <c r="BP137" s="39">
        <f t="shared" si="130"/>
        <v>70.800000000000011</v>
      </c>
      <c r="BQ137" s="39">
        <f t="shared" si="131"/>
        <v>70.800000000000011</v>
      </c>
      <c r="BR137" s="39">
        <f t="shared" si="132"/>
        <v>70.800000000000011</v>
      </c>
      <c r="BS137" s="39">
        <f t="shared" si="133"/>
        <v>0</v>
      </c>
      <c r="BT137" s="39">
        <f t="shared" si="134"/>
        <v>0</v>
      </c>
      <c r="BU137" s="39">
        <f t="shared" si="135"/>
        <v>0</v>
      </c>
      <c r="BV137" s="39">
        <f t="shared" si="136"/>
        <v>0</v>
      </c>
      <c r="BW137" s="39">
        <f t="shared" si="137"/>
        <v>0</v>
      </c>
      <c r="BX137" s="39">
        <f t="shared" si="138"/>
        <v>0</v>
      </c>
      <c r="BY137" s="39">
        <f t="shared" si="139"/>
        <v>0</v>
      </c>
      <c r="BZ137" s="39">
        <f t="shared" si="140"/>
        <v>0</v>
      </c>
      <c r="CA137" s="39">
        <f t="shared" si="141"/>
        <v>36.559419236948663</v>
      </c>
      <c r="CB137" s="39">
        <f t="shared" si="142"/>
        <v>63.603074833393102</v>
      </c>
      <c r="CC137" s="39">
        <f t="shared" si="143"/>
        <v>61.199999999999989</v>
      </c>
      <c r="CD137" s="39">
        <f t="shared" si="144"/>
        <v>82.800000000000011</v>
      </c>
      <c r="CE137" s="39">
        <f t="shared" si="145"/>
        <v>79.799999999999983</v>
      </c>
      <c r="CF137" s="39">
        <f t="shared" si="146"/>
        <v>70.800000000000011</v>
      </c>
      <c r="CG137" s="39">
        <f t="shared" si="147"/>
        <v>70.800000000000011</v>
      </c>
      <c r="CH137" s="39">
        <f t="shared" si="148"/>
        <v>70.800000000000011</v>
      </c>
      <c r="CI137" s="39">
        <f t="shared" si="149"/>
        <v>0</v>
      </c>
      <c r="CJ137" s="39">
        <f t="shared" si="150"/>
        <v>0</v>
      </c>
      <c r="CK137" s="39">
        <f t="shared" si="151"/>
        <v>0</v>
      </c>
      <c r="CL137" s="39">
        <f t="shared" si="152"/>
        <v>0</v>
      </c>
      <c r="CM137" s="39">
        <f t="shared" si="153"/>
        <v>0</v>
      </c>
      <c r="CN137" s="39">
        <f t="shared" si="154"/>
        <v>0</v>
      </c>
      <c r="CO137" s="39">
        <f t="shared" si="155"/>
        <v>0</v>
      </c>
      <c r="CP137" s="39">
        <f t="shared" si="156"/>
        <v>0</v>
      </c>
    </row>
    <row r="138" spans="2:94" ht="16" customHeight="1" x14ac:dyDescent="0.2">
      <c r="B138" s="38"/>
      <c r="L138" s="63">
        <v>30450</v>
      </c>
      <c r="M138" s="38">
        <v>6</v>
      </c>
      <c r="N138" s="38">
        <v>1.8</v>
      </c>
      <c r="O138" s="39">
        <v>0</v>
      </c>
      <c r="P138" s="39">
        <v>0</v>
      </c>
      <c r="Q138" s="46">
        <f t="shared" si="87"/>
        <v>0.13670387992510405</v>
      </c>
      <c r="R138" s="81">
        <f t="shared" si="88"/>
        <v>0</v>
      </c>
      <c r="S138" s="82">
        <f t="shared" si="89"/>
        <v>6</v>
      </c>
      <c r="T138" s="39">
        <f t="shared" si="90"/>
        <v>0</v>
      </c>
      <c r="U138" s="83">
        <f t="shared" si="91"/>
        <v>0</v>
      </c>
      <c r="V138" s="84">
        <f t="shared" si="92"/>
        <v>1.4400000000000002</v>
      </c>
      <c r="W138" s="52">
        <f t="shared" si="93"/>
        <v>95.162494070341779</v>
      </c>
      <c r="X138" s="52">
        <f t="shared" si="94"/>
        <v>151.20000000000005</v>
      </c>
      <c r="Y138" s="52">
        <f t="shared" si="95"/>
        <v>246.36249407034182</v>
      </c>
      <c r="Z138" s="53">
        <f t="shared" si="96"/>
        <v>0.74345698492454515</v>
      </c>
      <c r="AA138" s="53">
        <f t="shared" si="97"/>
        <v>0.90000000000000024</v>
      </c>
      <c r="AB138" s="53">
        <f t="shared" si="98"/>
        <v>0.83230572321061425</v>
      </c>
      <c r="AC138" s="39" t="str">
        <f t="shared" si="99"/>
        <v>No</v>
      </c>
      <c r="AD138" s="85">
        <f t="shared" si="100"/>
        <v>0</v>
      </c>
      <c r="AE138" s="46">
        <f t="shared" si="101"/>
        <v>1</v>
      </c>
      <c r="AF138" s="46">
        <f t="shared" si="102"/>
        <v>0</v>
      </c>
      <c r="AG138" s="39">
        <f t="shared" si="157"/>
        <v>36.559419236948663</v>
      </c>
      <c r="AH138" s="39">
        <f t="shared" si="158"/>
        <v>63.603074833393102</v>
      </c>
      <c r="AI138" s="39">
        <f t="shared" si="159"/>
        <v>61.199999999999989</v>
      </c>
      <c r="AJ138" s="39">
        <f t="shared" si="160"/>
        <v>82.800000000000011</v>
      </c>
      <c r="AK138" s="39">
        <f t="shared" si="161"/>
        <v>79.799999999999983</v>
      </c>
      <c r="AL138" s="39">
        <f t="shared" si="162"/>
        <v>70.800000000000011</v>
      </c>
      <c r="AM138" s="39">
        <f t="shared" si="163"/>
        <v>70.800000000000011</v>
      </c>
      <c r="AN138" s="39">
        <f t="shared" si="164"/>
        <v>70.800000000000011</v>
      </c>
      <c r="AO138" s="39">
        <f t="shared" si="103"/>
        <v>0</v>
      </c>
      <c r="AP138" s="39">
        <f t="shared" si="104"/>
        <v>0</v>
      </c>
      <c r="AQ138" s="39">
        <f t="shared" si="105"/>
        <v>0</v>
      </c>
      <c r="AR138" s="39">
        <f t="shared" si="106"/>
        <v>0</v>
      </c>
      <c r="AS138" s="39">
        <f t="shared" si="107"/>
        <v>0</v>
      </c>
      <c r="AT138" s="39">
        <f t="shared" si="108"/>
        <v>0</v>
      </c>
      <c r="AU138" s="39">
        <f t="shared" si="109"/>
        <v>0</v>
      </c>
      <c r="AV138" s="39">
        <f t="shared" si="110"/>
        <v>0</v>
      </c>
      <c r="AW138" s="39">
        <f t="shared" si="111"/>
        <v>0</v>
      </c>
      <c r="AX138" s="39">
        <f t="shared" si="112"/>
        <v>0</v>
      </c>
      <c r="AY138" s="39">
        <f t="shared" si="113"/>
        <v>0</v>
      </c>
      <c r="AZ138" s="39">
        <f t="shared" si="114"/>
        <v>0</v>
      </c>
      <c r="BA138" s="39">
        <f t="shared" si="115"/>
        <v>0</v>
      </c>
      <c r="BB138" s="39">
        <f t="shared" si="116"/>
        <v>0</v>
      </c>
      <c r="BC138" s="39">
        <f t="shared" si="117"/>
        <v>0</v>
      </c>
      <c r="BD138" s="39">
        <f t="shared" si="118"/>
        <v>0</v>
      </c>
      <c r="BE138" s="39">
        <f t="shared" si="119"/>
        <v>0</v>
      </c>
      <c r="BF138" s="39">
        <f t="shared" si="120"/>
        <v>0</v>
      </c>
      <c r="BG138" s="39">
        <f t="shared" si="121"/>
        <v>0</v>
      </c>
      <c r="BH138" s="84">
        <f t="shared" si="122"/>
        <v>1.4400000000000002</v>
      </c>
      <c r="BI138" s="84">
        <f t="shared" si="123"/>
        <v>0</v>
      </c>
      <c r="BJ138" s="84">
        <f t="shared" si="124"/>
        <v>1.4400000000000002</v>
      </c>
      <c r="BK138" s="39">
        <f t="shared" si="125"/>
        <v>35.119419236948666</v>
      </c>
      <c r="BL138" s="39">
        <f t="shared" si="126"/>
        <v>63.603074833393102</v>
      </c>
      <c r="BM138" s="39">
        <f t="shared" si="127"/>
        <v>61.199999999999989</v>
      </c>
      <c r="BN138" s="39">
        <f t="shared" si="128"/>
        <v>82.800000000000011</v>
      </c>
      <c r="BO138" s="39">
        <f t="shared" si="129"/>
        <v>79.799999999999983</v>
      </c>
      <c r="BP138" s="39">
        <f t="shared" si="130"/>
        <v>70.800000000000011</v>
      </c>
      <c r="BQ138" s="39">
        <f t="shared" si="131"/>
        <v>70.800000000000011</v>
      </c>
      <c r="BR138" s="39">
        <f t="shared" si="132"/>
        <v>70.800000000000011</v>
      </c>
      <c r="BS138" s="39">
        <f t="shared" si="133"/>
        <v>0</v>
      </c>
      <c r="BT138" s="39">
        <f t="shared" si="134"/>
        <v>0</v>
      </c>
      <c r="BU138" s="39">
        <f t="shared" si="135"/>
        <v>0</v>
      </c>
      <c r="BV138" s="39">
        <f t="shared" si="136"/>
        <v>0</v>
      </c>
      <c r="BW138" s="39">
        <f t="shared" si="137"/>
        <v>0</v>
      </c>
      <c r="BX138" s="39">
        <f t="shared" si="138"/>
        <v>0</v>
      </c>
      <c r="BY138" s="39">
        <f t="shared" si="139"/>
        <v>0</v>
      </c>
      <c r="BZ138" s="39">
        <f t="shared" si="140"/>
        <v>0</v>
      </c>
      <c r="CA138" s="39">
        <f t="shared" si="141"/>
        <v>39.679419236948668</v>
      </c>
      <c r="CB138" s="39">
        <f t="shared" si="142"/>
        <v>63.603074833393102</v>
      </c>
      <c r="CC138" s="39">
        <f t="shared" si="143"/>
        <v>61.199999999999989</v>
      </c>
      <c r="CD138" s="39">
        <f t="shared" si="144"/>
        <v>82.800000000000011</v>
      </c>
      <c r="CE138" s="39">
        <f t="shared" si="145"/>
        <v>79.799999999999983</v>
      </c>
      <c r="CF138" s="39">
        <f t="shared" si="146"/>
        <v>70.800000000000011</v>
      </c>
      <c r="CG138" s="39">
        <f t="shared" si="147"/>
        <v>70.800000000000011</v>
      </c>
      <c r="CH138" s="39">
        <f t="shared" si="148"/>
        <v>70.800000000000011</v>
      </c>
      <c r="CI138" s="39">
        <f t="shared" si="149"/>
        <v>0</v>
      </c>
      <c r="CJ138" s="39">
        <f t="shared" si="150"/>
        <v>0</v>
      </c>
      <c r="CK138" s="39">
        <f t="shared" si="151"/>
        <v>0</v>
      </c>
      <c r="CL138" s="39">
        <f t="shared" si="152"/>
        <v>0</v>
      </c>
      <c r="CM138" s="39">
        <f t="shared" si="153"/>
        <v>0</v>
      </c>
      <c r="CN138" s="39">
        <f t="shared" si="154"/>
        <v>0</v>
      </c>
      <c r="CO138" s="39">
        <f t="shared" si="155"/>
        <v>0</v>
      </c>
      <c r="CP138" s="39">
        <f t="shared" si="156"/>
        <v>0</v>
      </c>
    </row>
    <row r="139" spans="2:94" ht="16" customHeight="1" x14ac:dyDescent="0.2">
      <c r="B139" s="38"/>
      <c r="L139" s="63">
        <v>30451</v>
      </c>
      <c r="M139" s="38">
        <v>0.7</v>
      </c>
      <c r="N139" s="38">
        <v>0.6</v>
      </c>
      <c r="O139" s="39">
        <v>0</v>
      </c>
      <c r="P139" s="39">
        <v>0</v>
      </c>
      <c r="Q139" s="46">
        <f t="shared" si="87"/>
        <v>0.13037955560077974</v>
      </c>
      <c r="R139" s="81">
        <f t="shared" si="88"/>
        <v>0</v>
      </c>
      <c r="S139" s="82">
        <f t="shared" si="89"/>
        <v>0.7</v>
      </c>
      <c r="T139" s="39">
        <f t="shared" si="90"/>
        <v>0</v>
      </c>
      <c r="U139" s="83">
        <f t="shared" si="91"/>
        <v>0</v>
      </c>
      <c r="V139" s="84">
        <f t="shared" si="92"/>
        <v>0.48</v>
      </c>
      <c r="W139" s="52">
        <f t="shared" si="93"/>
        <v>98.282494070341784</v>
      </c>
      <c r="X139" s="52">
        <f t="shared" si="94"/>
        <v>151.20000000000005</v>
      </c>
      <c r="Y139" s="52">
        <f t="shared" si="95"/>
        <v>249.48249407034183</v>
      </c>
      <c r="Z139" s="53">
        <f t="shared" si="96"/>
        <v>0.76783198492454519</v>
      </c>
      <c r="AA139" s="53">
        <f t="shared" si="97"/>
        <v>0.90000000000000024</v>
      </c>
      <c r="AB139" s="53">
        <f t="shared" si="98"/>
        <v>0.84284626375115479</v>
      </c>
      <c r="AC139" s="39" t="str">
        <f t="shared" si="99"/>
        <v>No</v>
      </c>
      <c r="AD139" s="85">
        <f t="shared" si="100"/>
        <v>0</v>
      </c>
      <c r="AE139" s="46">
        <f t="shared" si="101"/>
        <v>1</v>
      </c>
      <c r="AF139" s="46">
        <f t="shared" si="102"/>
        <v>0</v>
      </c>
      <c r="AG139" s="39">
        <f t="shared" si="157"/>
        <v>39.679419236948668</v>
      </c>
      <c r="AH139" s="39">
        <f t="shared" si="158"/>
        <v>63.603074833393102</v>
      </c>
      <c r="AI139" s="39">
        <f t="shared" si="159"/>
        <v>61.199999999999989</v>
      </c>
      <c r="AJ139" s="39">
        <f t="shared" si="160"/>
        <v>82.800000000000011</v>
      </c>
      <c r="AK139" s="39">
        <f t="shared" si="161"/>
        <v>79.799999999999983</v>
      </c>
      <c r="AL139" s="39">
        <f t="shared" si="162"/>
        <v>70.800000000000011</v>
      </c>
      <c r="AM139" s="39">
        <f t="shared" si="163"/>
        <v>70.800000000000011</v>
      </c>
      <c r="AN139" s="39">
        <f t="shared" si="164"/>
        <v>70.800000000000011</v>
      </c>
      <c r="AO139" s="39">
        <f t="shared" si="103"/>
        <v>0</v>
      </c>
      <c r="AP139" s="39">
        <f t="shared" si="104"/>
        <v>0</v>
      </c>
      <c r="AQ139" s="39">
        <f t="shared" si="105"/>
        <v>0</v>
      </c>
      <c r="AR139" s="39">
        <f t="shared" si="106"/>
        <v>0</v>
      </c>
      <c r="AS139" s="39">
        <f t="shared" si="107"/>
        <v>0</v>
      </c>
      <c r="AT139" s="39">
        <f t="shared" si="108"/>
        <v>0</v>
      </c>
      <c r="AU139" s="39">
        <f t="shared" si="109"/>
        <v>0</v>
      </c>
      <c r="AV139" s="39">
        <f t="shared" si="110"/>
        <v>0</v>
      </c>
      <c r="AW139" s="39">
        <f t="shared" si="111"/>
        <v>0</v>
      </c>
      <c r="AX139" s="39">
        <f t="shared" si="112"/>
        <v>0</v>
      </c>
      <c r="AY139" s="39">
        <f t="shared" si="113"/>
        <v>0</v>
      </c>
      <c r="AZ139" s="39">
        <f t="shared" si="114"/>
        <v>0</v>
      </c>
      <c r="BA139" s="39">
        <f t="shared" si="115"/>
        <v>0</v>
      </c>
      <c r="BB139" s="39">
        <f t="shared" si="116"/>
        <v>0</v>
      </c>
      <c r="BC139" s="39">
        <f t="shared" si="117"/>
        <v>0</v>
      </c>
      <c r="BD139" s="39">
        <f t="shared" si="118"/>
        <v>0</v>
      </c>
      <c r="BE139" s="39">
        <f t="shared" si="119"/>
        <v>0</v>
      </c>
      <c r="BF139" s="39">
        <f t="shared" si="120"/>
        <v>0</v>
      </c>
      <c r="BG139" s="39">
        <f t="shared" si="121"/>
        <v>0</v>
      </c>
      <c r="BH139" s="84">
        <f t="shared" si="122"/>
        <v>0.48</v>
      </c>
      <c r="BI139" s="84">
        <f t="shared" si="123"/>
        <v>0</v>
      </c>
      <c r="BJ139" s="84">
        <f t="shared" si="124"/>
        <v>0.48</v>
      </c>
      <c r="BK139" s="39">
        <f t="shared" si="125"/>
        <v>39.199419236948671</v>
      </c>
      <c r="BL139" s="39">
        <f t="shared" si="126"/>
        <v>63.603074833393102</v>
      </c>
      <c r="BM139" s="39">
        <f t="shared" si="127"/>
        <v>61.199999999999989</v>
      </c>
      <c r="BN139" s="39">
        <f t="shared" si="128"/>
        <v>82.800000000000011</v>
      </c>
      <c r="BO139" s="39">
        <f t="shared" si="129"/>
        <v>79.799999999999983</v>
      </c>
      <c r="BP139" s="39">
        <f t="shared" si="130"/>
        <v>70.800000000000011</v>
      </c>
      <c r="BQ139" s="39">
        <f t="shared" si="131"/>
        <v>70.800000000000011</v>
      </c>
      <c r="BR139" s="39">
        <f t="shared" si="132"/>
        <v>70.800000000000011</v>
      </c>
      <c r="BS139" s="39">
        <f t="shared" si="133"/>
        <v>0</v>
      </c>
      <c r="BT139" s="39">
        <f t="shared" si="134"/>
        <v>0</v>
      </c>
      <c r="BU139" s="39">
        <f t="shared" si="135"/>
        <v>0</v>
      </c>
      <c r="BV139" s="39">
        <f t="shared" si="136"/>
        <v>0</v>
      </c>
      <c r="BW139" s="39">
        <f t="shared" si="137"/>
        <v>0</v>
      </c>
      <c r="BX139" s="39">
        <f t="shared" si="138"/>
        <v>0</v>
      </c>
      <c r="BY139" s="39">
        <f t="shared" si="139"/>
        <v>0</v>
      </c>
      <c r="BZ139" s="39">
        <f t="shared" si="140"/>
        <v>0</v>
      </c>
      <c r="CA139" s="39">
        <f t="shared" si="141"/>
        <v>39.41941923694867</v>
      </c>
      <c r="CB139" s="39">
        <f t="shared" si="142"/>
        <v>63.603074833393102</v>
      </c>
      <c r="CC139" s="39">
        <f t="shared" si="143"/>
        <v>61.199999999999989</v>
      </c>
      <c r="CD139" s="39">
        <f t="shared" si="144"/>
        <v>82.800000000000011</v>
      </c>
      <c r="CE139" s="39">
        <f t="shared" si="145"/>
        <v>79.799999999999983</v>
      </c>
      <c r="CF139" s="39">
        <f t="shared" si="146"/>
        <v>70.800000000000011</v>
      </c>
      <c r="CG139" s="39">
        <f t="shared" si="147"/>
        <v>70.800000000000011</v>
      </c>
      <c r="CH139" s="39">
        <f t="shared" si="148"/>
        <v>70.800000000000011</v>
      </c>
      <c r="CI139" s="39">
        <f t="shared" si="149"/>
        <v>0</v>
      </c>
      <c r="CJ139" s="39">
        <f t="shared" si="150"/>
        <v>0</v>
      </c>
      <c r="CK139" s="39">
        <f t="shared" si="151"/>
        <v>0</v>
      </c>
      <c r="CL139" s="39">
        <f t="shared" si="152"/>
        <v>0</v>
      </c>
      <c r="CM139" s="39">
        <f t="shared" si="153"/>
        <v>0</v>
      </c>
      <c r="CN139" s="39">
        <f t="shared" si="154"/>
        <v>0</v>
      </c>
      <c r="CO139" s="39">
        <f t="shared" si="155"/>
        <v>0</v>
      </c>
      <c r="CP139" s="39">
        <f t="shared" si="156"/>
        <v>0</v>
      </c>
    </row>
    <row r="140" spans="2:94" ht="16" customHeight="1" x14ac:dyDescent="0.2">
      <c r="B140" s="38"/>
      <c r="L140" s="63">
        <v>30452</v>
      </c>
      <c r="M140" s="38">
        <v>2.2000000000000002</v>
      </c>
      <c r="N140" s="38">
        <v>1.9</v>
      </c>
      <c r="O140" s="39">
        <v>0</v>
      </c>
      <c r="P140" s="39">
        <v>0</v>
      </c>
      <c r="Q140" s="46">
        <f t="shared" si="87"/>
        <v>0.13090658262780674</v>
      </c>
      <c r="R140" s="81">
        <f t="shared" si="88"/>
        <v>0</v>
      </c>
      <c r="S140" s="82">
        <f t="shared" si="89"/>
        <v>2.2000000000000002</v>
      </c>
      <c r="T140" s="39">
        <f t="shared" si="90"/>
        <v>0</v>
      </c>
      <c r="U140" s="83">
        <f t="shared" si="91"/>
        <v>0</v>
      </c>
      <c r="V140" s="84">
        <f t="shared" si="92"/>
        <v>1.52</v>
      </c>
      <c r="W140" s="52">
        <f t="shared" si="93"/>
        <v>98.022494070341764</v>
      </c>
      <c r="X140" s="52">
        <f t="shared" si="94"/>
        <v>151.20000000000005</v>
      </c>
      <c r="Y140" s="52">
        <f t="shared" si="95"/>
        <v>249.22249407034181</v>
      </c>
      <c r="Z140" s="53">
        <f t="shared" si="96"/>
        <v>0.76580073492454503</v>
      </c>
      <c r="AA140" s="53">
        <f t="shared" si="97"/>
        <v>0.90000000000000024</v>
      </c>
      <c r="AB140" s="53">
        <f t="shared" si="98"/>
        <v>0.84196788537277634</v>
      </c>
      <c r="AC140" s="39" t="str">
        <f t="shared" si="99"/>
        <v>No</v>
      </c>
      <c r="AD140" s="85">
        <f t="shared" si="100"/>
        <v>0</v>
      </c>
      <c r="AE140" s="46">
        <f t="shared" si="101"/>
        <v>1</v>
      </c>
      <c r="AF140" s="46">
        <f t="shared" si="102"/>
        <v>0</v>
      </c>
      <c r="AG140" s="39">
        <f t="shared" si="157"/>
        <v>39.41941923694867</v>
      </c>
      <c r="AH140" s="39">
        <f t="shared" si="158"/>
        <v>63.603074833393102</v>
      </c>
      <c r="AI140" s="39">
        <f t="shared" si="159"/>
        <v>61.199999999999989</v>
      </c>
      <c r="AJ140" s="39">
        <f t="shared" si="160"/>
        <v>82.800000000000011</v>
      </c>
      <c r="AK140" s="39">
        <f t="shared" si="161"/>
        <v>79.799999999999983</v>
      </c>
      <c r="AL140" s="39">
        <f t="shared" si="162"/>
        <v>70.800000000000011</v>
      </c>
      <c r="AM140" s="39">
        <f t="shared" si="163"/>
        <v>70.800000000000011</v>
      </c>
      <c r="AN140" s="39">
        <f t="shared" si="164"/>
        <v>70.800000000000011</v>
      </c>
      <c r="AO140" s="39">
        <f t="shared" si="103"/>
        <v>0</v>
      </c>
      <c r="AP140" s="39">
        <f t="shared" si="104"/>
        <v>0</v>
      </c>
      <c r="AQ140" s="39">
        <f t="shared" si="105"/>
        <v>0</v>
      </c>
      <c r="AR140" s="39">
        <f t="shared" si="106"/>
        <v>0</v>
      </c>
      <c r="AS140" s="39">
        <f t="shared" si="107"/>
        <v>0</v>
      </c>
      <c r="AT140" s="39">
        <f t="shared" si="108"/>
        <v>0</v>
      </c>
      <c r="AU140" s="39">
        <f t="shared" si="109"/>
        <v>0</v>
      </c>
      <c r="AV140" s="39">
        <f t="shared" si="110"/>
        <v>0</v>
      </c>
      <c r="AW140" s="39">
        <f t="shared" si="111"/>
        <v>0</v>
      </c>
      <c r="AX140" s="39">
        <f t="shared" si="112"/>
        <v>0</v>
      </c>
      <c r="AY140" s="39">
        <f t="shared" si="113"/>
        <v>0</v>
      </c>
      <c r="AZ140" s="39">
        <f t="shared" si="114"/>
        <v>0</v>
      </c>
      <c r="BA140" s="39">
        <f t="shared" si="115"/>
        <v>0</v>
      </c>
      <c r="BB140" s="39">
        <f t="shared" si="116"/>
        <v>0</v>
      </c>
      <c r="BC140" s="39">
        <f t="shared" si="117"/>
        <v>0</v>
      </c>
      <c r="BD140" s="39">
        <f t="shared" si="118"/>
        <v>0</v>
      </c>
      <c r="BE140" s="39">
        <f t="shared" si="119"/>
        <v>0</v>
      </c>
      <c r="BF140" s="39">
        <f t="shared" si="120"/>
        <v>0</v>
      </c>
      <c r="BG140" s="39">
        <f t="shared" si="121"/>
        <v>0</v>
      </c>
      <c r="BH140" s="84">
        <f t="shared" si="122"/>
        <v>1.52</v>
      </c>
      <c r="BI140" s="84">
        <f t="shared" si="123"/>
        <v>0</v>
      </c>
      <c r="BJ140" s="84">
        <f t="shared" si="124"/>
        <v>1.52</v>
      </c>
      <c r="BK140" s="39">
        <f t="shared" si="125"/>
        <v>37.899419236948667</v>
      </c>
      <c r="BL140" s="39">
        <f t="shared" si="126"/>
        <v>63.603074833393102</v>
      </c>
      <c r="BM140" s="39">
        <f t="shared" si="127"/>
        <v>61.199999999999989</v>
      </c>
      <c r="BN140" s="39">
        <f t="shared" si="128"/>
        <v>82.800000000000011</v>
      </c>
      <c r="BO140" s="39">
        <f t="shared" si="129"/>
        <v>79.799999999999983</v>
      </c>
      <c r="BP140" s="39">
        <f t="shared" si="130"/>
        <v>70.800000000000011</v>
      </c>
      <c r="BQ140" s="39">
        <f t="shared" si="131"/>
        <v>70.800000000000011</v>
      </c>
      <c r="BR140" s="39">
        <f t="shared" si="132"/>
        <v>70.800000000000011</v>
      </c>
      <c r="BS140" s="39">
        <f t="shared" si="133"/>
        <v>0</v>
      </c>
      <c r="BT140" s="39">
        <f t="shared" si="134"/>
        <v>0</v>
      </c>
      <c r="BU140" s="39">
        <f t="shared" si="135"/>
        <v>0</v>
      </c>
      <c r="BV140" s="39">
        <f t="shared" si="136"/>
        <v>0</v>
      </c>
      <c r="BW140" s="39">
        <f t="shared" si="137"/>
        <v>0</v>
      </c>
      <c r="BX140" s="39">
        <f t="shared" si="138"/>
        <v>0</v>
      </c>
      <c r="BY140" s="39">
        <f t="shared" si="139"/>
        <v>0</v>
      </c>
      <c r="BZ140" s="39">
        <f t="shared" si="140"/>
        <v>0</v>
      </c>
      <c r="CA140" s="39">
        <f t="shared" si="141"/>
        <v>38.579419236948667</v>
      </c>
      <c r="CB140" s="39">
        <f t="shared" si="142"/>
        <v>63.603074833393102</v>
      </c>
      <c r="CC140" s="39">
        <f t="shared" si="143"/>
        <v>61.199999999999989</v>
      </c>
      <c r="CD140" s="39">
        <f t="shared" si="144"/>
        <v>82.800000000000011</v>
      </c>
      <c r="CE140" s="39">
        <f t="shared" si="145"/>
        <v>79.799999999999983</v>
      </c>
      <c r="CF140" s="39">
        <f t="shared" si="146"/>
        <v>70.800000000000011</v>
      </c>
      <c r="CG140" s="39">
        <f t="shared" si="147"/>
        <v>70.800000000000011</v>
      </c>
      <c r="CH140" s="39">
        <f t="shared" si="148"/>
        <v>70.800000000000011</v>
      </c>
      <c r="CI140" s="39">
        <f t="shared" si="149"/>
        <v>0</v>
      </c>
      <c r="CJ140" s="39">
        <f t="shared" si="150"/>
        <v>0</v>
      </c>
      <c r="CK140" s="39">
        <f t="shared" si="151"/>
        <v>0</v>
      </c>
      <c r="CL140" s="39">
        <f t="shared" si="152"/>
        <v>0</v>
      </c>
      <c r="CM140" s="39">
        <f t="shared" si="153"/>
        <v>0</v>
      </c>
      <c r="CN140" s="39">
        <f t="shared" si="154"/>
        <v>0</v>
      </c>
      <c r="CO140" s="39">
        <f t="shared" si="155"/>
        <v>0</v>
      </c>
      <c r="CP140" s="39">
        <f t="shared" si="156"/>
        <v>0</v>
      </c>
    </row>
    <row r="141" spans="2:94" ht="16" customHeight="1" x14ac:dyDescent="0.2">
      <c r="B141" s="38"/>
      <c r="L141" s="63">
        <v>30453</v>
      </c>
      <c r="M141" s="38">
        <v>0</v>
      </c>
      <c r="N141" s="38">
        <v>1.3</v>
      </c>
      <c r="O141" s="39">
        <v>0</v>
      </c>
      <c r="P141" s="39">
        <v>0</v>
      </c>
      <c r="Q141" s="46">
        <f t="shared" si="87"/>
        <v>0.13260928533050945</v>
      </c>
      <c r="R141" s="81">
        <f t="shared" si="88"/>
        <v>0</v>
      </c>
      <c r="S141" s="82">
        <f t="shared" si="89"/>
        <v>0</v>
      </c>
      <c r="T141" s="39">
        <f t="shared" si="90"/>
        <v>0</v>
      </c>
      <c r="U141" s="83">
        <f t="shared" si="91"/>
        <v>0</v>
      </c>
      <c r="V141" s="84">
        <f t="shared" si="92"/>
        <v>1.04</v>
      </c>
      <c r="W141" s="52">
        <f t="shared" si="93"/>
        <v>97.182494070341761</v>
      </c>
      <c r="X141" s="52">
        <f t="shared" si="94"/>
        <v>151.20000000000005</v>
      </c>
      <c r="Y141" s="52">
        <f t="shared" si="95"/>
        <v>248.38249407034181</v>
      </c>
      <c r="Z141" s="53">
        <f t="shared" si="96"/>
        <v>0.75923823492454501</v>
      </c>
      <c r="AA141" s="53">
        <f t="shared" si="97"/>
        <v>0.90000000000000024</v>
      </c>
      <c r="AB141" s="53">
        <f t="shared" si="98"/>
        <v>0.83913004753493858</v>
      </c>
      <c r="AC141" s="39" t="str">
        <f t="shared" si="99"/>
        <v>No</v>
      </c>
      <c r="AD141" s="85">
        <f t="shared" si="100"/>
        <v>0</v>
      </c>
      <c r="AE141" s="46">
        <f t="shared" si="101"/>
        <v>1</v>
      </c>
      <c r="AF141" s="46">
        <f t="shared" si="102"/>
        <v>0</v>
      </c>
      <c r="AG141" s="39">
        <f t="shared" si="157"/>
        <v>38.579419236948667</v>
      </c>
      <c r="AH141" s="39">
        <f t="shared" si="158"/>
        <v>63.603074833393102</v>
      </c>
      <c r="AI141" s="39">
        <f t="shared" si="159"/>
        <v>61.199999999999989</v>
      </c>
      <c r="AJ141" s="39">
        <f t="shared" si="160"/>
        <v>82.800000000000011</v>
      </c>
      <c r="AK141" s="39">
        <f t="shared" si="161"/>
        <v>79.799999999999983</v>
      </c>
      <c r="AL141" s="39">
        <f t="shared" si="162"/>
        <v>70.800000000000011</v>
      </c>
      <c r="AM141" s="39">
        <f t="shared" si="163"/>
        <v>70.800000000000011</v>
      </c>
      <c r="AN141" s="39">
        <f t="shared" si="164"/>
        <v>70.800000000000011</v>
      </c>
      <c r="AO141" s="39">
        <f t="shared" si="103"/>
        <v>0</v>
      </c>
      <c r="AP141" s="39">
        <f t="shared" si="104"/>
        <v>0</v>
      </c>
      <c r="AQ141" s="39">
        <f t="shared" si="105"/>
        <v>0</v>
      </c>
      <c r="AR141" s="39">
        <f t="shared" si="106"/>
        <v>0</v>
      </c>
      <c r="AS141" s="39">
        <f t="shared" si="107"/>
        <v>0</v>
      </c>
      <c r="AT141" s="39">
        <f t="shared" si="108"/>
        <v>0</v>
      </c>
      <c r="AU141" s="39">
        <f t="shared" si="109"/>
        <v>0</v>
      </c>
      <c r="AV141" s="39">
        <f t="shared" si="110"/>
        <v>0</v>
      </c>
      <c r="AW141" s="39">
        <f t="shared" si="111"/>
        <v>0</v>
      </c>
      <c r="AX141" s="39">
        <f t="shared" si="112"/>
        <v>0</v>
      </c>
      <c r="AY141" s="39">
        <f t="shared" si="113"/>
        <v>0</v>
      </c>
      <c r="AZ141" s="39">
        <f t="shared" si="114"/>
        <v>0</v>
      </c>
      <c r="BA141" s="39">
        <f t="shared" si="115"/>
        <v>0</v>
      </c>
      <c r="BB141" s="39">
        <f t="shared" si="116"/>
        <v>0</v>
      </c>
      <c r="BC141" s="39">
        <f t="shared" si="117"/>
        <v>0</v>
      </c>
      <c r="BD141" s="39">
        <f t="shared" si="118"/>
        <v>0</v>
      </c>
      <c r="BE141" s="39">
        <f t="shared" si="119"/>
        <v>0</v>
      </c>
      <c r="BF141" s="39">
        <f t="shared" si="120"/>
        <v>0</v>
      </c>
      <c r="BG141" s="39">
        <f t="shared" si="121"/>
        <v>0</v>
      </c>
      <c r="BH141" s="84">
        <f t="shared" si="122"/>
        <v>0</v>
      </c>
      <c r="BI141" s="84">
        <f t="shared" si="123"/>
        <v>1.04</v>
      </c>
      <c r="BJ141" s="84">
        <f t="shared" si="124"/>
        <v>0.14481599659478062</v>
      </c>
      <c r="BK141" s="39">
        <f t="shared" si="125"/>
        <v>38.434603240353887</v>
      </c>
      <c r="BL141" s="39">
        <f t="shared" si="126"/>
        <v>63.603074833393102</v>
      </c>
      <c r="BM141" s="39">
        <f t="shared" si="127"/>
        <v>61.199999999999989</v>
      </c>
      <c r="BN141" s="39">
        <f t="shared" si="128"/>
        <v>82.800000000000011</v>
      </c>
      <c r="BO141" s="39">
        <f t="shared" si="129"/>
        <v>79.799999999999983</v>
      </c>
      <c r="BP141" s="39">
        <f t="shared" si="130"/>
        <v>70.800000000000011</v>
      </c>
      <c r="BQ141" s="39">
        <f t="shared" si="131"/>
        <v>70.800000000000011</v>
      </c>
      <c r="BR141" s="39">
        <f t="shared" si="132"/>
        <v>70.800000000000011</v>
      </c>
      <c r="BS141" s="39">
        <f t="shared" si="133"/>
        <v>0</v>
      </c>
      <c r="BT141" s="39">
        <f t="shared" si="134"/>
        <v>0</v>
      </c>
      <c r="BU141" s="39">
        <f t="shared" si="135"/>
        <v>0</v>
      </c>
      <c r="BV141" s="39">
        <f t="shared" si="136"/>
        <v>0</v>
      </c>
      <c r="BW141" s="39">
        <f t="shared" si="137"/>
        <v>0</v>
      </c>
      <c r="BX141" s="39">
        <f t="shared" si="138"/>
        <v>0</v>
      </c>
      <c r="BY141" s="39">
        <f t="shared" si="139"/>
        <v>0</v>
      </c>
      <c r="BZ141" s="39">
        <f t="shared" si="140"/>
        <v>0</v>
      </c>
      <c r="CA141" s="39">
        <f t="shared" si="141"/>
        <v>38.434603240353887</v>
      </c>
      <c r="CB141" s="39">
        <f t="shared" si="142"/>
        <v>63.603074833393102</v>
      </c>
      <c r="CC141" s="39">
        <f t="shared" si="143"/>
        <v>61.199999999999989</v>
      </c>
      <c r="CD141" s="39">
        <f t="shared" si="144"/>
        <v>82.800000000000011</v>
      </c>
      <c r="CE141" s="39">
        <f t="shared" si="145"/>
        <v>79.799999999999983</v>
      </c>
      <c r="CF141" s="39">
        <f t="shared" si="146"/>
        <v>70.800000000000011</v>
      </c>
      <c r="CG141" s="39">
        <f t="shared" si="147"/>
        <v>70.800000000000011</v>
      </c>
      <c r="CH141" s="39">
        <f t="shared" si="148"/>
        <v>70.800000000000011</v>
      </c>
      <c r="CI141" s="39">
        <f t="shared" si="149"/>
        <v>0</v>
      </c>
      <c r="CJ141" s="39">
        <f t="shared" si="150"/>
        <v>0</v>
      </c>
      <c r="CK141" s="39">
        <f t="shared" si="151"/>
        <v>0</v>
      </c>
      <c r="CL141" s="39">
        <f t="shared" si="152"/>
        <v>0</v>
      </c>
      <c r="CM141" s="39">
        <f t="shared" si="153"/>
        <v>0</v>
      </c>
      <c r="CN141" s="39">
        <f t="shared" si="154"/>
        <v>0</v>
      </c>
      <c r="CO141" s="39">
        <f t="shared" si="155"/>
        <v>0</v>
      </c>
      <c r="CP141" s="39">
        <f t="shared" si="156"/>
        <v>0</v>
      </c>
    </row>
    <row r="142" spans="2:94" ht="16" customHeight="1" x14ac:dyDescent="0.2">
      <c r="B142" s="38"/>
      <c r="L142" s="63">
        <v>30454</v>
      </c>
      <c r="M142" s="38">
        <v>0</v>
      </c>
      <c r="N142" s="38">
        <v>1.1000000000000001</v>
      </c>
      <c r="O142" s="39">
        <v>0</v>
      </c>
      <c r="P142" s="39">
        <v>0</v>
      </c>
      <c r="Q142" s="46">
        <f t="shared" si="87"/>
        <v>0.13290283126955293</v>
      </c>
      <c r="R142" s="81">
        <f t="shared" si="88"/>
        <v>0</v>
      </c>
      <c r="S142" s="82">
        <f t="shared" si="89"/>
        <v>0</v>
      </c>
      <c r="T142" s="39">
        <f t="shared" si="90"/>
        <v>0</v>
      </c>
      <c r="U142" s="83">
        <f t="shared" si="91"/>
        <v>0</v>
      </c>
      <c r="V142" s="84">
        <f t="shared" si="92"/>
        <v>0.88000000000000012</v>
      </c>
      <c r="W142" s="52">
        <f t="shared" si="93"/>
        <v>97.037678073746974</v>
      </c>
      <c r="X142" s="52">
        <f t="shared" si="94"/>
        <v>151.20000000000005</v>
      </c>
      <c r="Y142" s="52">
        <f t="shared" si="95"/>
        <v>248.23767807374702</v>
      </c>
      <c r="Z142" s="53">
        <f t="shared" si="96"/>
        <v>0.75810685995114824</v>
      </c>
      <c r="AA142" s="53">
        <f t="shared" si="97"/>
        <v>0.90000000000000024</v>
      </c>
      <c r="AB142" s="53">
        <f t="shared" si="98"/>
        <v>0.83864080430319943</v>
      </c>
      <c r="AC142" s="39" t="str">
        <f t="shared" si="99"/>
        <v>No</v>
      </c>
      <c r="AD142" s="85">
        <f t="shared" si="100"/>
        <v>0</v>
      </c>
      <c r="AE142" s="46">
        <f t="shared" si="101"/>
        <v>1</v>
      </c>
      <c r="AF142" s="46">
        <f t="shared" si="102"/>
        <v>0</v>
      </c>
      <c r="AG142" s="39">
        <f t="shared" si="157"/>
        <v>38.434603240353887</v>
      </c>
      <c r="AH142" s="39">
        <f t="shared" si="158"/>
        <v>63.603074833393102</v>
      </c>
      <c r="AI142" s="39">
        <f t="shared" si="159"/>
        <v>61.199999999999989</v>
      </c>
      <c r="AJ142" s="39">
        <f t="shared" si="160"/>
        <v>82.800000000000011</v>
      </c>
      <c r="AK142" s="39">
        <f t="shared" si="161"/>
        <v>79.799999999999983</v>
      </c>
      <c r="AL142" s="39">
        <f t="shared" si="162"/>
        <v>70.800000000000011</v>
      </c>
      <c r="AM142" s="39">
        <f t="shared" si="163"/>
        <v>70.800000000000011</v>
      </c>
      <c r="AN142" s="39">
        <f t="shared" si="164"/>
        <v>70.800000000000011</v>
      </c>
      <c r="AO142" s="39">
        <f t="shared" si="103"/>
        <v>0</v>
      </c>
      <c r="AP142" s="39">
        <f t="shared" si="104"/>
        <v>0</v>
      </c>
      <c r="AQ142" s="39">
        <f t="shared" si="105"/>
        <v>0</v>
      </c>
      <c r="AR142" s="39">
        <f t="shared" si="106"/>
        <v>0</v>
      </c>
      <c r="AS142" s="39">
        <f t="shared" si="107"/>
        <v>0</v>
      </c>
      <c r="AT142" s="39">
        <f t="shared" si="108"/>
        <v>0</v>
      </c>
      <c r="AU142" s="39">
        <f t="shared" si="109"/>
        <v>0</v>
      </c>
      <c r="AV142" s="39">
        <f t="shared" si="110"/>
        <v>0</v>
      </c>
      <c r="AW142" s="39">
        <f t="shared" si="111"/>
        <v>0</v>
      </c>
      <c r="AX142" s="39">
        <f t="shared" si="112"/>
        <v>0</v>
      </c>
      <c r="AY142" s="39">
        <f t="shared" si="113"/>
        <v>0</v>
      </c>
      <c r="AZ142" s="39">
        <f t="shared" si="114"/>
        <v>0</v>
      </c>
      <c r="BA142" s="39">
        <f t="shared" si="115"/>
        <v>0</v>
      </c>
      <c r="BB142" s="39">
        <f t="shared" si="116"/>
        <v>0</v>
      </c>
      <c r="BC142" s="39">
        <f t="shared" si="117"/>
        <v>0</v>
      </c>
      <c r="BD142" s="39">
        <f t="shared" si="118"/>
        <v>0</v>
      </c>
      <c r="BE142" s="39">
        <f t="shared" si="119"/>
        <v>0</v>
      </c>
      <c r="BF142" s="39">
        <f t="shared" si="120"/>
        <v>0</v>
      </c>
      <c r="BG142" s="39">
        <f t="shared" si="121"/>
        <v>0</v>
      </c>
      <c r="BH142" s="84">
        <f t="shared" si="122"/>
        <v>0</v>
      </c>
      <c r="BI142" s="84">
        <f t="shared" si="123"/>
        <v>0.88000000000000012</v>
      </c>
      <c r="BJ142" s="84">
        <f t="shared" si="124"/>
        <v>0.11955393466330741</v>
      </c>
      <c r="BK142" s="39">
        <f t="shared" si="125"/>
        <v>38.315049305690579</v>
      </c>
      <c r="BL142" s="39">
        <f t="shared" si="126"/>
        <v>63.603074833393102</v>
      </c>
      <c r="BM142" s="39">
        <f t="shared" si="127"/>
        <v>61.199999999999989</v>
      </c>
      <c r="BN142" s="39">
        <f t="shared" si="128"/>
        <v>82.800000000000011</v>
      </c>
      <c r="BO142" s="39">
        <f t="shared" si="129"/>
        <v>79.799999999999983</v>
      </c>
      <c r="BP142" s="39">
        <f t="shared" si="130"/>
        <v>70.800000000000011</v>
      </c>
      <c r="BQ142" s="39">
        <f t="shared" si="131"/>
        <v>70.800000000000011</v>
      </c>
      <c r="BR142" s="39">
        <f t="shared" si="132"/>
        <v>70.800000000000011</v>
      </c>
      <c r="BS142" s="39">
        <f t="shared" si="133"/>
        <v>0</v>
      </c>
      <c r="BT142" s="39">
        <f t="shared" si="134"/>
        <v>0</v>
      </c>
      <c r="BU142" s="39">
        <f t="shared" si="135"/>
        <v>0</v>
      </c>
      <c r="BV142" s="39">
        <f t="shared" si="136"/>
        <v>0</v>
      </c>
      <c r="BW142" s="39">
        <f t="shared" si="137"/>
        <v>0</v>
      </c>
      <c r="BX142" s="39">
        <f t="shared" si="138"/>
        <v>0</v>
      </c>
      <c r="BY142" s="39">
        <f t="shared" si="139"/>
        <v>0</v>
      </c>
      <c r="BZ142" s="39">
        <f t="shared" si="140"/>
        <v>0</v>
      </c>
      <c r="CA142" s="39">
        <f t="shared" si="141"/>
        <v>38.315049305690579</v>
      </c>
      <c r="CB142" s="39">
        <f t="shared" si="142"/>
        <v>63.603074833393102</v>
      </c>
      <c r="CC142" s="39">
        <f t="shared" si="143"/>
        <v>61.199999999999989</v>
      </c>
      <c r="CD142" s="39">
        <f t="shared" si="144"/>
        <v>82.800000000000011</v>
      </c>
      <c r="CE142" s="39">
        <f t="shared" si="145"/>
        <v>79.799999999999983</v>
      </c>
      <c r="CF142" s="39">
        <f t="shared" si="146"/>
        <v>70.800000000000011</v>
      </c>
      <c r="CG142" s="39">
        <f t="shared" si="147"/>
        <v>70.800000000000011</v>
      </c>
      <c r="CH142" s="39">
        <f t="shared" si="148"/>
        <v>70.800000000000011</v>
      </c>
      <c r="CI142" s="39">
        <f t="shared" si="149"/>
        <v>0</v>
      </c>
      <c r="CJ142" s="39">
        <f t="shared" si="150"/>
        <v>0</v>
      </c>
      <c r="CK142" s="39">
        <f t="shared" si="151"/>
        <v>0</v>
      </c>
      <c r="CL142" s="39">
        <f t="shared" si="152"/>
        <v>0</v>
      </c>
      <c r="CM142" s="39">
        <f t="shared" si="153"/>
        <v>0</v>
      </c>
      <c r="CN142" s="39">
        <f t="shared" si="154"/>
        <v>0</v>
      </c>
      <c r="CO142" s="39">
        <f t="shared" si="155"/>
        <v>0</v>
      </c>
      <c r="CP142" s="39">
        <f t="shared" si="156"/>
        <v>0</v>
      </c>
    </row>
    <row r="143" spans="2:94" ht="16" customHeight="1" x14ac:dyDescent="0.2">
      <c r="B143" s="38"/>
      <c r="L143" s="63">
        <v>30455</v>
      </c>
      <c r="M143" s="38">
        <v>20.100000000000001</v>
      </c>
      <c r="N143" s="38">
        <v>1.2</v>
      </c>
      <c r="O143" s="39">
        <v>0</v>
      </c>
      <c r="P143" s="39">
        <v>0</v>
      </c>
      <c r="Q143" s="46">
        <f t="shared" si="87"/>
        <v>0.13314517032630285</v>
      </c>
      <c r="R143" s="81">
        <f t="shared" si="88"/>
        <v>1.1641673669087913</v>
      </c>
      <c r="S143" s="82">
        <f t="shared" si="89"/>
        <v>18.935832633091209</v>
      </c>
      <c r="T143" s="39">
        <f t="shared" si="90"/>
        <v>0</v>
      </c>
      <c r="U143" s="83">
        <f t="shared" si="91"/>
        <v>0</v>
      </c>
      <c r="V143" s="84">
        <f t="shared" si="92"/>
        <v>0.96</v>
      </c>
      <c r="W143" s="52">
        <f t="shared" si="93"/>
        <v>96.918124139083687</v>
      </c>
      <c r="X143" s="52">
        <f t="shared" si="94"/>
        <v>151.20000000000005</v>
      </c>
      <c r="Y143" s="52">
        <f t="shared" si="95"/>
        <v>248.11812413908373</v>
      </c>
      <c r="Z143" s="53">
        <f t="shared" si="96"/>
        <v>0.75717284483659131</v>
      </c>
      <c r="AA143" s="53">
        <f t="shared" si="97"/>
        <v>0.90000000000000024</v>
      </c>
      <c r="AB143" s="53">
        <f t="shared" si="98"/>
        <v>0.83823690587528288</v>
      </c>
      <c r="AC143" s="39" t="str">
        <f t="shared" si="99"/>
        <v>No</v>
      </c>
      <c r="AD143" s="85">
        <f t="shared" si="100"/>
        <v>0</v>
      </c>
      <c r="AE143" s="46">
        <f t="shared" si="101"/>
        <v>1</v>
      </c>
      <c r="AF143" s="46">
        <f t="shared" si="102"/>
        <v>0</v>
      </c>
      <c r="AG143" s="39">
        <f t="shared" si="157"/>
        <v>38.315049305690579</v>
      </c>
      <c r="AH143" s="39">
        <f t="shared" si="158"/>
        <v>63.603074833393102</v>
      </c>
      <c r="AI143" s="39">
        <f t="shared" si="159"/>
        <v>61.199999999999989</v>
      </c>
      <c r="AJ143" s="39">
        <f t="shared" si="160"/>
        <v>82.800000000000011</v>
      </c>
      <c r="AK143" s="39">
        <f t="shared" si="161"/>
        <v>79.799999999999983</v>
      </c>
      <c r="AL143" s="39">
        <f t="shared" si="162"/>
        <v>70.800000000000011</v>
      </c>
      <c r="AM143" s="39">
        <f t="shared" si="163"/>
        <v>70.800000000000011</v>
      </c>
      <c r="AN143" s="39">
        <f t="shared" si="164"/>
        <v>70.800000000000011</v>
      </c>
      <c r="AO143" s="39">
        <f t="shared" si="103"/>
        <v>0</v>
      </c>
      <c r="AP143" s="39">
        <f t="shared" si="104"/>
        <v>0</v>
      </c>
      <c r="AQ143" s="39">
        <f t="shared" si="105"/>
        <v>0</v>
      </c>
      <c r="AR143" s="39">
        <f t="shared" si="106"/>
        <v>0</v>
      </c>
      <c r="AS143" s="39">
        <f t="shared" si="107"/>
        <v>0</v>
      </c>
      <c r="AT143" s="39">
        <f t="shared" si="108"/>
        <v>0</v>
      </c>
      <c r="AU143" s="39">
        <f t="shared" si="109"/>
        <v>0</v>
      </c>
      <c r="AV143" s="39">
        <f t="shared" si="110"/>
        <v>0</v>
      </c>
      <c r="AW143" s="39">
        <f t="shared" si="111"/>
        <v>0</v>
      </c>
      <c r="AX143" s="39">
        <f t="shared" si="112"/>
        <v>0</v>
      </c>
      <c r="AY143" s="39">
        <f t="shared" si="113"/>
        <v>0</v>
      </c>
      <c r="AZ143" s="39">
        <f t="shared" si="114"/>
        <v>0</v>
      </c>
      <c r="BA143" s="39">
        <f t="shared" si="115"/>
        <v>0</v>
      </c>
      <c r="BB143" s="39">
        <f t="shared" si="116"/>
        <v>0</v>
      </c>
      <c r="BC143" s="39">
        <f t="shared" si="117"/>
        <v>0</v>
      </c>
      <c r="BD143" s="39">
        <f t="shared" si="118"/>
        <v>0</v>
      </c>
      <c r="BE143" s="39">
        <f t="shared" si="119"/>
        <v>0</v>
      </c>
      <c r="BF143" s="39">
        <f t="shared" si="120"/>
        <v>0</v>
      </c>
      <c r="BG143" s="39">
        <f t="shared" si="121"/>
        <v>0</v>
      </c>
      <c r="BH143" s="84">
        <f t="shared" si="122"/>
        <v>0.96</v>
      </c>
      <c r="BI143" s="84">
        <f t="shared" si="123"/>
        <v>0</v>
      </c>
      <c r="BJ143" s="84">
        <f t="shared" si="124"/>
        <v>0.96</v>
      </c>
      <c r="BK143" s="39">
        <f t="shared" si="125"/>
        <v>37.355049305690578</v>
      </c>
      <c r="BL143" s="39">
        <f t="shared" si="126"/>
        <v>63.603074833393102</v>
      </c>
      <c r="BM143" s="39">
        <f t="shared" si="127"/>
        <v>61.199999999999989</v>
      </c>
      <c r="BN143" s="39">
        <f t="shared" si="128"/>
        <v>82.800000000000011</v>
      </c>
      <c r="BO143" s="39">
        <f t="shared" si="129"/>
        <v>79.799999999999983</v>
      </c>
      <c r="BP143" s="39">
        <f t="shared" si="130"/>
        <v>70.800000000000011</v>
      </c>
      <c r="BQ143" s="39">
        <f t="shared" si="131"/>
        <v>70.800000000000011</v>
      </c>
      <c r="BR143" s="39">
        <f t="shared" si="132"/>
        <v>70.800000000000011</v>
      </c>
      <c r="BS143" s="39">
        <f t="shared" si="133"/>
        <v>0</v>
      </c>
      <c r="BT143" s="39">
        <f t="shared" si="134"/>
        <v>0</v>
      </c>
      <c r="BU143" s="39">
        <f t="shared" si="135"/>
        <v>0</v>
      </c>
      <c r="BV143" s="39">
        <f t="shared" si="136"/>
        <v>0</v>
      </c>
      <c r="BW143" s="39">
        <f t="shared" si="137"/>
        <v>0</v>
      </c>
      <c r="BX143" s="39">
        <f t="shared" si="138"/>
        <v>0</v>
      </c>
      <c r="BY143" s="39">
        <f t="shared" si="139"/>
        <v>0</v>
      </c>
      <c r="BZ143" s="39">
        <f t="shared" si="140"/>
        <v>0</v>
      </c>
      <c r="CA143" s="39">
        <f t="shared" si="141"/>
        <v>55.330881938781786</v>
      </c>
      <c r="CB143" s="39">
        <f t="shared" si="142"/>
        <v>63.603074833393102</v>
      </c>
      <c r="CC143" s="39">
        <f t="shared" si="143"/>
        <v>61.199999999999989</v>
      </c>
      <c r="CD143" s="39">
        <f t="shared" si="144"/>
        <v>82.800000000000011</v>
      </c>
      <c r="CE143" s="39">
        <f t="shared" si="145"/>
        <v>79.799999999999983</v>
      </c>
      <c r="CF143" s="39">
        <f t="shared" si="146"/>
        <v>70.800000000000011</v>
      </c>
      <c r="CG143" s="39">
        <f t="shared" si="147"/>
        <v>70.800000000000011</v>
      </c>
      <c r="CH143" s="39">
        <f t="shared" si="148"/>
        <v>70.800000000000011</v>
      </c>
      <c r="CI143" s="39">
        <f t="shared" si="149"/>
        <v>0</v>
      </c>
      <c r="CJ143" s="39">
        <f t="shared" si="150"/>
        <v>0</v>
      </c>
      <c r="CK143" s="39">
        <f t="shared" si="151"/>
        <v>0</v>
      </c>
      <c r="CL143" s="39">
        <f t="shared" si="152"/>
        <v>0</v>
      </c>
      <c r="CM143" s="39">
        <f t="shared" si="153"/>
        <v>0</v>
      </c>
      <c r="CN143" s="39">
        <f t="shared" si="154"/>
        <v>0</v>
      </c>
      <c r="CO143" s="39">
        <f t="shared" si="155"/>
        <v>0</v>
      </c>
      <c r="CP143" s="39">
        <f t="shared" si="156"/>
        <v>0</v>
      </c>
    </row>
    <row r="144" spans="2:94" ht="16" customHeight="1" x14ac:dyDescent="0.2">
      <c r="B144" s="38"/>
      <c r="L144" s="63">
        <v>30456</v>
      </c>
      <c r="M144" s="38">
        <v>1.8</v>
      </c>
      <c r="N144" s="38">
        <v>0.9</v>
      </c>
      <c r="O144" s="39">
        <v>0</v>
      </c>
      <c r="P144" s="39">
        <v>0</v>
      </c>
      <c r="Q144" s="46">
        <f t="shared" si="87"/>
        <v>9.8653617691658535E-2</v>
      </c>
      <c r="R144" s="81">
        <f t="shared" si="88"/>
        <v>0</v>
      </c>
      <c r="S144" s="82">
        <f t="shared" si="89"/>
        <v>1.8</v>
      </c>
      <c r="T144" s="39">
        <f t="shared" si="90"/>
        <v>0</v>
      </c>
      <c r="U144" s="83">
        <f t="shared" si="91"/>
        <v>0</v>
      </c>
      <c r="V144" s="84">
        <f t="shared" si="92"/>
        <v>0.72000000000000008</v>
      </c>
      <c r="W144" s="52">
        <f t="shared" si="93"/>
        <v>113.93395677217489</v>
      </c>
      <c r="X144" s="52">
        <f t="shared" si="94"/>
        <v>151.20000000000005</v>
      </c>
      <c r="Y144" s="52">
        <f t="shared" si="95"/>
        <v>265.13395677217494</v>
      </c>
      <c r="Z144" s="53">
        <f t="shared" si="96"/>
        <v>0.89010903728261637</v>
      </c>
      <c r="AA144" s="53">
        <f t="shared" si="97"/>
        <v>0.90000000000000024</v>
      </c>
      <c r="AB144" s="53">
        <f t="shared" si="98"/>
        <v>0.89572282693302341</v>
      </c>
      <c r="AC144" s="39" t="str">
        <f t="shared" si="99"/>
        <v>No</v>
      </c>
      <c r="AD144" s="85">
        <f t="shared" si="100"/>
        <v>0</v>
      </c>
      <c r="AE144" s="46">
        <f t="shared" si="101"/>
        <v>1</v>
      </c>
      <c r="AF144" s="46">
        <f t="shared" si="102"/>
        <v>0</v>
      </c>
      <c r="AG144" s="39">
        <f t="shared" si="157"/>
        <v>55.330881938781786</v>
      </c>
      <c r="AH144" s="39">
        <f t="shared" si="158"/>
        <v>63.603074833393102</v>
      </c>
      <c r="AI144" s="39">
        <f t="shared" si="159"/>
        <v>61.199999999999989</v>
      </c>
      <c r="AJ144" s="39">
        <f t="shared" si="160"/>
        <v>82.800000000000011</v>
      </c>
      <c r="AK144" s="39">
        <f t="shared" si="161"/>
        <v>79.799999999999983</v>
      </c>
      <c r="AL144" s="39">
        <f t="shared" si="162"/>
        <v>70.800000000000011</v>
      </c>
      <c r="AM144" s="39">
        <f t="shared" si="163"/>
        <v>70.800000000000011</v>
      </c>
      <c r="AN144" s="39">
        <f t="shared" si="164"/>
        <v>70.800000000000011</v>
      </c>
      <c r="AO144" s="39">
        <f t="shared" si="103"/>
        <v>0</v>
      </c>
      <c r="AP144" s="39">
        <f t="shared" si="104"/>
        <v>0</v>
      </c>
      <c r="AQ144" s="39">
        <f t="shared" si="105"/>
        <v>0</v>
      </c>
      <c r="AR144" s="39">
        <f t="shared" si="106"/>
        <v>0</v>
      </c>
      <c r="AS144" s="39">
        <f t="shared" si="107"/>
        <v>0</v>
      </c>
      <c r="AT144" s="39">
        <f t="shared" si="108"/>
        <v>0</v>
      </c>
      <c r="AU144" s="39">
        <f t="shared" si="109"/>
        <v>0</v>
      </c>
      <c r="AV144" s="39">
        <f t="shared" si="110"/>
        <v>0</v>
      </c>
      <c r="AW144" s="39">
        <f t="shared" si="111"/>
        <v>0</v>
      </c>
      <c r="AX144" s="39">
        <f t="shared" si="112"/>
        <v>0</v>
      </c>
      <c r="AY144" s="39">
        <f t="shared" si="113"/>
        <v>0</v>
      </c>
      <c r="AZ144" s="39">
        <f t="shared" si="114"/>
        <v>0</v>
      </c>
      <c r="BA144" s="39">
        <f t="shared" si="115"/>
        <v>0</v>
      </c>
      <c r="BB144" s="39">
        <f t="shared" si="116"/>
        <v>0</v>
      </c>
      <c r="BC144" s="39">
        <f t="shared" si="117"/>
        <v>0</v>
      </c>
      <c r="BD144" s="39">
        <f t="shared" si="118"/>
        <v>0</v>
      </c>
      <c r="BE144" s="39">
        <f t="shared" si="119"/>
        <v>0</v>
      </c>
      <c r="BF144" s="39">
        <f t="shared" si="120"/>
        <v>0</v>
      </c>
      <c r="BG144" s="39">
        <f t="shared" si="121"/>
        <v>0</v>
      </c>
      <c r="BH144" s="84">
        <f t="shared" si="122"/>
        <v>0.72000000000000008</v>
      </c>
      <c r="BI144" s="84">
        <f t="shared" si="123"/>
        <v>0</v>
      </c>
      <c r="BJ144" s="84">
        <f t="shared" si="124"/>
        <v>0.72000000000000008</v>
      </c>
      <c r="BK144" s="39">
        <f t="shared" si="125"/>
        <v>54.610881938781787</v>
      </c>
      <c r="BL144" s="39">
        <f t="shared" si="126"/>
        <v>63.603074833393102</v>
      </c>
      <c r="BM144" s="39">
        <f t="shared" si="127"/>
        <v>61.199999999999989</v>
      </c>
      <c r="BN144" s="39">
        <f t="shared" si="128"/>
        <v>82.800000000000011</v>
      </c>
      <c r="BO144" s="39">
        <f t="shared" si="129"/>
        <v>79.799999999999983</v>
      </c>
      <c r="BP144" s="39">
        <f t="shared" si="130"/>
        <v>70.800000000000011</v>
      </c>
      <c r="BQ144" s="39">
        <f t="shared" si="131"/>
        <v>70.800000000000011</v>
      </c>
      <c r="BR144" s="39">
        <f t="shared" si="132"/>
        <v>70.800000000000011</v>
      </c>
      <c r="BS144" s="39">
        <f t="shared" si="133"/>
        <v>0</v>
      </c>
      <c r="BT144" s="39">
        <f t="shared" si="134"/>
        <v>0</v>
      </c>
      <c r="BU144" s="39">
        <f t="shared" si="135"/>
        <v>0</v>
      </c>
      <c r="BV144" s="39">
        <f t="shared" si="136"/>
        <v>0</v>
      </c>
      <c r="BW144" s="39">
        <f t="shared" si="137"/>
        <v>0</v>
      </c>
      <c r="BX144" s="39">
        <f t="shared" si="138"/>
        <v>0</v>
      </c>
      <c r="BY144" s="39">
        <f t="shared" si="139"/>
        <v>0</v>
      </c>
      <c r="BZ144" s="39">
        <f t="shared" si="140"/>
        <v>0</v>
      </c>
      <c r="CA144" s="39">
        <f t="shared" si="141"/>
        <v>55.690881938781786</v>
      </c>
      <c r="CB144" s="39">
        <f t="shared" si="142"/>
        <v>63.603074833393102</v>
      </c>
      <c r="CC144" s="39">
        <f t="shared" si="143"/>
        <v>61.199999999999989</v>
      </c>
      <c r="CD144" s="39">
        <f t="shared" si="144"/>
        <v>82.800000000000011</v>
      </c>
      <c r="CE144" s="39">
        <f t="shared" si="145"/>
        <v>79.799999999999983</v>
      </c>
      <c r="CF144" s="39">
        <f t="shared" si="146"/>
        <v>70.800000000000011</v>
      </c>
      <c r="CG144" s="39">
        <f t="shared" si="147"/>
        <v>70.800000000000011</v>
      </c>
      <c r="CH144" s="39">
        <f t="shared" si="148"/>
        <v>70.800000000000011</v>
      </c>
      <c r="CI144" s="39">
        <f t="shared" si="149"/>
        <v>0</v>
      </c>
      <c r="CJ144" s="39">
        <f t="shared" si="150"/>
        <v>0</v>
      </c>
      <c r="CK144" s="39">
        <f t="shared" si="151"/>
        <v>0</v>
      </c>
      <c r="CL144" s="39">
        <f t="shared" si="152"/>
        <v>0</v>
      </c>
      <c r="CM144" s="39">
        <f t="shared" si="153"/>
        <v>0</v>
      </c>
      <c r="CN144" s="39">
        <f t="shared" si="154"/>
        <v>0</v>
      </c>
      <c r="CO144" s="39">
        <f t="shared" si="155"/>
        <v>0</v>
      </c>
      <c r="CP144" s="39">
        <f t="shared" si="156"/>
        <v>0</v>
      </c>
    </row>
    <row r="145" spans="2:94" ht="16" customHeight="1" x14ac:dyDescent="0.2">
      <c r="B145" s="38"/>
      <c r="L145" s="63">
        <v>30457</v>
      </c>
      <c r="M145" s="38">
        <v>0</v>
      </c>
      <c r="N145" s="38">
        <v>0.8</v>
      </c>
      <c r="O145" s="39">
        <v>0</v>
      </c>
      <c r="P145" s="39">
        <v>0</v>
      </c>
      <c r="Q145" s="46">
        <f t="shared" si="87"/>
        <v>9.7923887961928802E-2</v>
      </c>
      <c r="R145" s="81">
        <f t="shared" si="88"/>
        <v>0</v>
      </c>
      <c r="S145" s="82">
        <f t="shared" si="89"/>
        <v>0</v>
      </c>
      <c r="T145" s="39">
        <f t="shared" si="90"/>
        <v>0</v>
      </c>
      <c r="U145" s="83">
        <f t="shared" si="91"/>
        <v>0</v>
      </c>
      <c r="V145" s="84">
        <f t="shared" si="92"/>
        <v>0.64000000000000012</v>
      </c>
      <c r="W145" s="52">
        <f t="shared" si="93"/>
        <v>114.29395677217485</v>
      </c>
      <c r="X145" s="52">
        <f t="shared" si="94"/>
        <v>151.20000000000005</v>
      </c>
      <c r="Y145" s="52">
        <f t="shared" si="95"/>
        <v>265.4939567721749</v>
      </c>
      <c r="Z145" s="53">
        <f t="shared" si="96"/>
        <v>0.89292153728261603</v>
      </c>
      <c r="AA145" s="53">
        <f t="shared" si="97"/>
        <v>0.90000000000000024</v>
      </c>
      <c r="AB145" s="53">
        <f t="shared" si="98"/>
        <v>0.89693904314923956</v>
      </c>
      <c r="AC145" s="39" t="str">
        <f t="shared" si="99"/>
        <v>No</v>
      </c>
      <c r="AD145" s="85">
        <f t="shared" si="100"/>
        <v>0</v>
      </c>
      <c r="AE145" s="46">
        <f t="shared" si="101"/>
        <v>1</v>
      </c>
      <c r="AF145" s="46">
        <f t="shared" si="102"/>
        <v>0</v>
      </c>
      <c r="AG145" s="39">
        <f t="shared" si="157"/>
        <v>55.690881938781786</v>
      </c>
      <c r="AH145" s="39">
        <f t="shared" si="158"/>
        <v>63.603074833393102</v>
      </c>
      <c r="AI145" s="39">
        <f t="shared" si="159"/>
        <v>61.199999999999989</v>
      </c>
      <c r="AJ145" s="39">
        <f t="shared" si="160"/>
        <v>82.800000000000011</v>
      </c>
      <c r="AK145" s="39">
        <f t="shared" si="161"/>
        <v>79.799999999999983</v>
      </c>
      <c r="AL145" s="39">
        <f t="shared" si="162"/>
        <v>70.800000000000011</v>
      </c>
      <c r="AM145" s="39">
        <f t="shared" si="163"/>
        <v>70.800000000000011</v>
      </c>
      <c r="AN145" s="39">
        <f t="shared" si="164"/>
        <v>70.800000000000011</v>
      </c>
      <c r="AO145" s="39">
        <f t="shared" si="103"/>
        <v>0</v>
      </c>
      <c r="AP145" s="39">
        <f t="shared" si="104"/>
        <v>0</v>
      </c>
      <c r="AQ145" s="39">
        <f t="shared" si="105"/>
        <v>0</v>
      </c>
      <c r="AR145" s="39">
        <f t="shared" si="106"/>
        <v>0</v>
      </c>
      <c r="AS145" s="39">
        <f t="shared" si="107"/>
        <v>0</v>
      </c>
      <c r="AT145" s="39">
        <f t="shared" si="108"/>
        <v>0</v>
      </c>
      <c r="AU145" s="39">
        <f t="shared" si="109"/>
        <v>0</v>
      </c>
      <c r="AV145" s="39">
        <f t="shared" si="110"/>
        <v>0</v>
      </c>
      <c r="AW145" s="39">
        <f t="shared" si="111"/>
        <v>0</v>
      </c>
      <c r="AX145" s="39">
        <f t="shared" si="112"/>
        <v>0</v>
      </c>
      <c r="AY145" s="39">
        <f t="shared" si="113"/>
        <v>0</v>
      </c>
      <c r="AZ145" s="39">
        <f t="shared" si="114"/>
        <v>0</v>
      </c>
      <c r="BA145" s="39">
        <f t="shared" si="115"/>
        <v>0</v>
      </c>
      <c r="BB145" s="39">
        <f t="shared" si="116"/>
        <v>0</v>
      </c>
      <c r="BC145" s="39">
        <f t="shared" si="117"/>
        <v>0</v>
      </c>
      <c r="BD145" s="39">
        <f t="shared" si="118"/>
        <v>0</v>
      </c>
      <c r="BE145" s="39">
        <f t="shared" si="119"/>
        <v>0</v>
      </c>
      <c r="BF145" s="39">
        <f t="shared" si="120"/>
        <v>0</v>
      </c>
      <c r="BG145" s="39">
        <f t="shared" si="121"/>
        <v>0</v>
      </c>
      <c r="BH145" s="84">
        <f t="shared" si="122"/>
        <v>0.64000000000000012</v>
      </c>
      <c r="BI145" s="84">
        <f t="shared" si="123"/>
        <v>0</v>
      </c>
      <c r="BJ145" s="84">
        <f t="shared" si="124"/>
        <v>0.64000000000000012</v>
      </c>
      <c r="BK145" s="39">
        <f t="shared" si="125"/>
        <v>55.050881938781785</v>
      </c>
      <c r="BL145" s="39">
        <f t="shared" si="126"/>
        <v>63.603074833393102</v>
      </c>
      <c r="BM145" s="39">
        <f t="shared" si="127"/>
        <v>61.199999999999989</v>
      </c>
      <c r="BN145" s="39">
        <f t="shared" si="128"/>
        <v>82.800000000000011</v>
      </c>
      <c r="BO145" s="39">
        <f t="shared" si="129"/>
        <v>79.799999999999983</v>
      </c>
      <c r="BP145" s="39">
        <f t="shared" si="130"/>
        <v>70.800000000000011</v>
      </c>
      <c r="BQ145" s="39">
        <f t="shared" si="131"/>
        <v>70.800000000000011</v>
      </c>
      <c r="BR145" s="39">
        <f t="shared" si="132"/>
        <v>70.800000000000011</v>
      </c>
      <c r="BS145" s="39">
        <f t="shared" si="133"/>
        <v>0</v>
      </c>
      <c r="BT145" s="39">
        <f t="shared" si="134"/>
        <v>0</v>
      </c>
      <c r="BU145" s="39">
        <f t="shared" si="135"/>
        <v>0</v>
      </c>
      <c r="BV145" s="39">
        <f t="shared" si="136"/>
        <v>0</v>
      </c>
      <c r="BW145" s="39">
        <f t="shared" si="137"/>
        <v>0</v>
      </c>
      <c r="BX145" s="39">
        <f t="shared" si="138"/>
        <v>0</v>
      </c>
      <c r="BY145" s="39">
        <f t="shared" si="139"/>
        <v>0</v>
      </c>
      <c r="BZ145" s="39">
        <f t="shared" si="140"/>
        <v>0</v>
      </c>
      <c r="CA145" s="39">
        <f t="shared" si="141"/>
        <v>55.050881938781785</v>
      </c>
      <c r="CB145" s="39">
        <f t="shared" si="142"/>
        <v>63.603074833393102</v>
      </c>
      <c r="CC145" s="39">
        <f t="shared" si="143"/>
        <v>61.199999999999989</v>
      </c>
      <c r="CD145" s="39">
        <f t="shared" si="144"/>
        <v>82.800000000000011</v>
      </c>
      <c r="CE145" s="39">
        <f t="shared" si="145"/>
        <v>79.799999999999983</v>
      </c>
      <c r="CF145" s="39">
        <f t="shared" si="146"/>
        <v>70.800000000000011</v>
      </c>
      <c r="CG145" s="39">
        <f t="shared" si="147"/>
        <v>70.800000000000011</v>
      </c>
      <c r="CH145" s="39">
        <f t="shared" si="148"/>
        <v>70.800000000000011</v>
      </c>
      <c r="CI145" s="39">
        <f t="shared" si="149"/>
        <v>0</v>
      </c>
      <c r="CJ145" s="39">
        <f t="shared" si="150"/>
        <v>0</v>
      </c>
      <c r="CK145" s="39">
        <f t="shared" si="151"/>
        <v>0</v>
      </c>
      <c r="CL145" s="39">
        <f t="shared" si="152"/>
        <v>0</v>
      </c>
      <c r="CM145" s="39">
        <f t="shared" si="153"/>
        <v>0</v>
      </c>
      <c r="CN145" s="39">
        <f t="shared" si="154"/>
        <v>0</v>
      </c>
      <c r="CO145" s="39">
        <f t="shared" si="155"/>
        <v>0</v>
      </c>
      <c r="CP145" s="39">
        <f t="shared" si="156"/>
        <v>0</v>
      </c>
    </row>
    <row r="146" spans="2:94" ht="16" customHeight="1" x14ac:dyDescent="0.2">
      <c r="B146" s="38"/>
      <c r="L146" s="63">
        <v>30458</v>
      </c>
      <c r="M146" s="38">
        <v>0.5</v>
      </c>
      <c r="N146" s="38">
        <v>0.7</v>
      </c>
      <c r="O146" s="39">
        <v>0</v>
      </c>
      <c r="P146" s="39">
        <v>0</v>
      </c>
      <c r="Q146" s="46">
        <f t="shared" si="87"/>
        <v>9.9221185259226102E-2</v>
      </c>
      <c r="R146" s="81">
        <f t="shared" si="88"/>
        <v>0</v>
      </c>
      <c r="S146" s="82">
        <f t="shared" si="89"/>
        <v>0.5</v>
      </c>
      <c r="T146" s="39">
        <f t="shared" si="90"/>
        <v>0</v>
      </c>
      <c r="U146" s="83">
        <f t="shared" si="91"/>
        <v>0</v>
      </c>
      <c r="V146" s="84">
        <f t="shared" si="92"/>
        <v>0.55999999999999994</v>
      </c>
      <c r="W146" s="52">
        <f t="shared" si="93"/>
        <v>113.65395677217487</v>
      </c>
      <c r="X146" s="52">
        <f t="shared" si="94"/>
        <v>151.20000000000005</v>
      </c>
      <c r="Y146" s="52">
        <f t="shared" si="95"/>
        <v>264.85395677217491</v>
      </c>
      <c r="Z146" s="53">
        <f t="shared" si="96"/>
        <v>0.88792153728261614</v>
      </c>
      <c r="AA146" s="53">
        <f t="shared" si="97"/>
        <v>0.90000000000000024</v>
      </c>
      <c r="AB146" s="53">
        <f t="shared" si="98"/>
        <v>0.89477688098707742</v>
      </c>
      <c r="AC146" s="39" t="str">
        <f t="shared" si="99"/>
        <v>No</v>
      </c>
      <c r="AD146" s="85">
        <f t="shared" si="100"/>
        <v>0</v>
      </c>
      <c r="AE146" s="46">
        <f t="shared" si="101"/>
        <v>1</v>
      </c>
      <c r="AF146" s="46">
        <f t="shared" si="102"/>
        <v>0</v>
      </c>
      <c r="AG146" s="39">
        <f t="shared" si="157"/>
        <v>55.050881938781785</v>
      </c>
      <c r="AH146" s="39">
        <f t="shared" si="158"/>
        <v>63.603074833393102</v>
      </c>
      <c r="AI146" s="39">
        <f t="shared" si="159"/>
        <v>61.199999999999989</v>
      </c>
      <c r="AJ146" s="39">
        <f t="shared" si="160"/>
        <v>82.800000000000011</v>
      </c>
      <c r="AK146" s="39">
        <f t="shared" si="161"/>
        <v>79.799999999999983</v>
      </c>
      <c r="AL146" s="39">
        <f t="shared" si="162"/>
        <v>70.800000000000011</v>
      </c>
      <c r="AM146" s="39">
        <f t="shared" si="163"/>
        <v>70.800000000000011</v>
      </c>
      <c r="AN146" s="39">
        <f t="shared" si="164"/>
        <v>70.800000000000011</v>
      </c>
      <c r="AO146" s="39">
        <f t="shared" si="103"/>
        <v>0</v>
      </c>
      <c r="AP146" s="39">
        <f t="shared" si="104"/>
        <v>0</v>
      </c>
      <c r="AQ146" s="39">
        <f t="shared" si="105"/>
        <v>0</v>
      </c>
      <c r="AR146" s="39">
        <f t="shared" si="106"/>
        <v>0</v>
      </c>
      <c r="AS146" s="39">
        <f t="shared" si="107"/>
        <v>0</v>
      </c>
      <c r="AT146" s="39">
        <f t="shared" si="108"/>
        <v>0</v>
      </c>
      <c r="AU146" s="39">
        <f t="shared" si="109"/>
        <v>0</v>
      </c>
      <c r="AV146" s="39">
        <f t="shared" si="110"/>
        <v>0</v>
      </c>
      <c r="AW146" s="39">
        <f t="shared" si="111"/>
        <v>0</v>
      </c>
      <c r="AX146" s="39">
        <f t="shared" si="112"/>
        <v>0</v>
      </c>
      <c r="AY146" s="39">
        <f t="shared" si="113"/>
        <v>0</v>
      </c>
      <c r="AZ146" s="39">
        <f t="shared" si="114"/>
        <v>0</v>
      </c>
      <c r="BA146" s="39">
        <f t="shared" si="115"/>
        <v>0</v>
      </c>
      <c r="BB146" s="39">
        <f t="shared" si="116"/>
        <v>0</v>
      </c>
      <c r="BC146" s="39">
        <f t="shared" si="117"/>
        <v>0</v>
      </c>
      <c r="BD146" s="39">
        <f t="shared" si="118"/>
        <v>0</v>
      </c>
      <c r="BE146" s="39">
        <f t="shared" si="119"/>
        <v>0</v>
      </c>
      <c r="BF146" s="39">
        <f t="shared" si="120"/>
        <v>0</v>
      </c>
      <c r="BG146" s="39">
        <f t="shared" si="121"/>
        <v>0</v>
      </c>
      <c r="BH146" s="84">
        <f t="shared" si="122"/>
        <v>0.55999999999999994</v>
      </c>
      <c r="BI146" s="84">
        <f t="shared" si="123"/>
        <v>0</v>
      </c>
      <c r="BJ146" s="84">
        <f t="shared" si="124"/>
        <v>0.55999999999999994</v>
      </c>
      <c r="BK146" s="39">
        <f t="shared" si="125"/>
        <v>54.490881938781783</v>
      </c>
      <c r="BL146" s="39">
        <f t="shared" si="126"/>
        <v>63.603074833393102</v>
      </c>
      <c r="BM146" s="39">
        <f t="shared" si="127"/>
        <v>61.199999999999989</v>
      </c>
      <c r="BN146" s="39">
        <f t="shared" si="128"/>
        <v>82.800000000000011</v>
      </c>
      <c r="BO146" s="39">
        <f t="shared" si="129"/>
        <v>79.799999999999983</v>
      </c>
      <c r="BP146" s="39">
        <f t="shared" si="130"/>
        <v>70.800000000000011</v>
      </c>
      <c r="BQ146" s="39">
        <f t="shared" si="131"/>
        <v>70.800000000000011</v>
      </c>
      <c r="BR146" s="39">
        <f t="shared" si="132"/>
        <v>70.800000000000011</v>
      </c>
      <c r="BS146" s="39">
        <f t="shared" si="133"/>
        <v>0</v>
      </c>
      <c r="BT146" s="39">
        <f t="shared" si="134"/>
        <v>0</v>
      </c>
      <c r="BU146" s="39">
        <f t="shared" si="135"/>
        <v>0</v>
      </c>
      <c r="BV146" s="39">
        <f t="shared" si="136"/>
        <v>0</v>
      </c>
      <c r="BW146" s="39">
        <f t="shared" si="137"/>
        <v>0</v>
      </c>
      <c r="BX146" s="39">
        <f t="shared" si="138"/>
        <v>0</v>
      </c>
      <c r="BY146" s="39">
        <f t="shared" si="139"/>
        <v>0</v>
      </c>
      <c r="BZ146" s="39">
        <f t="shared" si="140"/>
        <v>0</v>
      </c>
      <c r="CA146" s="39">
        <f t="shared" si="141"/>
        <v>54.490881938781783</v>
      </c>
      <c r="CB146" s="39">
        <f t="shared" si="142"/>
        <v>63.603074833393102</v>
      </c>
      <c r="CC146" s="39">
        <f t="shared" si="143"/>
        <v>61.199999999999989</v>
      </c>
      <c r="CD146" s="39">
        <f t="shared" si="144"/>
        <v>82.800000000000011</v>
      </c>
      <c r="CE146" s="39">
        <f t="shared" si="145"/>
        <v>79.799999999999983</v>
      </c>
      <c r="CF146" s="39">
        <f t="shared" si="146"/>
        <v>70.800000000000011</v>
      </c>
      <c r="CG146" s="39">
        <f t="shared" si="147"/>
        <v>70.800000000000011</v>
      </c>
      <c r="CH146" s="39">
        <f t="shared" si="148"/>
        <v>70.800000000000011</v>
      </c>
      <c r="CI146" s="39">
        <f t="shared" si="149"/>
        <v>0</v>
      </c>
      <c r="CJ146" s="39">
        <f t="shared" si="150"/>
        <v>0</v>
      </c>
      <c r="CK146" s="39">
        <f t="shared" si="151"/>
        <v>0</v>
      </c>
      <c r="CL146" s="39">
        <f t="shared" si="152"/>
        <v>0</v>
      </c>
      <c r="CM146" s="39">
        <f t="shared" si="153"/>
        <v>0</v>
      </c>
      <c r="CN146" s="39">
        <f t="shared" si="154"/>
        <v>0</v>
      </c>
      <c r="CO146" s="39">
        <f t="shared" si="155"/>
        <v>0</v>
      </c>
      <c r="CP146" s="39">
        <f t="shared" si="156"/>
        <v>0</v>
      </c>
    </row>
    <row r="147" spans="2:94" ht="16" customHeight="1" x14ac:dyDescent="0.2">
      <c r="B147" s="38"/>
      <c r="L147" s="63">
        <v>30459</v>
      </c>
      <c r="M147" s="38">
        <v>4</v>
      </c>
      <c r="N147" s="38">
        <v>0.7</v>
      </c>
      <c r="O147" s="39">
        <v>0</v>
      </c>
      <c r="P147" s="39">
        <v>0</v>
      </c>
      <c r="Q147" s="46">
        <f t="shared" si="87"/>
        <v>0.10035632039436124</v>
      </c>
      <c r="R147" s="81">
        <f t="shared" si="88"/>
        <v>0</v>
      </c>
      <c r="S147" s="82">
        <f t="shared" si="89"/>
        <v>4</v>
      </c>
      <c r="T147" s="39">
        <f t="shared" si="90"/>
        <v>0</v>
      </c>
      <c r="U147" s="83">
        <f t="shared" si="91"/>
        <v>0</v>
      </c>
      <c r="V147" s="84">
        <f t="shared" si="92"/>
        <v>0.55999999999999994</v>
      </c>
      <c r="W147" s="52">
        <f t="shared" si="93"/>
        <v>113.09395677217492</v>
      </c>
      <c r="X147" s="52">
        <f t="shared" si="94"/>
        <v>151.20000000000005</v>
      </c>
      <c r="Y147" s="52">
        <f t="shared" si="95"/>
        <v>264.29395677217497</v>
      </c>
      <c r="Z147" s="53">
        <f t="shared" si="96"/>
        <v>0.88354653728261656</v>
      </c>
      <c r="AA147" s="53">
        <f t="shared" si="97"/>
        <v>0.90000000000000024</v>
      </c>
      <c r="AB147" s="53">
        <f t="shared" si="98"/>
        <v>0.89288498909518565</v>
      </c>
      <c r="AC147" s="39" t="str">
        <f t="shared" si="99"/>
        <v>No</v>
      </c>
      <c r="AD147" s="85">
        <f t="shared" si="100"/>
        <v>0</v>
      </c>
      <c r="AE147" s="46">
        <f t="shared" si="101"/>
        <v>1</v>
      </c>
      <c r="AF147" s="46">
        <f t="shared" si="102"/>
        <v>0</v>
      </c>
      <c r="AG147" s="39">
        <f t="shared" si="157"/>
        <v>54.490881938781783</v>
      </c>
      <c r="AH147" s="39">
        <f t="shared" si="158"/>
        <v>63.603074833393102</v>
      </c>
      <c r="AI147" s="39">
        <f t="shared" si="159"/>
        <v>61.199999999999989</v>
      </c>
      <c r="AJ147" s="39">
        <f t="shared" si="160"/>
        <v>82.800000000000011</v>
      </c>
      <c r="AK147" s="39">
        <f t="shared" si="161"/>
        <v>79.799999999999983</v>
      </c>
      <c r="AL147" s="39">
        <f t="shared" si="162"/>
        <v>70.800000000000011</v>
      </c>
      <c r="AM147" s="39">
        <f t="shared" si="163"/>
        <v>70.800000000000011</v>
      </c>
      <c r="AN147" s="39">
        <f t="shared" si="164"/>
        <v>70.800000000000011</v>
      </c>
      <c r="AO147" s="39">
        <f t="shared" si="103"/>
        <v>0</v>
      </c>
      <c r="AP147" s="39">
        <f t="shared" si="104"/>
        <v>0</v>
      </c>
      <c r="AQ147" s="39">
        <f t="shared" si="105"/>
        <v>0</v>
      </c>
      <c r="AR147" s="39">
        <f t="shared" si="106"/>
        <v>0</v>
      </c>
      <c r="AS147" s="39">
        <f t="shared" si="107"/>
        <v>0</v>
      </c>
      <c r="AT147" s="39">
        <f t="shared" si="108"/>
        <v>0</v>
      </c>
      <c r="AU147" s="39">
        <f t="shared" si="109"/>
        <v>0</v>
      </c>
      <c r="AV147" s="39">
        <f t="shared" si="110"/>
        <v>0</v>
      </c>
      <c r="AW147" s="39">
        <f t="shared" si="111"/>
        <v>0</v>
      </c>
      <c r="AX147" s="39">
        <f t="shared" si="112"/>
        <v>0</v>
      </c>
      <c r="AY147" s="39">
        <f t="shared" si="113"/>
        <v>0</v>
      </c>
      <c r="AZ147" s="39">
        <f t="shared" si="114"/>
        <v>0</v>
      </c>
      <c r="BA147" s="39">
        <f t="shared" si="115"/>
        <v>0</v>
      </c>
      <c r="BB147" s="39">
        <f t="shared" si="116"/>
        <v>0</v>
      </c>
      <c r="BC147" s="39">
        <f t="shared" si="117"/>
        <v>0</v>
      </c>
      <c r="BD147" s="39">
        <f t="shared" si="118"/>
        <v>0</v>
      </c>
      <c r="BE147" s="39">
        <f t="shared" si="119"/>
        <v>0</v>
      </c>
      <c r="BF147" s="39">
        <f t="shared" si="120"/>
        <v>0</v>
      </c>
      <c r="BG147" s="39">
        <f t="shared" si="121"/>
        <v>0</v>
      </c>
      <c r="BH147" s="84">
        <f t="shared" si="122"/>
        <v>0.55999999999999994</v>
      </c>
      <c r="BI147" s="84">
        <f t="shared" si="123"/>
        <v>0</v>
      </c>
      <c r="BJ147" s="84">
        <f t="shared" si="124"/>
        <v>0.55999999999999994</v>
      </c>
      <c r="BK147" s="39">
        <f t="shared" si="125"/>
        <v>53.930881938781781</v>
      </c>
      <c r="BL147" s="39">
        <f t="shared" si="126"/>
        <v>63.603074833393102</v>
      </c>
      <c r="BM147" s="39">
        <f t="shared" si="127"/>
        <v>61.199999999999989</v>
      </c>
      <c r="BN147" s="39">
        <f t="shared" si="128"/>
        <v>82.800000000000011</v>
      </c>
      <c r="BO147" s="39">
        <f t="shared" si="129"/>
        <v>79.799999999999983</v>
      </c>
      <c r="BP147" s="39">
        <f t="shared" si="130"/>
        <v>70.800000000000011</v>
      </c>
      <c r="BQ147" s="39">
        <f t="shared" si="131"/>
        <v>70.800000000000011</v>
      </c>
      <c r="BR147" s="39">
        <f t="shared" si="132"/>
        <v>70.800000000000011</v>
      </c>
      <c r="BS147" s="39">
        <f t="shared" si="133"/>
        <v>0</v>
      </c>
      <c r="BT147" s="39">
        <f t="shared" si="134"/>
        <v>0</v>
      </c>
      <c r="BU147" s="39">
        <f t="shared" si="135"/>
        <v>0</v>
      </c>
      <c r="BV147" s="39">
        <f t="shared" si="136"/>
        <v>0</v>
      </c>
      <c r="BW147" s="39">
        <f t="shared" si="137"/>
        <v>0</v>
      </c>
      <c r="BX147" s="39">
        <f t="shared" si="138"/>
        <v>0</v>
      </c>
      <c r="BY147" s="39">
        <f t="shared" si="139"/>
        <v>0</v>
      </c>
      <c r="BZ147" s="39">
        <f t="shared" si="140"/>
        <v>0</v>
      </c>
      <c r="CA147" s="39">
        <f t="shared" si="141"/>
        <v>57.370881938781778</v>
      </c>
      <c r="CB147" s="39">
        <f t="shared" si="142"/>
        <v>63.603074833393102</v>
      </c>
      <c r="CC147" s="39">
        <f t="shared" si="143"/>
        <v>61.199999999999989</v>
      </c>
      <c r="CD147" s="39">
        <f t="shared" si="144"/>
        <v>82.800000000000011</v>
      </c>
      <c r="CE147" s="39">
        <f t="shared" si="145"/>
        <v>79.799999999999983</v>
      </c>
      <c r="CF147" s="39">
        <f t="shared" si="146"/>
        <v>70.800000000000011</v>
      </c>
      <c r="CG147" s="39">
        <f t="shared" si="147"/>
        <v>70.800000000000011</v>
      </c>
      <c r="CH147" s="39">
        <f t="shared" si="148"/>
        <v>70.800000000000011</v>
      </c>
      <c r="CI147" s="39">
        <f t="shared" si="149"/>
        <v>0</v>
      </c>
      <c r="CJ147" s="39">
        <f t="shared" si="150"/>
        <v>0</v>
      </c>
      <c r="CK147" s="39">
        <f t="shared" si="151"/>
        <v>0</v>
      </c>
      <c r="CL147" s="39">
        <f t="shared" si="152"/>
        <v>0</v>
      </c>
      <c r="CM147" s="39">
        <f t="shared" si="153"/>
        <v>0</v>
      </c>
      <c r="CN147" s="39">
        <f t="shared" si="154"/>
        <v>0</v>
      </c>
      <c r="CO147" s="39">
        <f t="shared" si="155"/>
        <v>0</v>
      </c>
      <c r="CP147" s="39">
        <f t="shared" si="156"/>
        <v>0</v>
      </c>
    </row>
    <row r="148" spans="2:94" ht="16" customHeight="1" x14ac:dyDescent="0.2">
      <c r="B148" s="38"/>
      <c r="L148" s="63">
        <v>30460</v>
      </c>
      <c r="M148" s="38">
        <v>0</v>
      </c>
      <c r="N148" s="38">
        <v>1.3</v>
      </c>
      <c r="O148" s="39">
        <v>0</v>
      </c>
      <c r="P148" s="39">
        <v>0</v>
      </c>
      <c r="Q148" s="46">
        <f t="shared" si="87"/>
        <v>9.4518482556523425E-2</v>
      </c>
      <c r="R148" s="81">
        <f t="shared" si="88"/>
        <v>0</v>
      </c>
      <c r="S148" s="82">
        <f t="shared" si="89"/>
        <v>0</v>
      </c>
      <c r="T148" s="39">
        <f t="shared" si="90"/>
        <v>0</v>
      </c>
      <c r="U148" s="83">
        <f t="shared" si="91"/>
        <v>0</v>
      </c>
      <c r="V148" s="84">
        <f t="shared" si="92"/>
        <v>1.04</v>
      </c>
      <c r="W148" s="52">
        <f t="shared" si="93"/>
        <v>115.97395677217492</v>
      </c>
      <c r="X148" s="52">
        <f t="shared" si="94"/>
        <v>151.20000000000005</v>
      </c>
      <c r="Y148" s="52">
        <f t="shared" si="95"/>
        <v>267.17395677217496</v>
      </c>
      <c r="Z148" s="53">
        <f t="shared" si="96"/>
        <v>0.90604653728261653</v>
      </c>
      <c r="AA148" s="53">
        <f t="shared" si="97"/>
        <v>0.90000000000000024</v>
      </c>
      <c r="AB148" s="53">
        <f t="shared" si="98"/>
        <v>0.9026147188249154</v>
      </c>
      <c r="AC148" s="39" t="str">
        <f t="shared" si="99"/>
        <v>No</v>
      </c>
      <c r="AD148" s="85">
        <f t="shared" si="100"/>
        <v>0</v>
      </c>
      <c r="AE148" s="46">
        <f t="shared" si="101"/>
        <v>1</v>
      </c>
      <c r="AF148" s="46">
        <f t="shared" si="102"/>
        <v>0</v>
      </c>
      <c r="AG148" s="39">
        <f t="shared" si="157"/>
        <v>57.370881938781778</v>
      </c>
      <c r="AH148" s="39">
        <f t="shared" si="158"/>
        <v>63.603074833393102</v>
      </c>
      <c r="AI148" s="39">
        <f t="shared" si="159"/>
        <v>61.199999999999989</v>
      </c>
      <c r="AJ148" s="39">
        <f t="shared" si="160"/>
        <v>82.800000000000011</v>
      </c>
      <c r="AK148" s="39">
        <f t="shared" si="161"/>
        <v>79.799999999999983</v>
      </c>
      <c r="AL148" s="39">
        <f t="shared" si="162"/>
        <v>70.800000000000011</v>
      </c>
      <c r="AM148" s="39">
        <f t="shared" si="163"/>
        <v>70.800000000000011</v>
      </c>
      <c r="AN148" s="39">
        <f t="shared" si="164"/>
        <v>70.800000000000011</v>
      </c>
      <c r="AO148" s="39">
        <f t="shared" si="103"/>
        <v>0</v>
      </c>
      <c r="AP148" s="39">
        <f t="shared" si="104"/>
        <v>0</v>
      </c>
      <c r="AQ148" s="39">
        <f t="shared" si="105"/>
        <v>0</v>
      </c>
      <c r="AR148" s="39">
        <f t="shared" si="106"/>
        <v>0</v>
      </c>
      <c r="AS148" s="39">
        <f t="shared" si="107"/>
        <v>0</v>
      </c>
      <c r="AT148" s="39">
        <f t="shared" si="108"/>
        <v>0</v>
      </c>
      <c r="AU148" s="39">
        <f t="shared" si="109"/>
        <v>0</v>
      </c>
      <c r="AV148" s="39">
        <f t="shared" si="110"/>
        <v>0</v>
      </c>
      <c r="AW148" s="39">
        <f t="shared" si="111"/>
        <v>0</v>
      </c>
      <c r="AX148" s="39">
        <f t="shared" si="112"/>
        <v>0</v>
      </c>
      <c r="AY148" s="39">
        <f t="shared" si="113"/>
        <v>0</v>
      </c>
      <c r="AZ148" s="39">
        <f t="shared" si="114"/>
        <v>0</v>
      </c>
      <c r="BA148" s="39">
        <f t="shared" si="115"/>
        <v>0</v>
      </c>
      <c r="BB148" s="39">
        <f t="shared" si="116"/>
        <v>0</v>
      </c>
      <c r="BC148" s="39">
        <f t="shared" si="117"/>
        <v>0</v>
      </c>
      <c r="BD148" s="39">
        <f t="shared" si="118"/>
        <v>0</v>
      </c>
      <c r="BE148" s="39">
        <f t="shared" si="119"/>
        <v>0</v>
      </c>
      <c r="BF148" s="39">
        <f t="shared" si="120"/>
        <v>0</v>
      </c>
      <c r="BG148" s="39">
        <f t="shared" si="121"/>
        <v>0</v>
      </c>
      <c r="BH148" s="84">
        <f t="shared" si="122"/>
        <v>1.04</v>
      </c>
      <c r="BI148" s="84">
        <f t="shared" si="123"/>
        <v>0</v>
      </c>
      <c r="BJ148" s="84">
        <f t="shared" si="124"/>
        <v>1.04</v>
      </c>
      <c r="BK148" s="39">
        <f t="shared" si="125"/>
        <v>56.330881938781779</v>
      </c>
      <c r="BL148" s="39">
        <f t="shared" si="126"/>
        <v>63.603074833393102</v>
      </c>
      <c r="BM148" s="39">
        <f t="shared" si="127"/>
        <v>61.199999999999989</v>
      </c>
      <c r="BN148" s="39">
        <f t="shared" si="128"/>
        <v>82.800000000000011</v>
      </c>
      <c r="BO148" s="39">
        <f t="shared" si="129"/>
        <v>79.799999999999983</v>
      </c>
      <c r="BP148" s="39">
        <f t="shared" si="130"/>
        <v>70.800000000000011</v>
      </c>
      <c r="BQ148" s="39">
        <f t="shared" si="131"/>
        <v>70.800000000000011</v>
      </c>
      <c r="BR148" s="39">
        <f t="shared" si="132"/>
        <v>70.800000000000011</v>
      </c>
      <c r="BS148" s="39">
        <f t="shared" si="133"/>
        <v>0</v>
      </c>
      <c r="BT148" s="39">
        <f t="shared" si="134"/>
        <v>0</v>
      </c>
      <c r="BU148" s="39">
        <f t="shared" si="135"/>
        <v>0</v>
      </c>
      <c r="BV148" s="39">
        <f t="shared" si="136"/>
        <v>0</v>
      </c>
      <c r="BW148" s="39">
        <f t="shared" si="137"/>
        <v>0</v>
      </c>
      <c r="BX148" s="39">
        <f t="shared" si="138"/>
        <v>0</v>
      </c>
      <c r="BY148" s="39">
        <f t="shared" si="139"/>
        <v>0</v>
      </c>
      <c r="BZ148" s="39">
        <f t="shared" si="140"/>
        <v>0</v>
      </c>
      <c r="CA148" s="39">
        <f t="shared" si="141"/>
        <v>56.330881938781779</v>
      </c>
      <c r="CB148" s="39">
        <f t="shared" si="142"/>
        <v>63.603074833393102</v>
      </c>
      <c r="CC148" s="39">
        <f t="shared" si="143"/>
        <v>61.199999999999989</v>
      </c>
      <c r="CD148" s="39">
        <f t="shared" si="144"/>
        <v>82.800000000000011</v>
      </c>
      <c r="CE148" s="39">
        <f t="shared" si="145"/>
        <v>79.799999999999983</v>
      </c>
      <c r="CF148" s="39">
        <f t="shared" si="146"/>
        <v>70.800000000000011</v>
      </c>
      <c r="CG148" s="39">
        <f t="shared" si="147"/>
        <v>70.800000000000011</v>
      </c>
      <c r="CH148" s="39">
        <f t="shared" si="148"/>
        <v>70.800000000000011</v>
      </c>
      <c r="CI148" s="39">
        <f t="shared" si="149"/>
        <v>0</v>
      </c>
      <c r="CJ148" s="39">
        <f t="shared" si="150"/>
        <v>0</v>
      </c>
      <c r="CK148" s="39">
        <f t="shared" si="151"/>
        <v>0</v>
      </c>
      <c r="CL148" s="39">
        <f t="shared" si="152"/>
        <v>0</v>
      </c>
      <c r="CM148" s="39">
        <f t="shared" si="153"/>
        <v>0</v>
      </c>
      <c r="CN148" s="39">
        <f t="shared" si="154"/>
        <v>0</v>
      </c>
      <c r="CO148" s="39">
        <f t="shared" si="155"/>
        <v>0</v>
      </c>
      <c r="CP148" s="39">
        <f t="shared" si="156"/>
        <v>0</v>
      </c>
    </row>
    <row r="149" spans="2:94" ht="16" customHeight="1" x14ac:dyDescent="0.2">
      <c r="B149" s="38"/>
      <c r="L149" s="63">
        <v>30461</v>
      </c>
      <c r="M149" s="38">
        <v>0</v>
      </c>
      <c r="N149" s="38">
        <v>1.2</v>
      </c>
      <c r="O149" s="39">
        <v>0</v>
      </c>
      <c r="P149" s="39">
        <v>0</v>
      </c>
      <c r="Q149" s="46">
        <f t="shared" si="87"/>
        <v>9.6626590664631529E-2</v>
      </c>
      <c r="R149" s="81">
        <f t="shared" si="88"/>
        <v>0</v>
      </c>
      <c r="S149" s="82">
        <f t="shared" si="89"/>
        <v>0</v>
      </c>
      <c r="T149" s="39">
        <f t="shared" si="90"/>
        <v>0</v>
      </c>
      <c r="U149" s="83">
        <f t="shared" si="91"/>
        <v>0</v>
      </c>
      <c r="V149" s="84">
        <f t="shared" si="92"/>
        <v>0.96</v>
      </c>
      <c r="W149" s="52">
        <f t="shared" si="93"/>
        <v>114.93395677217489</v>
      </c>
      <c r="X149" s="52">
        <f t="shared" si="94"/>
        <v>151.20000000000005</v>
      </c>
      <c r="Y149" s="52">
        <f t="shared" si="95"/>
        <v>266.13395677217494</v>
      </c>
      <c r="Z149" s="53">
        <f t="shared" si="96"/>
        <v>0.89792153728261637</v>
      </c>
      <c r="AA149" s="53">
        <f t="shared" si="97"/>
        <v>0.90000000000000024</v>
      </c>
      <c r="AB149" s="53">
        <f t="shared" si="98"/>
        <v>0.89910120531140181</v>
      </c>
      <c r="AC149" s="39" t="str">
        <f t="shared" si="99"/>
        <v>No</v>
      </c>
      <c r="AD149" s="85">
        <f t="shared" si="100"/>
        <v>0</v>
      </c>
      <c r="AE149" s="46">
        <f t="shared" si="101"/>
        <v>1</v>
      </c>
      <c r="AF149" s="46">
        <f t="shared" si="102"/>
        <v>0</v>
      </c>
      <c r="AG149" s="39">
        <f t="shared" si="157"/>
        <v>56.330881938781779</v>
      </c>
      <c r="AH149" s="39">
        <f t="shared" si="158"/>
        <v>63.603074833393102</v>
      </c>
      <c r="AI149" s="39">
        <f t="shared" si="159"/>
        <v>61.199999999999989</v>
      </c>
      <c r="AJ149" s="39">
        <f t="shared" si="160"/>
        <v>82.800000000000011</v>
      </c>
      <c r="AK149" s="39">
        <f t="shared" si="161"/>
        <v>79.799999999999983</v>
      </c>
      <c r="AL149" s="39">
        <f t="shared" si="162"/>
        <v>70.800000000000011</v>
      </c>
      <c r="AM149" s="39">
        <f t="shared" si="163"/>
        <v>70.800000000000011</v>
      </c>
      <c r="AN149" s="39">
        <f t="shared" si="164"/>
        <v>70.800000000000011</v>
      </c>
      <c r="AO149" s="39">
        <f t="shared" si="103"/>
        <v>0</v>
      </c>
      <c r="AP149" s="39">
        <f t="shared" si="104"/>
        <v>0</v>
      </c>
      <c r="AQ149" s="39">
        <f t="shared" si="105"/>
        <v>0</v>
      </c>
      <c r="AR149" s="39">
        <f t="shared" si="106"/>
        <v>0</v>
      </c>
      <c r="AS149" s="39">
        <f t="shared" si="107"/>
        <v>0</v>
      </c>
      <c r="AT149" s="39">
        <f t="shared" si="108"/>
        <v>0</v>
      </c>
      <c r="AU149" s="39">
        <f t="shared" si="109"/>
        <v>0</v>
      </c>
      <c r="AV149" s="39">
        <f t="shared" si="110"/>
        <v>0</v>
      </c>
      <c r="AW149" s="39">
        <f t="shared" si="111"/>
        <v>0</v>
      </c>
      <c r="AX149" s="39">
        <f t="shared" si="112"/>
        <v>0</v>
      </c>
      <c r="AY149" s="39">
        <f t="shared" si="113"/>
        <v>0</v>
      </c>
      <c r="AZ149" s="39">
        <f t="shared" si="114"/>
        <v>0</v>
      </c>
      <c r="BA149" s="39">
        <f t="shared" si="115"/>
        <v>0</v>
      </c>
      <c r="BB149" s="39">
        <f t="shared" si="116"/>
        <v>0</v>
      </c>
      <c r="BC149" s="39">
        <f t="shared" si="117"/>
        <v>0</v>
      </c>
      <c r="BD149" s="39">
        <f t="shared" si="118"/>
        <v>0</v>
      </c>
      <c r="BE149" s="39">
        <f t="shared" si="119"/>
        <v>0</v>
      </c>
      <c r="BF149" s="39">
        <f t="shared" si="120"/>
        <v>0</v>
      </c>
      <c r="BG149" s="39">
        <f t="shared" si="121"/>
        <v>0</v>
      </c>
      <c r="BH149" s="84">
        <f t="shared" si="122"/>
        <v>0.96</v>
      </c>
      <c r="BI149" s="84">
        <f t="shared" si="123"/>
        <v>0</v>
      </c>
      <c r="BJ149" s="84">
        <f t="shared" si="124"/>
        <v>0.96</v>
      </c>
      <c r="BK149" s="39">
        <f t="shared" si="125"/>
        <v>55.370881938781778</v>
      </c>
      <c r="BL149" s="39">
        <f t="shared" si="126"/>
        <v>63.603074833393102</v>
      </c>
      <c r="BM149" s="39">
        <f t="shared" si="127"/>
        <v>61.199999999999989</v>
      </c>
      <c r="BN149" s="39">
        <f t="shared" si="128"/>
        <v>82.800000000000011</v>
      </c>
      <c r="BO149" s="39">
        <f t="shared" si="129"/>
        <v>79.799999999999983</v>
      </c>
      <c r="BP149" s="39">
        <f t="shared" si="130"/>
        <v>70.800000000000011</v>
      </c>
      <c r="BQ149" s="39">
        <f t="shared" si="131"/>
        <v>70.800000000000011</v>
      </c>
      <c r="BR149" s="39">
        <f t="shared" si="132"/>
        <v>70.800000000000011</v>
      </c>
      <c r="BS149" s="39">
        <f t="shared" si="133"/>
        <v>0</v>
      </c>
      <c r="BT149" s="39">
        <f t="shared" si="134"/>
        <v>0</v>
      </c>
      <c r="BU149" s="39">
        <f t="shared" si="135"/>
        <v>0</v>
      </c>
      <c r="BV149" s="39">
        <f t="shared" si="136"/>
        <v>0</v>
      </c>
      <c r="BW149" s="39">
        <f t="shared" si="137"/>
        <v>0</v>
      </c>
      <c r="BX149" s="39">
        <f t="shared" si="138"/>
        <v>0</v>
      </c>
      <c r="BY149" s="39">
        <f t="shared" si="139"/>
        <v>0</v>
      </c>
      <c r="BZ149" s="39">
        <f t="shared" si="140"/>
        <v>0</v>
      </c>
      <c r="CA149" s="39">
        <f t="shared" si="141"/>
        <v>55.370881938781778</v>
      </c>
      <c r="CB149" s="39">
        <f t="shared" si="142"/>
        <v>63.603074833393102</v>
      </c>
      <c r="CC149" s="39">
        <f t="shared" si="143"/>
        <v>61.199999999999989</v>
      </c>
      <c r="CD149" s="39">
        <f t="shared" si="144"/>
        <v>82.800000000000011</v>
      </c>
      <c r="CE149" s="39">
        <f t="shared" si="145"/>
        <v>79.799999999999983</v>
      </c>
      <c r="CF149" s="39">
        <f t="shared" si="146"/>
        <v>70.800000000000011</v>
      </c>
      <c r="CG149" s="39">
        <f t="shared" si="147"/>
        <v>70.800000000000011</v>
      </c>
      <c r="CH149" s="39">
        <f t="shared" si="148"/>
        <v>70.800000000000011</v>
      </c>
      <c r="CI149" s="39">
        <f t="shared" si="149"/>
        <v>0</v>
      </c>
      <c r="CJ149" s="39">
        <f t="shared" si="150"/>
        <v>0</v>
      </c>
      <c r="CK149" s="39">
        <f t="shared" si="151"/>
        <v>0</v>
      </c>
      <c r="CL149" s="39">
        <f t="shared" si="152"/>
        <v>0</v>
      </c>
      <c r="CM149" s="39">
        <f t="shared" si="153"/>
        <v>0</v>
      </c>
      <c r="CN149" s="39">
        <f t="shared" si="154"/>
        <v>0</v>
      </c>
      <c r="CO149" s="39">
        <f t="shared" si="155"/>
        <v>0</v>
      </c>
      <c r="CP149" s="39">
        <f t="shared" si="156"/>
        <v>0</v>
      </c>
    </row>
    <row r="150" spans="2:94" ht="16" customHeight="1" x14ac:dyDescent="0.2">
      <c r="B150" s="38"/>
      <c r="L150" s="63">
        <v>30462</v>
      </c>
      <c r="M150" s="38">
        <v>0.6</v>
      </c>
      <c r="N150" s="38">
        <v>0.6</v>
      </c>
      <c r="O150" s="39">
        <v>0</v>
      </c>
      <c r="P150" s="39">
        <v>0</v>
      </c>
      <c r="Q150" s="46">
        <f t="shared" si="87"/>
        <v>9.857253661057748E-2</v>
      </c>
      <c r="R150" s="81">
        <f t="shared" si="88"/>
        <v>0</v>
      </c>
      <c r="S150" s="82">
        <f t="shared" si="89"/>
        <v>0.6</v>
      </c>
      <c r="T150" s="39">
        <f t="shared" si="90"/>
        <v>0</v>
      </c>
      <c r="U150" s="83">
        <f t="shared" si="91"/>
        <v>0</v>
      </c>
      <c r="V150" s="84">
        <f t="shared" si="92"/>
        <v>0.48</v>
      </c>
      <c r="W150" s="52">
        <f t="shared" si="93"/>
        <v>113.97395677217492</v>
      </c>
      <c r="X150" s="52">
        <f t="shared" si="94"/>
        <v>151.20000000000005</v>
      </c>
      <c r="Y150" s="52">
        <f t="shared" si="95"/>
        <v>265.17395677217496</v>
      </c>
      <c r="Z150" s="53">
        <f t="shared" si="96"/>
        <v>0.89042153728261653</v>
      </c>
      <c r="AA150" s="53">
        <f t="shared" si="97"/>
        <v>0.90000000000000024</v>
      </c>
      <c r="AB150" s="53">
        <f t="shared" si="98"/>
        <v>0.8958579620681586</v>
      </c>
      <c r="AC150" s="39" t="str">
        <f t="shared" si="99"/>
        <v>No</v>
      </c>
      <c r="AD150" s="85">
        <f t="shared" si="100"/>
        <v>0</v>
      </c>
      <c r="AE150" s="46">
        <f t="shared" si="101"/>
        <v>1</v>
      </c>
      <c r="AF150" s="46">
        <f t="shared" si="102"/>
        <v>0</v>
      </c>
      <c r="AG150" s="39">
        <f t="shared" si="157"/>
        <v>55.370881938781778</v>
      </c>
      <c r="AH150" s="39">
        <f t="shared" si="158"/>
        <v>63.603074833393102</v>
      </c>
      <c r="AI150" s="39">
        <f t="shared" si="159"/>
        <v>61.199999999999989</v>
      </c>
      <c r="AJ150" s="39">
        <f t="shared" si="160"/>
        <v>82.800000000000011</v>
      </c>
      <c r="AK150" s="39">
        <f t="shared" si="161"/>
        <v>79.799999999999983</v>
      </c>
      <c r="AL150" s="39">
        <f t="shared" si="162"/>
        <v>70.800000000000011</v>
      </c>
      <c r="AM150" s="39">
        <f t="shared" si="163"/>
        <v>70.800000000000011</v>
      </c>
      <c r="AN150" s="39">
        <f t="shared" si="164"/>
        <v>70.800000000000011</v>
      </c>
      <c r="AO150" s="39">
        <f t="shared" si="103"/>
        <v>0</v>
      </c>
      <c r="AP150" s="39">
        <f t="shared" si="104"/>
        <v>0</v>
      </c>
      <c r="AQ150" s="39">
        <f t="shared" si="105"/>
        <v>0</v>
      </c>
      <c r="AR150" s="39">
        <f t="shared" si="106"/>
        <v>0</v>
      </c>
      <c r="AS150" s="39">
        <f t="shared" si="107"/>
        <v>0</v>
      </c>
      <c r="AT150" s="39">
        <f t="shared" si="108"/>
        <v>0</v>
      </c>
      <c r="AU150" s="39">
        <f t="shared" si="109"/>
        <v>0</v>
      </c>
      <c r="AV150" s="39">
        <f t="shared" si="110"/>
        <v>0</v>
      </c>
      <c r="AW150" s="39">
        <f t="shared" si="111"/>
        <v>0</v>
      </c>
      <c r="AX150" s="39">
        <f t="shared" si="112"/>
        <v>0</v>
      </c>
      <c r="AY150" s="39">
        <f t="shared" si="113"/>
        <v>0</v>
      </c>
      <c r="AZ150" s="39">
        <f t="shared" si="114"/>
        <v>0</v>
      </c>
      <c r="BA150" s="39">
        <f t="shared" si="115"/>
        <v>0</v>
      </c>
      <c r="BB150" s="39">
        <f t="shared" si="116"/>
        <v>0</v>
      </c>
      <c r="BC150" s="39">
        <f t="shared" si="117"/>
        <v>0</v>
      </c>
      <c r="BD150" s="39">
        <f t="shared" si="118"/>
        <v>0</v>
      </c>
      <c r="BE150" s="39">
        <f t="shared" si="119"/>
        <v>0</v>
      </c>
      <c r="BF150" s="39">
        <f t="shared" si="120"/>
        <v>0</v>
      </c>
      <c r="BG150" s="39">
        <f t="shared" si="121"/>
        <v>0</v>
      </c>
      <c r="BH150" s="84">
        <f t="shared" si="122"/>
        <v>0.48</v>
      </c>
      <c r="BI150" s="84">
        <f t="shared" si="123"/>
        <v>0</v>
      </c>
      <c r="BJ150" s="84">
        <f t="shared" si="124"/>
        <v>0.48</v>
      </c>
      <c r="BK150" s="39">
        <f t="shared" si="125"/>
        <v>54.890881938781781</v>
      </c>
      <c r="BL150" s="39">
        <f t="shared" si="126"/>
        <v>63.603074833393102</v>
      </c>
      <c r="BM150" s="39">
        <f t="shared" si="127"/>
        <v>61.199999999999989</v>
      </c>
      <c r="BN150" s="39">
        <f t="shared" si="128"/>
        <v>82.800000000000011</v>
      </c>
      <c r="BO150" s="39">
        <f t="shared" si="129"/>
        <v>79.799999999999983</v>
      </c>
      <c r="BP150" s="39">
        <f t="shared" si="130"/>
        <v>70.800000000000011</v>
      </c>
      <c r="BQ150" s="39">
        <f t="shared" si="131"/>
        <v>70.800000000000011</v>
      </c>
      <c r="BR150" s="39">
        <f t="shared" si="132"/>
        <v>70.800000000000011</v>
      </c>
      <c r="BS150" s="39">
        <f t="shared" si="133"/>
        <v>0</v>
      </c>
      <c r="BT150" s="39">
        <f t="shared" si="134"/>
        <v>0</v>
      </c>
      <c r="BU150" s="39">
        <f t="shared" si="135"/>
        <v>0</v>
      </c>
      <c r="BV150" s="39">
        <f t="shared" si="136"/>
        <v>0</v>
      </c>
      <c r="BW150" s="39">
        <f t="shared" si="137"/>
        <v>0</v>
      </c>
      <c r="BX150" s="39">
        <f t="shared" si="138"/>
        <v>0</v>
      </c>
      <c r="BY150" s="39">
        <f t="shared" si="139"/>
        <v>0</v>
      </c>
      <c r="BZ150" s="39">
        <f t="shared" si="140"/>
        <v>0</v>
      </c>
      <c r="CA150" s="39">
        <f t="shared" si="141"/>
        <v>55.010881938781779</v>
      </c>
      <c r="CB150" s="39">
        <f t="shared" si="142"/>
        <v>63.603074833393102</v>
      </c>
      <c r="CC150" s="39">
        <f t="shared" si="143"/>
        <v>61.199999999999989</v>
      </c>
      <c r="CD150" s="39">
        <f t="shared" si="144"/>
        <v>82.800000000000011</v>
      </c>
      <c r="CE150" s="39">
        <f t="shared" si="145"/>
        <v>79.799999999999983</v>
      </c>
      <c r="CF150" s="39">
        <f t="shared" si="146"/>
        <v>70.800000000000011</v>
      </c>
      <c r="CG150" s="39">
        <f t="shared" si="147"/>
        <v>70.800000000000011</v>
      </c>
      <c r="CH150" s="39">
        <f t="shared" si="148"/>
        <v>70.800000000000011</v>
      </c>
      <c r="CI150" s="39">
        <f t="shared" si="149"/>
        <v>0</v>
      </c>
      <c r="CJ150" s="39">
        <f t="shared" si="150"/>
        <v>0</v>
      </c>
      <c r="CK150" s="39">
        <f t="shared" si="151"/>
        <v>0</v>
      </c>
      <c r="CL150" s="39">
        <f t="shared" si="152"/>
        <v>0</v>
      </c>
      <c r="CM150" s="39">
        <f t="shared" si="153"/>
        <v>0</v>
      </c>
      <c r="CN150" s="39">
        <f t="shared" si="154"/>
        <v>0</v>
      </c>
      <c r="CO150" s="39">
        <f t="shared" si="155"/>
        <v>0</v>
      </c>
      <c r="CP150" s="39">
        <f t="shared" si="156"/>
        <v>0</v>
      </c>
    </row>
    <row r="151" spans="2:94" ht="16" customHeight="1" x14ac:dyDescent="0.2">
      <c r="B151" s="38"/>
      <c r="L151" s="63">
        <v>30463</v>
      </c>
      <c r="M151" s="38">
        <v>10.3</v>
      </c>
      <c r="N151" s="38">
        <v>0.8</v>
      </c>
      <c r="O151" s="39">
        <v>0</v>
      </c>
      <c r="P151" s="39">
        <v>0</v>
      </c>
      <c r="Q151" s="46">
        <f t="shared" si="87"/>
        <v>9.9302266340307199E-2</v>
      </c>
      <c r="R151" s="81">
        <f t="shared" si="88"/>
        <v>9.7287898451429503E-2</v>
      </c>
      <c r="S151" s="82">
        <f t="shared" si="89"/>
        <v>10.20271210154857</v>
      </c>
      <c r="T151" s="39">
        <f t="shared" si="90"/>
        <v>0</v>
      </c>
      <c r="U151" s="83">
        <f t="shared" si="91"/>
        <v>0</v>
      </c>
      <c r="V151" s="84">
        <f t="shared" si="92"/>
        <v>0.64000000000000012</v>
      </c>
      <c r="W151" s="52">
        <f t="shared" si="93"/>
        <v>113.6139567721749</v>
      </c>
      <c r="X151" s="52">
        <f t="shared" si="94"/>
        <v>151.20000000000005</v>
      </c>
      <c r="Y151" s="52">
        <f t="shared" si="95"/>
        <v>264.81395677217495</v>
      </c>
      <c r="Z151" s="53">
        <f t="shared" si="96"/>
        <v>0.88760903728261642</v>
      </c>
      <c r="AA151" s="53">
        <f t="shared" si="97"/>
        <v>0.90000000000000024</v>
      </c>
      <c r="AB151" s="53">
        <f t="shared" si="98"/>
        <v>0.89464174585194234</v>
      </c>
      <c r="AC151" s="39" t="str">
        <f t="shared" si="99"/>
        <v>No</v>
      </c>
      <c r="AD151" s="85">
        <f t="shared" si="100"/>
        <v>0</v>
      </c>
      <c r="AE151" s="46">
        <f t="shared" si="101"/>
        <v>1</v>
      </c>
      <c r="AF151" s="46">
        <f t="shared" si="102"/>
        <v>0</v>
      </c>
      <c r="AG151" s="39">
        <f t="shared" si="157"/>
        <v>55.010881938781779</v>
      </c>
      <c r="AH151" s="39">
        <f t="shared" si="158"/>
        <v>63.603074833393102</v>
      </c>
      <c r="AI151" s="39">
        <f t="shared" si="159"/>
        <v>61.199999999999989</v>
      </c>
      <c r="AJ151" s="39">
        <f t="shared" si="160"/>
        <v>82.800000000000011</v>
      </c>
      <c r="AK151" s="39">
        <f t="shared" si="161"/>
        <v>79.799999999999983</v>
      </c>
      <c r="AL151" s="39">
        <f t="shared" si="162"/>
        <v>70.800000000000011</v>
      </c>
      <c r="AM151" s="39">
        <f t="shared" si="163"/>
        <v>70.800000000000011</v>
      </c>
      <c r="AN151" s="39">
        <f t="shared" si="164"/>
        <v>70.800000000000011</v>
      </c>
      <c r="AO151" s="39">
        <f t="shared" si="103"/>
        <v>0</v>
      </c>
      <c r="AP151" s="39">
        <f t="shared" si="104"/>
        <v>0</v>
      </c>
      <c r="AQ151" s="39">
        <f t="shared" si="105"/>
        <v>0</v>
      </c>
      <c r="AR151" s="39">
        <f t="shared" si="106"/>
        <v>0</v>
      </c>
      <c r="AS151" s="39">
        <f t="shared" si="107"/>
        <v>0</v>
      </c>
      <c r="AT151" s="39">
        <f t="shared" si="108"/>
        <v>0</v>
      </c>
      <c r="AU151" s="39">
        <f t="shared" si="109"/>
        <v>0</v>
      </c>
      <c r="AV151" s="39">
        <f t="shared" si="110"/>
        <v>0</v>
      </c>
      <c r="AW151" s="39">
        <f t="shared" si="111"/>
        <v>0</v>
      </c>
      <c r="AX151" s="39">
        <f t="shared" si="112"/>
        <v>0</v>
      </c>
      <c r="AY151" s="39">
        <f t="shared" si="113"/>
        <v>0</v>
      </c>
      <c r="AZ151" s="39">
        <f t="shared" si="114"/>
        <v>0</v>
      </c>
      <c r="BA151" s="39">
        <f t="shared" si="115"/>
        <v>0</v>
      </c>
      <c r="BB151" s="39">
        <f t="shared" si="116"/>
        <v>0</v>
      </c>
      <c r="BC151" s="39">
        <f t="shared" si="117"/>
        <v>0</v>
      </c>
      <c r="BD151" s="39">
        <f t="shared" si="118"/>
        <v>0</v>
      </c>
      <c r="BE151" s="39">
        <f t="shared" si="119"/>
        <v>0</v>
      </c>
      <c r="BF151" s="39">
        <f t="shared" si="120"/>
        <v>0</v>
      </c>
      <c r="BG151" s="39">
        <f t="shared" si="121"/>
        <v>0</v>
      </c>
      <c r="BH151" s="84">
        <f t="shared" si="122"/>
        <v>0.64000000000000012</v>
      </c>
      <c r="BI151" s="84">
        <f t="shared" si="123"/>
        <v>0</v>
      </c>
      <c r="BJ151" s="84">
        <f t="shared" si="124"/>
        <v>0.64000000000000012</v>
      </c>
      <c r="BK151" s="39">
        <f t="shared" si="125"/>
        <v>54.370881938781778</v>
      </c>
      <c r="BL151" s="39">
        <f t="shared" si="126"/>
        <v>63.603074833393102</v>
      </c>
      <c r="BM151" s="39">
        <f t="shared" si="127"/>
        <v>61.199999999999989</v>
      </c>
      <c r="BN151" s="39">
        <f t="shared" si="128"/>
        <v>82.800000000000011</v>
      </c>
      <c r="BO151" s="39">
        <f t="shared" si="129"/>
        <v>79.799999999999983</v>
      </c>
      <c r="BP151" s="39">
        <f t="shared" si="130"/>
        <v>70.800000000000011</v>
      </c>
      <c r="BQ151" s="39">
        <f t="shared" si="131"/>
        <v>70.800000000000011</v>
      </c>
      <c r="BR151" s="39">
        <f t="shared" si="132"/>
        <v>70.800000000000011</v>
      </c>
      <c r="BS151" s="39">
        <f t="shared" si="133"/>
        <v>0</v>
      </c>
      <c r="BT151" s="39">
        <f t="shared" si="134"/>
        <v>0</v>
      </c>
      <c r="BU151" s="39">
        <f t="shared" si="135"/>
        <v>0</v>
      </c>
      <c r="BV151" s="39">
        <f t="shared" si="136"/>
        <v>0</v>
      </c>
      <c r="BW151" s="39">
        <f t="shared" si="137"/>
        <v>0</v>
      </c>
      <c r="BX151" s="39">
        <f t="shared" si="138"/>
        <v>0</v>
      </c>
      <c r="BY151" s="39">
        <f t="shared" si="139"/>
        <v>0</v>
      </c>
      <c r="BZ151" s="39">
        <f t="shared" si="140"/>
        <v>0</v>
      </c>
      <c r="CA151" s="39">
        <f t="shared" si="141"/>
        <v>63.933594040330348</v>
      </c>
      <c r="CB151" s="39">
        <f t="shared" si="142"/>
        <v>63.603074833393102</v>
      </c>
      <c r="CC151" s="39">
        <f t="shared" si="143"/>
        <v>61.199999999999989</v>
      </c>
      <c r="CD151" s="39">
        <f t="shared" si="144"/>
        <v>82.800000000000011</v>
      </c>
      <c r="CE151" s="39">
        <f t="shared" si="145"/>
        <v>79.799999999999983</v>
      </c>
      <c r="CF151" s="39">
        <f t="shared" si="146"/>
        <v>70.800000000000011</v>
      </c>
      <c r="CG151" s="39">
        <f t="shared" si="147"/>
        <v>70.800000000000011</v>
      </c>
      <c r="CH151" s="39">
        <f t="shared" si="148"/>
        <v>70.800000000000011</v>
      </c>
      <c r="CI151" s="39">
        <f t="shared" si="149"/>
        <v>0</v>
      </c>
      <c r="CJ151" s="39">
        <f t="shared" si="150"/>
        <v>0</v>
      </c>
      <c r="CK151" s="39">
        <f t="shared" si="151"/>
        <v>0</v>
      </c>
      <c r="CL151" s="39">
        <f t="shared" si="152"/>
        <v>0</v>
      </c>
      <c r="CM151" s="39">
        <f t="shared" si="153"/>
        <v>0</v>
      </c>
      <c r="CN151" s="39">
        <f t="shared" si="154"/>
        <v>0</v>
      </c>
      <c r="CO151" s="39">
        <f t="shared" si="155"/>
        <v>0</v>
      </c>
      <c r="CP151" s="39">
        <f t="shared" si="156"/>
        <v>0</v>
      </c>
    </row>
    <row r="152" spans="2:94" ht="16" customHeight="1" x14ac:dyDescent="0.2">
      <c r="B152" s="38"/>
      <c r="L152" s="63">
        <v>30464</v>
      </c>
      <c r="M152" s="38">
        <v>0</v>
      </c>
      <c r="N152" s="38">
        <v>1.6</v>
      </c>
      <c r="O152" s="39">
        <v>0</v>
      </c>
      <c r="P152" s="39">
        <v>0</v>
      </c>
      <c r="Q152" s="46">
        <f t="shared" si="87"/>
        <v>8.1215687756087132E-2</v>
      </c>
      <c r="R152" s="81">
        <f t="shared" si="88"/>
        <v>0</v>
      </c>
      <c r="S152" s="82">
        <f t="shared" si="89"/>
        <v>0</v>
      </c>
      <c r="T152" s="39">
        <f t="shared" si="90"/>
        <v>0</v>
      </c>
      <c r="U152" s="83">
        <f t="shared" si="91"/>
        <v>0</v>
      </c>
      <c r="V152" s="84">
        <f t="shared" si="92"/>
        <v>1.2800000000000002</v>
      </c>
      <c r="W152" s="52">
        <f t="shared" si="93"/>
        <v>122.53666887372344</v>
      </c>
      <c r="X152" s="52">
        <f t="shared" si="94"/>
        <v>151.20000000000005</v>
      </c>
      <c r="Y152" s="52">
        <f t="shared" si="95"/>
        <v>273.73666887372349</v>
      </c>
      <c r="Z152" s="53">
        <f t="shared" si="96"/>
        <v>0.9573177255759644</v>
      </c>
      <c r="AA152" s="53">
        <f t="shared" si="97"/>
        <v>0.90000000000000024</v>
      </c>
      <c r="AB152" s="53">
        <f t="shared" si="98"/>
        <v>0.92478604349230908</v>
      </c>
      <c r="AC152" s="39" t="str">
        <f t="shared" si="99"/>
        <v>No</v>
      </c>
      <c r="AD152" s="85">
        <f t="shared" si="100"/>
        <v>0</v>
      </c>
      <c r="AE152" s="46">
        <f t="shared" si="101"/>
        <v>1</v>
      </c>
      <c r="AF152" s="46">
        <f t="shared" si="102"/>
        <v>0</v>
      </c>
      <c r="AG152" s="39">
        <f t="shared" si="157"/>
        <v>63.933594040330348</v>
      </c>
      <c r="AH152" s="39">
        <f t="shared" si="158"/>
        <v>63.603074833393102</v>
      </c>
      <c r="AI152" s="39">
        <f t="shared" si="159"/>
        <v>61.199999999999989</v>
      </c>
      <c r="AJ152" s="39">
        <f t="shared" si="160"/>
        <v>82.800000000000011</v>
      </c>
      <c r="AK152" s="39">
        <f t="shared" si="161"/>
        <v>79.799999999999983</v>
      </c>
      <c r="AL152" s="39">
        <f t="shared" si="162"/>
        <v>70.800000000000011</v>
      </c>
      <c r="AM152" s="39">
        <f t="shared" si="163"/>
        <v>70.800000000000011</v>
      </c>
      <c r="AN152" s="39">
        <f t="shared" si="164"/>
        <v>70.800000000000011</v>
      </c>
      <c r="AO152" s="39">
        <f t="shared" si="103"/>
        <v>0</v>
      </c>
      <c r="AP152" s="39">
        <f t="shared" si="104"/>
        <v>0</v>
      </c>
      <c r="AQ152" s="39">
        <f t="shared" si="105"/>
        <v>0</v>
      </c>
      <c r="AR152" s="39">
        <f t="shared" si="106"/>
        <v>0</v>
      </c>
      <c r="AS152" s="39">
        <f t="shared" si="107"/>
        <v>0</v>
      </c>
      <c r="AT152" s="39">
        <f t="shared" si="108"/>
        <v>0</v>
      </c>
      <c r="AU152" s="39">
        <f t="shared" si="109"/>
        <v>0</v>
      </c>
      <c r="AV152" s="39">
        <f t="shared" si="110"/>
        <v>0</v>
      </c>
      <c r="AW152" s="39">
        <f t="shared" si="111"/>
        <v>0</v>
      </c>
      <c r="AX152" s="39">
        <f t="shared" si="112"/>
        <v>0</v>
      </c>
      <c r="AY152" s="39">
        <f t="shared" si="113"/>
        <v>0</v>
      </c>
      <c r="AZ152" s="39">
        <f t="shared" si="114"/>
        <v>0</v>
      </c>
      <c r="BA152" s="39">
        <f t="shared" si="115"/>
        <v>0</v>
      </c>
      <c r="BB152" s="39">
        <f t="shared" si="116"/>
        <v>0</v>
      </c>
      <c r="BC152" s="39">
        <f t="shared" si="117"/>
        <v>0</v>
      </c>
      <c r="BD152" s="39">
        <f t="shared" si="118"/>
        <v>0</v>
      </c>
      <c r="BE152" s="39">
        <f t="shared" si="119"/>
        <v>0</v>
      </c>
      <c r="BF152" s="39">
        <f t="shared" si="120"/>
        <v>0</v>
      </c>
      <c r="BG152" s="39">
        <f t="shared" si="121"/>
        <v>0</v>
      </c>
      <c r="BH152" s="84">
        <f t="shared" si="122"/>
        <v>1.2800000000000002</v>
      </c>
      <c r="BI152" s="84">
        <f t="shared" si="123"/>
        <v>0</v>
      </c>
      <c r="BJ152" s="84">
        <f t="shared" si="124"/>
        <v>1.2800000000000002</v>
      </c>
      <c r="BK152" s="39">
        <f t="shared" si="125"/>
        <v>62.653594040330347</v>
      </c>
      <c r="BL152" s="39">
        <f t="shared" si="126"/>
        <v>63.603074833393102</v>
      </c>
      <c r="BM152" s="39">
        <f t="shared" si="127"/>
        <v>61.199999999999989</v>
      </c>
      <c r="BN152" s="39">
        <f t="shared" si="128"/>
        <v>82.800000000000011</v>
      </c>
      <c r="BO152" s="39">
        <f t="shared" si="129"/>
        <v>79.799999999999983</v>
      </c>
      <c r="BP152" s="39">
        <f t="shared" si="130"/>
        <v>70.800000000000011</v>
      </c>
      <c r="BQ152" s="39">
        <f t="shared" si="131"/>
        <v>70.800000000000011</v>
      </c>
      <c r="BR152" s="39">
        <f t="shared" si="132"/>
        <v>70.800000000000011</v>
      </c>
      <c r="BS152" s="39">
        <f t="shared" si="133"/>
        <v>1.5921564241982082</v>
      </c>
      <c r="BT152" s="39">
        <f t="shared" si="134"/>
        <v>0</v>
      </c>
      <c r="BU152" s="39">
        <f t="shared" si="135"/>
        <v>0</v>
      </c>
      <c r="BV152" s="39">
        <f t="shared" si="136"/>
        <v>0</v>
      </c>
      <c r="BW152" s="39">
        <f t="shared" si="137"/>
        <v>0</v>
      </c>
      <c r="BX152" s="39">
        <f t="shared" si="138"/>
        <v>0</v>
      </c>
      <c r="BY152" s="39">
        <f t="shared" si="139"/>
        <v>0</v>
      </c>
      <c r="BZ152" s="39">
        <f t="shared" si="140"/>
        <v>0</v>
      </c>
      <c r="CA152" s="39">
        <f t="shared" si="141"/>
        <v>61.061437616132139</v>
      </c>
      <c r="CB152" s="39">
        <f t="shared" si="142"/>
        <v>65.195231257591303</v>
      </c>
      <c r="CC152" s="39">
        <f t="shared" si="143"/>
        <v>61.199999999999989</v>
      </c>
      <c r="CD152" s="39">
        <f t="shared" si="144"/>
        <v>82.800000000000011</v>
      </c>
      <c r="CE152" s="39">
        <f t="shared" si="145"/>
        <v>79.799999999999983</v>
      </c>
      <c r="CF152" s="39">
        <f t="shared" si="146"/>
        <v>70.800000000000011</v>
      </c>
      <c r="CG152" s="39">
        <f t="shared" si="147"/>
        <v>70.800000000000011</v>
      </c>
      <c r="CH152" s="39">
        <f t="shared" si="148"/>
        <v>70.800000000000011</v>
      </c>
      <c r="CI152" s="39">
        <f t="shared" si="149"/>
        <v>0</v>
      </c>
      <c r="CJ152" s="39">
        <f t="shared" si="150"/>
        <v>0</v>
      </c>
      <c r="CK152" s="39">
        <f t="shared" si="151"/>
        <v>0</v>
      </c>
      <c r="CL152" s="39">
        <f t="shared" si="152"/>
        <v>0</v>
      </c>
      <c r="CM152" s="39">
        <f t="shared" si="153"/>
        <v>0</v>
      </c>
      <c r="CN152" s="39">
        <f t="shared" si="154"/>
        <v>0</v>
      </c>
      <c r="CO152" s="39">
        <f t="shared" si="155"/>
        <v>0</v>
      </c>
      <c r="CP152" s="39">
        <f t="shared" si="156"/>
        <v>0</v>
      </c>
    </row>
    <row r="153" spans="2:94" ht="16" customHeight="1" x14ac:dyDescent="0.2">
      <c r="B153" s="38"/>
      <c r="L153" s="63">
        <v>30465</v>
      </c>
      <c r="M153" s="38">
        <v>1.2</v>
      </c>
      <c r="N153" s="38">
        <v>1.5</v>
      </c>
      <c r="O153" s="39">
        <v>0</v>
      </c>
      <c r="P153" s="39">
        <v>0</v>
      </c>
      <c r="Q153" s="46">
        <f t="shared" si="87"/>
        <v>8.7037626453786196E-2</v>
      </c>
      <c r="R153" s="81">
        <f t="shared" si="88"/>
        <v>0</v>
      </c>
      <c r="S153" s="82">
        <f t="shared" si="89"/>
        <v>1.2</v>
      </c>
      <c r="T153" s="39">
        <f t="shared" si="90"/>
        <v>0</v>
      </c>
      <c r="U153" s="83">
        <f t="shared" si="91"/>
        <v>0</v>
      </c>
      <c r="V153" s="84">
        <f t="shared" si="92"/>
        <v>1.2000000000000002</v>
      </c>
      <c r="W153" s="52">
        <f t="shared" si="93"/>
        <v>121.25666887372347</v>
      </c>
      <c r="X153" s="52">
        <f t="shared" si="94"/>
        <v>151.20000000000005</v>
      </c>
      <c r="Y153" s="52">
        <f t="shared" si="95"/>
        <v>272.45666887372352</v>
      </c>
      <c r="Z153" s="53">
        <f t="shared" si="96"/>
        <v>0.94731772557596461</v>
      </c>
      <c r="AA153" s="53">
        <f t="shared" si="97"/>
        <v>0.90000000000000024</v>
      </c>
      <c r="AB153" s="53">
        <f t="shared" si="98"/>
        <v>0.9204617191679848</v>
      </c>
      <c r="AC153" s="39" t="str">
        <f t="shared" si="99"/>
        <v>No</v>
      </c>
      <c r="AD153" s="85">
        <f t="shared" si="100"/>
        <v>0</v>
      </c>
      <c r="AE153" s="46">
        <f t="shared" si="101"/>
        <v>1</v>
      </c>
      <c r="AF153" s="46">
        <f t="shared" si="102"/>
        <v>0</v>
      </c>
      <c r="AG153" s="39">
        <f t="shared" si="157"/>
        <v>61.061437616132139</v>
      </c>
      <c r="AH153" s="39">
        <f t="shared" si="158"/>
        <v>65.195231257591303</v>
      </c>
      <c r="AI153" s="39">
        <f t="shared" si="159"/>
        <v>61.199999999999989</v>
      </c>
      <c r="AJ153" s="39">
        <f t="shared" si="160"/>
        <v>82.800000000000011</v>
      </c>
      <c r="AK153" s="39">
        <f t="shared" si="161"/>
        <v>79.799999999999983</v>
      </c>
      <c r="AL153" s="39">
        <f t="shared" si="162"/>
        <v>70.800000000000011</v>
      </c>
      <c r="AM153" s="39">
        <f t="shared" si="163"/>
        <v>70.800000000000011</v>
      </c>
      <c r="AN153" s="39">
        <f t="shared" si="164"/>
        <v>70.800000000000011</v>
      </c>
      <c r="AO153" s="39">
        <f t="shared" si="103"/>
        <v>0</v>
      </c>
      <c r="AP153" s="39">
        <f t="shared" si="104"/>
        <v>0</v>
      </c>
      <c r="AQ153" s="39">
        <f t="shared" si="105"/>
        <v>0</v>
      </c>
      <c r="AR153" s="39">
        <f t="shared" si="106"/>
        <v>0</v>
      </c>
      <c r="AS153" s="39">
        <f t="shared" si="107"/>
        <v>0</v>
      </c>
      <c r="AT153" s="39">
        <f t="shared" si="108"/>
        <v>0</v>
      </c>
      <c r="AU153" s="39">
        <f t="shared" si="109"/>
        <v>0</v>
      </c>
      <c r="AV153" s="39">
        <f t="shared" si="110"/>
        <v>0</v>
      </c>
      <c r="AW153" s="39">
        <f t="shared" si="111"/>
        <v>0</v>
      </c>
      <c r="AX153" s="39">
        <f t="shared" si="112"/>
        <v>0</v>
      </c>
      <c r="AY153" s="39">
        <f t="shared" si="113"/>
        <v>0</v>
      </c>
      <c r="AZ153" s="39">
        <f t="shared" si="114"/>
        <v>0</v>
      </c>
      <c r="BA153" s="39">
        <f t="shared" si="115"/>
        <v>0</v>
      </c>
      <c r="BB153" s="39">
        <f t="shared" si="116"/>
        <v>0</v>
      </c>
      <c r="BC153" s="39">
        <f t="shared" si="117"/>
        <v>0</v>
      </c>
      <c r="BD153" s="39">
        <f t="shared" si="118"/>
        <v>0</v>
      </c>
      <c r="BE153" s="39">
        <f t="shared" si="119"/>
        <v>0</v>
      </c>
      <c r="BF153" s="39">
        <f t="shared" si="120"/>
        <v>0</v>
      </c>
      <c r="BG153" s="39">
        <f t="shared" si="121"/>
        <v>0</v>
      </c>
      <c r="BH153" s="84">
        <f t="shared" si="122"/>
        <v>1.2000000000000002</v>
      </c>
      <c r="BI153" s="84">
        <f t="shared" si="123"/>
        <v>0</v>
      </c>
      <c r="BJ153" s="84">
        <f t="shared" si="124"/>
        <v>1.2000000000000002</v>
      </c>
      <c r="BK153" s="39">
        <f t="shared" si="125"/>
        <v>59.861437616132136</v>
      </c>
      <c r="BL153" s="39">
        <f t="shared" si="126"/>
        <v>65.195231257591303</v>
      </c>
      <c r="BM153" s="39">
        <f t="shared" si="127"/>
        <v>61.199999999999989</v>
      </c>
      <c r="BN153" s="39">
        <f t="shared" si="128"/>
        <v>82.800000000000011</v>
      </c>
      <c r="BO153" s="39">
        <f t="shared" si="129"/>
        <v>79.799999999999983</v>
      </c>
      <c r="BP153" s="39">
        <f t="shared" si="130"/>
        <v>70.800000000000011</v>
      </c>
      <c r="BQ153" s="39">
        <f t="shared" si="131"/>
        <v>70.800000000000011</v>
      </c>
      <c r="BR153" s="39">
        <f t="shared" si="132"/>
        <v>70.800000000000011</v>
      </c>
      <c r="BS153" s="39">
        <f t="shared" si="133"/>
        <v>0</v>
      </c>
      <c r="BT153" s="39">
        <f t="shared" si="134"/>
        <v>0</v>
      </c>
      <c r="BU153" s="39">
        <f t="shared" si="135"/>
        <v>0</v>
      </c>
      <c r="BV153" s="39">
        <f t="shared" si="136"/>
        <v>0</v>
      </c>
      <c r="BW153" s="39">
        <f t="shared" si="137"/>
        <v>0</v>
      </c>
      <c r="BX153" s="39">
        <f t="shared" si="138"/>
        <v>0</v>
      </c>
      <c r="BY153" s="39">
        <f t="shared" si="139"/>
        <v>0</v>
      </c>
      <c r="BZ153" s="39">
        <f t="shared" si="140"/>
        <v>0</v>
      </c>
      <c r="CA153" s="39">
        <f t="shared" si="141"/>
        <v>59.861437616132136</v>
      </c>
      <c r="CB153" s="39">
        <f t="shared" si="142"/>
        <v>65.195231257591303</v>
      </c>
      <c r="CC153" s="39">
        <f t="shared" si="143"/>
        <v>61.199999999999989</v>
      </c>
      <c r="CD153" s="39">
        <f t="shared" si="144"/>
        <v>82.800000000000011</v>
      </c>
      <c r="CE153" s="39">
        <f t="shared" si="145"/>
        <v>79.799999999999983</v>
      </c>
      <c r="CF153" s="39">
        <f t="shared" si="146"/>
        <v>70.800000000000011</v>
      </c>
      <c r="CG153" s="39">
        <f t="shared" si="147"/>
        <v>70.800000000000011</v>
      </c>
      <c r="CH153" s="39">
        <f t="shared" si="148"/>
        <v>70.800000000000011</v>
      </c>
      <c r="CI153" s="39">
        <f t="shared" si="149"/>
        <v>0</v>
      </c>
      <c r="CJ153" s="39">
        <f t="shared" si="150"/>
        <v>0</v>
      </c>
      <c r="CK153" s="39">
        <f t="shared" si="151"/>
        <v>0</v>
      </c>
      <c r="CL153" s="39">
        <f t="shared" si="152"/>
        <v>0</v>
      </c>
      <c r="CM153" s="39">
        <f t="shared" si="153"/>
        <v>0</v>
      </c>
      <c r="CN153" s="39">
        <f t="shared" si="154"/>
        <v>0</v>
      </c>
      <c r="CO153" s="39">
        <f t="shared" si="155"/>
        <v>0</v>
      </c>
      <c r="CP153" s="39">
        <f t="shared" si="156"/>
        <v>0</v>
      </c>
    </row>
    <row r="154" spans="2:94" ht="16" customHeight="1" x14ac:dyDescent="0.2">
      <c r="B154" s="38"/>
      <c r="L154" s="63">
        <v>30466</v>
      </c>
      <c r="M154" s="38">
        <v>0</v>
      </c>
      <c r="N154" s="38">
        <v>1.3</v>
      </c>
      <c r="O154" s="39">
        <v>0</v>
      </c>
      <c r="P154" s="39">
        <v>0</v>
      </c>
      <c r="Q154" s="46">
        <f t="shared" si="87"/>
        <v>8.9470058886218645E-2</v>
      </c>
      <c r="R154" s="81">
        <f t="shared" si="88"/>
        <v>0</v>
      </c>
      <c r="S154" s="82">
        <f t="shared" si="89"/>
        <v>0</v>
      </c>
      <c r="T154" s="39">
        <f t="shared" si="90"/>
        <v>0</v>
      </c>
      <c r="U154" s="83">
        <f t="shared" si="91"/>
        <v>0</v>
      </c>
      <c r="V154" s="84">
        <f t="shared" si="92"/>
        <v>1.04</v>
      </c>
      <c r="W154" s="52">
        <f t="shared" si="93"/>
        <v>120.05666887372342</v>
      </c>
      <c r="X154" s="52">
        <f t="shared" si="94"/>
        <v>151.20000000000005</v>
      </c>
      <c r="Y154" s="52">
        <f t="shared" si="95"/>
        <v>271.25666887372347</v>
      </c>
      <c r="Z154" s="53">
        <f t="shared" si="96"/>
        <v>0.93794272557596425</v>
      </c>
      <c r="AA154" s="53">
        <f t="shared" si="97"/>
        <v>0.90000000000000024</v>
      </c>
      <c r="AB154" s="53">
        <f t="shared" si="98"/>
        <v>0.91640766511393068</v>
      </c>
      <c r="AC154" s="39" t="str">
        <f t="shared" si="99"/>
        <v>No</v>
      </c>
      <c r="AD154" s="85">
        <f t="shared" si="100"/>
        <v>0</v>
      </c>
      <c r="AE154" s="46">
        <f t="shared" si="101"/>
        <v>1</v>
      </c>
      <c r="AF154" s="46">
        <f t="shared" si="102"/>
        <v>0</v>
      </c>
      <c r="AG154" s="39">
        <f t="shared" si="157"/>
        <v>59.861437616132136</v>
      </c>
      <c r="AH154" s="39">
        <f t="shared" si="158"/>
        <v>65.195231257591303</v>
      </c>
      <c r="AI154" s="39">
        <f t="shared" si="159"/>
        <v>61.199999999999989</v>
      </c>
      <c r="AJ154" s="39">
        <f t="shared" si="160"/>
        <v>82.800000000000011</v>
      </c>
      <c r="AK154" s="39">
        <f t="shared" si="161"/>
        <v>79.799999999999983</v>
      </c>
      <c r="AL154" s="39">
        <f t="shared" si="162"/>
        <v>70.800000000000011</v>
      </c>
      <c r="AM154" s="39">
        <f t="shared" si="163"/>
        <v>70.800000000000011</v>
      </c>
      <c r="AN154" s="39">
        <f t="shared" si="164"/>
        <v>70.800000000000011</v>
      </c>
      <c r="AO154" s="39">
        <f t="shared" si="103"/>
        <v>0</v>
      </c>
      <c r="AP154" s="39">
        <f t="shared" si="104"/>
        <v>0</v>
      </c>
      <c r="AQ154" s="39">
        <f t="shared" si="105"/>
        <v>0</v>
      </c>
      <c r="AR154" s="39">
        <f t="shared" si="106"/>
        <v>0</v>
      </c>
      <c r="AS154" s="39">
        <f t="shared" si="107"/>
        <v>0</v>
      </c>
      <c r="AT154" s="39">
        <f t="shared" si="108"/>
        <v>0</v>
      </c>
      <c r="AU154" s="39">
        <f t="shared" si="109"/>
        <v>0</v>
      </c>
      <c r="AV154" s="39">
        <f t="shared" si="110"/>
        <v>0</v>
      </c>
      <c r="AW154" s="39">
        <f t="shared" si="111"/>
        <v>0</v>
      </c>
      <c r="AX154" s="39">
        <f t="shared" si="112"/>
        <v>0</v>
      </c>
      <c r="AY154" s="39">
        <f t="shared" si="113"/>
        <v>0</v>
      </c>
      <c r="AZ154" s="39">
        <f t="shared" si="114"/>
        <v>0</v>
      </c>
      <c r="BA154" s="39">
        <f t="shared" si="115"/>
        <v>0</v>
      </c>
      <c r="BB154" s="39">
        <f t="shared" si="116"/>
        <v>0</v>
      </c>
      <c r="BC154" s="39">
        <f t="shared" si="117"/>
        <v>0</v>
      </c>
      <c r="BD154" s="39">
        <f t="shared" si="118"/>
        <v>0</v>
      </c>
      <c r="BE154" s="39">
        <f t="shared" si="119"/>
        <v>0</v>
      </c>
      <c r="BF154" s="39">
        <f t="shared" si="120"/>
        <v>0</v>
      </c>
      <c r="BG154" s="39">
        <f t="shared" si="121"/>
        <v>0</v>
      </c>
      <c r="BH154" s="84">
        <f t="shared" si="122"/>
        <v>1.04</v>
      </c>
      <c r="BI154" s="84">
        <f t="shared" si="123"/>
        <v>0</v>
      </c>
      <c r="BJ154" s="84">
        <f t="shared" si="124"/>
        <v>1.04</v>
      </c>
      <c r="BK154" s="39">
        <f t="shared" si="125"/>
        <v>58.821437616132137</v>
      </c>
      <c r="BL154" s="39">
        <f t="shared" si="126"/>
        <v>65.195231257591303</v>
      </c>
      <c r="BM154" s="39">
        <f t="shared" si="127"/>
        <v>61.199999999999989</v>
      </c>
      <c r="BN154" s="39">
        <f t="shared" si="128"/>
        <v>82.800000000000011</v>
      </c>
      <c r="BO154" s="39">
        <f t="shared" si="129"/>
        <v>79.799999999999983</v>
      </c>
      <c r="BP154" s="39">
        <f t="shared" si="130"/>
        <v>70.800000000000011</v>
      </c>
      <c r="BQ154" s="39">
        <f t="shared" si="131"/>
        <v>70.800000000000011</v>
      </c>
      <c r="BR154" s="39">
        <f t="shared" si="132"/>
        <v>70.800000000000011</v>
      </c>
      <c r="BS154" s="39">
        <f t="shared" si="133"/>
        <v>0</v>
      </c>
      <c r="BT154" s="39">
        <f t="shared" si="134"/>
        <v>0</v>
      </c>
      <c r="BU154" s="39">
        <f t="shared" si="135"/>
        <v>0</v>
      </c>
      <c r="BV154" s="39">
        <f t="shared" si="136"/>
        <v>0</v>
      </c>
      <c r="BW154" s="39">
        <f t="shared" si="137"/>
        <v>0</v>
      </c>
      <c r="BX154" s="39">
        <f t="shared" si="138"/>
        <v>0</v>
      </c>
      <c r="BY154" s="39">
        <f t="shared" si="139"/>
        <v>0</v>
      </c>
      <c r="BZ154" s="39">
        <f t="shared" si="140"/>
        <v>0</v>
      </c>
      <c r="CA154" s="39">
        <f t="shared" si="141"/>
        <v>58.821437616132137</v>
      </c>
      <c r="CB154" s="39">
        <f t="shared" si="142"/>
        <v>65.195231257591303</v>
      </c>
      <c r="CC154" s="39">
        <f t="shared" si="143"/>
        <v>61.199999999999989</v>
      </c>
      <c r="CD154" s="39">
        <f t="shared" si="144"/>
        <v>82.800000000000011</v>
      </c>
      <c r="CE154" s="39">
        <f t="shared" si="145"/>
        <v>79.799999999999983</v>
      </c>
      <c r="CF154" s="39">
        <f t="shared" si="146"/>
        <v>70.800000000000011</v>
      </c>
      <c r="CG154" s="39">
        <f t="shared" si="147"/>
        <v>70.800000000000011</v>
      </c>
      <c r="CH154" s="39">
        <f t="shared" si="148"/>
        <v>70.800000000000011</v>
      </c>
      <c r="CI154" s="39">
        <f t="shared" si="149"/>
        <v>0</v>
      </c>
      <c r="CJ154" s="39">
        <f t="shared" si="150"/>
        <v>0</v>
      </c>
      <c r="CK154" s="39">
        <f t="shared" si="151"/>
        <v>0</v>
      </c>
      <c r="CL154" s="39">
        <f t="shared" si="152"/>
        <v>0</v>
      </c>
      <c r="CM154" s="39">
        <f t="shared" si="153"/>
        <v>0</v>
      </c>
      <c r="CN154" s="39">
        <f t="shared" si="154"/>
        <v>0</v>
      </c>
      <c r="CO154" s="39">
        <f t="shared" si="155"/>
        <v>0</v>
      </c>
      <c r="CP154" s="39">
        <f t="shared" si="156"/>
        <v>0</v>
      </c>
    </row>
    <row r="155" spans="2:94" ht="16" customHeight="1" x14ac:dyDescent="0.2">
      <c r="B155" s="38"/>
      <c r="L155" s="63">
        <v>30467</v>
      </c>
      <c r="M155" s="38">
        <v>0</v>
      </c>
      <c r="N155" s="38">
        <v>1.3</v>
      </c>
      <c r="O155" s="39">
        <v>0</v>
      </c>
      <c r="P155" s="39">
        <v>0</v>
      </c>
      <c r="Q155" s="46">
        <f t="shared" si="87"/>
        <v>9.1578166994326748E-2</v>
      </c>
      <c r="R155" s="81">
        <f t="shared" si="88"/>
        <v>0</v>
      </c>
      <c r="S155" s="82">
        <f t="shared" si="89"/>
        <v>0</v>
      </c>
      <c r="T155" s="39">
        <f t="shared" si="90"/>
        <v>0</v>
      </c>
      <c r="U155" s="83">
        <f t="shared" si="91"/>
        <v>0</v>
      </c>
      <c r="V155" s="84">
        <f t="shared" si="92"/>
        <v>1.04</v>
      </c>
      <c r="W155" s="52">
        <f t="shared" si="93"/>
        <v>119.01666887372346</v>
      </c>
      <c r="X155" s="52">
        <f t="shared" si="94"/>
        <v>151.20000000000005</v>
      </c>
      <c r="Y155" s="52">
        <f t="shared" si="95"/>
        <v>270.21666887372351</v>
      </c>
      <c r="Z155" s="53">
        <f t="shared" si="96"/>
        <v>0.92981772557596454</v>
      </c>
      <c r="AA155" s="53">
        <f t="shared" si="97"/>
        <v>0.90000000000000024</v>
      </c>
      <c r="AB155" s="53">
        <f t="shared" si="98"/>
        <v>0.9128941516004172</v>
      </c>
      <c r="AC155" s="39" t="str">
        <f t="shared" si="99"/>
        <v>No</v>
      </c>
      <c r="AD155" s="85">
        <f t="shared" si="100"/>
        <v>0</v>
      </c>
      <c r="AE155" s="46">
        <f t="shared" si="101"/>
        <v>1</v>
      </c>
      <c r="AF155" s="46">
        <f t="shared" si="102"/>
        <v>0</v>
      </c>
      <c r="AG155" s="39">
        <f t="shared" si="157"/>
        <v>58.821437616132137</v>
      </c>
      <c r="AH155" s="39">
        <f t="shared" si="158"/>
        <v>65.195231257591303</v>
      </c>
      <c r="AI155" s="39">
        <f t="shared" si="159"/>
        <v>61.199999999999989</v>
      </c>
      <c r="AJ155" s="39">
        <f t="shared" si="160"/>
        <v>82.800000000000011</v>
      </c>
      <c r="AK155" s="39">
        <f t="shared" si="161"/>
        <v>79.799999999999983</v>
      </c>
      <c r="AL155" s="39">
        <f t="shared" si="162"/>
        <v>70.800000000000011</v>
      </c>
      <c r="AM155" s="39">
        <f t="shared" si="163"/>
        <v>70.800000000000011</v>
      </c>
      <c r="AN155" s="39">
        <f t="shared" si="164"/>
        <v>70.800000000000011</v>
      </c>
      <c r="AO155" s="39">
        <f t="shared" si="103"/>
        <v>0</v>
      </c>
      <c r="AP155" s="39">
        <f t="shared" si="104"/>
        <v>0</v>
      </c>
      <c r="AQ155" s="39">
        <f t="shared" si="105"/>
        <v>0</v>
      </c>
      <c r="AR155" s="39">
        <f t="shared" si="106"/>
        <v>0</v>
      </c>
      <c r="AS155" s="39">
        <f t="shared" si="107"/>
        <v>0</v>
      </c>
      <c r="AT155" s="39">
        <f t="shared" si="108"/>
        <v>0</v>
      </c>
      <c r="AU155" s="39">
        <f t="shared" si="109"/>
        <v>0</v>
      </c>
      <c r="AV155" s="39">
        <f t="shared" si="110"/>
        <v>0</v>
      </c>
      <c r="AW155" s="39">
        <f t="shared" si="111"/>
        <v>0</v>
      </c>
      <c r="AX155" s="39">
        <f t="shared" si="112"/>
        <v>0</v>
      </c>
      <c r="AY155" s="39">
        <f t="shared" si="113"/>
        <v>0</v>
      </c>
      <c r="AZ155" s="39">
        <f t="shared" si="114"/>
        <v>0</v>
      </c>
      <c r="BA155" s="39">
        <f t="shared" si="115"/>
        <v>0</v>
      </c>
      <c r="BB155" s="39">
        <f t="shared" si="116"/>
        <v>0</v>
      </c>
      <c r="BC155" s="39">
        <f t="shared" si="117"/>
        <v>0</v>
      </c>
      <c r="BD155" s="39">
        <f t="shared" si="118"/>
        <v>0</v>
      </c>
      <c r="BE155" s="39">
        <f t="shared" si="119"/>
        <v>0</v>
      </c>
      <c r="BF155" s="39">
        <f t="shared" si="120"/>
        <v>0</v>
      </c>
      <c r="BG155" s="39">
        <f t="shared" si="121"/>
        <v>0</v>
      </c>
      <c r="BH155" s="84">
        <f t="shared" si="122"/>
        <v>1.04</v>
      </c>
      <c r="BI155" s="84">
        <f t="shared" si="123"/>
        <v>0</v>
      </c>
      <c r="BJ155" s="84">
        <f t="shared" si="124"/>
        <v>1.04</v>
      </c>
      <c r="BK155" s="39">
        <f t="shared" si="125"/>
        <v>57.781437616132138</v>
      </c>
      <c r="BL155" s="39">
        <f t="shared" si="126"/>
        <v>65.195231257591303</v>
      </c>
      <c r="BM155" s="39">
        <f t="shared" si="127"/>
        <v>61.199999999999989</v>
      </c>
      <c r="BN155" s="39">
        <f t="shared" si="128"/>
        <v>82.800000000000011</v>
      </c>
      <c r="BO155" s="39">
        <f t="shared" si="129"/>
        <v>79.799999999999983</v>
      </c>
      <c r="BP155" s="39">
        <f t="shared" si="130"/>
        <v>70.800000000000011</v>
      </c>
      <c r="BQ155" s="39">
        <f t="shared" si="131"/>
        <v>70.800000000000011</v>
      </c>
      <c r="BR155" s="39">
        <f t="shared" si="132"/>
        <v>70.800000000000011</v>
      </c>
      <c r="BS155" s="39">
        <f t="shared" si="133"/>
        <v>0</v>
      </c>
      <c r="BT155" s="39">
        <f t="shared" si="134"/>
        <v>0</v>
      </c>
      <c r="BU155" s="39">
        <f t="shared" si="135"/>
        <v>0</v>
      </c>
      <c r="BV155" s="39">
        <f t="shared" si="136"/>
        <v>0</v>
      </c>
      <c r="BW155" s="39">
        <f t="shared" si="137"/>
        <v>0</v>
      </c>
      <c r="BX155" s="39">
        <f t="shared" si="138"/>
        <v>0</v>
      </c>
      <c r="BY155" s="39">
        <f t="shared" si="139"/>
        <v>0</v>
      </c>
      <c r="BZ155" s="39">
        <f t="shared" si="140"/>
        <v>0</v>
      </c>
      <c r="CA155" s="39">
        <f t="shared" si="141"/>
        <v>57.781437616132138</v>
      </c>
      <c r="CB155" s="39">
        <f t="shared" si="142"/>
        <v>65.195231257591303</v>
      </c>
      <c r="CC155" s="39">
        <f t="shared" si="143"/>
        <v>61.199999999999989</v>
      </c>
      <c r="CD155" s="39">
        <f t="shared" si="144"/>
        <v>82.800000000000011</v>
      </c>
      <c r="CE155" s="39">
        <f t="shared" si="145"/>
        <v>79.799999999999983</v>
      </c>
      <c r="CF155" s="39">
        <f t="shared" si="146"/>
        <v>70.800000000000011</v>
      </c>
      <c r="CG155" s="39">
        <f t="shared" si="147"/>
        <v>70.800000000000011</v>
      </c>
      <c r="CH155" s="39">
        <f t="shared" si="148"/>
        <v>70.800000000000011</v>
      </c>
      <c r="CI155" s="39">
        <f t="shared" si="149"/>
        <v>0</v>
      </c>
      <c r="CJ155" s="39">
        <f t="shared" si="150"/>
        <v>0</v>
      </c>
      <c r="CK155" s="39">
        <f t="shared" si="151"/>
        <v>0</v>
      </c>
      <c r="CL155" s="39">
        <f t="shared" si="152"/>
        <v>0</v>
      </c>
      <c r="CM155" s="39">
        <f t="shared" si="153"/>
        <v>0</v>
      </c>
      <c r="CN155" s="39">
        <f t="shared" si="154"/>
        <v>0</v>
      </c>
      <c r="CO155" s="39">
        <f t="shared" si="155"/>
        <v>0</v>
      </c>
      <c r="CP155" s="39">
        <f t="shared" si="156"/>
        <v>0</v>
      </c>
    </row>
    <row r="156" spans="2:94" ht="16" customHeight="1" x14ac:dyDescent="0.2">
      <c r="B156" s="38"/>
      <c r="L156" s="63">
        <v>30468</v>
      </c>
      <c r="M156" s="38">
        <v>0.2</v>
      </c>
      <c r="N156" s="38">
        <v>1.4</v>
      </c>
      <c r="O156" s="39">
        <v>0</v>
      </c>
      <c r="P156" s="39">
        <v>0</v>
      </c>
      <c r="Q156" s="46">
        <f t="shared" si="87"/>
        <v>9.3686275102434852E-2</v>
      </c>
      <c r="R156" s="81">
        <f t="shared" si="88"/>
        <v>0</v>
      </c>
      <c r="S156" s="82">
        <f t="shared" si="89"/>
        <v>0.2</v>
      </c>
      <c r="T156" s="39">
        <f t="shared" si="90"/>
        <v>0</v>
      </c>
      <c r="U156" s="83">
        <f t="shared" si="91"/>
        <v>0</v>
      </c>
      <c r="V156" s="84">
        <f t="shared" si="92"/>
        <v>1.1199999999999999</v>
      </c>
      <c r="W156" s="52">
        <f t="shared" si="93"/>
        <v>117.97666887372344</v>
      </c>
      <c r="X156" s="52">
        <f t="shared" si="94"/>
        <v>151.20000000000005</v>
      </c>
      <c r="Y156" s="52">
        <f t="shared" si="95"/>
        <v>269.17666887372349</v>
      </c>
      <c r="Z156" s="53">
        <f t="shared" si="96"/>
        <v>0.92169272557596438</v>
      </c>
      <c r="AA156" s="53">
        <f t="shared" si="97"/>
        <v>0.90000000000000024</v>
      </c>
      <c r="AB156" s="53">
        <f t="shared" si="98"/>
        <v>0.90938063808690361</v>
      </c>
      <c r="AC156" s="39" t="str">
        <f t="shared" si="99"/>
        <v>No</v>
      </c>
      <c r="AD156" s="85">
        <f t="shared" si="100"/>
        <v>0</v>
      </c>
      <c r="AE156" s="46">
        <f t="shared" si="101"/>
        <v>1</v>
      </c>
      <c r="AF156" s="46">
        <f t="shared" si="102"/>
        <v>0</v>
      </c>
      <c r="AG156" s="39">
        <f t="shared" si="157"/>
        <v>57.781437616132138</v>
      </c>
      <c r="AH156" s="39">
        <f t="shared" si="158"/>
        <v>65.195231257591303</v>
      </c>
      <c r="AI156" s="39">
        <f t="shared" si="159"/>
        <v>61.199999999999989</v>
      </c>
      <c r="AJ156" s="39">
        <f t="shared" si="160"/>
        <v>82.800000000000011</v>
      </c>
      <c r="AK156" s="39">
        <f t="shared" si="161"/>
        <v>79.799999999999983</v>
      </c>
      <c r="AL156" s="39">
        <f t="shared" si="162"/>
        <v>70.800000000000011</v>
      </c>
      <c r="AM156" s="39">
        <f t="shared" si="163"/>
        <v>70.800000000000011</v>
      </c>
      <c r="AN156" s="39">
        <f t="shared" si="164"/>
        <v>70.800000000000011</v>
      </c>
      <c r="AO156" s="39">
        <f t="shared" si="103"/>
        <v>0</v>
      </c>
      <c r="AP156" s="39">
        <f t="shared" si="104"/>
        <v>0</v>
      </c>
      <c r="AQ156" s="39">
        <f t="shared" si="105"/>
        <v>0</v>
      </c>
      <c r="AR156" s="39">
        <f t="shared" si="106"/>
        <v>0</v>
      </c>
      <c r="AS156" s="39">
        <f t="shared" si="107"/>
        <v>0</v>
      </c>
      <c r="AT156" s="39">
        <f t="shared" si="108"/>
        <v>0</v>
      </c>
      <c r="AU156" s="39">
        <f t="shared" si="109"/>
        <v>0</v>
      </c>
      <c r="AV156" s="39">
        <f t="shared" si="110"/>
        <v>0</v>
      </c>
      <c r="AW156" s="39">
        <f t="shared" si="111"/>
        <v>0</v>
      </c>
      <c r="AX156" s="39">
        <f t="shared" si="112"/>
        <v>0</v>
      </c>
      <c r="AY156" s="39">
        <f t="shared" si="113"/>
        <v>0</v>
      </c>
      <c r="AZ156" s="39">
        <f t="shared" si="114"/>
        <v>0</v>
      </c>
      <c r="BA156" s="39">
        <f t="shared" si="115"/>
        <v>0</v>
      </c>
      <c r="BB156" s="39">
        <f t="shared" si="116"/>
        <v>0</v>
      </c>
      <c r="BC156" s="39">
        <f t="shared" si="117"/>
        <v>0</v>
      </c>
      <c r="BD156" s="39">
        <f t="shared" si="118"/>
        <v>0</v>
      </c>
      <c r="BE156" s="39">
        <f t="shared" si="119"/>
        <v>0</v>
      </c>
      <c r="BF156" s="39">
        <f t="shared" si="120"/>
        <v>0</v>
      </c>
      <c r="BG156" s="39">
        <f t="shared" si="121"/>
        <v>0</v>
      </c>
      <c r="BH156" s="84">
        <f t="shared" si="122"/>
        <v>1.1199999999999999</v>
      </c>
      <c r="BI156" s="84">
        <f t="shared" si="123"/>
        <v>0</v>
      </c>
      <c r="BJ156" s="84">
        <f t="shared" si="124"/>
        <v>1.1199999999999999</v>
      </c>
      <c r="BK156" s="39">
        <f t="shared" si="125"/>
        <v>56.66143761613214</v>
      </c>
      <c r="BL156" s="39">
        <f t="shared" si="126"/>
        <v>65.195231257591303</v>
      </c>
      <c r="BM156" s="39">
        <f t="shared" si="127"/>
        <v>61.199999999999989</v>
      </c>
      <c r="BN156" s="39">
        <f t="shared" si="128"/>
        <v>82.800000000000011</v>
      </c>
      <c r="BO156" s="39">
        <f t="shared" si="129"/>
        <v>79.799999999999983</v>
      </c>
      <c r="BP156" s="39">
        <f t="shared" si="130"/>
        <v>70.800000000000011</v>
      </c>
      <c r="BQ156" s="39">
        <f t="shared" si="131"/>
        <v>70.800000000000011</v>
      </c>
      <c r="BR156" s="39">
        <f t="shared" si="132"/>
        <v>70.800000000000011</v>
      </c>
      <c r="BS156" s="39">
        <f t="shared" si="133"/>
        <v>0</v>
      </c>
      <c r="BT156" s="39">
        <f t="shared" si="134"/>
        <v>0</v>
      </c>
      <c r="BU156" s="39">
        <f t="shared" si="135"/>
        <v>0</v>
      </c>
      <c r="BV156" s="39">
        <f t="shared" si="136"/>
        <v>0</v>
      </c>
      <c r="BW156" s="39">
        <f t="shared" si="137"/>
        <v>0</v>
      </c>
      <c r="BX156" s="39">
        <f t="shared" si="138"/>
        <v>0</v>
      </c>
      <c r="BY156" s="39">
        <f t="shared" si="139"/>
        <v>0</v>
      </c>
      <c r="BZ156" s="39">
        <f t="shared" si="140"/>
        <v>0</v>
      </c>
      <c r="CA156" s="39">
        <f t="shared" si="141"/>
        <v>56.66143761613214</v>
      </c>
      <c r="CB156" s="39">
        <f t="shared" si="142"/>
        <v>65.195231257591303</v>
      </c>
      <c r="CC156" s="39">
        <f t="shared" si="143"/>
        <v>61.199999999999989</v>
      </c>
      <c r="CD156" s="39">
        <f t="shared" si="144"/>
        <v>82.800000000000011</v>
      </c>
      <c r="CE156" s="39">
        <f t="shared" si="145"/>
        <v>79.799999999999983</v>
      </c>
      <c r="CF156" s="39">
        <f t="shared" si="146"/>
        <v>70.800000000000011</v>
      </c>
      <c r="CG156" s="39">
        <f t="shared" si="147"/>
        <v>70.800000000000011</v>
      </c>
      <c r="CH156" s="39">
        <f t="shared" si="148"/>
        <v>70.800000000000011</v>
      </c>
      <c r="CI156" s="39">
        <f t="shared" si="149"/>
        <v>0</v>
      </c>
      <c r="CJ156" s="39">
        <f t="shared" si="150"/>
        <v>0</v>
      </c>
      <c r="CK156" s="39">
        <f t="shared" si="151"/>
        <v>0</v>
      </c>
      <c r="CL156" s="39">
        <f t="shared" si="152"/>
        <v>0</v>
      </c>
      <c r="CM156" s="39">
        <f t="shared" si="153"/>
        <v>0</v>
      </c>
      <c r="CN156" s="39">
        <f t="shared" si="154"/>
        <v>0</v>
      </c>
      <c r="CO156" s="39">
        <f t="shared" si="155"/>
        <v>0</v>
      </c>
      <c r="CP156" s="39">
        <f t="shared" si="156"/>
        <v>0</v>
      </c>
    </row>
    <row r="157" spans="2:94" ht="16" customHeight="1" x14ac:dyDescent="0.2">
      <c r="B157" s="38"/>
      <c r="L157" s="63">
        <v>30469</v>
      </c>
      <c r="M157" s="38">
        <v>19.2</v>
      </c>
      <c r="N157" s="38">
        <v>0.6</v>
      </c>
      <c r="O157" s="39">
        <v>0</v>
      </c>
      <c r="P157" s="39">
        <v>0</v>
      </c>
      <c r="Q157" s="46">
        <f t="shared" si="87"/>
        <v>9.5956545372705121E-2</v>
      </c>
      <c r="R157" s="81">
        <f t="shared" si="88"/>
        <v>1.6184184459587634</v>
      </c>
      <c r="S157" s="82">
        <f t="shared" si="89"/>
        <v>17.581581554041236</v>
      </c>
      <c r="T157" s="39">
        <f t="shared" si="90"/>
        <v>0</v>
      </c>
      <c r="U157" s="83">
        <f t="shared" si="91"/>
        <v>0</v>
      </c>
      <c r="V157" s="84">
        <f t="shared" si="92"/>
        <v>0.48</v>
      </c>
      <c r="W157" s="52">
        <f t="shared" si="93"/>
        <v>116.85666887372344</v>
      </c>
      <c r="X157" s="52">
        <f t="shared" si="94"/>
        <v>151.20000000000005</v>
      </c>
      <c r="Y157" s="52">
        <f t="shared" si="95"/>
        <v>268.05666887372348</v>
      </c>
      <c r="Z157" s="53">
        <f t="shared" si="96"/>
        <v>0.91294272557596434</v>
      </c>
      <c r="AA157" s="53">
        <f t="shared" si="97"/>
        <v>0.90000000000000024</v>
      </c>
      <c r="AB157" s="53">
        <f t="shared" si="98"/>
        <v>0.90559685430311987</v>
      </c>
      <c r="AC157" s="39" t="str">
        <f t="shared" si="99"/>
        <v>No</v>
      </c>
      <c r="AD157" s="85">
        <f t="shared" si="100"/>
        <v>0</v>
      </c>
      <c r="AE157" s="46">
        <f t="shared" si="101"/>
        <v>1</v>
      </c>
      <c r="AF157" s="46">
        <f t="shared" si="102"/>
        <v>0</v>
      </c>
      <c r="AG157" s="39">
        <f t="shared" si="157"/>
        <v>56.66143761613214</v>
      </c>
      <c r="AH157" s="39">
        <f t="shared" si="158"/>
        <v>65.195231257591303</v>
      </c>
      <c r="AI157" s="39">
        <f t="shared" si="159"/>
        <v>61.199999999999989</v>
      </c>
      <c r="AJ157" s="39">
        <f t="shared" si="160"/>
        <v>82.800000000000011</v>
      </c>
      <c r="AK157" s="39">
        <f t="shared" si="161"/>
        <v>79.799999999999983</v>
      </c>
      <c r="AL157" s="39">
        <f t="shared" si="162"/>
        <v>70.800000000000011</v>
      </c>
      <c r="AM157" s="39">
        <f t="shared" si="163"/>
        <v>70.800000000000011</v>
      </c>
      <c r="AN157" s="39">
        <f t="shared" si="164"/>
        <v>70.800000000000011</v>
      </c>
      <c r="AO157" s="39">
        <f t="shared" si="103"/>
        <v>0</v>
      </c>
      <c r="AP157" s="39">
        <f t="shared" si="104"/>
        <v>0</v>
      </c>
      <c r="AQ157" s="39">
        <f t="shared" si="105"/>
        <v>0</v>
      </c>
      <c r="AR157" s="39">
        <f t="shared" si="106"/>
        <v>0</v>
      </c>
      <c r="AS157" s="39">
        <f t="shared" si="107"/>
        <v>0</v>
      </c>
      <c r="AT157" s="39">
        <f t="shared" si="108"/>
        <v>0</v>
      </c>
      <c r="AU157" s="39">
        <f t="shared" si="109"/>
        <v>0</v>
      </c>
      <c r="AV157" s="39">
        <f t="shared" si="110"/>
        <v>0</v>
      </c>
      <c r="AW157" s="39">
        <f t="shared" si="111"/>
        <v>0</v>
      </c>
      <c r="AX157" s="39">
        <f t="shared" si="112"/>
        <v>0</v>
      </c>
      <c r="AY157" s="39">
        <f t="shared" si="113"/>
        <v>0</v>
      </c>
      <c r="AZ157" s="39">
        <f t="shared" si="114"/>
        <v>0</v>
      </c>
      <c r="BA157" s="39">
        <f t="shared" si="115"/>
        <v>0</v>
      </c>
      <c r="BB157" s="39">
        <f t="shared" si="116"/>
        <v>0</v>
      </c>
      <c r="BC157" s="39">
        <f t="shared" si="117"/>
        <v>0</v>
      </c>
      <c r="BD157" s="39">
        <f t="shared" si="118"/>
        <v>0</v>
      </c>
      <c r="BE157" s="39">
        <f t="shared" si="119"/>
        <v>0</v>
      </c>
      <c r="BF157" s="39">
        <f t="shared" si="120"/>
        <v>0</v>
      </c>
      <c r="BG157" s="39">
        <f t="shared" si="121"/>
        <v>0</v>
      </c>
      <c r="BH157" s="84">
        <f t="shared" si="122"/>
        <v>0.48</v>
      </c>
      <c r="BI157" s="84">
        <f t="shared" si="123"/>
        <v>0</v>
      </c>
      <c r="BJ157" s="84">
        <f t="shared" si="124"/>
        <v>0.48</v>
      </c>
      <c r="BK157" s="39">
        <f t="shared" si="125"/>
        <v>56.181437616132143</v>
      </c>
      <c r="BL157" s="39">
        <f t="shared" si="126"/>
        <v>65.195231257591303</v>
      </c>
      <c r="BM157" s="39">
        <f t="shared" si="127"/>
        <v>61.199999999999989</v>
      </c>
      <c r="BN157" s="39">
        <f t="shared" si="128"/>
        <v>82.800000000000011</v>
      </c>
      <c r="BO157" s="39">
        <f t="shared" si="129"/>
        <v>79.799999999999983</v>
      </c>
      <c r="BP157" s="39">
        <f t="shared" si="130"/>
        <v>70.800000000000011</v>
      </c>
      <c r="BQ157" s="39">
        <f t="shared" si="131"/>
        <v>70.800000000000011</v>
      </c>
      <c r="BR157" s="39">
        <f t="shared" si="132"/>
        <v>70.800000000000011</v>
      </c>
      <c r="BS157" s="39">
        <f t="shared" si="133"/>
        <v>0</v>
      </c>
      <c r="BT157" s="39">
        <f t="shared" si="134"/>
        <v>0</v>
      </c>
      <c r="BU157" s="39">
        <f t="shared" si="135"/>
        <v>0</v>
      </c>
      <c r="BV157" s="39">
        <f t="shared" si="136"/>
        <v>0</v>
      </c>
      <c r="BW157" s="39">
        <f t="shared" si="137"/>
        <v>0</v>
      </c>
      <c r="BX157" s="39">
        <f t="shared" si="138"/>
        <v>0</v>
      </c>
      <c r="BY157" s="39">
        <f t="shared" si="139"/>
        <v>0</v>
      </c>
      <c r="BZ157" s="39">
        <f t="shared" si="140"/>
        <v>0</v>
      </c>
      <c r="CA157" s="39">
        <f t="shared" si="141"/>
        <v>73.283019170173375</v>
      </c>
      <c r="CB157" s="39">
        <f t="shared" si="142"/>
        <v>65.195231257591303</v>
      </c>
      <c r="CC157" s="39">
        <f t="shared" si="143"/>
        <v>61.199999999999989</v>
      </c>
      <c r="CD157" s="39">
        <f t="shared" si="144"/>
        <v>82.800000000000011</v>
      </c>
      <c r="CE157" s="39">
        <f t="shared" si="145"/>
        <v>79.799999999999983</v>
      </c>
      <c r="CF157" s="39">
        <f t="shared" si="146"/>
        <v>70.800000000000011</v>
      </c>
      <c r="CG157" s="39">
        <f t="shared" si="147"/>
        <v>70.800000000000011</v>
      </c>
      <c r="CH157" s="39">
        <f t="shared" si="148"/>
        <v>70.800000000000011</v>
      </c>
      <c r="CI157" s="39">
        <f t="shared" si="149"/>
        <v>0</v>
      </c>
      <c r="CJ157" s="39">
        <f t="shared" si="150"/>
        <v>0</v>
      </c>
      <c r="CK157" s="39">
        <f t="shared" si="151"/>
        <v>0</v>
      </c>
      <c r="CL157" s="39">
        <f t="shared" si="152"/>
        <v>0</v>
      </c>
      <c r="CM157" s="39">
        <f t="shared" si="153"/>
        <v>0</v>
      </c>
      <c r="CN157" s="39">
        <f t="shared" si="154"/>
        <v>0</v>
      </c>
      <c r="CO157" s="39">
        <f t="shared" si="155"/>
        <v>0</v>
      </c>
      <c r="CP157" s="39">
        <f t="shared" si="156"/>
        <v>0</v>
      </c>
    </row>
    <row r="158" spans="2:94" ht="16" customHeight="1" x14ac:dyDescent="0.2">
      <c r="B158" s="38"/>
      <c r="L158" s="63">
        <v>30470</v>
      </c>
      <c r="M158" s="38">
        <v>0</v>
      </c>
      <c r="N158" s="38">
        <v>1.2</v>
      </c>
      <c r="O158" s="39">
        <v>0</v>
      </c>
      <c r="P158" s="39">
        <v>0</v>
      </c>
      <c r="Q158" s="46">
        <f t="shared" si="87"/>
        <v>6.2264150330729635E-2</v>
      </c>
      <c r="R158" s="81">
        <f t="shared" si="88"/>
        <v>0</v>
      </c>
      <c r="S158" s="82">
        <f t="shared" si="89"/>
        <v>0</v>
      </c>
      <c r="T158" s="39">
        <f t="shared" si="90"/>
        <v>0</v>
      </c>
      <c r="U158" s="83">
        <f t="shared" si="91"/>
        <v>0</v>
      </c>
      <c r="V158" s="84">
        <f t="shared" si="92"/>
        <v>0.96</v>
      </c>
      <c r="W158" s="52">
        <f t="shared" si="93"/>
        <v>133.47825042776469</v>
      </c>
      <c r="X158" s="52">
        <f t="shared" si="94"/>
        <v>151.20000000000005</v>
      </c>
      <c r="Y158" s="52">
        <f t="shared" si="95"/>
        <v>284.67825042776474</v>
      </c>
      <c r="Z158" s="53">
        <f t="shared" si="96"/>
        <v>1.0427988314669117</v>
      </c>
      <c r="AA158" s="53">
        <f t="shared" si="97"/>
        <v>0.90000000000000024</v>
      </c>
      <c r="AB158" s="53">
        <f t="shared" si="98"/>
        <v>0.9617508460397457</v>
      </c>
      <c r="AC158" s="39" t="str">
        <f t="shared" si="99"/>
        <v>No</v>
      </c>
      <c r="AD158" s="85">
        <f t="shared" si="100"/>
        <v>0</v>
      </c>
      <c r="AE158" s="46">
        <f t="shared" si="101"/>
        <v>1</v>
      </c>
      <c r="AF158" s="46">
        <f t="shared" si="102"/>
        <v>0</v>
      </c>
      <c r="AG158" s="39">
        <f t="shared" si="157"/>
        <v>73.283019170173375</v>
      </c>
      <c r="AH158" s="39">
        <f t="shared" si="158"/>
        <v>65.195231257591303</v>
      </c>
      <c r="AI158" s="39">
        <f t="shared" si="159"/>
        <v>61.199999999999989</v>
      </c>
      <c r="AJ158" s="39">
        <f t="shared" si="160"/>
        <v>82.800000000000011</v>
      </c>
      <c r="AK158" s="39">
        <f t="shared" si="161"/>
        <v>79.799999999999983</v>
      </c>
      <c r="AL158" s="39">
        <f t="shared" si="162"/>
        <v>70.800000000000011</v>
      </c>
      <c r="AM158" s="39">
        <f t="shared" si="163"/>
        <v>70.800000000000011</v>
      </c>
      <c r="AN158" s="39">
        <f t="shared" si="164"/>
        <v>70.800000000000011</v>
      </c>
      <c r="AO158" s="39">
        <f t="shared" si="103"/>
        <v>0</v>
      </c>
      <c r="AP158" s="39">
        <f t="shared" si="104"/>
        <v>0</v>
      </c>
      <c r="AQ158" s="39">
        <f t="shared" si="105"/>
        <v>0</v>
      </c>
      <c r="AR158" s="39">
        <f t="shared" si="106"/>
        <v>0</v>
      </c>
      <c r="AS158" s="39">
        <f t="shared" si="107"/>
        <v>0</v>
      </c>
      <c r="AT158" s="39">
        <f t="shared" si="108"/>
        <v>0</v>
      </c>
      <c r="AU158" s="39">
        <f t="shared" si="109"/>
        <v>0</v>
      </c>
      <c r="AV158" s="39">
        <f t="shared" si="110"/>
        <v>0</v>
      </c>
      <c r="AW158" s="39">
        <f t="shared" si="111"/>
        <v>0</v>
      </c>
      <c r="AX158" s="39">
        <f t="shared" si="112"/>
        <v>0</v>
      </c>
      <c r="AY158" s="39">
        <f t="shared" si="113"/>
        <v>0</v>
      </c>
      <c r="AZ158" s="39">
        <f t="shared" si="114"/>
        <v>0</v>
      </c>
      <c r="BA158" s="39">
        <f t="shared" si="115"/>
        <v>0</v>
      </c>
      <c r="BB158" s="39">
        <f t="shared" si="116"/>
        <v>0</v>
      </c>
      <c r="BC158" s="39">
        <f t="shared" si="117"/>
        <v>0</v>
      </c>
      <c r="BD158" s="39">
        <f t="shared" si="118"/>
        <v>0</v>
      </c>
      <c r="BE158" s="39">
        <f t="shared" si="119"/>
        <v>0</v>
      </c>
      <c r="BF158" s="39">
        <f t="shared" si="120"/>
        <v>0</v>
      </c>
      <c r="BG158" s="39">
        <f t="shared" si="121"/>
        <v>0</v>
      </c>
      <c r="BH158" s="84">
        <f t="shared" si="122"/>
        <v>0.96</v>
      </c>
      <c r="BI158" s="84">
        <f t="shared" si="123"/>
        <v>0</v>
      </c>
      <c r="BJ158" s="84">
        <f t="shared" si="124"/>
        <v>0.96</v>
      </c>
      <c r="BK158" s="39">
        <f t="shared" si="125"/>
        <v>72.323019170173382</v>
      </c>
      <c r="BL158" s="39">
        <f t="shared" si="126"/>
        <v>65.195231257591303</v>
      </c>
      <c r="BM158" s="39">
        <f t="shared" si="127"/>
        <v>61.199999999999989</v>
      </c>
      <c r="BN158" s="39">
        <f t="shared" si="128"/>
        <v>82.800000000000011</v>
      </c>
      <c r="BO158" s="39">
        <f t="shared" si="129"/>
        <v>79.799999999999983</v>
      </c>
      <c r="BP158" s="39">
        <f t="shared" si="130"/>
        <v>70.800000000000011</v>
      </c>
      <c r="BQ158" s="39">
        <f t="shared" si="131"/>
        <v>70.800000000000011</v>
      </c>
      <c r="BR158" s="39">
        <f t="shared" si="132"/>
        <v>70.800000000000011</v>
      </c>
      <c r="BS158" s="39">
        <f t="shared" si="133"/>
        <v>7.3938115021040289</v>
      </c>
      <c r="BT158" s="39">
        <f t="shared" si="134"/>
        <v>0</v>
      </c>
      <c r="BU158" s="39">
        <f t="shared" si="135"/>
        <v>0</v>
      </c>
      <c r="BV158" s="39">
        <f t="shared" si="136"/>
        <v>0</v>
      </c>
      <c r="BW158" s="39">
        <f t="shared" si="137"/>
        <v>0</v>
      </c>
      <c r="BX158" s="39">
        <f t="shared" si="138"/>
        <v>0</v>
      </c>
      <c r="BY158" s="39">
        <f t="shared" si="139"/>
        <v>0</v>
      </c>
      <c r="BZ158" s="39">
        <f t="shared" si="140"/>
        <v>0</v>
      </c>
      <c r="CA158" s="39">
        <f t="shared" si="141"/>
        <v>64.929207668069353</v>
      </c>
      <c r="CB158" s="39">
        <f t="shared" si="142"/>
        <v>72.589042759695332</v>
      </c>
      <c r="CC158" s="39">
        <f t="shared" si="143"/>
        <v>61.199999999999989</v>
      </c>
      <c r="CD158" s="39">
        <f t="shared" si="144"/>
        <v>82.800000000000011</v>
      </c>
      <c r="CE158" s="39">
        <f t="shared" si="145"/>
        <v>79.799999999999983</v>
      </c>
      <c r="CF158" s="39">
        <f t="shared" si="146"/>
        <v>70.800000000000011</v>
      </c>
      <c r="CG158" s="39">
        <f t="shared" si="147"/>
        <v>70.800000000000011</v>
      </c>
      <c r="CH158" s="39">
        <f t="shared" si="148"/>
        <v>70.800000000000011</v>
      </c>
      <c r="CI158" s="39">
        <f t="shared" si="149"/>
        <v>0</v>
      </c>
      <c r="CJ158" s="39">
        <f t="shared" si="150"/>
        <v>0</v>
      </c>
      <c r="CK158" s="39">
        <f t="shared" si="151"/>
        <v>0</v>
      </c>
      <c r="CL158" s="39">
        <f t="shared" si="152"/>
        <v>0</v>
      </c>
      <c r="CM158" s="39">
        <f t="shared" si="153"/>
        <v>0</v>
      </c>
      <c r="CN158" s="39">
        <f t="shared" si="154"/>
        <v>0</v>
      </c>
      <c r="CO158" s="39">
        <f t="shared" si="155"/>
        <v>0</v>
      </c>
      <c r="CP158" s="39">
        <f t="shared" si="156"/>
        <v>0</v>
      </c>
    </row>
    <row r="159" spans="2:94" ht="16" customHeight="1" x14ac:dyDescent="0.2">
      <c r="B159" s="38"/>
      <c r="L159" s="63">
        <v>30471</v>
      </c>
      <c r="M159" s="38">
        <v>0</v>
      </c>
      <c r="N159" s="38">
        <v>1.2</v>
      </c>
      <c r="O159" s="39">
        <v>0</v>
      </c>
      <c r="P159" s="39">
        <v>0</v>
      </c>
      <c r="Q159" s="46">
        <f t="shared" si="87"/>
        <v>7.9197552024183743E-2</v>
      </c>
      <c r="R159" s="81">
        <f t="shared" si="88"/>
        <v>0</v>
      </c>
      <c r="S159" s="82">
        <f t="shared" si="89"/>
        <v>0</v>
      </c>
      <c r="T159" s="39">
        <f t="shared" si="90"/>
        <v>0</v>
      </c>
      <c r="U159" s="83">
        <f t="shared" si="91"/>
        <v>0</v>
      </c>
      <c r="V159" s="84">
        <f t="shared" si="92"/>
        <v>0.96</v>
      </c>
      <c r="W159" s="52">
        <f t="shared" si="93"/>
        <v>132.51825042776466</v>
      </c>
      <c r="X159" s="52">
        <f t="shared" si="94"/>
        <v>151.20000000000005</v>
      </c>
      <c r="Y159" s="52">
        <f t="shared" si="95"/>
        <v>283.7182504277647</v>
      </c>
      <c r="Z159" s="53">
        <f t="shared" si="96"/>
        <v>1.0352988314669114</v>
      </c>
      <c r="AA159" s="53">
        <f t="shared" si="97"/>
        <v>0.90000000000000024</v>
      </c>
      <c r="AB159" s="53">
        <f t="shared" si="98"/>
        <v>0.95850760279650238</v>
      </c>
      <c r="AC159" s="39" t="str">
        <f t="shared" si="99"/>
        <v>No</v>
      </c>
      <c r="AD159" s="85">
        <f t="shared" si="100"/>
        <v>0</v>
      </c>
      <c r="AE159" s="46">
        <f t="shared" si="101"/>
        <v>1</v>
      </c>
      <c r="AF159" s="46">
        <f t="shared" si="102"/>
        <v>0</v>
      </c>
      <c r="AG159" s="39">
        <f t="shared" si="157"/>
        <v>64.929207668069353</v>
      </c>
      <c r="AH159" s="39">
        <f t="shared" si="158"/>
        <v>72.589042759695332</v>
      </c>
      <c r="AI159" s="39">
        <f t="shared" si="159"/>
        <v>61.199999999999989</v>
      </c>
      <c r="AJ159" s="39">
        <f t="shared" si="160"/>
        <v>82.800000000000011</v>
      </c>
      <c r="AK159" s="39">
        <f t="shared" si="161"/>
        <v>79.799999999999983</v>
      </c>
      <c r="AL159" s="39">
        <f t="shared" si="162"/>
        <v>70.800000000000011</v>
      </c>
      <c r="AM159" s="39">
        <f t="shared" si="163"/>
        <v>70.800000000000011</v>
      </c>
      <c r="AN159" s="39">
        <f t="shared" si="164"/>
        <v>70.800000000000011</v>
      </c>
      <c r="AO159" s="39">
        <f t="shared" si="103"/>
        <v>0</v>
      </c>
      <c r="AP159" s="39">
        <f t="shared" si="104"/>
        <v>0</v>
      </c>
      <c r="AQ159" s="39">
        <f t="shared" si="105"/>
        <v>0</v>
      </c>
      <c r="AR159" s="39">
        <f t="shared" si="106"/>
        <v>0</v>
      </c>
      <c r="AS159" s="39">
        <f t="shared" si="107"/>
        <v>0</v>
      </c>
      <c r="AT159" s="39">
        <f t="shared" si="108"/>
        <v>0</v>
      </c>
      <c r="AU159" s="39">
        <f t="shared" si="109"/>
        <v>0</v>
      </c>
      <c r="AV159" s="39">
        <f t="shared" si="110"/>
        <v>0</v>
      </c>
      <c r="AW159" s="39">
        <f t="shared" si="111"/>
        <v>0</v>
      </c>
      <c r="AX159" s="39">
        <f t="shared" si="112"/>
        <v>0</v>
      </c>
      <c r="AY159" s="39">
        <f t="shared" si="113"/>
        <v>0</v>
      </c>
      <c r="AZ159" s="39">
        <f t="shared" si="114"/>
        <v>0</v>
      </c>
      <c r="BA159" s="39">
        <f t="shared" si="115"/>
        <v>0</v>
      </c>
      <c r="BB159" s="39">
        <f t="shared" si="116"/>
        <v>0</v>
      </c>
      <c r="BC159" s="39">
        <f t="shared" si="117"/>
        <v>0</v>
      </c>
      <c r="BD159" s="39">
        <f t="shared" si="118"/>
        <v>0</v>
      </c>
      <c r="BE159" s="39">
        <f t="shared" si="119"/>
        <v>0</v>
      </c>
      <c r="BF159" s="39">
        <f t="shared" si="120"/>
        <v>0</v>
      </c>
      <c r="BG159" s="39">
        <f t="shared" si="121"/>
        <v>0</v>
      </c>
      <c r="BH159" s="84">
        <f t="shared" si="122"/>
        <v>0.96</v>
      </c>
      <c r="BI159" s="84">
        <f t="shared" si="123"/>
        <v>0</v>
      </c>
      <c r="BJ159" s="84">
        <f t="shared" si="124"/>
        <v>0.96</v>
      </c>
      <c r="BK159" s="39">
        <f t="shared" si="125"/>
        <v>63.969207668069352</v>
      </c>
      <c r="BL159" s="39">
        <f t="shared" si="126"/>
        <v>72.589042759695332</v>
      </c>
      <c r="BM159" s="39">
        <f t="shared" si="127"/>
        <v>61.199999999999989</v>
      </c>
      <c r="BN159" s="39">
        <f t="shared" si="128"/>
        <v>82.800000000000011</v>
      </c>
      <c r="BO159" s="39">
        <f t="shared" si="129"/>
        <v>79.799999999999983</v>
      </c>
      <c r="BP159" s="39">
        <f t="shared" si="130"/>
        <v>70.800000000000011</v>
      </c>
      <c r="BQ159" s="39">
        <f t="shared" si="131"/>
        <v>70.800000000000011</v>
      </c>
      <c r="BR159" s="39">
        <f t="shared" si="132"/>
        <v>70.800000000000011</v>
      </c>
      <c r="BS159" s="39">
        <f t="shared" si="133"/>
        <v>2.3815246008416109</v>
      </c>
      <c r="BT159" s="39">
        <f t="shared" si="134"/>
        <v>3.953425655817199</v>
      </c>
      <c r="BU159" s="39">
        <f t="shared" si="135"/>
        <v>0</v>
      </c>
      <c r="BV159" s="39">
        <f t="shared" si="136"/>
        <v>0</v>
      </c>
      <c r="BW159" s="39">
        <f t="shared" si="137"/>
        <v>0</v>
      </c>
      <c r="BX159" s="39">
        <f t="shared" si="138"/>
        <v>0</v>
      </c>
      <c r="BY159" s="39">
        <f t="shared" si="139"/>
        <v>0</v>
      </c>
      <c r="BZ159" s="39">
        <f t="shared" si="140"/>
        <v>0</v>
      </c>
      <c r="CA159" s="39">
        <f t="shared" si="141"/>
        <v>61.587683067227744</v>
      </c>
      <c r="CB159" s="39">
        <f t="shared" si="142"/>
        <v>71.017141704719748</v>
      </c>
      <c r="CC159" s="39">
        <f t="shared" si="143"/>
        <v>65.153425655817188</v>
      </c>
      <c r="CD159" s="39">
        <f t="shared" si="144"/>
        <v>82.800000000000011</v>
      </c>
      <c r="CE159" s="39">
        <f t="shared" si="145"/>
        <v>79.799999999999983</v>
      </c>
      <c r="CF159" s="39">
        <f t="shared" si="146"/>
        <v>70.800000000000011</v>
      </c>
      <c r="CG159" s="39">
        <f t="shared" si="147"/>
        <v>70.800000000000011</v>
      </c>
      <c r="CH159" s="39">
        <f t="shared" si="148"/>
        <v>70.800000000000011</v>
      </c>
      <c r="CI159" s="39">
        <f t="shared" si="149"/>
        <v>0</v>
      </c>
      <c r="CJ159" s="39">
        <f t="shared" si="150"/>
        <v>0</v>
      </c>
      <c r="CK159" s="39">
        <f t="shared" si="151"/>
        <v>0</v>
      </c>
      <c r="CL159" s="39">
        <f t="shared" si="152"/>
        <v>0</v>
      </c>
      <c r="CM159" s="39">
        <f t="shared" si="153"/>
        <v>0</v>
      </c>
      <c r="CN159" s="39">
        <f t="shared" si="154"/>
        <v>0</v>
      </c>
      <c r="CO159" s="39">
        <f t="shared" si="155"/>
        <v>0</v>
      </c>
      <c r="CP159" s="39">
        <f t="shared" si="156"/>
        <v>0</v>
      </c>
    </row>
    <row r="160" spans="2:94" ht="16" customHeight="1" x14ac:dyDescent="0.2">
      <c r="B160" s="38"/>
      <c r="L160" s="63">
        <v>30472</v>
      </c>
      <c r="M160" s="38">
        <v>0</v>
      </c>
      <c r="N160" s="38">
        <v>1.2</v>
      </c>
      <c r="O160" s="39">
        <v>0</v>
      </c>
      <c r="P160" s="39">
        <v>0</v>
      </c>
      <c r="Q160" s="46">
        <f t="shared" si="87"/>
        <v>8.5970912701565386E-2</v>
      </c>
      <c r="R160" s="81">
        <f t="shared" si="88"/>
        <v>0</v>
      </c>
      <c r="S160" s="82">
        <f t="shared" si="89"/>
        <v>0</v>
      </c>
      <c r="T160" s="39">
        <f t="shared" si="90"/>
        <v>0</v>
      </c>
      <c r="U160" s="83">
        <f t="shared" si="91"/>
        <v>0</v>
      </c>
      <c r="V160" s="84">
        <f t="shared" si="92"/>
        <v>0.96</v>
      </c>
      <c r="W160" s="52">
        <f t="shared" si="93"/>
        <v>131.55825042776473</v>
      </c>
      <c r="X160" s="52">
        <f t="shared" si="94"/>
        <v>151.20000000000005</v>
      </c>
      <c r="Y160" s="52">
        <f t="shared" si="95"/>
        <v>282.75825042776478</v>
      </c>
      <c r="Z160" s="53">
        <f t="shared" si="96"/>
        <v>1.027798831466912</v>
      </c>
      <c r="AA160" s="53">
        <f t="shared" si="97"/>
        <v>0.90000000000000024</v>
      </c>
      <c r="AB160" s="53">
        <f t="shared" si="98"/>
        <v>0.95526435955325939</v>
      </c>
      <c r="AC160" s="39" t="str">
        <f t="shared" si="99"/>
        <v>No</v>
      </c>
      <c r="AD160" s="85">
        <f t="shared" si="100"/>
        <v>0</v>
      </c>
      <c r="AE160" s="46">
        <f t="shared" si="101"/>
        <v>1</v>
      </c>
      <c r="AF160" s="46">
        <f t="shared" si="102"/>
        <v>0</v>
      </c>
      <c r="AG160" s="39">
        <f t="shared" si="157"/>
        <v>61.587683067227744</v>
      </c>
      <c r="AH160" s="39">
        <f t="shared" si="158"/>
        <v>71.017141704719748</v>
      </c>
      <c r="AI160" s="39">
        <f t="shared" si="159"/>
        <v>65.153425655817188</v>
      </c>
      <c r="AJ160" s="39">
        <f t="shared" si="160"/>
        <v>82.800000000000011</v>
      </c>
      <c r="AK160" s="39">
        <f t="shared" si="161"/>
        <v>79.799999999999983</v>
      </c>
      <c r="AL160" s="39">
        <f t="shared" si="162"/>
        <v>70.800000000000011</v>
      </c>
      <c r="AM160" s="39">
        <f t="shared" si="163"/>
        <v>70.800000000000011</v>
      </c>
      <c r="AN160" s="39">
        <f t="shared" si="164"/>
        <v>70.800000000000011</v>
      </c>
      <c r="AO160" s="39">
        <f t="shared" si="103"/>
        <v>0</v>
      </c>
      <c r="AP160" s="39">
        <f t="shared" si="104"/>
        <v>0</v>
      </c>
      <c r="AQ160" s="39">
        <f t="shared" si="105"/>
        <v>0</v>
      </c>
      <c r="AR160" s="39">
        <f t="shared" si="106"/>
        <v>0</v>
      </c>
      <c r="AS160" s="39">
        <f t="shared" si="107"/>
        <v>0</v>
      </c>
      <c r="AT160" s="39">
        <f t="shared" si="108"/>
        <v>0</v>
      </c>
      <c r="AU160" s="39">
        <f t="shared" si="109"/>
        <v>0</v>
      </c>
      <c r="AV160" s="39">
        <f t="shared" si="110"/>
        <v>0</v>
      </c>
      <c r="AW160" s="39">
        <f t="shared" si="111"/>
        <v>0</v>
      </c>
      <c r="AX160" s="39">
        <f t="shared" si="112"/>
        <v>0</v>
      </c>
      <c r="AY160" s="39">
        <f t="shared" si="113"/>
        <v>0</v>
      </c>
      <c r="AZ160" s="39">
        <f t="shared" si="114"/>
        <v>0</v>
      </c>
      <c r="BA160" s="39">
        <f t="shared" si="115"/>
        <v>0</v>
      </c>
      <c r="BB160" s="39">
        <f t="shared" si="116"/>
        <v>0</v>
      </c>
      <c r="BC160" s="39">
        <f t="shared" si="117"/>
        <v>0</v>
      </c>
      <c r="BD160" s="39">
        <f t="shared" si="118"/>
        <v>0</v>
      </c>
      <c r="BE160" s="39">
        <f t="shared" si="119"/>
        <v>0</v>
      </c>
      <c r="BF160" s="39">
        <f t="shared" si="120"/>
        <v>0</v>
      </c>
      <c r="BG160" s="39">
        <f t="shared" si="121"/>
        <v>0</v>
      </c>
      <c r="BH160" s="84">
        <f t="shared" si="122"/>
        <v>0.96</v>
      </c>
      <c r="BI160" s="84">
        <f t="shared" si="123"/>
        <v>0</v>
      </c>
      <c r="BJ160" s="84">
        <f t="shared" si="124"/>
        <v>0.96</v>
      </c>
      <c r="BK160" s="39">
        <f t="shared" si="125"/>
        <v>60.627683067227743</v>
      </c>
      <c r="BL160" s="39">
        <f t="shared" si="126"/>
        <v>71.017141704719748</v>
      </c>
      <c r="BM160" s="39">
        <f t="shared" si="127"/>
        <v>65.153425655817188</v>
      </c>
      <c r="BN160" s="39">
        <f t="shared" si="128"/>
        <v>82.800000000000011</v>
      </c>
      <c r="BO160" s="39">
        <f t="shared" si="129"/>
        <v>79.799999999999983</v>
      </c>
      <c r="BP160" s="39">
        <f t="shared" si="130"/>
        <v>70.800000000000011</v>
      </c>
      <c r="BQ160" s="39">
        <f t="shared" si="131"/>
        <v>70.800000000000011</v>
      </c>
      <c r="BR160" s="39">
        <f t="shared" si="132"/>
        <v>70.800000000000011</v>
      </c>
      <c r="BS160" s="39">
        <f t="shared" si="133"/>
        <v>0.37660984033664563</v>
      </c>
      <c r="BT160" s="39">
        <f t="shared" si="134"/>
        <v>3.0102850228318485</v>
      </c>
      <c r="BU160" s="39">
        <f t="shared" si="135"/>
        <v>0.69205539349032108</v>
      </c>
      <c r="BV160" s="39">
        <f t="shared" si="136"/>
        <v>0</v>
      </c>
      <c r="BW160" s="39">
        <f t="shared" si="137"/>
        <v>0</v>
      </c>
      <c r="BX160" s="39">
        <f t="shared" si="138"/>
        <v>0</v>
      </c>
      <c r="BY160" s="39">
        <f t="shared" si="139"/>
        <v>0</v>
      </c>
      <c r="BZ160" s="39">
        <f t="shared" si="140"/>
        <v>0</v>
      </c>
      <c r="CA160" s="39">
        <f t="shared" si="141"/>
        <v>60.251073226891094</v>
      </c>
      <c r="CB160" s="39">
        <f t="shared" si="142"/>
        <v>68.383466522224538</v>
      </c>
      <c r="CC160" s="39">
        <f t="shared" si="143"/>
        <v>67.471655285158718</v>
      </c>
      <c r="CD160" s="39">
        <f t="shared" si="144"/>
        <v>83.492055393490332</v>
      </c>
      <c r="CE160" s="39">
        <f t="shared" si="145"/>
        <v>79.799999999999983</v>
      </c>
      <c r="CF160" s="39">
        <f t="shared" si="146"/>
        <v>70.800000000000011</v>
      </c>
      <c r="CG160" s="39">
        <f t="shared" si="147"/>
        <v>70.800000000000011</v>
      </c>
      <c r="CH160" s="39">
        <f t="shared" si="148"/>
        <v>70.800000000000011</v>
      </c>
      <c r="CI160" s="39">
        <f t="shared" si="149"/>
        <v>0</v>
      </c>
      <c r="CJ160" s="39">
        <f t="shared" si="150"/>
        <v>0</v>
      </c>
      <c r="CK160" s="39">
        <f t="shared" si="151"/>
        <v>0</v>
      </c>
      <c r="CL160" s="39">
        <f t="shared" si="152"/>
        <v>0</v>
      </c>
      <c r="CM160" s="39">
        <f t="shared" si="153"/>
        <v>0</v>
      </c>
      <c r="CN160" s="39">
        <f t="shared" si="154"/>
        <v>0</v>
      </c>
      <c r="CO160" s="39">
        <f t="shared" si="155"/>
        <v>0</v>
      </c>
      <c r="CP160" s="39">
        <f t="shared" si="156"/>
        <v>0</v>
      </c>
    </row>
    <row r="161" spans="2:94" ht="16" customHeight="1" x14ac:dyDescent="0.2">
      <c r="B161" s="38"/>
      <c r="L161" s="63">
        <v>30473</v>
      </c>
      <c r="M161" s="38">
        <v>0</v>
      </c>
      <c r="N161" s="38">
        <v>1.2</v>
      </c>
      <c r="O161" s="39">
        <v>0</v>
      </c>
      <c r="P161" s="39">
        <v>0</v>
      </c>
      <c r="Q161" s="46">
        <f t="shared" si="87"/>
        <v>8.8680256972518051E-2</v>
      </c>
      <c r="R161" s="81">
        <f t="shared" si="88"/>
        <v>0</v>
      </c>
      <c r="S161" s="82">
        <f t="shared" si="89"/>
        <v>0</v>
      </c>
      <c r="T161" s="39">
        <f t="shared" si="90"/>
        <v>0</v>
      </c>
      <c r="U161" s="83">
        <f t="shared" si="91"/>
        <v>0</v>
      </c>
      <c r="V161" s="84">
        <f t="shared" si="92"/>
        <v>0.96</v>
      </c>
      <c r="W161" s="52">
        <f t="shared" si="93"/>
        <v>130.59825042776464</v>
      </c>
      <c r="X161" s="52">
        <f t="shared" si="94"/>
        <v>151.20000000000005</v>
      </c>
      <c r="Y161" s="52">
        <f t="shared" si="95"/>
        <v>281.79825042776469</v>
      </c>
      <c r="Z161" s="53">
        <f t="shared" si="96"/>
        <v>1.0202988314669112</v>
      </c>
      <c r="AA161" s="53">
        <f t="shared" si="97"/>
        <v>0.90000000000000024</v>
      </c>
      <c r="AB161" s="53">
        <f t="shared" si="98"/>
        <v>0.95202111631001585</v>
      </c>
      <c r="AC161" s="39" t="str">
        <f t="shared" si="99"/>
        <v>No</v>
      </c>
      <c r="AD161" s="85">
        <f t="shared" si="100"/>
        <v>0</v>
      </c>
      <c r="AE161" s="46">
        <f t="shared" si="101"/>
        <v>1</v>
      </c>
      <c r="AF161" s="46">
        <f t="shared" si="102"/>
        <v>0</v>
      </c>
      <c r="AG161" s="39">
        <f t="shared" si="157"/>
        <v>60.251073226891094</v>
      </c>
      <c r="AH161" s="39">
        <f t="shared" si="158"/>
        <v>68.383466522224538</v>
      </c>
      <c r="AI161" s="39">
        <f t="shared" si="159"/>
        <v>67.471655285158718</v>
      </c>
      <c r="AJ161" s="39">
        <f t="shared" si="160"/>
        <v>83.492055393490332</v>
      </c>
      <c r="AK161" s="39">
        <f t="shared" si="161"/>
        <v>79.799999999999983</v>
      </c>
      <c r="AL161" s="39">
        <f t="shared" si="162"/>
        <v>70.800000000000011</v>
      </c>
      <c r="AM161" s="39">
        <f t="shared" si="163"/>
        <v>70.800000000000011</v>
      </c>
      <c r="AN161" s="39">
        <f t="shared" si="164"/>
        <v>70.800000000000011</v>
      </c>
      <c r="AO161" s="39">
        <f t="shared" si="103"/>
        <v>0</v>
      </c>
      <c r="AP161" s="39">
        <f t="shared" si="104"/>
        <v>0</v>
      </c>
      <c r="AQ161" s="39">
        <f t="shared" si="105"/>
        <v>0</v>
      </c>
      <c r="AR161" s="39">
        <f t="shared" si="106"/>
        <v>0</v>
      </c>
      <c r="AS161" s="39">
        <f t="shared" si="107"/>
        <v>0</v>
      </c>
      <c r="AT161" s="39">
        <f t="shared" si="108"/>
        <v>0</v>
      </c>
      <c r="AU161" s="39">
        <f t="shared" si="109"/>
        <v>0</v>
      </c>
      <c r="AV161" s="39">
        <f t="shared" si="110"/>
        <v>0</v>
      </c>
      <c r="AW161" s="39">
        <f t="shared" si="111"/>
        <v>0</v>
      </c>
      <c r="AX161" s="39">
        <f t="shared" si="112"/>
        <v>0</v>
      </c>
      <c r="AY161" s="39">
        <f t="shared" si="113"/>
        <v>0</v>
      </c>
      <c r="AZ161" s="39">
        <f t="shared" si="114"/>
        <v>0</v>
      </c>
      <c r="BA161" s="39">
        <f t="shared" si="115"/>
        <v>0</v>
      </c>
      <c r="BB161" s="39">
        <f t="shared" si="116"/>
        <v>0</v>
      </c>
      <c r="BC161" s="39">
        <f t="shared" si="117"/>
        <v>0</v>
      </c>
      <c r="BD161" s="39">
        <f t="shared" si="118"/>
        <v>0</v>
      </c>
      <c r="BE161" s="39">
        <f t="shared" si="119"/>
        <v>0</v>
      </c>
      <c r="BF161" s="39">
        <f t="shared" si="120"/>
        <v>0</v>
      </c>
      <c r="BG161" s="39">
        <f t="shared" si="121"/>
        <v>0</v>
      </c>
      <c r="BH161" s="84">
        <f t="shared" si="122"/>
        <v>0.96</v>
      </c>
      <c r="BI161" s="84">
        <f t="shared" si="123"/>
        <v>0</v>
      </c>
      <c r="BJ161" s="84">
        <f t="shared" si="124"/>
        <v>0.96</v>
      </c>
      <c r="BK161" s="39">
        <f t="shared" si="125"/>
        <v>59.291073226891093</v>
      </c>
      <c r="BL161" s="39">
        <f t="shared" si="126"/>
        <v>68.383466522224538</v>
      </c>
      <c r="BM161" s="39">
        <f t="shared" si="127"/>
        <v>67.471655285158718</v>
      </c>
      <c r="BN161" s="39">
        <f t="shared" si="128"/>
        <v>83.492055393490332</v>
      </c>
      <c r="BO161" s="39">
        <f t="shared" si="129"/>
        <v>79.799999999999983</v>
      </c>
      <c r="BP161" s="39">
        <f t="shared" si="130"/>
        <v>70.800000000000011</v>
      </c>
      <c r="BQ161" s="39">
        <f t="shared" si="131"/>
        <v>70.800000000000011</v>
      </c>
      <c r="BR161" s="39">
        <f t="shared" si="132"/>
        <v>70.800000000000011</v>
      </c>
      <c r="BS161" s="39">
        <f t="shared" si="133"/>
        <v>0</v>
      </c>
      <c r="BT161" s="39">
        <f t="shared" si="134"/>
        <v>1.4300799133347226</v>
      </c>
      <c r="BU161" s="39">
        <f t="shared" si="135"/>
        <v>2.0829931710952394</v>
      </c>
      <c r="BV161" s="39">
        <f t="shared" si="136"/>
        <v>0</v>
      </c>
      <c r="BW161" s="39">
        <f t="shared" si="137"/>
        <v>0</v>
      </c>
      <c r="BX161" s="39">
        <f t="shared" si="138"/>
        <v>0</v>
      </c>
      <c r="BY161" s="39">
        <f t="shared" si="139"/>
        <v>0</v>
      </c>
      <c r="BZ161" s="39">
        <f t="shared" si="140"/>
        <v>0</v>
      </c>
      <c r="CA161" s="39">
        <f t="shared" si="141"/>
        <v>59.291073226891093</v>
      </c>
      <c r="CB161" s="39">
        <f t="shared" si="142"/>
        <v>66.953386608889815</v>
      </c>
      <c r="CC161" s="39">
        <f t="shared" si="143"/>
        <v>66.818742027398201</v>
      </c>
      <c r="CD161" s="39">
        <f t="shared" si="144"/>
        <v>85.575048564585572</v>
      </c>
      <c r="CE161" s="39">
        <f t="shared" si="145"/>
        <v>79.799999999999983</v>
      </c>
      <c r="CF161" s="39">
        <f t="shared" si="146"/>
        <v>70.800000000000011</v>
      </c>
      <c r="CG161" s="39">
        <f t="shared" si="147"/>
        <v>70.800000000000011</v>
      </c>
      <c r="CH161" s="39">
        <f t="shared" si="148"/>
        <v>70.800000000000011</v>
      </c>
      <c r="CI161" s="39">
        <f t="shared" si="149"/>
        <v>0</v>
      </c>
      <c r="CJ161" s="39">
        <f t="shared" si="150"/>
        <v>0</v>
      </c>
      <c r="CK161" s="39">
        <f t="shared" si="151"/>
        <v>0</v>
      </c>
      <c r="CL161" s="39">
        <f t="shared" si="152"/>
        <v>0</v>
      </c>
      <c r="CM161" s="39">
        <f t="shared" si="153"/>
        <v>0</v>
      </c>
      <c r="CN161" s="39">
        <f t="shared" si="154"/>
        <v>0</v>
      </c>
      <c r="CO161" s="39">
        <f t="shared" si="155"/>
        <v>0</v>
      </c>
      <c r="CP161" s="39">
        <f t="shared" si="156"/>
        <v>0</v>
      </c>
    </row>
    <row r="162" spans="2:94" ht="16" customHeight="1" x14ac:dyDescent="0.2">
      <c r="B162" s="38"/>
      <c r="L162" s="63">
        <v>30474</v>
      </c>
      <c r="M162" s="38">
        <v>0</v>
      </c>
      <c r="N162" s="38">
        <v>1.7</v>
      </c>
      <c r="O162" s="39">
        <v>0</v>
      </c>
      <c r="P162" s="39">
        <v>0</v>
      </c>
      <c r="Q162" s="46">
        <f t="shared" si="87"/>
        <v>9.0626202918463988E-2</v>
      </c>
      <c r="R162" s="81">
        <f t="shared" si="88"/>
        <v>0</v>
      </c>
      <c r="S162" s="82">
        <f t="shared" si="89"/>
        <v>0</v>
      </c>
      <c r="T162" s="39">
        <f t="shared" si="90"/>
        <v>0</v>
      </c>
      <c r="U162" s="83">
        <f t="shared" si="91"/>
        <v>0</v>
      </c>
      <c r="V162" s="84">
        <f t="shared" si="92"/>
        <v>1.36</v>
      </c>
      <c r="W162" s="52">
        <f t="shared" si="93"/>
        <v>129.63825042776466</v>
      </c>
      <c r="X162" s="52">
        <f t="shared" si="94"/>
        <v>151.20000000000005</v>
      </c>
      <c r="Y162" s="52">
        <f t="shared" si="95"/>
        <v>280.83825042776471</v>
      </c>
      <c r="Z162" s="53">
        <f t="shared" si="96"/>
        <v>1.0127988314669114</v>
      </c>
      <c r="AA162" s="53">
        <f t="shared" si="97"/>
        <v>0.90000000000000024</v>
      </c>
      <c r="AB162" s="53">
        <f t="shared" si="98"/>
        <v>0.94877787306677264</v>
      </c>
      <c r="AC162" s="39" t="str">
        <f t="shared" si="99"/>
        <v>No</v>
      </c>
      <c r="AD162" s="85">
        <f t="shared" si="100"/>
        <v>0</v>
      </c>
      <c r="AE162" s="46">
        <f t="shared" si="101"/>
        <v>1</v>
      </c>
      <c r="AF162" s="46">
        <f t="shared" si="102"/>
        <v>0</v>
      </c>
      <c r="AG162" s="39">
        <f t="shared" si="157"/>
        <v>59.291073226891093</v>
      </c>
      <c r="AH162" s="39">
        <f t="shared" si="158"/>
        <v>66.953386608889815</v>
      </c>
      <c r="AI162" s="39">
        <f t="shared" si="159"/>
        <v>66.818742027398201</v>
      </c>
      <c r="AJ162" s="39">
        <f t="shared" si="160"/>
        <v>85.575048564585572</v>
      </c>
      <c r="AK162" s="39">
        <f t="shared" si="161"/>
        <v>79.799999999999983</v>
      </c>
      <c r="AL162" s="39">
        <f t="shared" si="162"/>
        <v>70.800000000000011</v>
      </c>
      <c r="AM162" s="39">
        <f t="shared" si="163"/>
        <v>70.800000000000011</v>
      </c>
      <c r="AN162" s="39">
        <f t="shared" si="164"/>
        <v>70.800000000000011</v>
      </c>
      <c r="AO162" s="39">
        <f t="shared" si="103"/>
        <v>0</v>
      </c>
      <c r="AP162" s="39">
        <f t="shared" si="104"/>
        <v>0</v>
      </c>
      <c r="AQ162" s="39">
        <f t="shared" si="105"/>
        <v>0</v>
      </c>
      <c r="AR162" s="39">
        <f t="shared" si="106"/>
        <v>0</v>
      </c>
      <c r="AS162" s="39">
        <f t="shared" si="107"/>
        <v>0</v>
      </c>
      <c r="AT162" s="39">
        <f t="shared" si="108"/>
        <v>0</v>
      </c>
      <c r="AU162" s="39">
        <f t="shared" si="109"/>
        <v>0</v>
      </c>
      <c r="AV162" s="39">
        <f t="shared" si="110"/>
        <v>0</v>
      </c>
      <c r="AW162" s="39">
        <f t="shared" si="111"/>
        <v>0</v>
      </c>
      <c r="AX162" s="39">
        <f t="shared" si="112"/>
        <v>0</v>
      </c>
      <c r="AY162" s="39">
        <f t="shared" si="113"/>
        <v>0</v>
      </c>
      <c r="AZ162" s="39">
        <f t="shared" si="114"/>
        <v>0</v>
      </c>
      <c r="BA162" s="39">
        <f t="shared" si="115"/>
        <v>0</v>
      </c>
      <c r="BB162" s="39">
        <f t="shared" si="116"/>
        <v>0</v>
      </c>
      <c r="BC162" s="39">
        <f t="shared" si="117"/>
        <v>0</v>
      </c>
      <c r="BD162" s="39">
        <f t="shared" si="118"/>
        <v>0</v>
      </c>
      <c r="BE162" s="39">
        <f t="shared" si="119"/>
        <v>0</v>
      </c>
      <c r="BF162" s="39">
        <f t="shared" si="120"/>
        <v>0</v>
      </c>
      <c r="BG162" s="39">
        <f t="shared" si="121"/>
        <v>0</v>
      </c>
      <c r="BH162" s="84">
        <f t="shared" si="122"/>
        <v>1.36</v>
      </c>
      <c r="BI162" s="84">
        <f t="shared" si="123"/>
        <v>0</v>
      </c>
      <c r="BJ162" s="84">
        <f t="shared" si="124"/>
        <v>1.36</v>
      </c>
      <c r="BK162" s="39">
        <f t="shared" si="125"/>
        <v>57.931073226891094</v>
      </c>
      <c r="BL162" s="39">
        <f t="shared" si="126"/>
        <v>66.953386608889815</v>
      </c>
      <c r="BM162" s="39">
        <f t="shared" si="127"/>
        <v>66.818742027398201</v>
      </c>
      <c r="BN162" s="39">
        <f t="shared" si="128"/>
        <v>85.575048564585572</v>
      </c>
      <c r="BO162" s="39">
        <f t="shared" si="129"/>
        <v>79.799999999999983</v>
      </c>
      <c r="BP162" s="39">
        <f t="shared" si="130"/>
        <v>70.800000000000011</v>
      </c>
      <c r="BQ162" s="39">
        <f t="shared" si="131"/>
        <v>70.800000000000011</v>
      </c>
      <c r="BR162" s="39">
        <f t="shared" si="132"/>
        <v>70.800000000000011</v>
      </c>
      <c r="BS162" s="39">
        <f t="shared" si="133"/>
        <v>0</v>
      </c>
      <c r="BT162" s="39">
        <f t="shared" si="134"/>
        <v>0.572031965333889</v>
      </c>
      <c r="BU162" s="39">
        <f t="shared" si="135"/>
        <v>1.6912452164389293</v>
      </c>
      <c r="BV162" s="39">
        <f t="shared" si="136"/>
        <v>0</v>
      </c>
      <c r="BW162" s="39">
        <f t="shared" si="137"/>
        <v>0</v>
      </c>
      <c r="BX162" s="39">
        <f t="shared" si="138"/>
        <v>0</v>
      </c>
      <c r="BY162" s="39">
        <f t="shared" si="139"/>
        <v>0</v>
      </c>
      <c r="BZ162" s="39">
        <f t="shared" si="140"/>
        <v>0</v>
      </c>
      <c r="CA162" s="39">
        <f t="shared" si="141"/>
        <v>57.931073226891094</v>
      </c>
      <c r="CB162" s="39">
        <f t="shared" si="142"/>
        <v>66.381354643555923</v>
      </c>
      <c r="CC162" s="39">
        <f t="shared" si="143"/>
        <v>65.699528776293164</v>
      </c>
      <c r="CD162" s="39">
        <f t="shared" si="144"/>
        <v>87.266293781024501</v>
      </c>
      <c r="CE162" s="39">
        <f t="shared" si="145"/>
        <v>79.799999999999983</v>
      </c>
      <c r="CF162" s="39">
        <f t="shared" si="146"/>
        <v>70.800000000000011</v>
      </c>
      <c r="CG162" s="39">
        <f t="shared" si="147"/>
        <v>70.800000000000011</v>
      </c>
      <c r="CH162" s="39">
        <f t="shared" si="148"/>
        <v>70.800000000000011</v>
      </c>
      <c r="CI162" s="39">
        <f t="shared" si="149"/>
        <v>0</v>
      </c>
      <c r="CJ162" s="39">
        <f t="shared" si="150"/>
        <v>0</v>
      </c>
      <c r="CK162" s="39">
        <f t="shared" si="151"/>
        <v>0</v>
      </c>
      <c r="CL162" s="39">
        <f t="shared" si="152"/>
        <v>0</v>
      </c>
      <c r="CM162" s="39">
        <f t="shared" si="153"/>
        <v>0</v>
      </c>
      <c r="CN162" s="39">
        <f t="shared" si="154"/>
        <v>0</v>
      </c>
      <c r="CO162" s="39">
        <f t="shared" si="155"/>
        <v>0</v>
      </c>
      <c r="CP162" s="39">
        <f t="shared" si="156"/>
        <v>0</v>
      </c>
    </row>
    <row r="163" spans="2:94" ht="16" customHeight="1" x14ac:dyDescent="0.2">
      <c r="B163" s="38"/>
      <c r="L163" s="63">
        <v>30475</v>
      </c>
      <c r="M163" s="38">
        <v>0</v>
      </c>
      <c r="N163" s="38">
        <v>1.3</v>
      </c>
      <c r="O163" s="39">
        <v>0</v>
      </c>
      <c r="P163" s="39">
        <v>0</v>
      </c>
      <c r="Q163" s="46">
        <f t="shared" si="87"/>
        <v>9.3382959675220742E-2</v>
      </c>
      <c r="R163" s="81">
        <f t="shared" si="88"/>
        <v>0</v>
      </c>
      <c r="S163" s="82">
        <f t="shared" si="89"/>
        <v>0</v>
      </c>
      <c r="T163" s="39">
        <f t="shared" si="90"/>
        <v>0</v>
      </c>
      <c r="U163" s="83">
        <f t="shared" si="91"/>
        <v>0</v>
      </c>
      <c r="V163" s="84">
        <f t="shared" si="92"/>
        <v>1.04</v>
      </c>
      <c r="W163" s="52">
        <f t="shared" si="93"/>
        <v>128.27825042776465</v>
      </c>
      <c r="X163" s="52">
        <f t="shared" si="94"/>
        <v>151.20000000000005</v>
      </c>
      <c r="Y163" s="52">
        <f t="shared" si="95"/>
        <v>279.47825042776469</v>
      </c>
      <c r="Z163" s="53">
        <f t="shared" si="96"/>
        <v>1.0021738314669113</v>
      </c>
      <c r="AA163" s="53">
        <f t="shared" si="97"/>
        <v>0.90000000000000024</v>
      </c>
      <c r="AB163" s="53">
        <f t="shared" si="98"/>
        <v>0.94418327847217798</v>
      </c>
      <c r="AC163" s="39" t="str">
        <f t="shared" si="99"/>
        <v>No</v>
      </c>
      <c r="AD163" s="85">
        <f t="shared" si="100"/>
        <v>0</v>
      </c>
      <c r="AE163" s="46">
        <f t="shared" si="101"/>
        <v>1</v>
      </c>
      <c r="AF163" s="46">
        <f t="shared" si="102"/>
        <v>0</v>
      </c>
      <c r="AG163" s="39">
        <f t="shared" si="157"/>
        <v>57.931073226891094</v>
      </c>
      <c r="AH163" s="39">
        <f t="shared" si="158"/>
        <v>66.381354643555923</v>
      </c>
      <c r="AI163" s="39">
        <f t="shared" si="159"/>
        <v>65.699528776293164</v>
      </c>
      <c r="AJ163" s="39">
        <f t="shared" si="160"/>
        <v>87.266293781024501</v>
      </c>
      <c r="AK163" s="39">
        <f t="shared" si="161"/>
        <v>79.799999999999983</v>
      </c>
      <c r="AL163" s="39">
        <f t="shared" si="162"/>
        <v>70.800000000000011</v>
      </c>
      <c r="AM163" s="39">
        <f t="shared" si="163"/>
        <v>70.800000000000011</v>
      </c>
      <c r="AN163" s="39">
        <f t="shared" si="164"/>
        <v>70.800000000000011</v>
      </c>
      <c r="AO163" s="39">
        <f t="shared" si="103"/>
        <v>0</v>
      </c>
      <c r="AP163" s="39">
        <f t="shared" si="104"/>
        <v>0</v>
      </c>
      <c r="AQ163" s="39">
        <f t="shared" si="105"/>
        <v>0</v>
      </c>
      <c r="AR163" s="39">
        <f t="shared" si="106"/>
        <v>0</v>
      </c>
      <c r="AS163" s="39">
        <f t="shared" si="107"/>
        <v>0</v>
      </c>
      <c r="AT163" s="39">
        <f t="shared" si="108"/>
        <v>0</v>
      </c>
      <c r="AU163" s="39">
        <f t="shared" si="109"/>
        <v>0</v>
      </c>
      <c r="AV163" s="39">
        <f t="shared" si="110"/>
        <v>0</v>
      </c>
      <c r="AW163" s="39">
        <f t="shared" si="111"/>
        <v>0</v>
      </c>
      <c r="AX163" s="39">
        <f t="shared" si="112"/>
        <v>0</v>
      </c>
      <c r="AY163" s="39">
        <f t="shared" si="113"/>
        <v>0</v>
      </c>
      <c r="AZ163" s="39">
        <f t="shared" si="114"/>
        <v>0</v>
      </c>
      <c r="BA163" s="39">
        <f t="shared" si="115"/>
        <v>0</v>
      </c>
      <c r="BB163" s="39">
        <f t="shared" si="116"/>
        <v>0</v>
      </c>
      <c r="BC163" s="39">
        <f t="shared" si="117"/>
        <v>0</v>
      </c>
      <c r="BD163" s="39">
        <f t="shared" si="118"/>
        <v>0</v>
      </c>
      <c r="BE163" s="39">
        <f t="shared" si="119"/>
        <v>0</v>
      </c>
      <c r="BF163" s="39">
        <f t="shared" si="120"/>
        <v>0</v>
      </c>
      <c r="BG163" s="39">
        <f t="shared" si="121"/>
        <v>0</v>
      </c>
      <c r="BH163" s="84">
        <f t="shared" si="122"/>
        <v>1.04</v>
      </c>
      <c r="BI163" s="84">
        <f t="shared" si="123"/>
        <v>0</v>
      </c>
      <c r="BJ163" s="84">
        <f t="shared" si="124"/>
        <v>1.04</v>
      </c>
      <c r="BK163" s="39">
        <f t="shared" si="125"/>
        <v>56.891073226891095</v>
      </c>
      <c r="BL163" s="39">
        <f t="shared" si="126"/>
        <v>66.381354643555923</v>
      </c>
      <c r="BM163" s="39">
        <f t="shared" si="127"/>
        <v>65.699528776293164</v>
      </c>
      <c r="BN163" s="39">
        <f t="shared" si="128"/>
        <v>87.266293781024501</v>
      </c>
      <c r="BO163" s="39">
        <f t="shared" si="129"/>
        <v>79.799999999999983</v>
      </c>
      <c r="BP163" s="39">
        <f t="shared" si="130"/>
        <v>70.800000000000011</v>
      </c>
      <c r="BQ163" s="39">
        <f t="shared" si="131"/>
        <v>70.800000000000011</v>
      </c>
      <c r="BR163" s="39">
        <f t="shared" si="132"/>
        <v>70.800000000000011</v>
      </c>
      <c r="BS163" s="39">
        <f t="shared" si="133"/>
        <v>0</v>
      </c>
      <c r="BT163" s="39">
        <f t="shared" si="134"/>
        <v>0.22881278613355391</v>
      </c>
      <c r="BU163" s="39">
        <f t="shared" si="135"/>
        <v>1.0197172657759068</v>
      </c>
      <c r="BV163" s="39">
        <f t="shared" si="136"/>
        <v>0.15977626861469219</v>
      </c>
      <c r="BW163" s="39">
        <f t="shared" si="137"/>
        <v>0</v>
      </c>
      <c r="BX163" s="39">
        <f t="shared" si="138"/>
        <v>0</v>
      </c>
      <c r="BY163" s="39">
        <f t="shared" si="139"/>
        <v>0</v>
      </c>
      <c r="BZ163" s="39">
        <f t="shared" si="140"/>
        <v>0</v>
      </c>
      <c r="CA163" s="39">
        <f t="shared" si="141"/>
        <v>56.891073226891095</v>
      </c>
      <c r="CB163" s="39">
        <f t="shared" si="142"/>
        <v>66.152541857422364</v>
      </c>
      <c r="CC163" s="39">
        <f t="shared" si="143"/>
        <v>64.908624296650814</v>
      </c>
      <c r="CD163" s="39">
        <f t="shared" si="144"/>
        <v>88.126234778185719</v>
      </c>
      <c r="CE163" s="39">
        <f t="shared" si="145"/>
        <v>79.959776268614675</v>
      </c>
      <c r="CF163" s="39">
        <f t="shared" si="146"/>
        <v>70.800000000000011</v>
      </c>
      <c r="CG163" s="39">
        <f t="shared" si="147"/>
        <v>70.800000000000011</v>
      </c>
      <c r="CH163" s="39">
        <f t="shared" si="148"/>
        <v>70.800000000000011</v>
      </c>
      <c r="CI163" s="39">
        <f t="shared" si="149"/>
        <v>0</v>
      </c>
      <c r="CJ163" s="39">
        <f t="shared" si="150"/>
        <v>0</v>
      </c>
      <c r="CK163" s="39">
        <f t="shared" si="151"/>
        <v>0</v>
      </c>
      <c r="CL163" s="39">
        <f t="shared" si="152"/>
        <v>0</v>
      </c>
      <c r="CM163" s="39">
        <f t="shared" si="153"/>
        <v>0</v>
      </c>
      <c r="CN163" s="39">
        <f t="shared" si="154"/>
        <v>0</v>
      </c>
      <c r="CO163" s="39">
        <f t="shared" si="155"/>
        <v>0</v>
      </c>
      <c r="CP163" s="39">
        <f t="shared" si="156"/>
        <v>0</v>
      </c>
    </row>
    <row r="164" spans="2:94" ht="16" customHeight="1" x14ac:dyDescent="0.2">
      <c r="B164" s="38"/>
      <c r="L164" s="63">
        <v>30476</v>
      </c>
      <c r="M164" s="38">
        <v>0</v>
      </c>
      <c r="N164" s="38">
        <v>1.1000000000000001</v>
      </c>
      <c r="O164" s="39">
        <v>0</v>
      </c>
      <c r="P164" s="39">
        <v>0</v>
      </c>
      <c r="Q164" s="46">
        <f t="shared" si="87"/>
        <v>9.5491067783328859E-2</v>
      </c>
      <c r="R164" s="81">
        <f t="shared" si="88"/>
        <v>0</v>
      </c>
      <c r="S164" s="82">
        <f t="shared" si="89"/>
        <v>0</v>
      </c>
      <c r="T164" s="39">
        <f t="shared" si="90"/>
        <v>0</v>
      </c>
      <c r="U164" s="83">
        <f t="shared" si="91"/>
        <v>0</v>
      </c>
      <c r="V164" s="84">
        <f t="shared" si="92"/>
        <v>0.88000000000000012</v>
      </c>
      <c r="W164" s="52">
        <f t="shared" si="93"/>
        <v>127.07847415915001</v>
      </c>
      <c r="X164" s="52">
        <f t="shared" si="94"/>
        <v>151.35977626861472</v>
      </c>
      <c r="Y164" s="52">
        <f t="shared" si="95"/>
        <v>278.43825042776473</v>
      </c>
      <c r="Z164" s="53">
        <f t="shared" si="96"/>
        <v>0.99280057936835941</v>
      </c>
      <c r="AA164" s="53">
        <f t="shared" si="97"/>
        <v>0.90095104921794478</v>
      </c>
      <c r="AB164" s="53">
        <f t="shared" si="98"/>
        <v>0.94066976495866461</v>
      </c>
      <c r="AC164" s="39" t="str">
        <f t="shared" si="99"/>
        <v>No</v>
      </c>
      <c r="AD164" s="85">
        <f t="shared" si="100"/>
        <v>0</v>
      </c>
      <c r="AE164" s="46">
        <f t="shared" si="101"/>
        <v>1</v>
      </c>
      <c r="AF164" s="46">
        <f t="shared" si="102"/>
        <v>0</v>
      </c>
      <c r="AG164" s="39">
        <f t="shared" si="157"/>
        <v>56.891073226891095</v>
      </c>
      <c r="AH164" s="39">
        <f t="shared" si="158"/>
        <v>66.152541857422364</v>
      </c>
      <c r="AI164" s="39">
        <f t="shared" si="159"/>
        <v>64.908624296650814</v>
      </c>
      <c r="AJ164" s="39">
        <f t="shared" si="160"/>
        <v>88.126234778185719</v>
      </c>
      <c r="AK164" s="39">
        <f t="shared" si="161"/>
        <v>79.959776268614675</v>
      </c>
      <c r="AL164" s="39">
        <f t="shared" si="162"/>
        <v>70.800000000000011</v>
      </c>
      <c r="AM164" s="39">
        <f t="shared" si="163"/>
        <v>70.800000000000011</v>
      </c>
      <c r="AN164" s="39">
        <f t="shared" si="164"/>
        <v>70.800000000000011</v>
      </c>
      <c r="AO164" s="39">
        <f t="shared" si="103"/>
        <v>0</v>
      </c>
      <c r="AP164" s="39">
        <f t="shared" si="104"/>
        <v>0</v>
      </c>
      <c r="AQ164" s="39">
        <f t="shared" si="105"/>
        <v>0</v>
      </c>
      <c r="AR164" s="39">
        <f t="shared" si="106"/>
        <v>0</v>
      </c>
      <c r="AS164" s="39">
        <f t="shared" si="107"/>
        <v>0</v>
      </c>
      <c r="AT164" s="39">
        <f t="shared" si="108"/>
        <v>0</v>
      </c>
      <c r="AU164" s="39">
        <f t="shared" si="109"/>
        <v>0</v>
      </c>
      <c r="AV164" s="39">
        <f t="shared" si="110"/>
        <v>0</v>
      </c>
      <c r="AW164" s="39">
        <f t="shared" si="111"/>
        <v>0</v>
      </c>
      <c r="AX164" s="39">
        <f t="shared" si="112"/>
        <v>0</v>
      </c>
      <c r="AY164" s="39">
        <f t="shared" si="113"/>
        <v>0</v>
      </c>
      <c r="AZ164" s="39">
        <f t="shared" si="114"/>
        <v>0</v>
      </c>
      <c r="BA164" s="39">
        <f t="shared" si="115"/>
        <v>0</v>
      </c>
      <c r="BB164" s="39">
        <f t="shared" si="116"/>
        <v>0</v>
      </c>
      <c r="BC164" s="39">
        <f t="shared" si="117"/>
        <v>0</v>
      </c>
      <c r="BD164" s="39">
        <f t="shared" si="118"/>
        <v>0</v>
      </c>
      <c r="BE164" s="39">
        <f t="shared" si="119"/>
        <v>0</v>
      </c>
      <c r="BF164" s="39">
        <f t="shared" si="120"/>
        <v>0</v>
      </c>
      <c r="BG164" s="39">
        <f t="shared" si="121"/>
        <v>0</v>
      </c>
      <c r="BH164" s="84">
        <f t="shared" si="122"/>
        <v>0.88000000000000012</v>
      </c>
      <c r="BI164" s="84">
        <f t="shared" si="123"/>
        <v>0</v>
      </c>
      <c r="BJ164" s="84">
        <f t="shared" si="124"/>
        <v>0.88000000000000012</v>
      </c>
      <c r="BK164" s="39">
        <f t="shared" si="125"/>
        <v>56.011073226891092</v>
      </c>
      <c r="BL164" s="39">
        <f t="shared" si="126"/>
        <v>66.152541857422364</v>
      </c>
      <c r="BM164" s="39">
        <f t="shared" si="127"/>
        <v>64.908624296650814</v>
      </c>
      <c r="BN164" s="39">
        <f t="shared" si="128"/>
        <v>88.126234778185719</v>
      </c>
      <c r="BO164" s="39">
        <f t="shared" si="129"/>
        <v>79.959776268614675</v>
      </c>
      <c r="BP164" s="39">
        <f t="shared" si="130"/>
        <v>70.800000000000011</v>
      </c>
      <c r="BQ164" s="39">
        <f t="shared" si="131"/>
        <v>70.800000000000011</v>
      </c>
      <c r="BR164" s="39">
        <f t="shared" si="132"/>
        <v>70.800000000000011</v>
      </c>
      <c r="BS164" s="39">
        <f t="shared" si="133"/>
        <v>0</v>
      </c>
      <c r="BT164" s="39">
        <f t="shared" si="134"/>
        <v>9.1525114453418155E-2</v>
      </c>
      <c r="BU164" s="39">
        <f t="shared" si="135"/>
        <v>0.54517457799049673</v>
      </c>
      <c r="BV164" s="39">
        <f t="shared" si="136"/>
        <v>0.67574086691142266</v>
      </c>
      <c r="BW164" s="39">
        <f t="shared" si="137"/>
        <v>0</v>
      </c>
      <c r="BX164" s="39">
        <f t="shared" si="138"/>
        <v>0</v>
      </c>
      <c r="BY164" s="39">
        <f t="shared" si="139"/>
        <v>0</v>
      </c>
      <c r="BZ164" s="39">
        <f t="shared" si="140"/>
        <v>0</v>
      </c>
      <c r="CA164" s="39">
        <f t="shared" si="141"/>
        <v>56.011073226891092</v>
      </c>
      <c r="CB164" s="39">
        <f t="shared" si="142"/>
        <v>66.061016742968945</v>
      </c>
      <c r="CC164" s="39">
        <f t="shared" si="143"/>
        <v>64.454974833113738</v>
      </c>
      <c r="CD164" s="39">
        <f t="shared" si="144"/>
        <v>87.995668489264787</v>
      </c>
      <c r="CE164" s="39">
        <f t="shared" si="145"/>
        <v>80.635517135526101</v>
      </c>
      <c r="CF164" s="39">
        <f t="shared" si="146"/>
        <v>70.800000000000011</v>
      </c>
      <c r="CG164" s="39">
        <f t="shared" si="147"/>
        <v>70.800000000000011</v>
      </c>
      <c r="CH164" s="39">
        <f t="shared" si="148"/>
        <v>70.800000000000011</v>
      </c>
      <c r="CI164" s="39">
        <f t="shared" si="149"/>
        <v>0</v>
      </c>
      <c r="CJ164" s="39">
        <f t="shared" si="150"/>
        <v>0</v>
      </c>
      <c r="CK164" s="39">
        <f t="shared" si="151"/>
        <v>0</v>
      </c>
      <c r="CL164" s="39">
        <f t="shared" si="152"/>
        <v>0</v>
      </c>
      <c r="CM164" s="39">
        <f t="shared" si="153"/>
        <v>0</v>
      </c>
      <c r="CN164" s="39">
        <f t="shared" si="154"/>
        <v>0</v>
      </c>
      <c r="CO164" s="39">
        <f t="shared" si="155"/>
        <v>0</v>
      </c>
      <c r="CP164" s="39">
        <f t="shared" si="156"/>
        <v>0</v>
      </c>
    </row>
    <row r="165" spans="2:94" ht="16" customHeight="1" x14ac:dyDescent="0.2">
      <c r="B165" s="38"/>
      <c r="L165" s="63">
        <v>30477</v>
      </c>
      <c r="M165" s="38">
        <v>0</v>
      </c>
      <c r="N165" s="38">
        <v>1.2</v>
      </c>
      <c r="O165" s="39">
        <v>0</v>
      </c>
      <c r="P165" s="39">
        <v>0</v>
      </c>
      <c r="Q165" s="46">
        <f t="shared" si="87"/>
        <v>9.7274851567112644E-2</v>
      </c>
      <c r="R165" s="81">
        <f t="shared" si="88"/>
        <v>0</v>
      </c>
      <c r="S165" s="82">
        <f t="shared" si="89"/>
        <v>0</v>
      </c>
      <c r="T165" s="39">
        <f t="shared" si="90"/>
        <v>0</v>
      </c>
      <c r="U165" s="83">
        <f t="shared" si="91"/>
        <v>0</v>
      </c>
      <c r="V165" s="84">
        <f t="shared" si="92"/>
        <v>0.96</v>
      </c>
      <c r="W165" s="52">
        <f t="shared" si="93"/>
        <v>125.52273329223857</v>
      </c>
      <c r="X165" s="52">
        <f t="shared" si="94"/>
        <v>152.03551713552611</v>
      </c>
      <c r="Y165" s="52">
        <f t="shared" si="95"/>
        <v>277.55825042776468</v>
      </c>
      <c r="Z165" s="53">
        <f t="shared" si="96"/>
        <v>0.98064635384561383</v>
      </c>
      <c r="AA165" s="53">
        <f t="shared" si="97"/>
        <v>0.90497331628289346</v>
      </c>
      <c r="AB165" s="53">
        <f t="shared" si="98"/>
        <v>0.93769679198569145</v>
      </c>
      <c r="AC165" s="39" t="str">
        <f t="shared" si="99"/>
        <v>No</v>
      </c>
      <c r="AD165" s="85">
        <f t="shared" si="100"/>
        <v>0</v>
      </c>
      <c r="AE165" s="46">
        <f t="shared" si="101"/>
        <v>1</v>
      </c>
      <c r="AF165" s="46">
        <f t="shared" si="102"/>
        <v>0</v>
      </c>
      <c r="AG165" s="39">
        <f t="shared" si="157"/>
        <v>56.011073226891092</v>
      </c>
      <c r="AH165" s="39">
        <f t="shared" si="158"/>
        <v>66.061016742968945</v>
      </c>
      <c r="AI165" s="39">
        <f t="shared" si="159"/>
        <v>64.454974833113738</v>
      </c>
      <c r="AJ165" s="39">
        <f t="shared" si="160"/>
        <v>87.995668489264787</v>
      </c>
      <c r="AK165" s="39">
        <f t="shared" si="161"/>
        <v>80.635517135526101</v>
      </c>
      <c r="AL165" s="39">
        <f t="shared" si="162"/>
        <v>70.800000000000011</v>
      </c>
      <c r="AM165" s="39">
        <f t="shared" si="163"/>
        <v>70.800000000000011</v>
      </c>
      <c r="AN165" s="39">
        <f t="shared" si="164"/>
        <v>70.800000000000011</v>
      </c>
      <c r="AO165" s="39">
        <f t="shared" si="103"/>
        <v>0</v>
      </c>
      <c r="AP165" s="39">
        <f t="shared" si="104"/>
        <v>0</v>
      </c>
      <c r="AQ165" s="39">
        <f t="shared" si="105"/>
        <v>0</v>
      </c>
      <c r="AR165" s="39">
        <f t="shared" si="106"/>
        <v>0</v>
      </c>
      <c r="AS165" s="39">
        <f t="shared" si="107"/>
        <v>0</v>
      </c>
      <c r="AT165" s="39">
        <f t="shared" si="108"/>
        <v>0</v>
      </c>
      <c r="AU165" s="39">
        <f t="shared" si="109"/>
        <v>0</v>
      </c>
      <c r="AV165" s="39">
        <f t="shared" si="110"/>
        <v>0</v>
      </c>
      <c r="AW165" s="39">
        <f t="shared" si="111"/>
        <v>0</v>
      </c>
      <c r="AX165" s="39">
        <f t="shared" si="112"/>
        <v>0</v>
      </c>
      <c r="AY165" s="39">
        <f t="shared" si="113"/>
        <v>0</v>
      </c>
      <c r="AZ165" s="39">
        <f t="shared" si="114"/>
        <v>0</v>
      </c>
      <c r="BA165" s="39">
        <f t="shared" si="115"/>
        <v>0</v>
      </c>
      <c r="BB165" s="39">
        <f t="shared" si="116"/>
        <v>0</v>
      </c>
      <c r="BC165" s="39">
        <f t="shared" si="117"/>
        <v>0</v>
      </c>
      <c r="BD165" s="39">
        <f t="shared" si="118"/>
        <v>0</v>
      </c>
      <c r="BE165" s="39">
        <f t="shared" si="119"/>
        <v>0</v>
      </c>
      <c r="BF165" s="39">
        <f t="shared" si="120"/>
        <v>0</v>
      </c>
      <c r="BG165" s="39">
        <f t="shared" si="121"/>
        <v>0</v>
      </c>
      <c r="BH165" s="84">
        <f t="shared" si="122"/>
        <v>0.96</v>
      </c>
      <c r="BI165" s="84">
        <f t="shared" si="123"/>
        <v>0</v>
      </c>
      <c r="BJ165" s="84">
        <f t="shared" si="124"/>
        <v>0.96</v>
      </c>
      <c r="BK165" s="39">
        <f t="shared" si="125"/>
        <v>55.051073226891091</v>
      </c>
      <c r="BL165" s="39">
        <f t="shared" si="126"/>
        <v>66.061016742968945</v>
      </c>
      <c r="BM165" s="39">
        <f t="shared" si="127"/>
        <v>64.454974833113738</v>
      </c>
      <c r="BN165" s="39">
        <f t="shared" si="128"/>
        <v>87.995668489264787</v>
      </c>
      <c r="BO165" s="39">
        <f t="shared" si="129"/>
        <v>80.635517135526101</v>
      </c>
      <c r="BP165" s="39">
        <f t="shared" si="130"/>
        <v>70.800000000000011</v>
      </c>
      <c r="BQ165" s="39">
        <f t="shared" si="131"/>
        <v>70.800000000000011</v>
      </c>
      <c r="BR165" s="39">
        <f t="shared" si="132"/>
        <v>70.800000000000011</v>
      </c>
      <c r="BS165" s="39">
        <f t="shared" si="133"/>
        <v>0</v>
      </c>
      <c r="BT165" s="39">
        <f t="shared" si="134"/>
        <v>3.6610045781367263E-2</v>
      </c>
      <c r="BU165" s="39">
        <f t="shared" si="135"/>
        <v>0.27298489986825131</v>
      </c>
      <c r="BV165" s="39">
        <f t="shared" si="136"/>
        <v>0.59740109355886373</v>
      </c>
      <c r="BW165" s="39">
        <f t="shared" si="137"/>
        <v>0</v>
      </c>
      <c r="BX165" s="39">
        <f t="shared" si="138"/>
        <v>0</v>
      </c>
      <c r="BY165" s="39">
        <f t="shared" si="139"/>
        <v>0</v>
      </c>
      <c r="BZ165" s="39">
        <f t="shared" si="140"/>
        <v>0</v>
      </c>
      <c r="CA165" s="39">
        <f t="shared" si="141"/>
        <v>55.051073226891091</v>
      </c>
      <c r="CB165" s="39">
        <f t="shared" si="142"/>
        <v>66.024406697187572</v>
      </c>
      <c r="CC165" s="39">
        <f t="shared" si="143"/>
        <v>64.218599979026862</v>
      </c>
      <c r="CD165" s="39">
        <f t="shared" si="144"/>
        <v>87.671252295574178</v>
      </c>
      <c r="CE165" s="39">
        <f t="shared" si="145"/>
        <v>81.232918229084959</v>
      </c>
      <c r="CF165" s="39">
        <f t="shared" si="146"/>
        <v>70.800000000000011</v>
      </c>
      <c r="CG165" s="39">
        <f t="shared" si="147"/>
        <v>70.800000000000011</v>
      </c>
      <c r="CH165" s="39">
        <f t="shared" si="148"/>
        <v>70.800000000000011</v>
      </c>
      <c r="CI165" s="39">
        <f t="shared" si="149"/>
        <v>0</v>
      </c>
      <c r="CJ165" s="39">
        <f t="shared" si="150"/>
        <v>0</v>
      </c>
      <c r="CK165" s="39">
        <f t="shared" si="151"/>
        <v>0</v>
      </c>
      <c r="CL165" s="39">
        <f t="shared" si="152"/>
        <v>0</v>
      </c>
      <c r="CM165" s="39">
        <f t="shared" si="153"/>
        <v>0</v>
      </c>
      <c r="CN165" s="39">
        <f t="shared" si="154"/>
        <v>0</v>
      </c>
      <c r="CO165" s="39">
        <f t="shared" si="155"/>
        <v>0</v>
      </c>
      <c r="CP165" s="39">
        <f t="shared" si="156"/>
        <v>0</v>
      </c>
    </row>
    <row r="166" spans="2:94" ht="16" customHeight="1" x14ac:dyDescent="0.2">
      <c r="B166" s="38"/>
      <c r="L166" s="63">
        <v>30478</v>
      </c>
      <c r="M166" s="38">
        <v>0</v>
      </c>
      <c r="N166" s="38">
        <v>0.9</v>
      </c>
      <c r="O166" s="39">
        <v>0</v>
      </c>
      <c r="P166" s="39">
        <v>0</v>
      </c>
      <c r="Q166" s="46">
        <f t="shared" si="87"/>
        <v>9.9220797513058595E-2</v>
      </c>
      <c r="R166" s="81">
        <f t="shared" si="88"/>
        <v>0</v>
      </c>
      <c r="S166" s="82">
        <f t="shared" si="89"/>
        <v>0</v>
      </c>
      <c r="T166" s="39">
        <f t="shared" si="90"/>
        <v>0</v>
      </c>
      <c r="U166" s="83">
        <f t="shared" si="91"/>
        <v>0</v>
      </c>
      <c r="V166" s="84">
        <f t="shared" si="92"/>
        <v>0.72000000000000008</v>
      </c>
      <c r="W166" s="52">
        <f t="shared" si="93"/>
        <v>123.96533219867968</v>
      </c>
      <c r="X166" s="52">
        <f t="shared" si="94"/>
        <v>152.63291822908502</v>
      </c>
      <c r="Y166" s="52">
        <f t="shared" si="95"/>
        <v>276.5982504277647</v>
      </c>
      <c r="Z166" s="53">
        <f t="shared" si="96"/>
        <v>0.96847915780218496</v>
      </c>
      <c r="AA166" s="53">
        <f t="shared" si="97"/>
        <v>0.90852927517312509</v>
      </c>
      <c r="AB166" s="53">
        <f t="shared" si="98"/>
        <v>0.93445354874244835</v>
      </c>
      <c r="AC166" s="39" t="str">
        <f t="shared" si="99"/>
        <v>No</v>
      </c>
      <c r="AD166" s="85">
        <f t="shared" si="100"/>
        <v>0</v>
      </c>
      <c r="AE166" s="46">
        <f t="shared" si="101"/>
        <v>1</v>
      </c>
      <c r="AF166" s="46">
        <f t="shared" si="102"/>
        <v>0</v>
      </c>
      <c r="AG166" s="39">
        <f t="shared" si="157"/>
        <v>55.051073226891091</v>
      </c>
      <c r="AH166" s="39">
        <f t="shared" si="158"/>
        <v>66.024406697187572</v>
      </c>
      <c r="AI166" s="39">
        <f t="shared" si="159"/>
        <v>64.218599979026862</v>
      </c>
      <c r="AJ166" s="39">
        <f t="shared" si="160"/>
        <v>87.671252295574178</v>
      </c>
      <c r="AK166" s="39">
        <f t="shared" si="161"/>
        <v>81.232918229084959</v>
      </c>
      <c r="AL166" s="39">
        <f t="shared" si="162"/>
        <v>70.800000000000011</v>
      </c>
      <c r="AM166" s="39">
        <f t="shared" si="163"/>
        <v>70.800000000000011</v>
      </c>
      <c r="AN166" s="39">
        <f t="shared" si="164"/>
        <v>70.800000000000011</v>
      </c>
      <c r="AO166" s="39">
        <f t="shared" si="103"/>
        <v>0</v>
      </c>
      <c r="AP166" s="39">
        <f t="shared" si="104"/>
        <v>0</v>
      </c>
      <c r="AQ166" s="39">
        <f t="shared" si="105"/>
        <v>0</v>
      </c>
      <c r="AR166" s="39">
        <f t="shared" si="106"/>
        <v>0</v>
      </c>
      <c r="AS166" s="39">
        <f t="shared" si="107"/>
        <v>0</v>
      </c>
      <c r="AT166" s="39">
        <f t="shared" si="108"/>
        <v>0</v>
      </c>
      <c r="AU166" s="39">
        <f t="shared" si="109"/>
        <v>0</v>
      </c>
      <c r="AV166" s="39">
        <f t="shared" si="110"/>
        <v>0</v>
      </c>
      <c r="AW166" s="39">
        <f t="shared" si="111"/>
        <v>0</v>
      </c>
      <c r="AX166" s="39">
        <f t="shared" si="112"/>
        <v>0</v>
      </c>
      <c r="AY166" s="39">
        <f t="shared" si="113"/>
        <v>0</v>
      </c>
      <c r="AZ166" s="39">
        <f t="shared" si="114"/>
        <v>0</v>
      </c>
      <c r="BA166" s="39">
        <f t="shared" si="115"/>
        <v>0</v>
      </c>
      <c r="BB166" s="39">
        <f t="shared" si="116"/>
        <v>0</v>
      </c>
      <c r="BC166" s="39">
        <f t="shared" si="117"/>
        <v>0</v>
      </c>
      <c r="BD166" s="39">
        <f t="shared" si="118"/>
        <v>0</v>
      </c>
      <c r="BE166" s="39">
        <f t="shared" si="119"/>
        <v>0</v>
      </c>
      <c r="BF166" s="39">
        <f t="shared" si="120"/>
        <v>0</v>
      </c>
      <c r="BG166" s="39">
        <f t="shared" si="121"/>
        <v>0</v>
      </c>
      <c r="BH166" s="84">
        <f t="shared" si="122"/>
        <v>0.72000000000000008</v>
      </c>
      <c r="BI166" s="84">
        <f t="shared" si="123"/>
        <v>0</v>
      </c>
      <c r="BJ166" s="84">
        <f t="shared" si="124"/>
        <v>0.72000000000000008</v>
      </c>
      <c r="BK166" s="39">
        <f t="shared" si="125"/>
        <v>54.331073226891093</v>
      </c>
      <c r="BL166" s="39">
        <f t="shared" si="126"/>
        <v>66.024406697187572</v>
      </c>
      <c r="BM166" s="39">
        <f t="shared" si="127"/>
        <v>64.218599979026862</v>
      </c>
      <c r="BN166" s="39">
        <f t="shared" si="128"/>
        <v>87.671252295574178</v>
      </c>
      <c r="BO166" s="39">
        <f t="shared" si="129"/>
        <v>81.232918229084959</v>
      </c>
      <c r="BP166" s="39">
        <f t="shared" si="130"/>
        <v>70.800000000000011</v>
      </c>
      <c r="BQ166" s="39">
        <f t="shared" si="131"/>
        <v>70.800000000000011</v>
      </c>
      <c r="BR166" s="39">
        <f t="shared" si="132"/>
        <v>70.800000000000011</v>
      </c>
      <c r="BS166" s="39">
        <f t="shared" si="133"/>
        <v>0</v>
      </c>
      <c r="BT166" s="39">
        <f t="shared" si="134"/>
        <v>1.4644018312543493E-2</v>
      </c>
      <c r="BU166" s="39">
        <f t="shared" si="135"/>
        <v>0.131159987416126</v>
      </c>
      <c r="BV166" s="39">
        <f t="shared" si="136"/>
        <v>0.40275137734449801</v>
      </c>
      <c r="BW166" s="39">
        <f t="shared" si="137"/>
        <v>0</v>
      </c>
      <c r="BX166" s="39">
        <f t="shared" si="138"/>
        <v>0</v>
      </c>
      <c r="BY166" s="39">
        <f t="shared" si="139"/>
        <v>0</v>
      </c>
      <c r="BZ166" s="39">
        <f t="shared" si="140"/>
        <v>0</v>
      </c>
      <c r="CA166" s="39">
        <f t="shared" si="141"/>
        <v>54.331073226891093</v>
      </c>
      <c r="CB166" s="39">
        <f t="shared" si="142"/>
        <v>66.009762678875035</v>
      </c>
      <c r="CC166" s="39">
        <f t="shared" si="143"/>
        <v>64.102084009923274</v>
      </c>
      <c r="CD166" s="39">
        <f t="shared" si="144"/>
        <v>87.399660905645803</v>
      </c>
      <c r="CE166" s="39">
        <f t="shared" si="145"/>
        <v>81.63566960642946</v>
      </c>
      <c r="CF166" s="39">
        <f t="shared" si="146"/>
        <v>70.800000000000011</v>
      </c>
      <c r="CG166" s="39">
        <f t="shared" si="147"/>
        <v>70.800000000000011</v>
      </c>
      <c r="CH166" s="39">
        <f t="shared" si="148"/>
        <v>70.800000000000011</v>
      </c>
      <c r="CI166" s="39">
        <f t="shared" si="149"/>
        <v>0</v>
      </c>
      <c r="CJ166" s="39">
        <f t="shared" si="150"/>
        <v>0</v>
      </c>
      <c r="CK166" s="39">
        <f t="shared" si="151"/>
        <v>0</v>
      </c>
      <c r="CL166" s="39">
        <f t="shared" si="152"/>
        <v>0</v>
      </c>
      <c r="CM166" s="39">
        <f t="shared" si="153"/>
        <v>0</v>
      </c>
      <c r="CN166" s="39">
        <f t="shared" si="154"/>
        <v>0</v>
      </c>
      <c r="CO166" s="39">
        <f t="shared" si="155"/>
        <v>0</v>
      </c>
      <c r="CP166" s="39">
        <f t="shared" si="156"/>
        <v>0</v>
      </c>
    </row>
    <row r="167" spans="2:94" ht="16" customHeight="1" x14ac:dyDescent="0.2">
      <c r="B167" s="38"/>
      <c r="L167" s="63">
        <v>30479</v>
      </c>
      <c r="M167" s="38">
        <v>5.8</v>
      </c>
      <c r="N167" s="38">
        <v>0.4</v>
      </c>
      <c r="O167" s="39">
        <v>0</v>
      </c>
      <c r="P167" s="39">
        <v>0</v>
      </c>
      <c r="Q167" s="46">
        <f t="shared" si="87"/>
        <v>0.10068025697251805</v>
      </c>
      <c r="R167" s="81">
        <f t="shared" si="88"/>
        <v>0</v>
      </c>
      <c r="S167" s="82">
        <f t="shared" si="89"/>
        <v>5.8</v>
      </c>
      <c r="T167" s="39">
        <f t="shared" si="90"/>
        <v>0</v>
      </c>
      <c r="U167" s="83">
        <f t="shared" si="91"/>
        <v>0</v>
      </c>
      <c r="V167" s="84">
        <f t="shared" si="92"/>
        <v>0.32000000000000006</v>
      </c>
      <c r="W167" s="52">
        <f t="shared" si="93"/>
        <v>122.84258082133522</v>
      </c>
      <c r="X167" s="52">
        <f t="shared" si="94"/>
        <v>153.03566960642951</v>
      </c>
      <c r="Y167" s="52">
        <f t="shared" si="95"/>
        <v>275.87825042776473</v>
      </c>
      <c r="Z167" s="53">
        <f t="shared" si="96"/>
        <v>0.95970766266668139</v>
      </c>
      <c r="AA167" s="53">
        <f t="shared" si="97"/>
        <v>0.91092660480017562</v>
      </c>
      <c r="AB167" s="53">
        <f t="shared" si="98"/>
        <v>0.93202111631001594</v>
      </c>
      <c r="AC167" s="39" t="str">
        <f t="shared" si="99"/>
        <v>No</v>
      </c>
      <c r="AD167" s="85">
        <f t="shared" si="100"/>
        <v>0</v>
      </c>
      <c r="AE167" s="46">
        <f t="shared" si="101"/>
        <v>1</v>
      </c>
      <c r="AF167" s="46">
        <f t="shared" si="102"/>
        <v>0</v>
      </c>
      <c r="AG167" s="39">
        <f t="shared" si="157"/>
        <v>54.331073226891093</v>
      </c>
      <c r="AH167" s="39">
        <f t="shared" si="158"/>
        <v>66.009762678875035</v>
      </c>
      <c r="AI167" s="39">
        <f t="shared" si="159"/>
        <v>64.102084009923274</v>
      </c>
      <c r="AJ167" s="39">
        <f t="shared" si="160"/>
        <v>87.399660905645803</v>
      </c>
      <c r="AK167" s="39">
        <f t="shared" si="161"/>
        <v>81.63566960642946</v>
      </c>
      <c r="AL167" s="39">
        <f t="shared" si="162"/>
        <v>70.800000000000011</v>
      </c>
      <c r="AM167" s="39">
        <f t="shared" si="163"/>
        <v>70.800000000000011</v>
      </c>
      <c r="AN167" s="39">
        <f t="shared" si="164"/>
        <v>70.800000000000011</v>
      </c>
      <c r="AO167" s="39">
        <f t="shared" si="103"/>
        <v>0</v>
      </c>
      <c r="AP167" s="39">
        <f t="shared" si="104"/>
        <v>0</v>
      </c>
      <c r="AQ167" s="39">
        <f t="shared" si="105"/>
        <v>0</v>
      </c>
      <c r="AR167" s="39">
        <f t="shared" si="106"/>
        <v>0</v>
      </c>
      <c r="AS167" s="39">
        <f t="shared" si="107"/>
        <v>0</v>
      </c>
      <c r="AT167" s="39">
        <f t="shared" si="108"/>
        <v>0</v>
      </c>
      <c r="AU167" s="39">
        <f t="shared" si="109"/>
        <v>0</v>
      </c>
      <c r="AV167" s="39">
        <f t="shared" si="110"/>
        <v>0</v>
      </c>
      <c r="AW167" s="39">
        <f t="shared" si="111"/>
        <v>0</v>
      </c>
      <c r="AX167" s="39">
        <f t="shared" si="112"/>
        <v>0</v>
      </c>
      <c r="AY167" s="39">
        <f t="shared" si="113"/>
        <v>0</v>
      </c>
      <c r="AZ167" s="39">
        <f t="shared" si="114"/>
        <v>0</v>
      </c>
      <c r="BA167" s="39">
        <f t="shared" si="115"/>
        <v>0</v>
      </c>
      <c r="BB167" s="39">
        <f t="shared" si="116"/>
        <v>0</v>
      </c>
      <c r="BC167" s="39">
        <f t="shared" si="117"/>
        <v>0</v>
      </c>
      <c r="BD167" s="39">
        <f t="shared" si="118"/>
        <v>0</v>
      </c>
      <c r="BE167" s="39">
        <f t="shared" si="119"/>
        <v>0</v>
      </c>
      <c r="BF167" s="39">
        <f t="shared" si="120"/>
        <v>0</v>
      </c>
      <c r="BG167" s="39">
        <f t="shared" si="121"/>
        <v>0</v>
      </c>
      <c r="BH167" s="84">
        <f t="shared" si="122"/>
        <v>0.32000000000000006</v>
      </c>
      <c r="BI167" s="84">
        <f t="shared" si="123"/>
        <v>0</v>
      </c>
      <c r="BJ167" s="84">
        <f t="shared" si="124"/>
        <v>0.32000000000000006</v>
      </c>
      <c r="BK167" s="39">
        <f t="shared" si="125"/>
        <v>54.011073226891092</v>
      </c>
      <c r="BL167" s="39">
        <f t="shared" si="126"/>
        <v>66.009762678875035</v>
      </c>
      <c r="BM167" s="39">
        <f t="shared" si="127"/>
        <v>64.102084009923274</v>
      </c>
      <c r="BN167" s="39">
        <f t="shared" si="128"/>
        <v>87.399660905645803</v>
      </c>
      <c r="BO167" s="39">
        <f t="shared" si="129"/>
        <v>81.63566960642946</v>
      </c>
      <c r="BP167" s="39">
        <f t="shared" si="130"/>
        <v>70.800000000000011</v>
      </c>
      <c r="BQ167" s="39">
        <f t="shared" si="131"/>
        <v>70.800000000000011</v>
      </c>
      <c r="BR167" s="39">
        <f t="shared" si="132"/>
        <v>70.800000000000011</v>
      </c>
      <c r="BS167" s="39">
        <f t="shared" si="133"/>
        <v>0</v>
      </c>
      <c r="BT167" s="39">
        <f t="shared" si="134"/>
        <v>5.8576073250208079E-3</v>
      </c>
      <c r="BU167" s="39">
        <f t="shared" si="135"/>
        <v>6.1250405953973082E-2</v>
      </c>
      <c r="BV167" s="39">
        <f t="shared" si="136"/>
        <v>0.23979654338747308</v>
      </c>
      <c r="BW167" s="39">
        <f t="shared" si="137"/>
        <v>0</v>
      </c>
      <c r="BX167" s="39">
        <f t="shared" si="138"/>
        <v>0</v>
      </c>
      <c r="BY167" s="39">
        <f t="shared" si="139"/>
        <v>0</v>
      </c>
      <c r="BZ167" s="39">
        <f t="shared" si="140"/>
        <v>0</v>
      </c>
      <c r="CA167" s="39">
        <f t="shared" si="141"/>
        <v>59.491073226891089</v>
      </c>
      <c r="CB167" s="39">
        <f t="shared" si="142"/>
        <v>66.003905071550008</v>
      </c>
      <c r="CC167" s="39">
        <f t="shared" si="143"/>
        <v>64.046691211294331</v>
      </c>
      <c r="CD167" s="39">
        <f t="shared" si="144"/>
        <v>87.221114768212303</v>
      </c>
      <c r="CE167" s="39">
        <f t="shared" si="145"/>
        <v>81.87546614981693</v>
      </c>
      <c r="CF167" s="39">
        <f t="shared" si="146"/>
        <v>70.800000000000011</v>
      </c>
      <c r="CG167" s="39">
        <f t="shared" si="147"/>
        <v>70.800000000000011</v>
      </c>
      <c r="CH167" s="39">
        <f t="shared" si="148"/>
        <v>70.800000000000011</v>
      </c>
      <c r="CI167" s="39">
        <f t="shared" si="149"/>
        <v>0</v>
      </c>
      <c r="CJ167" s="39">
        <f t="shared" si="150"/>
        <v>0</v>
      </c>
      <c r="CK167" s="39">
        <f t="shared" si="151"/>
        <v>0</v>
      </c>
      <c r="CL167" s="39">
        <f t="shared" si="152"/>
        <v>0</v>
      </c>
      <c r="CM167" s="39">
        <f t="shared" si="153"/>
        <v>0</v>
      </c>
      <c r="CN167" s="39">
        <f t="shared" si="154"/>
        <v>0</v>
      </c>
      <c r="CO167" s="39">
        <f t="shared" si="155"/>
        <v>0</v>
      </c>
      <c r="CP167" s="39">
        <f t="shared" si="156"/>
        <v>0</v>
      </c>
    </row>
    <row r="168" spans="2:94" ht="16" customHeight="1" x14ac:dyDescent="0.2">
      <c r="B168" s="38"/>
      <c r="L168" s="63">
        <v>30480</v>
      </c>
      <c r="M168" s="38">
        <v>4</v>
      </c>
      <c r="N168" s="38">
        <v>0.5</v>
      </c>
      <c r="O168" s="39">
        <v>0</v>
      </c>
      <c r="P168" s="39">
        <v>0</v>
      </c>
      <c r="Q168" s="46">
        <f t="shared" si="87"/>
        <v>9.0220797513058601E-2</v>
      </c>
      <c r="R168" s="81">
        <f t="shared" si="88"/>
        <v>0</v>
      </c>
      <c r="S168" s="82">
        <f t="shared" si="89"/>
        <v>4</v>
      </c>
      <c r="T168" s="39">
        <f t="shared" si="90"/>
        <v>0</v>
      </c>
      <c r="U168" s="83">
        <f t="shared" si="91"/>
        <v>0</v>
      </c>
      <c r="V168" s="84">
        <f t="shared" si="92"/>
        <v>0.4</v>
      </c>
      <c r="W168" s="52">
        <f t="shared" si="93"/>
        <v>127.76278427794773</v>
      </c>
      <c r="X168" s="52">
        <f t="shared" si="94"/>
        <v>153.27546614981696</v>
      </c>
      <c r="Y168" s="52">
        <f t="shared" si="95"/>
        <v>281.03825042776469</v>
      </c>
      <c r="Z168" s="53">
        <f t="shared" si="96"/>
        <v>0.99814675217146664</v>
      </c>
      <c r="AA168" s="53">
        <f t="shared" si="97"/>
        <v>0.91235396517748191</v>
      </c>
      <c r="AB168" s="53">
        <f t="shared" si="98"/>
        <v>0.94945354874244825</v>
      </c>
      <c r="AC168" s="39" t="str">
        <f t="shared" si="99"/>
        <v>No</v>
      </c>
      <c r="AD168" s="85">
        <f t="shared" si="100"/>
        <v>0</v>
      </c>
      <c r="AE168" s="46">
        <f t="shared" si="101"/>
        <v>1</v>
      </c>
      <c r="AF168" s="46">
        <f t="shared" si="102"/>
        <v>0</v>
      </c>
      <c r="AG168" s="39">
        <f t="shared" si="157"/>
        <v>59.491073226891089</v>
      </c>
      <c r="AH168" s="39">
        <f t="shared" si="158"/>
        <v>66.003905071550008</v>
      </c>
      <c r="AI168" s="39">
        <f t="shared" si="159"/>
        <v>64.046691211294331</v>
      </c>
      <c r="AJ168" s="39">
        <f t="shared" si="160"/>
        <v>87.221114768212303</v>
      </c>
      <c r="AK168" s="39">
        <f t="shared" si="161"/>
        <v>81.87546614981693</v>
      </c>
      <c r="AL168" s="39">
        <f t="shared" si="162"/>
        <v>70.800000000000011</v>
      </c>
      <c r="AM168" s="39">
        <f t="shared" si="163"/>
        <v>70.800000000000011</v>
      </c>
      <c r="AN168" s="39">
        <f t="shared" si="164"/>
        <v>70.800000000000011</v>
      </c>
      <c r="AO168" s="39">
        <f t="shared" si="103"/>
        <v>0</v>
      </c>
      <c r="AP168" s="39">
        <f t="shared" si="104"/>
        <v>0</v>
      </c>
      <c r="AQ168" s="39">
        <f t="shared" si="105"/>
        <v>0</v>
      </c>
      <c r="AR168" s="39">
        <f t="shared" si="106"/>
        <v>0</v>
      </c>
      <c r="AS168" s="39">
        <f t="shared" si="107"/>
        <v>0</v>
      </c>
      <c r="AT168" s="39">
        <f t="shared" si="108"/>
        <v>0</v>
      </c>
      <c r="AU168" s="39">
        <f t="shared" si="109"/>
        <v>0</v>
      </c>
      <c r="AV168" s="39">
        <f t="shared" si="110"/>
        <v>0</v>
      </c>
      <c r="AW168" s="39">
        <f t="shared" si="111"/>
        <v>0</v>
      </c>
      <c r="AX168" s="39">
        <f t="shared" si="112"/>
        <v>0</v>
      </c>
      <c r="AY168" s="39">
        <f t="shared" si="113"/>
        <v>0</v>
      </c>
      <c r="AZ168" s="39">
        <f t="shared" si="114"/>
        <v>0</v>
      </c>
      <c r="BA168" s="39">
        <f t="shared" si="115"/>
        <v>0</v>
      </c>
      <c r="BB168" s="39">
        <f t="shared" si="116"/>
        <v>0</v>
      </c>
      <c r="BC168" s="39">
        <f t="shared" si="117"/>
        <v>0</v>
      </c>
      <c r="BD168" s="39">
        <f t="shared" si="118"/>
        <v>0</v>
      </c>
      <c r="BE168" s="39">
        <f t="shared" si="119"/>
        <v>0</v>
      </c>
      <c r="BF168" s="39">
        <f t="shared" si="120"/>
        <v>0</v>
      </c>
      <c r="BG168" s="39">
        <f t="shared" si="121"/>
        <v>0</v>
      </c>
      <c r="BH168" s="84">
        <f t="shared" si="122"/>
        <v>0.4</v>
      </c>
      <c r="BI168" s="84">
        <f t="shared" si="123"/>
        <v>0</v>
      </c>
      <c r="BJ168" s="84">
        <f t="shared" si="124"/>
        <v>0.4</v>
      </c>
      <c r="BK168" s="39">
        <f t="shared" si="125"/>
        <v>59.091073226891091</v>
      </c>
      <c r="BL168" s="39">
        <f t="shared" si="126"/>
        <v>66.003905071550008</v>
      </c>
      <c r="BM168" s="39">
        <f t="shared" si="127"/>
        <v>64.046691211294331</v>
      </c>
      <c r="BN168" s="39">
        <f t="shared" si="128"/>
        <v>87.221114768212303</v>
      </c>
      <c r="BO168" s="39">
        <f t="shared" si="129"/>
        <v>81.87546614981693</v>
      </c>
      <c r="BP168" s="39">
        <f t="shared" si="130"/>
        <v>70.800000000000011</v>
      </c>
      <c r="BQ168" s="39">
        <f t="shared" si="131"/>
        <v>70.800000000000011</v>
      </c>
      <c r="BR168" s="39">
        <f t="shared" si="132"/>
        <v>70.800000000000011</v>
      </c>
      <c r="BS168" s="39">
        <f t="shared" si="133"/>
        <v>0</v>
      </c>
      <c r="BT168" s="39">
        <f t="shared" si="134"/>
        <v>2.3430429300049125E-3</v>
      </c>
      <c r="BU168" s="39">
        <f t="shared" si="135"/>
        <v>2.8014726776606835E-2</v>
      </c>
      <c r="BV168" s="39">
        <f t="shared" si="136"/>
        <v>0.13266886092737309</v>
      </c>
      <c r="BW168" s="39">
        <f t="shared" si="137"/>
        <v>0</v>
      </c>
      <c r="BX168" s="39">
        <f t="shared" si="138"/>
        <v>0</v>
      </c>
      <c r="BY168" s="39">
        <f t="shared" si="139"/>
        <v>0</v>
      </c>
      <c r="BZ168" s="39">
        <f t="shared" si="140"/>
        <v>0</v>
      </c>
      <c r="CA168" s="39">
        <f t="shared" si="141"/>
        <v>62.691073226891092</v>
      </c>
      <c r="CB168" s="39">
        <f t="shared" si="142"/>
        <v>66.00156202862</v>
      </c>
      <c r="CC168" s="39">
        <f t="shared" si="143"/>
        <v>64.021019527447734</v>
      </c>
      <c r="CD168" s="39">
        <f t="shared" si="144"/>
        <v>87.116460634061539</v>
      </c>
      <c r="CE168" s="39">
        <f t="shared" si="145"/>
        <v>82.008135010744297</v>
      </c>
      <c r="CF168" s="39">
        <f t="shared" si="146"/>
        <v>70.800000000000011</v>
      </c>
      <c r="CG168" s="39">
        <f t="shared" si="147"/>
        <v>70.800000000000011</v>
      </c>
      <c r="CH168" s="39">
        <f t="shared" si="148"/>
        <v>70.800000000000011</v>
      </c>
      <c r="CI168" s="39">
        <f t="shared" si="149"/>
        <v>0</v>
      </c>
      <c r="CJ168" s="39">
        <f t="shared" si="150"/>
        <v>0</v>
      </c>
      <c r="CK168" s="39">
        <f t="shared" si="151"/>
        <v>0</v>
      </c>
      <c r="CL168" s="39">
        <f t="shared" si="152"/>
        <v>0</v>
      </c>
      <c r="CM168" s="39">
        <f t="shared" si="153"/>
        <v>0</v>
      </c>
      <c r="CN168" s="39">
        <f t="shared" si="154"/>
        <v>0</v>
      </c>
      <c r="CO168" s="39">
        <f t="shared" si="155"/>
        <v>0</v>
      </c>
      <c r="CP168" s="39">
        <f t="shared" si="156"/>
        <v>0</v>
      </c>
    </row>
    <row r="169" spans="2:94" ht="16" customHeight="1" x14ac:dyDescent="0.2">
      <c r="B169" s="38"/>
      <c r="L169" s="63">
        <v>30481</v>
      </c>
      <c r="M169" s="38">
        <v>0</v>
      </c>
      <c r="N169" s="38">
        <v>1</v>
      </c>
      <c r="O169" s="39">
        <v>0</v>
      </c>
      <c r="P169" s="39">
        <v>0</v>
      </c>
      <c r="Q169" s="46">
        <f t="shared" si="87"/>
        <v>8.3734311026572111E-2</v>
      </c>
      <c r="R169" s="81">
        <f t="shared" si="88"/>
        <v>0</v>
      </c>
      <c r="S169" s="82">
        <f t="shared" si="89"/>
        <v>0</v>
      </c>
      <c r="T169" s="39">
        <f t="shared" si="90"/>
        <v>0</v>
      </c>
      <c r="U169" s="83">
        <f t="shared" si="91"/>
        <v>0</v>
      </c>
      <c r="V169" s="84">
        <f t="shared" si="92"/>
        <v>0.8</v>
      </c>
      <c r="W169" s="52">
        <f t="shared" si="93"/>
        <v>130.83011541702035</v>
      </c>
      <c r="X169" s="52">
        <f t="shared" si="94"/>
        <v>153.40813501074433</v>
      </c>
      <c r="Y169" s="52">
        <f t="shared" si="95"/>
        <v>284.23825042776468</v>
      </c>
      <c r="Z169" s="53">
        <f t="shared" si="96"/>
        <v>1.0221102766954715</v>
      </c>
      <c r="AA169" s="53">
        <f t="shared" si="97"/>
        <v>0.91314366077824005</v>
      </c>
      <c r="AB169" s="53">
        <f t="shared" si="98"/>
        <v>0.96026435955325906</v>
      </c>
      <c r="AC169" s="39" t="str">
        <f t="shared" si="99"/>
        <v>No</v>
      </c>
      <c r="AD169" s="85">
        <f t="shared" si="100"/>
        <v>0</v>
      </c>
      <c r="AE169" s="46">
        <f t="shared" si="101"/>
        <v>1</v>
      </c>
      <c r="AF169" s="46">
        <f t="shared" si="102"/>
        <v>0</v>
      </c>
      <c r="AG169" s="39">
        <f t="shared" si="157"/>
        <v>62.691073226891092</v>
      </c>
      <c r="AH169" s="39">
        <f t="shared" si="158"/>
        <v>66.00156202862</v>
      </c>
      <c r="AI169" s="39">
        <f t="shared" si="159"/>
        <v>64.021019527447734</v>
      </c>
      <c r="AJ169" s="39">
        <f t="shared" si="160"/>
        <v>87.116460634061539</v>
      </c>
      <c r="AK169" s="39">
        <f t="shared" si="161"/>
        <v>82.008135010744297</v>
      </c>
      <c r="AL169" s="39">
        <f t="shared" si="162"/>
        <v>70.800000000000011</v>
      </c>
      <c r="AM169" s="39">
        <f t="shared" si="163"/>
        <v>70.800000000000011</v>
      </c>
      <c r="AN169" s="39">
        <f t="shared" si="164"/>
        <v>70.800000000000011</v>
      </c>
      <c r="AO169" s="39">
        <f t="shared" si="103"/>
        <v>0</v>
      </c>
      <c r="AP169" s="39">
        <f t="shared" si="104"/>
        <v>0</v>
      </c>
      <c r="AQ169" s="39">
        <f t="shared" si="105"/>
        <v>0</v>
      </c>
      <c r="AR169" s="39">
        <f t="shared" si="106"/>
        <v>0</v>
      </c>
      <c r="AS169" s="39">
        <f t="shared" si="107"/>
        <v>0</v>
      </c>
      <c r="AT169" s="39">
        <f t="shared" si="108"/>
        <v>0</v>
      </c>
      <c r="AU169" s="39">
        <f t="shared" si="109"/>
        <v>0</v>
      </c>
      <c r="AV169" s="39">
        <f t="shared" si="110"/>
        <v>0</v>
      </c>
      <c r="AW169" s="39">
        <f t="shared" si="111"/>
        <v>0</v>
      </c>
      <c r="AX169" s="39">
        <f t="shared" si="112"/>
        <v>0</v>
      </c>
      <c r="AY169" s="39">
        <f t="shared" si="113"/>
        <v>0</v>
      </c>
      <c r="AZ169" s="39">
        <f t="shared" si="114"/>
        <v>0</v>
      </c>
      <c r="BA169" s="39">
        <f t="shared" si="115"/>
        <v>0</v>
      </c>
      <c r="BB169" s="39">
        <f t="shared" si="116"/>
        <v>0</v>
      </c>
      <c r="BC169" s="39">
        <f t="shared" si="117"/>
        <v>0</v>
      </c>
      <c r="BD169" s="39">
        <f t="shared" si="118"/>
        <v>0</v>
      </c>
      <c r="BE169" s="39">
        <f t="shared" si="119"/>
        <v>0</v>
      </c>
      <c r="BF169" s="39">
        <f t="shared" si="120"/>
        <v>0</v>
      </c>
      <c r="BG169" s="39">
        <f t="shared" si="121"/>
        <v>0</v>
      </c>
      <c r="BH169" s="84">
        <f t="shared" si="122"/>
        <v>0.8</v>
      </c>
      <c r="BI169" s="84">
        <f t="shared" si="123"/>
        <v>0</v>
      </c>
      <c r="BJ169" s="84">
        <f t="shared" si="124"/>
        <v>0.8</v>
      </c>
      <c r="BK169" s="39">
        <f t="shared" si="125"/>
        <v>61.891073226891095</v>
      </c>
      <c r="BL169" s="39">
        <f t="shared" si="126"/>
        <v>66.00156202862</v>
      </c>
      <c r="BM169" s="39">
        <f t="shared" si="127"/>
        <v>64.021019527447734</v>
      </c>
      <c r="BN169" s="39">
        <f t="shared" si="128"/>
        <v>87.116460634061539</v>
      </c>
      <c r="BO169" s="39">
        <f t="shared" si="129"/>
        <v>82.008135010744297</v>
      </c>
      <c r="BP169" s="39">
        <f t="shared" si="130"/>
        <v>70.800000000000011</v>
      </c>
      <c r="BQ169" s="39">
        <f t="shared" si="131"/>
        <v>70.800000000000011</v>
      </c>
      <c r="BR169" s="39">
        <f t="shared" si="132"/>
        <v>70.800000000000011</v>
      </c>
      <c r="BS169" s="39">
        <f t="shared" si="133"/>
        <v>1.1346439361346567</v>
      </c>
      <c r="BT169" s="39">
        <f t="shared" si="134"/>
        <v>9.3721717200025969E-4</v>
      </c>
      <c r="BU169" s="39">
        <f t="shared" si="135"/>
        <v>1.2611716468649092E-2</v>
      </c>
      <c r="BV169" s="39">
        <f t="shared" si="136"/>
        <v>6.9876380436915034E-2</v>
      </c>
      <c r="BW169" s="39">
        <f t="shared" si="137"/>
        <v>0</v>
      </c>
      <c r="BX169" s="39">
        <f t="shared" si="138"/>
        <v>0</v>
      </c>
      <c r="BY169" s="39">
        <f t="shared" si="139"/>
        <v>0</v>
      </c>
      <c r="BZ169" s="39">
        <f t="shared" si="140"/>
        <v>0</v>
      </c>
      <c r="CA169" s="39">
        <f t="shared" si="141"/>
        <v>60.756429290756437</v>
      </c>
      <c r="CB169" s="39">
        <f t="shared" si="142"/>
        <v>67.135268747582657</v>
      </c>
      <c r="CC169" s="39">
        <f t="shared" si="143"/>
        <v>64.009345028151074</v>
      </c>
      <c r="CD169" s="39">
        <f t="shared" si="144"/>
        <v>87.059195970093285</v>
      </c>
      <c r="CE169" s="39">
        <f t="shared" si="145"/>
        <v>82.078011391181207</v>
      </c>
      <c r="CF169" s="39">
        <f t="shared" si="146"/>
        <v>70.800000000000011</v>
      </c>
      <c r="CG169" s="39">
        <f t="shared" si="147"/>
        <v>70.800000000000011</v>
      </c>
      <c r="CH169" s="39">
        <f t="shared" si="148"/>
        <v>70.800000000000011</v>
      </c>
      <c r="CI169" s="39">
        <f t="shared" si="149"/>
        <v>0</v>
      </c>
      <c r="CJ169" s="39">
        <f t="shared" si="150"/>
        <v>0</v>
      </c>
      <c r="CK169" s="39">
        <f t="shared" si="151"/>
        <v>0</v>
      </c>
      <c r="CL169" s="39">
        <f t="shared" si="152"/>
        <v>0</v>
      </c>
      <c r="CM169" s="39">
        <f t="shared" si="153"/>
        <v>0</v>
      </c>
      <c r="CN169" s="39">
        <f t="shared" si="154"/>
        <v>0</v>
      </c>
      <c r="CO169" s="39">
        <f t="shared" si="155"/>
        <v>0</v>
      </c>
      <c r="CP169" s="39">
        <f t="shared" si="156"/>
        <v>0</v>
      </c>
    </row>
    <row r="170" spans="2:94" ht="16" customHeight="1" x14ac:dyDescent="0.2">
      <c r="B170" s="38"/>
      <c r="L170" s="63">
        <v>30482</v>
      </c>
      <c r="M170" s="38">
        <v>0</v>
      </c>
      <c r="N170" s="38">
        <v>1.8</v>
      </c>
      <c r="O170" s="39">
        <v>0</v>
      </c>
      <c r="P170" s="39">
        <v>0</v>
      </c>
      <c r="Q170" s="46">
        <f t="shared" si="87"/>
        <v>8.7655886572791011E-2</v>
      </c>
      <c r="R170" s="81">
        <f t="shared" si="88"/>
        <v>0</v>
      </c>
      <c r="S170" s="82">
        <f t="shared" si="89"/>
        <v>0</v>
      </c>
      <c r="T170" s="39">
        <f t="shared" si="90"/>
        <v>0</v>
      </c>
      <c r="U170" s="83">
        <f t="shared" si="91"/>
        <v>0</v>
      </c>
      <c r="V170" s="84">
        <f t="shared" si="92"/>
        <v>1.4400000000000002</v>
      </c>
      <c r="W170" s="52">
        <f t="shared" si="93"/>
        <v>129.96023903658346</v>
      </c>
      <c r="X170" s="52">
        <f t="shared" si="94"/>
        <v>153.47801139118121</v>
      </c>
      <c r="Y170" s="52">
        <f t="shared" si="95"/>
        <v>283.43825042776467</v>
      </c>
      <c r="Z170" s="53">
        <f t="shared" si="96"/>
        <v>1.0153143674733083</v>
      </c>
      <c r="AA170" s="53">
        <f t="shared" si="97"/>
        <v>0.91355959161417388</v>
      </c>
      <c r="AB170" s="53">
        <f t="shared" si="98"/>
        <v>0.95756165685055628</v>
      </c>
      <c r="AC170" s="39" t="str">
        <f t="shared" si="99"/>
        <v>No</v>
      </c>
      <c r="AD170" s="85">
        <f t="shared" si="100"/>
        <v>0</v>
      </c>
      <c r="AE170" s="46">
        <f t="shared" si="101"/>
        <v>1</v>
      </c>
      <c r="AF170" s="46">
        <f t="shared" si="102"/>
        <v>0</v>
      </c>
      <c r="AG170" s="39">
        <f t="shared" si="157"/>
        <v>60.756429290756437</v>
      </c>
      <c r="AH170" s="39">
        <f t="shared" si="158"/>
        <v>67.135268747582657</v>
      </c>
      <c r="AI170" s="39">
        <f t="shared" si="159"/>
        <v>64.009345028151074</v>
      </c>
      <c r="AJ170" s="39">
        <f t="shared" si="160"/>
        <v>87.059195970093285</v>
      </c>
      <c r="AK170" s="39">
        <f t="shared" si="161"/>
        <v>82.078011391181207</v>
      </c>
      <c r="AL170" s="39">
        <f t="shared" si="162"/>
        <v>70.800000000000011</v>
      </c>
      <c r="AM170" s="39">
        <f t="shared" si="163"/>
        <v>70.800000000000011</v>
      </c>
      <c r="AN170" s="39">
        <f t="shared" si="164"/>
        <v>70.800000000000011</v>
      </c>
      <c r="AO170" s="39">
        <f t="shared" si="103"/>
        <v>0</v>
      </c>
      <c r="AP170" s="39">
        <f t="shared" si="104"/>
        <v>0</v>
      </c>
      <c r="AQ170" s="39">
        <f t="shared" si="105"/>
        <v>0</v>
      </c>
      <c r="AR170" s="39">
        <f t="shared" si="106"/>
        <v>0</v>
      </c>
      <c r="AS170" s="39">
        <f t="shared" si="107"/>
        <v>0</v>
      </c>
      <c r="AT170" s="39">
        <f t="shared" si="108"/>
        <v>0</v>
      </c>
      <c r="AU170" s="39">
        <f t="shared" si="109"/>
        <v>0</v>
      </c>
      <c r="AV170" s="39">
        <f t="shared" si="110"/>
        <v>0</v>
      </c>
      <c r="AW170" s="39">
        <f t="shared" si="111"/>
        <v>0</v>
      </c>
      <c r="AX170" s="39">
        <f t="shared" si="112"/>
        <v>0</v>
      </c>
      <c r="AY170" s="39">
        <f t="shared" si="113"/>
        <v>0</v>
      </c>
      <c r="AZ170" s="39">
        <f t="shared" si="114"/>
        <v>0</v>
      </c>
      <c r="BA170" s="39">
        <f t="shared" si="115"/>
        <v>0</v>
      </c>
      <c r="BB170" s="39">
        <f t="shared" si="116"/>
        <v>0</v>
      </c>
      <c r="BC170" s="39">
        <f t="shared" si="117"/>
        <v>0</v>
      </c>
      <c r="BD170" s="39">
        <f t="shared" si="118"/>
        <v>0</v>
      </c>
      <c r="BE170" s="39">
        <f t="shared" si="119"/>
        <v>0</v>
      </c>
      <c r="BF170" s="39">
        <f t="shared" si="120"/>
        <v>0</v>
      </c>
      <c r="BG170" s="39">
        <f t="shared" si="121"/>
        <v>0</v>
      </c>
      <c r="BH170" s="84">
        <f t="shared" si="122"/>
        <v>1.4400000000000002</v>
      </c>
      <c r="BI170" s="84">
        <f t="shared" si="123"/>
        <v>0</v>
      </c>
      <c r="BJ170" s="84">
        <f t="shared" si="124"/>
        <v>1.4400000000000002</v>
      </c>
      <c r="BK170" s="39">
        <f t="shared" si="125"/>
        <v>59.316429290756439</v>
      </c>
      <c r="BL170" s="39">
        <f t="shared" si="126"/>
        <v>67.135268747582657</v>
      </c>
      <c r="BM170" s="39">
        <f t="shared" si="127"/>
        <v>64.009345028151074</v>
      </c>
      <c r="BN170" s="39">
        <f t="shared" si="128"/>
        <v>87.059195970093285</v>
      </c>
      <c r="BO170" s="39">
        <f t="shared" si="129"/>
        <v>82.078011391181207</v>
      </c>
      <c r="BP170" s="39">
        <f t="shared" si="130"/>
        <v>70.800000000000011</v>
      </c>
      <c r="BQ170" s="39">
        <f t="shared" si="131"/>
        <v>70.800000000000011</v>
      </c>
      <c r="BR170" s="39">
        <f t="shared" si="132"/>
        <v>70.800000000000011</v>
      </c>
      <c r="BS170" s="39">
        <f t="shared" si="133"/>
        <v>0</v>
      </c>
      <c r="BT170" s="39">
        <f t="shared" si="134"/>
        <v>0.68116124854959426</v>
      </c>
      <c r="BU170" s="39">
        <f t="shared" si="135"/>
        <v>5.6070168906529718E-3</v>
      </c>
      <c r="BV170" s="39">
        <f t="shared" si="136"/>
        <v>3.5517582055962289E-2</v>
      </c>
      <c r="BW170" s="39">
        <f t="shared" si="137"/>
        <v>0</v>
      </c>
      <c r="BX170" s="39">
        <f t="shared" si="138"/>
        <v>0</v>
      </c>
      <c r="BY170" s="39">
        <f t="shared" si="139"/>
        <v>0</v>
      </c>
      <c r="BZ170" s="39">
        <f t="shared" si="140"/>
        <v>0</v>
      </c>
      <c r="CA170" s="39">
        <f t="shared" si="141"/>
        <v>59.316429290756439</v>
      </c>
      <c r="CB170" s="39">
        <f t="shared" si="142"/>
        <v>66.454107499033057</v>
      </c>
      <c r="CC170" s="39">
        <f t="shared" si="143"/>
        <v>64.684899259810024</v>
      </c>
      <c r="CD170" s="39">
        <f t="shared" si="144"/>
        <v>87.029285404927975</v>
      </c>
      <c r="CE170" s="39">
        <f t="shared" si="145"/>
        <v>82.113528973237166</v>
      </c>
      <c r="CF170" s="39">
        <f t="shared" si="146"/>
        <v>70.800000000000011</v>
      </c>
      <c r="CG170" s="39">
        <f t="shared" si="147"/>
        <v>70.800000000000011</v>
      </c>
      <c r="CH170" s="39">
        <f t="shared" si="148"/>
        <v>70.800000000000011</v>
      </c>
      <c r="CI170" s="39">
        <f t="shared" si="149"/>
        <v>0</v>
      </c>
      <c r="CJ170" s="39">
        <f t="shared" si="150"/>
        <v>0</v>
      </c>
      <c r="CK170" s="39">
        <f t="shared" si="151"/>
        <v>0</v>
      </c>
      <c r="CL170" s="39">
        <f t="shared" si="152"/>
        <v>0</v>
      </c>
      <c r="CM170" s="39">
        <f t="shared" si="153"/>
        <v>0</v>
      </c>
      <c r="CN170" s="39">
        <f t="shared" si="154"/>
        <v>0</v>
      </c>
      <c r="CO170" s="39">
        <f t="shared" si="155"/>
        <v>0</v>
      </c>
      <c r="CP170" s="39">
        <f t="shared" si="156"/>
        <v>0</v>
      </c>
    </row>
    <row r="171" spans="2:94" ht="16" customHeight="1" x14ac:dyDescent="0.2">
      <c r="B171" s="38"/>
      <c r="L171" s="63">
        <v>30483</v>
      </c>
      <c r="M171" s="38">
        <v>0</v>
      </c>
      <c r="N171" s="38">
        <v>1.6</v>
      </c>
      <c r="O171" s="39">
        <v>0</v>
      </c>
      <c r="P171" s="39">
        <v>0</v>
      </c>
      <c r="Q171" s="46">
        <f t="shared" si="87"/>
        <v>9.0574805491709917E-2</v>
      </c>
      <c r="R171" s="81">
        <f t="shared" si="88"/>
        <v>0</v>
      </c>
      <c r="S171" s="82">
        <f t="shared" si="89"/>
        <v>0</v>
      </c>
      <c r="T171" s="39">
        <f t="shared" si="90"/>
        <v>0</v>
      </c>
      <c r="U171" s="83">
        <f t="shared" si="91"/>
        <v>0</v>
      </c>
      <c r="V171" s="84">
        <f t="shared" si="92"/>
        <v>1.2800000000000002</v>
      </c>
      <c r="W171" s="52">
        <f t="shared" si="93"/>
        <v>128.48472145452752</v>
      </c>
      <c r="X171" s="52">
        <f t="shared" si="94"/>
        <v>153.51352897323721</v>
      </c>
      <c r="Y171" s="52">
        <f t="shared" si="95"/>
        <v>281.99825042776473</v>
      </c>
      <c r="Z171" s="53">
        <f t="shared" si="96"/>
        <v>1.0037868863634962</v>
      </c>
      <c r="AA171" s="53">
        <f t="shared" si="97"/>
        <v>0.91377100579307868</v>
      </c>
      <c r="AB171" s="53">
        <f t="shared" si="98"/>
        <v>0.95269679198569168</v>
      </c>
      <c r="AC171" s="39" t="str">
        <f t="shared" si="99"/>
        <v>No</v>
      </c>
      <c r="AD171" s="85">
        <f t="shared" si="100"/>
        <v>0</v>
      </c>
      <c r="AE171" s="46">
        <f t="shared" si="101"/>
        <v>1</v>
      </c>
      <c r="AF171" s="46">
        <f t="shared" si="102"/>
        <v>0</v>
      </c>
      <c r="AG171" s="39">
        <f t="shared" si="157"/>
        <v>59.316429290756439</v>
      </c>
      <c r="AH171" s="39">
        <f t="shared" si="158"/>
        <v>66.454107499033057</v>
      </c>
      <c r="AI171" s="39">
        <f t="shared" si="159"/>
        <v>64.684899259810024</v>
      </c>
      <c r="AJ171" s="39">
        <f t="shared" si="160"/>
        <v>87.029285404927975</v>
      </c>
      <c r="AK171" s="39">
        <f t="shared" si="161"/>
        <v>82.113528973237166</v>
      </c>
      <c r="AL171" s="39">
        <f t="shared" si="162"/>
        <v>70.800000000000011</v>
      </c>
      <c r="AM171" s="39">
        <f t="shared" si="163"/>
        <v>70.800000000000011</v>
      </c>
      <c r="AN171" s="39">
        <f t="shared" si="164"/>
        <v>70.800000000000011</v>
      </c>
      <c r="AO171" s="39">
        <f t="shared" si="103"/>
        <v>0</v>
      </c>
      <c r="AP171" s="39">
        <f t="shared" si="104"/>
        <v>0</v>
      </c>
      <c r="AQ171" s="39">
        <f t="shared" si="105"/>
        <v>0</v>
      </c>
      <c r="AR171" s="39">
        <f t="shared" si="106"/>
        <v>0</v>
      </c>
      <c r="AS171" s="39">
        <f t="shared" si="107"/>
        <v>0</v>
      </c>
      <c r="AT171" s="39">
        <f t="shared" si="108"/>
        <v>0</v>
      </c>
      <c r="AU171" s="39">
        <f t="shared" si="109"/>
        <v>0</v>
      </c>
      <c r="AV171" s="39">
        <f t="shared" si="110"/>
        <v>0</v>
      </c>
      <c r="AW171" s="39">
        <f t="shared" si="111"/>
        <v>0</v>
      </c>
      <c r="AX171" s="39">
        <f t="shared" si="112"/>
        <v>0</v>
      </c>
      <c r="AY171" s="39">
        <f t="shared" si="113"/>
        <v>0</v>
      </c>
      <c r="AZ171" s="39">
        <f t="shared" si="114"/>
        <v>0</v>
      </c>
      <c r="BA171" s="39">
        <f t="shared" si="115"/>
        <v>0</v>
      </c>
      <c r="BB171" s="39">
        <f t="shared" si="116"/>
        <v>0</v>
      </c>
      <c r="BC171" s="39">
        <f t="shared" si="117"/>
        <v>0</v>
      </c>
      <c r="BD171" s="39">
        <f t="shared" si="118"/>
        <v>0</v>
      </c>
      <c r="BE171" s="39">
        <f t="shared" si="119"/>
        <v>0</v>
      </c>
      <c r="BF171" s="39">
        <f t="shared" si="120"/>
        <v>0</v>
      </c>
      <c r="BG171" s="39">
        <f t="shared" si="121"/>
        <v>0</v>
      </c>
      <c r="BH171" s="84">
        <f t="shared" si="122"/>
        <v>1.2800000000000002</v>
      </c>
      <c r="BI171" s="84">
        <f t="shared" si="123"/>
        <v>0</v>
      </c>
      <c r="BJ171" s="84">
        <f t="shared" si="124"/>
        <v>1.2800000000000002</v>
      </c>
      <c r="BK171" s="39">
        <f t="shared" si="125"/>
        <v>58.036429290756438</v>
      </c>
      <c r="BL171" s="39">
        <f t="shared" si="126"/>
        <v>66.454107499033057</v>
      </c>
      <c r="BM171" s="39">
        <f t="shared" si="127"/>
        <v>64.684899259810024</v>
      </c>
      <c r="BN171" s="39">
        <f t="shared" si="128"/>
        <v>87.029285404927975</v>
      </c>
      <c r="BO171" s="39">
        <f t="shared" si="129"/>
        <v>82.113528973237166</v>
      </c>
      <c r="BP171" s="39">
        <f t="shared" si="130"/>
        <v>70.800000000000011</v>
      </c>
      <c r="BQ171" s="39">
        <f t="shared" si="131"/>
        <v>70.800000000000011</v>
      </c>
      <c r="BR171" s="39">
        <f t="shared" si="132"/>
        <v>70.800000000000011</v>
      </c>
      <c r="BS171" s="39">
        <f t="shared" si="133"/>
        <v>0</v>
      </c>
      <c r="BT171" s="39">
        <f t="shared" si="134"/>
        <v>0.27246449941983425</v>
      </c>
      <c r="BU171" s="39">
        <f t="shared" si="135"/>
        <v>0.41093955588602282</v>
      </c>
      <c r="BV171" s="39">
        <f t="shared" si="136"/>
        <v>1.75712429567767E-2</v>
      </c>
      <c r="BW171" s="39">
        <f t="shared" si="137"/>
        <v>0</v>
      </c>
      <c r="BX171" s="39">
        <f t="shared" si="138"/>
        <v>0</v>
      </c>
      <c r="BY171" s="39">
        <f t="shared" si="139"/>
        <v>0</v>
      </c>
      <c r="BZ171" s="39">
        <f t="shared" si="140"/>
        <v>0</v>
      </c>
      <c r="CA171" s="39">
        <f t="shared" si="141"/>
        <v>58.036429290756438</v>
      </c>
      <c r="CB171" s="39">
        <f t="shared" si="142"/>
        <v>66.181642999613217</v>
      </c>
      <c r="CC171" s="39">
        <f t="shared" si="143"/>
        <v>64.546424203343847</v>
      </c>
      <c r="CD171" s="39">
        <f t="shared" si="144"/>
        <v>87.422653717857216</v>
      </c>
      <c r="CE171" s="39">
        <f t="shared" si="145"/>
        <v>82.131100216193943</v>
      </c>
      <c r="CF171" s="39">
        <f t="shared" si="146"/>
        <v>70.800000000000011</v>
      </c>
      <c r="CG171" s="39">
        <f t="shared" si="147"/>
        <v>70.800000000000011</v>
      </c>
      <c r="CH171" s="39">
        <f t="shared" si="148"/>
        <v>70.800000000000011</v>
      </c>
      <c r="CI171" s="39">
        <f t="shared" si="149"/>
        <v>0</v>
      </c>
      <c r="CJ171" s="39">
        <f t="shared" si="150"/>
        <v>0</v>
      </c>
      <c r="CK171" s="39">
        <f t="shared" si="151"/>
        <v>0</v>
      </c>
      <c r="CL171" s="39">
        <f t="shared" si="152"/>
        <v>0</v>
      </c>
      <c r="CM171" s="39">
        <f t="shared" si="153"/>
        <v>0</v>
      </c>
      <c r="CN171" s="39">
        <f t="shared" si="154"/>
        <v>0</v>
      </c>
      <c r="CO171" s="39">
        <f t="shared" si="155"/>
        <v>0</v>
      </c>
      <c r="CP171" s="39">
        <f t="shared" si="156"/>
        <v>0</v>
      </c>
    </row>
    <row r="172" spans="2:94" ht="16" customHeight="1" x14ac:dyDescent="0.2">
      <c r="B172" s="38"/>
      <c r="L172" s="63">
        <v>30484</v>
      </c>
      <c r="M172" s="38">
        <v>0</v>
      </c>
      <c r="N172" s="38">
        <v>2.1</v>
      </c>
      <c r="O172" s="39">
        <v>0</v>
      </c>
      <c r="P172" s="39">
        <v>0</v>
      </c>
      <c r="Q172" s="46">
        <f t="shared" si="87"/>
        <v>9.3169400086304519E-2</v>
      </c>
      <c r="R172" s="81">
        <f t="shared" si="88"/>
        <v>0</v>
      </c>
      <c r="S172" s="82">
        <f t="shared" si="89"/>
        <v>0</v>
      </c>
      <c r="T172" s="39">
        <f t="shared" si="90"/>
        <v>0</v>
      </c>
      <c r="U172" s="83">
        <f t="shared" si="91"/>
        <v>0</v>
      </c>
      <c r="V172" s="84">
        <f t="shared" si="92"/>
        <v>1.6800000000000002</v>
      </c>
      <c r="W172" s="52">
        <f t="shared" si="93"/>
        <v>127.18715021157072</v>
      </c>
      <c r="X172" s="52">
        <f t="shared" si="94"/>
        <v>153.53110021619398</v>
      </c>
      <c r="Y172" s="52">
        <f t="shared" si="95"/>
        <v>280.7182504277647</v>
      </c>
      <c r="Z172" s="53">
        <f t="shared" si="96"/>
        <v>0.99364961102789628</v>
      </c>
      <c r="AA172" s="53">
        <f t="shared" si="97"/>
        <v>0.9138755965249642</v>
      </c>
      <c r="AB172" s="53">
        <f t="shared" si="98"/>
        <v>0.94837246766136718</v>
      </c>
      <c r="AC172" s="39" t="str">
        <f t="shared" si="99"/>
        <v>No</v>
      </c>
      <c r="AD172" s="85">
        <f t="shared" si="100"/>
        <v>0</v>
      </c>
      <c r="AE172" s="46">
        <f t="shared" si="101"/>
        <v>1</v>
      </c>
      <c r="AF172" s="46">
        <f t="shared" si="102"/>
        <v>0</v>
      </c>
      <c r="AG172" s="39">
        <f t="shared" si="157"/>
        <v>58.036429290756438</v>
      </c>
      <c r="AH172" s="39">
        <f t="shared" si="158"/>
        <v>66.181642999613217</v>
      </c>
      <c r="AI172" s="39">
        <f t="shared" si="159"/>
        <v>64.546424203343847</v>
      </c>
      <c r="AJ172" s="39">
        <f t="shared" si="160"/>
        <v>87.422653717857216</v>
      </c>
      <c r="AK172" s="39">
        <f t="shared" si="161"/>
        <v>82.131100216193943</v>
      </c>
      <c r="AL172" s="39">
        <f t="shared" si="162"/>
        <v>70.800000000000011</v>
      </c>
      <c r="AM172" s="39">
        <f t="shared" si="163"/>
        <v>70.800000000000011</v>
      </c>
      <c r="AN172" s="39">
        <f t="shared" si="164"/>
        <v>70.800000000000011</v>
      </c>
      <c r="AO172" s="39">
        <f t="shared" si="103"/>
        <v>0</v>
      </c>
      <c r="AP172" s="39">
        <f t="shared" si="104"/>
        <v>0</v>
      </c>
      <c r="AQ172" s="39">
        <f t="shared" si="105"/>
        <v>0</v>
      </c>
      <c r="AR172" s="39">
        <f t="shared" si="106"/>
        <v>0</v>
      </c>
      <c r="AS172" s="39">
        <f t="shared" si="107"/>
        <v>0</v>
      </c>
      <c r="AT172" s="39">
        <f t="shared" si="108"/>
        <v>0</v>
      </c>
      <c r="AU172" s="39">
        <f t="shared" si="109"/>
        <v>0</v>
      </c>
      <c r="AV172" s="39">
        <f t="shared" si="110"/>
        <v>0</v>
      </c>
      <c r="AW172" s="39">
        <f t="shared" si="111"/>
        <v>0</v>
      </c>
      <c r="AX172" s="39">
        <f t="shared" si="112"/>
        <v>0</v>
      </c>
      <c r="AY172" s="39">
        <f t="shared" si="113"/>
        <v>0</v>
      </c>
      <c r="AZ172" s="39">
        <f t="shared" si="114"/>
        <v>0</v>
      </c>
      <c r="BA172" s="39">
        <f t="shared" si="115"/>
        <v>0</v>
      </c>
      <c r="BB172" s="39">
        <f t="shared" si="116"/>
        <v>0</v>
      </c>
      <c r="BC172" s="39">
        <f t="shared" si="117"/>
        <v>0</v>
      </c>
      <c r="BD172" s="39">
        <f t="shared" si="118"/>
        <v>0</v>
      </c>
      <c r="BE172" s="39">
        <f t="shared" si="119"/>
        <v>0</v>
      </c>
      <c r="BF172" s="39">
        <f t="shared" si="120"/>
        <v>0</v>
      </c>
      <c r="BG172" s="39">
        <f t="shared" si="121"/>
        <v>0</v>
      </c>
      <c r="BH172" s="84">
        <f t="shared" si="122"/>
        <v>1.6800000000000002</v>
      </c>
      <c r="BI172" s="84">
        <f t="shared" si="123"/>
        <v>0</v>
      </c>
      <c r="BJ172" s="84">
        <f t="shared" si="124"/>
        <v>1.6800000000000002</v>
      </c>
      <c r="BK172" s="39">
        <f t="shared" si="125"/>
        <v>56.356429290756438</v>
      </c>
      <c r="BL172" s="39">
        <f t="shared" si="126"/>
        <v>66.181642999613217</v>
      </c>
      <c r="BM172" s="39">
        <f t="shared" si="127"/>
        <v>64.546424203343847</v>
      </c>
      <c r="BN172" s="39">
        <f t="shared" si="128"/>
        <v>87.422653717857216</v>
      </c>
      <c r="BO172" s="39">
        <f t="shared" si="129"/>
        <v>82.131100216193943</v>
      </c>
      <c r="BP172" s="39">
        <f t="shared" si="130"/>
        <v>70.800000000000011</v>
      </c>
      <c r="BQ172" s="39">
        <f t="shared" si="131"/>
        <v>70.800000000000011</v>
      </c>
      <c r="BR172" s="39">
        <f t="shared" si="132"/>
        <v>70.800000000000011</v>
      </c>
      <c r="BS172" s="39">
        <f t="shared" si="133"/>
        <v>0</v>
      </c>
      <c r="BT172" s="39">
        <f t="shared" si="134"/>
        <v>0.1089857997679303</v>
      </c>
      <c r="BU172" s="39">
        <f t="shared" si="135"/>
        <v>0.32785452200631654</v>
      </c>
      <c r="BV172" s="39">
        <f t="shared" si="136"/>
        <v>0.25359223071432097</v>
      </c>
      <c r="BW172" s="39">
        <f t="shared" si="137"/>
        <v>0</v>
      </c>
      <c r="BX172" s="39">
        <f t="shared" si="138"/>
        <v>0</v>
      </c>
      <c r="BY172" s="39">
        <f t="shared" si="139"/>
        <v>0</v>
      </c>
      <c r="BZ172" s="39">
        <f t="shared" si="140"/>
        <v>0</v>
      </c>
      <c r="CA172" s="39">
        <f t="shared" si="141"/>
        <v>56.356429290756438</v>
      </c>
      <c r="CB172" s="39">
        <f t="shared" si="142"/>
        <v>66.072657199845281</v>
      </c>
      <c r="CC172" s="39">
        <f t="shared" si="143"/>
        <v>64.327555481105463</v>
      </c>
      <c r="CD172" s="39">
        <f t="shared" si="144"/>
        <v>87.496916009149217</v>
      </c>
      <c r="CE172" s="39">
        <f t="shared" si="145"/>
        <v>82.384692446908261</v>
      </c>
      <c r="CF172" s="39">
        <f t="shared" si="146"/>
        <v>70.800000000000011</v>
      </c>
      <c r="CG172" s="39">
        <f t="shared" si="147"/>
        <v>70.800000000000011</v>
      </c>
      <c r="CH172" s="39">
        <f t="shared" si="148"/>
        <v>70.800000000000011</v>
      </c>
      <c r="CI172" s="39">
        <f t="shared" si="149"/>
        <v>0</v>
      </c>
      <c r="CJ172" s="39">
        <f t="shared" si="150"/>
        <v>0</v>
      </c>
      <c r="CK172" s="39">
        <f t="shared" si="151"/>
        <v>0</v>
      </c>
      <c r="CL172" s="39">
        <f t="shared" si="152"/>
        <v>0</v>
      </c>
      <c r="CM172" s="39">
        <f t="shared" si="153"/>
        <v>0</v>
      </c>
      <c r="CN172" s="39">
        <f t="shared" si="154"/>
        <v>0</v>
      </c>
      <c r="CO172" s="39">
        <f t="shared" si="155"/>
        <v>0</v>
      </c>
      <c r="CP172" s="39">
        <f t="shared" si="156"/>
        <v>0</v>
      </c>
    </row>
    <row r="173" spans="2:94" ht="16" customHeight="1" x14ac:dyDescent="0.2">
      <c r="B173" s="38"/>
      <c r="L173" s="63">
        <v>30485</v>
      </c>
      <c r="M173" s="38">
        <v>0.1</v>
      </c>
      <c r="N173" s="38">
        <v>1.1000000000000001</v>
      </c>
      <c r="O173" s="39">
        <v>0</v>
      </c>
      <c r="P173" s="39">
        <v>0</v>
      </c>
      <c r="Q173" s="46">
        <f t="shared" si="87"/>
        <v>9.6574805491709922E-2</v>
      </c>
      <c r="R173" s="81">
        <f t="shared" si="88"/>
        <v>0</v>
      </c>
      <c r="S173" s="82">
        <f t="shared" si="89"/>
        <v>0.1</v>
      </c>
      <c r="T173" s="39">
        <f t="shared" si="90"/>
        <v>0</v>
      </c>
      <c r="U173" s="83">
        <f t="shared" si="91"/>
        <v>0</v>
      </c>
      <c r="V173" s="84">
        <f t="shared" si="92"/>
        <v>0.88000000000000012</v>
      </c>
      <c r="W173" s="52">
        <f t="shared" si="93"/>
        <v>125.25355798085639</v>
      </c>
      <c r="X173" s="52">
        <f t="shared" si="94"/>
        <v>153.78469244690831</v>
      </c>
      <c r="Y173" s="52">
        <f t="shared" si="95"/>
        <v>279.03825042776469</v>
      </c>
      <c r="Z173" s="53">
        <f t="shared" si="96"/>
        <v>0.97854342172544051</v>
      </c>
      <c r="AA173" s="53">
        <f t="shared" si="97"/>
        <v>0.91538507408873993</v>
      </c>
      <c r="AB173" s="53">
        <f t="shared" si="98"/>
        <v>0.94269679198569156</v>
      </c>
      <c r="AC173" s="39" t="str">
        <f t="shared" si="99"/>
        <v>No</v>
      </c>
      <c r="AD173" s="85">
        <f t="shared" si="100"/>
        <v>0</v>
      </c>
      <c r="AE173" s="46">
        <f t="shared" si="101"/>
        <v>1</v>
      </c>
      <c r="AF173" s="46">
        <f t="shared" si="102"/>
        <v>0</v>
      </c>
      <c r="AG173" s="39">
        <f t="shared" si="157"/>
        <v>56.356429290756438</v>
      </c>
      <c r="AH173" s="39">
        <f t="shared" si="158"/>
        <v>66.072657199845281</v>
      </c>
      <c r="AI173" s="39">
        <f t="shared" si="159"/>
        <v>64.327555481105463</v>
      </c>
      <c r="AJ173" s="39">
        <f t="shared" si="160"/>
        <v>87.496916009149217</v>
      </c>
      <c r="AK173" s="39">
        <f t="shared" si="161"/>
        <v>82.384692446908261</v>
      </c>
      <c r="AL173" s="39">
        <f t="shared" si="162"/>
        <v>70.800000000000011</v>
      </c>
      <c r="AM173" s="39">
        <f t="shared" si="163"/>
        <v>70.800000000000011</v>
      </c>
      <c r="AN173" s="39">
        <f t="shared" si="164"/>
        <v>70.800000000000011</v>
      </c>
      <c r="AO173" s="39">
        <f t="shared" si="103"/>
        <v>0</v>
      </c>
      <c r="AP173" s="39">
        <f t="shared" si="104"/>
        <v>0</v>
      </c>
      <c r="AQ173" s="39">
        <f t="shared" si="105"/>
        <v>0</v>
      </c>
      <c r="AR173" s="39">
        <f t="shared" si="106"/>
        <v>0</v>
      </c>
      <c r="AS173" s="39">
        <f t="shared" si="107"/>
        <v>0</v>
      </c>
      <c r="AT173" s="39">
        <f t="shared" si="108"/>
        <v>0</v>
      </c>
      <c r="AU173" s="39">
        <f t="shared" si="109"/>
        <v>0</v>
      </c>
      <c r="AV173" s="39">
        <f t="shared" si="110"/>
        <v>0</v>
      </c>
      <c r="AW173" s="39">
        <f t="shared" si="111"/>
        <v>0</v>
      </c>
      <c r="AX173" s="39">
        <f t="shared" si="112"/>
        <v>0</v>
      </c>
      <c r="AY173" s="39">
        <f t="shared" si="113"/>
        <v>0</v>
      </c>
      <c r="AZ173" s="39">
        <f t="shared" si="114"/>
        <v>0</v>
      </c>
      <c r="BA173" s="39">
        <f t="shared" si="115"/>
        <v>0</v>
      </c>
      <c r="BB173" s="39">
        <f t="shared" si="116"/>
        <v>0</v>
      </c>
      <c r="BC173" s="39">
        <f t="shared" si="117"/>
        <v>0</v>
      </c>
      <c r="BD173" s="39">
        <f t="shared" si="118"/>
        <v>0</v>
      </c>
      <c r="BE173" s="39">
        <f t="shared" si="119"/>
        <v>0</v>
      </c>
      <c r="BF173" s="39">
        <f t="shared" si="120"/>
        <v>0</v>
      </c>
      <c r="BG173" s="39">
        <f t="shared" si="121"/>
        <v>0</v>
      </c>
      <c r="BH173" s="84">
        <f t="shared" si="122"/>
        <v>0.88000000000000012</v>
      </c>
      <c r="BI173" s="84">
        <f t="shared" si="123"/>
        <v>0</v>
      </c>
      <c r="BJ173" s="84">
        <f t="shared" si="124"/>
        <v>0.88000000000000012</v>
      </c>
      <c r="BK173" s="39">
        <f t="shared" si="125"/>
        <v>55.476429290756435</v>
      </c>
      <c r="BL173" s="39">
        <f t="shared" si="126"/>
        <v>66.072657199845281</v>
      </c>
      <c r="BM173" s="39">
        <f t="shared" si="127"/>
        <v>64.327555481105463</v>
      </c>
      <c r="BN173" s="39">
        <f t="shared" si="128"/>
        <v>87.496916009149217</v>
      </c>
      <c r="BO173" s="39">
        <f t="shared" si="129"/>
        <v>82.384692446908261</v>
      </c>
      <c r="BP173" s="39">
        <f t="shared" si="130"/>
        <v>70.800000000000011</v>
      </c>
      <c r="BQ173" s="39">
        <f t="shared" si="131"/>
        <v>70.800000000000011</v>
      </c>
      <c r="BR173" s="39">
        <f t="shared" si="132"/>
        <v>70.800000000000011</v>
      </c>
      <c r="BS173" s="39">
        <f t="shared" si="133"/>
        <v>0</v>
      </c>
      <c r="BT173" s="39">
        <f t="shared" si="134"/>
        <v>4.3594319907168708E-2</v>
      </c>
      <c r="BU173" s="39">
        <f t="shared" si="135"/>
        <v>0.19653328866328648</v>
      </c>
      <c r="BV173" s="39">
        <f t="shared" si="136"/>
        <v>0.29814960548952169</v>
      </c>
      <c r="BW173" s="39">
        <f t="shared" si="137"/>
        <v>0</v>
      </c>
      <c r="BX173" s="39">
        <f t="shared" si="138"/>
        <v>0</v>
      </c>
      <c r="BY173" s="39">
        <f t="shared" si="139"/>
        <v>0</v>
      </c>
      <c r="BZ173" s="39">
        <f t="shared" si="140"/>
        <v>0</v>
      </c>
      <c r="CA173" s="39">
        <f t="shared" si="141"/>
        <v>55.476429290756435</v>
      </c>
      <c r="CB173" s="39">
        <f t="shared" si="142"/>
        <v>66.02906287993811</v>
      </c>
      <c r="CC173" s="39">
        <f t="shared" si="143"/>
        <v>64.174616512349345</v>
      </c>
      <c r="CD173" s="39">
        <f t="shared" si="144"/>
        <v>87.395299692322979</v>
      </c>
      <c r="CE173" s="39">
        <f t="shared" si="145"/>
        <v>82.682842052397788</v>
      </c>
      <c r="CF173" s="39">
        <f t="shared" si="146"/>
        <v>70.800000000000011</v>
      </c>
      <c r="CG173" s="39">
        <f t="shared" si="147"/>
        <v>70.800000000000011</v>
      </c>
      <c r="CH173" s="39">
        <f t="shared" si="148"/>
        <v>70.800000000000011</v>
      </c>
      <c r="CI173" s="39">
        <f t="shared" si="149"/>
        <v>0</v>
      </c>
      <c r="CJ173" s="39">
        <f t="shared" si="150"/>
        <v>0</v>
      </c>
      <c r="CK173" s="39">
        <f t="shared" si="151"/>
        <v>0</v>
      </c>
      <c r="CL173" s="39">
        <f t="shared" si="152"/>
        <v>0</v>
      </c>
      <c r="CM173" s="39">
        <f t="shared" si="153"/>
        <v>0</v>
      </c>
      <c r="CN173" s="39">
        <f t="shared" si="154"/>
        <v>0</v>
      </c>
      <c r="CO173" s="39">
        <f t="shared" si="155"/>
        <v>0</v>
      </c>
      <c r="CP173" s="39">
        <f t="shared" si="156"/>
        <v>0</v>
      </c>
    </row>
    <row r="174" spans="2:94" ht="16" customHeight="1" x14ac:dyDescent="0.2">
      <c r="B174" s="38"/>
      <c r="L174" s="63">
        <v>30486</v>
      </c>
      <c r="M174" s="38">
        <v>0.3</v>
      </c>
      <c r="N174" s="38">
        <v>0.8</v>
      </c>
      <c r="O174" s="39">
        <v>0</v>
      </c>
      <c r="P174" s="39">
        <v>0</v>
      </c>
      <c r="Q174" s="46">
        <f t="shared" si="87"/>
        <v>9.8358589275493707E-2</v>
      </c>
      <c r="R174" s="81">
        <f t="shared" si="88"/>
        <v>0</v>
      </c>
      <c r="S174" s="82">
        <f t="shared" si="89"/>
        <v>0.3</v>
      </c>
      <c r="T174" s="39">
        <f t="shared" si="90"/>
        <v>0</v>
      </c>
      <c r="U174" s="83">
        <f t="shared" si="91"/>
        <v>0</v>
      </c>
      <c r="V174" s="84">
        <f t="shared" si="92"/>
        <v>0.64000000000000012</v>
      </c>
      <c r="W174" s="52">
        <f t="shared" si="93"/>
        <v>124.07540837536686</v>
      </c>
      <c r="X174" s="52">
        <f t="shared" si="94"/>
        <v>154.08284205239784</v>
      </c>
      <c r="Y174" s="52">
        <f t="shared" si="95"/>
        <v>278.1582504277647</v>
      </c>
      <c r="Z174" s="53">
        <f t="shared" si="96"/>
        <v>0.96933912793255361</v>
      </c>
      <c r="AA174" s="53">
        <f t="shared" si="97"/>
        <v>0.91715977412141569</v>
      </c>
      <c r="AB174" s="53">
        <f t="shared" si="98"/>
        <v>0.93972381901271862</v>
      </c>
      <c r="AC174" s="39" t="str">
        <f t="shared" si="99"/>
        <v>No</v>
      </c>
      <c r="AD174" s="85">
        <f t="shared" si="100"/>
        <v>0</v>
      </c>
      <c r="AE174" s="46">
        <f t="shared" si="101"/>
        <v>1</v>
      </c>
      <c r="AF174" s="46">
        <f t="shared" si="102"/>
        <v>0</v>
      </c>
      <c r="AG174" s="39">
        <f t="shared" si="157"/>
        <v>55.476429290756435</v>
      </c>
      <c r="AH174" s="39">
        <f t="shared" si="158"/>
        <v>66.02906287993811</v>
      </c>
      <c r="AI174" s="39">
        <f t="shared" si="159"/>
        <v>64.174616512349345</v>
      </c>
      <c r="AJ174" s="39">
        <f t="shared" si="160"/>
        <v>87.395299692322979</v>
      </c>
      <c r="AK174" s="39">
        <f t="shared" si="161"/>
        <v>82.682842052397788</v>
      </c>
      <c r="AL174" s="39">
        <f t="shared" si="162"/>
        <v>70.800000000000011</v>
      </c>
      <c r="AM174" s="39">
        <f t="shared" si="163"/>
        <v>70.800000000000011</v>
      </c>
      <c r="AN174" s="39">
        <f t="shared" si="164"/>
        <v>70.800000000000011</v>
      </c>
      <c r="AO174" s="39">
        <f t="shared" si="103"/>
        <v>0</v>
      </c>
      <c r="AP174" s="39">
        <f t="shared" si="104"/>
        <v>0</v>
      </c>
      <c r="AQ174" s="39">
        <f t="shared" si="105"/>
        <v>0</v>
      </c>
      <c r="AR174" s="39">
        <f t="shared" si="106"/>
        <v>0</v>
      </c>
      <c r="AS174" s="39">
        <f t="shared" si="107"/>
        <v>0</v>
      </c>
      <c r="AT174" s="39">
        <f t="shared" si="108"/>
        <v>0</v>
      </c>
      <c r="AU174" s="39">
        <f t="shared" si="109"/>
        <v>0</v>
      </c>
      <c r="AV174" s="39">
        <f t="shared" si="110"/>
        <v>0</v>
      </c>
      <c r="AW174" s="39">
        <f t="shared" si="111"/>
        <v>0</v>
      </c>
      <c r="AX174" s="39">
        <f t="shared" si="112"/>
        <v>0</v>
      </c>
      <c r="AY174" s="39">
        <f t="shared" si="113"/>
        <v>0</v>
      </c>
      <c r="AZ174" s="39">
        <f t="shared" si="114"/>
        <v>0</v>
      </c>
      <c r="BA174" s="39">
        <f t="shared" si="115"/>
        <v>0</v>
      </c>
      <c r="BB174" s="39">
        <f t="shared" si="116"/>
        <v>0</v>
      </c>
      <c r="BC174" s="39">
        <f t="shared" si="117"/>
        <v>0</v>
      </c>
      <c r="BD174" s="39">
        <f t="shared" si="118"/>
        <v>0</v>
      </c>
      <c r="BE174" s="39">
        <f t="shared" si="119"/>
        <v>0</v>
      </c>
      <c r="BF174" s="39">
        <f t="shared" si="120"/>
        <v>0</v>
      </c>
      <c r="BG174" s="39">
        <f t="shared" si="121"/>
        <v>0</v>
      </c>
      <c r="BH174" s="84">
        <f t="shared" si="122"/>
        <v>0.64000000000000012</v>
      </c>
      <c r="BI174" s="84">
        <f t="shared" si="123"/>
        <v>0</v>
      </c>
      <c r="BJ174" s="84">
        <f t="shared" si="124"/>
        <v>0.64000000000000012</v>
      </c>
      <c r="BK174" s="39">
        <f t="shared" si="125"/>
        <v>54.836429290756435</v>
      </c>
      <c r="BL174" s="39">
        <f t="shared" si="126"/>
        <v>66.02906287993811</v>
      </c>
      <c r="BM174" s="39">
        <f t="shared" si="127"/>
        <v>64.174616512349345</v>
      </c>
      <c r="BN174" s="39">
        <f t="shared" si="128"/>
        <v>87.395299692322979</v>
      </c>
      <c r="BO174" s="39">
        <f t="shared" si="129"/>
        <v>82.682842052397788</v>
      </c>
      <c r="BP174" s="39">
        <f t="shared" si="130"/>
        <v>70.800000000000011</v>
      </c>
      <c r="BQ174" s="39">
        <f t="shared" si="131"/>
        <v>70.800000000000011</v>
      </c>
      <c r="BR174" s="39">
        <f t="shared" si="132"/>
        <v>70.800000000000011</v>
      </c>
      <c r="BS174" s="39">
        <f t="shared" si="133"/>
        <v>0</v>
      </c>
      <c r="BT174" s="39">
        <f t="shared" si="134"/>
        <v>1.7437727962865777E-2</v>
      </c>
      <c r="BU174" s="39">
        <f t="shared" si="135"/>
        <v>0.10476990740961582</v>
      </c>
      <c r="BV174" s="39">
        <f t="shared" si="136"/>
        <v>0.23717981539377886</v>
      </c>
      <c r="BW174" s="39">
        <f t="shared" si="137"/>
        <v>0</v>
      </c>
      <c r="BX174" s="39">
        <f t="shared" si="138"/>
        <v>0</v>
      </c>
      <c r="BY174" s="39">
        <f t="shared" si="139"/>
        <v>0</v>
      </c>
      <c r="BZ174" s="39">
        <f t="shared" si="140"/>
        <v>0</v>
      </c>
      <c r="CA174" s="39">
        <f t="shared" si="141"/>
        <v>54.836429290756435</v>
      </c>
      <c r="CB174" s="39">
        <f t="shared" si="142"/>
        <v>66.011625151975238</v>
      </c>
      <c r="CC174" s="39">
        <f t="shared" si="143"/>
        <v>64.087284332902598</v>
      </c>
      <c r="CD174" s="39">
        <f t="shared" si="144"/>
        <v>87.262889784338824</v>
      </c>
      <c r="CE174" s="39">
        <f t="shared" si="145"/>
        <v>82.920021867791561</v>
      </c>
      <c r="CF174" s="39">
        <f t="shared" si="146"/>
        <v>70.800000000000011</v>
      </c>
      <c r="CG174" s="39">
        <f t="shared" si="147"/>
        <v>70.800000000000011</v>
      </c>
      <c r="CH174" s="39">
        <f t="shared" si="148"/>
        <v>70.800000000000011</v>
      </c>
      <c r="CI174" s="39">
        <f t="shared" si="149"/>
        <v>0</v>
      </c>
      <c r="CJ174" s="39">
        <f t="shared" si="150"/>
        <v>0</v>
      </c>
      <c r="CK174" s="39">
        <f t="shared" si="151"/>
        <v>0</v>
      </c>
      <c r="CL174" s="39">
        <f t="shared" si="152"/>
        <v>0</v>
      </c>
      <c r="CM174" s="39">
        <f t="shared" si="153"/>
        <v>0</v>
      </c>
      <c r="CN174" s="39">
        <f t="shared" si="154"/>
        <v>0</v>
      </c>
      <c r="CO174" s="39">
        <f t="shared" si="155"/>
        <v>0</v>
      </c>
      <c r="CP174" s="39">
        <f t="shared" si="156"/>
        <v>0</v>
      </c>
    </row>
    <row r="175" spans="2:94" ht="16" customHeight="1" x14ac:dyDescent="0.2">
      <c r="B175" s="38"/>
      <c r="L175" s="63">
        <v>30487</v>
      </c>
      <c r="M175" s="38">
        <v>0</v>
      </c>
      <c r="N175" s="38">
        <v>0.9</v>
      </c>
      <c r="O175" s="39">
        <v>0</v>
      </c>
      <c r="P175" s="39">
        <v>0</v>
      </c>
      <c r="Q175" s="46">
        <f t="shared" si="87"/>
        <v>9.9655886572791008E-2</v>
      </c>
      <c r="R175" s="81">
        <f t="shared" si="88"/>
        <v>0</v>
      </c>
      <c r="S175" s="82">
        <f t="shared" si="89"/>
        <v>0</v>
      </c>
      <c r="T175" s="39">
        <f t="shared" si="90"/>
        <v>0</v>
      </c>
      <c r="U175" s="83">
        <f t="shared" si="91"/>
        <v>0</v>
      </c>
      <c r="V175" s="84">
        <f t="shared" si="92"/>
        <v>0.72000000000000008</v>
      </c>
      <c r="W175" s="52">
        <f t="shared" si="93"/>
        <v>123.19822855997307</v>
      </c>
      <c r="X175" s="52">
        <f t="shared" si="94"/>
        <v>154.32002186779158</v>
      </c>
      <c r="Y175" s="52">
        <f t="shared" si="95"/>
        <v>277.51825042776466</v>
      </c>
      <c r="Z175" s="53">
        <f t="shared" si="96"/>
        <v>0.96248616062478964</v>
      </c>
      <c r="AA175" s="53">
        <f t="shared" si="97"/>
        <v>0.9185715587368547</v>
      </c>
      <c r="AB175" s="53">
        <f t="shared" si="98"/>
        <v>0.93756165685055626</v>
      </c>
      <c r="AC175" s="39" t="str">
        <f t="shared" si="99"/>
        <v>No</v>
      </c>
      <c r="AD175" s="85">
        <f t="shared" si="100"/>
        <v>0</v>
      </c>
      <c r="AE175" s="46">
        <f t="shared" si="101"/>
        <v>1</v>
      </c>
      <c r="AF175" s="46">
        <f t="shared" si="102"/>
        <v>0</v>
      </c>
      <c r="AG175" s="39">
        <f t="shared" si="157"/>
        <v>54.836429290756435</v>
      </c>
      <c r="AH175" s="39">
        <f t="shared" si="158"/>
        <v>66.011625151975238</v>
      </c>
      <c r="AI175" s="39">
        <f t="shared" si="159"/>
        <v>64.087284332902598</v>
      </c>
      <c r="AJ175" s="39">
        <f t="shared" si="160"/>
        <v>87.262889784338824</v>
      </c>
      <c r="AK175" s="39">
        <f t="shared" si="161"/>
        <v>82.920021867791561</v>
      </c>
      <c r="AL175" s="39">
        <f t="shared" si="162"/>
        <v>70.800000000000011</v>
      </c>
      <c r="AM175" s="39">
        <f t="shared" si="163"/>
        <v>70.800000000000011</v>
      </c>
      <c r="AN175" s="39">
        <f t="shared" si="164"/>
        <v>70.800000000000011</v>
      </c>
      <c r="AO175" s="39">
        <f t="shared" si="103"/>
        <v>0</v>
      </c>
      <c r="AP175" s="39">
        <f t="shared" si="104"/>
        <v>0</v>
      </c>
      <c r="AQ175" s="39">
        <f t="shared" si="105"/>
        <v>0</v>
      </c>
      <c r="AR175" s="39">
        <f t="shared" si="106"/>
        <v>0</v>
      </c>
      <c r="AS175" s="39">
        <f t="shared" si="107"/>
        <v>0</v>
      </c>
      <c r="AT175" s="39">
        <f t="shared" si="108"/>
        <v>0</v>
      </c>
      <c r="AU175" s="39">
        <f t="shared" si="109"/>
        <v>0</v>
      </c>
      <c r="AV175" s="39">
        <f t="shared" si="110"/>
        <v>0</v>
      </c>
      <c r="AW175" s="39">
        <f t="shared" si="111"/>
        <v>0</v>
      </c>
      <c r="AX175" s="39">
        <f t="shared" si="112"/>
        <v>0</v>
      </c>
      <c r="AY175" s="39">
        <f t="shared" si="113"/>
        <v>0</v>
      </c>
      <c r="AZ175" s="39">
        <f t="shared" si="114"/>
        <v>0</v>
      </c>
      <c r="BA175" s="39">
        <f t="shared" si="115"/>
        <v>0</v>
      </c>
      <c r="BB175" s="39">
        <f t="shared" si="116"/>
        <v>0</v>
      </c>
      <c r="BC175" s="39">
        <f t="shared" si="117"/>
        <v>0</v>
      </c>
      <c r="BD175" s="39">
        <f t="shared" si="118"/>
        <v>0</v>
      </c>
      <c r="BE175" s="39">
        <f t="shared" si="119"/>
        <v>0</v>
      </c>
      <c r="BF175" s="39">
        <f t="shared" si="120"/>
        <v>0</v>
      </c>
      <c r="BG175" s="39">
        <f t="shared" si="121"/>
        <v>0</v>
      </c>
      <c r="BH175" s="84">
        <f t="shared" si="122"/>
        <v>0.72000000000000008</v>
      </c>
      <c r="BI175" s="84">
        <f t="shared" si="123"/>
        <v>0</v>
      </c>
      <c r="BJ175" s="84">
        <f t="shared" si="124"/>
        <v>0.72000000000000008</v>
      </c>
      <c r="BK175" s="39">
        <f t="shared" si="125"/>
        <v>54.116429290756436</v>
      </c>
      <c r="BL175" s="39">
        <f t="shared" si="126"/>
        <v>66.011625151975238</v>
      </c>
      <c r="BM175" s="39">
        <f t="shared" si="127"/>
        <v>64.087284332902598</v>
      </c>
      <c r="BN175" s="39">
        <f t="shared" si="128"/>
        <v>87.262889784338824</v>
      </c>
      <c r="BO175" s="39">
        <f t="shared" si="129"/>
        <v>82.920021867791561</v>
      </c>
      <c r="BP175" s="39">
        <f t="shared" si="130"/>
        <v>70.800000000000011</v>
      </c>
      <c r="BQ175" s="39">
        <f t="shared" si="131"/>
        <v>70.800000000000011</v>
      </c>
      <c r="BR175" s="39">
        <f t="shared" si="132"/>
        <v>70.800000000000011</v>
      </c>
      <c r="BS175" s="39">
        <f t="shared" si="133"/>
        <v>0</v>
      </c>
      <c r="BT175" s="39">
        <f t="shared" si="134"/>
        <v>6.9750911851429011E-3</v>
      </c>
      <c r="BU175" s="39">
        <f t="shared" si="135"/>
        <v>5.2370599741567499E-2</v>
      </c>
      <c r="BV175" s="39">
        <f t="shared" si="136"/>
        <v>0.15773387060328617</v>
      </c>
      <c r="BW175" s="39">
        <f t="shared" si="137"/>
        <v>0</v>
      </c>
      <c r="BX175" s="39">
        <f t="shared" si="138"/>
        <v>0</v>
      </c>
      <c r="BY175" s="39">
        <f t="shared" si="139"/>
        <v>0</v>
      </c>
      <c r="BZ175" s="39">
        <f t="shared" si="140"/>
        <v>0</v>
      </c>
      <c r="CA175" s="39">
        <f t="shared" si="141"/>
        <v>54.116429290756436</v>
      </c>
      <c r="CB175" s="39">
        <f t="shared" si="142"/>
        <v>66.004650060790098</v>
      </c>
      <c r="CC175" s="39">
        <f t="shared" si="143"/>
        <v>64.041888824346174</v>
      </c>
      <c r="CD175" s="39">
        <f t="shared" si="144"/>
        <v>87.157526513477109</v>
      </c>
      <c r="CE175" s="39">
        <f t="shared" si="145"/>
        <v>83.077755738394842</v>
      </c>
      <c r="CF175" s="39">
        <f t="shared" si="146"/>
        <v>70.800000000000011</v>
      </c>
      <c r="CG175" s="39">
        <f t="shared" si="147"/>
        <v>70.800000000000011</v>
      </c>
      <c r="CH175" s="39">
        <f t="shared" si="148"/>
        <v>70.800000000000011</v>
      </c>
      <c r="CI175" s="39">
        <f t="shared" si="149"/>
        <v>0</v>
      </c>
      <c r="CJ175" s="39">
        <f t="shared" si="150"/>
        <v>0</v>
      </c>
      <c r="CK175" s="39">
        <f t="shared" si="151"/>
        <v>0</v>
      </c>
      <c r="CL175" s="39">
        <f t="shared" si="152"/>
        <v>0</v>
      </c>
      <c r="CM175" s="39">
        <f t="shared" si="153"/>
        <v>0</v>
      </c>
      <c r="CN175" s="39">
        <f t="shared" si="154"/>
        <v>0</v>
      </c>
      <c r="CO175" s="39">
        <f t="shared" si="155"/>
        <v>0</v>
      </c>
      <c r="CP175" s="39">
        <f t="shared" si="156"/>
        <v>0</v>
      </c>
    </row>
    <row r="176" spans="2:94" ht="16" customHeight="1" x14ac:dyDescent="0.2">
      <c r="B176" s="38"/>
      <c r="L176" s="63">
        <v>30488</v>
      </c>
      <c r="M176" s="38">
        <v>0</v>
      </c>
      <c r="N176" s="38">
        <v>0.2</v>
      </c>
      <c r="O176" s="39">
        <v>0</v>
      </c>
      <c r="P176" s="39">
        <v>0</v>
      </c>
      <c r="Q176" s="46">
        <f t="shared" si="87"/>
        <v>0.10111534603225046</v>
      </c>
      <c r="R176" s="81">
        <f t="shared" si="88"/>
        <v>0</v>
      </c>
      <c r="S176" s="82">
        <f t="shared" si="89"/>
        <v>0</v>
      </c>
      <c r="T176" s="39">
        <f t="shared" si="90"/>
        <v>0</v>
      </c>
      <c r="U176" s="83">
        <f t="shared" si="91"/>
        <v>0</v>
      </c>
      <c r="V176" s="84">
        <f t="shared" si="92"/>
        <v>0.16000000000000003</v>
      </c>
      <c r="W176" s="52">
        <f t="shared" si="93"/>
        <v>122.32049468936987</v>
      </c>
      <c r="X176" s="52">
        <f t="shared" si="94"/>
        <v>154.47775573839488</v>
      </c>
      <c r="Y176" s="52">
        <f t="shared" si="95"/>
        <v>276.79825042776474</v>
      </c>
      <c r="Z176" s="53">
        <f t="shared" si="96"/>
        <v>0.95562886476070208</v>
      </c>
      <c r="AA176" s="53">
        <f t="shared" si="97"/>
        <v>0.91951045082377902</v>
      </c>
      <c r="AB176" s="53">
        <f t="shared" si="98"/>
        <v>0.93512922441812418</v>
      </c>
      <c r="AC176" s="39" t="str">
        <f t="shared" si="99"/>
        <v>No</v>
      </c>
      <c r="AD176" s="85">
        <f t="shared" si="100"/>
        <v>0</v>
      </c>
      <c r="AE176" s="46">
        <f t="shared" si="101"/>
        <v>1</v>
      </c>
      <c r="AF176" s="46">
        <f t="shared" si="102"/>
        <v>0</v>
      </c>
      <c r="AG176" s="39">
        <f t="shared" si="157"/>
        <v>54.116429290756436</v>
      </c>
      <c r="AH176" s="39">
        <f t="shared" si="158"/>
        <v>66.004650060790098</v>
      </c>
      <c r="AI176" s="39">
        <f t="shared" si="159"/>
        <v>64.041888824346174</v>
      </c>
      <c r="AJ176" s="39">
        <f t="shared" si="160"/>
        <v>87.157526513477109</v>
      </c>
      <c r="AK176" s="39">
        <f t="shared" si="161"/>
        <v>83.077755738394842</v>
      </c>
      <c r="AL176" s="39">
        <f t="shared" si="162"/>
        <v>70.800000000000011</v>
      </c>
      <c r="AM176" s="39">
        <f t="shared" si="163"/>
        <v>70.800000000000011</v>
      </c>
      <c r="AN176" s="39">
        <f t="shared" si="164"/>
        <v>70.800000000000011</v>
      </c>
      <c r="AO176" s="39">
        <f t="shared" si="103"/>
        <v>0</v>
      </c>
      <c r="AP176" s="39">
        <f t="shared" si="104"/>
        <v>0</v>
      </c>
      <c r="AQ176" s="39">
        <f t="shared" si="105"/>
        <v>0</v>
      </c>
      <c r="AR176" s="39">
        <f t="shared" si="106"/>
        <v>0</v>
      </c>
      <c r="AS176" s="39">
        <f t="shared" si="107"/>
        <v>0</v>
      </c>
      <c r="AT176" s="39">
        <f t="shared" si="108"/>
        <v>0</v>
      </c>
      <c r="AU176" s="39">
        <f t="shared" si="109"/>
        <v>0</v>
      </c>
      <c r="AV176" s="39">
        <f t="shared" si="110"/>
        <v>0</v>
      </c>
      <c r="AW176" s="39">
        <f t="shared" si="111"/>
        <v>0</v>
      </c>
      <c r="AX176" s="39">
        <f t="shared" si="112"/>
        <v>0</v>
      </c>
      <c r="AY176" s="39">
        <f t="shared" si="113"/>
        <v>0</v>
      </c>
      <c r="AZ176" s="39">
        <f t="shared" si="114"/>
        <v>0</v>
      </c>
      <c r="BA176" s="39">
        <f t="shared" si="115"/>
        <v>0</v>
      </c>
      <c r="BB176" s="39">
        <f t="shared" si="116"/>
        <v>0</v>
      </c>
      <c r="BC176" s="39">
        <f t="shared" si="117"/>
        <v>0</v>
      </c>
      <c r="BD176" s="39">
        <f t="shared" si="118"/>
        <v>0</v>
      </c>
      <c r="BE176" s="39">
        <f t="shared" si="119"/>
        <v>0</v>
      </c>
      <c r="BF176" s="39">
        <f t="shared" si="120"/>
        <v>0</v>
      </c>
      <c r="BG176" s="39">
        <f t="shared" si="121"/>
        <v>0</v>
      </c>
      <c r="BH176" s="84">
        <f t="shared" si="122"/>
        <v>0.16000000000000003</v>
      </c>
      <c r="BI176" s="84">
        <f t="shared" si="123"/>
        <v>0</v>
      </c>
      <c r="BJ176" s="84">
        <f t="shared" si="124"/>
        <v>0.16000000000000003</v>
      </c>
      <c r="BK176" s="39">
        <f t="shared" si="125"/>
        <v>53.956429290756439</v>
      </c>
      <c r="BL176" s="39">
        <f t="shared" si="126"/>
        <v>66.004650060790098</v>
      </c>
      <c r="BM176" s="39">
        <f t="shared" si="127"/>
        <v>64.041888824346174</v>
      </c>
      <c r="BN176" s="39">
        <f t="shared" si="128"/>
        <v>87.157526513477109</v>
      </c>
      <c r="BO176" s="39">
        <f t="shared" si="129"/>
        <v>83.077755738394842</v>
      </c>
      <c r="BP176" s="39">
        <f t="shared" si="130"/>
        <v>70.800000000000011</v>
      </c>
      <c r="BQ176" s="39">
        <f t="shared" si="131"/>
        <v>70.800000000000011</v>
      </c>
      <c r="BR176" s="39">
        <f t="shared" si="132"/>
        <v>70.800000000000011</v>
      </c>
      <c r="BS176" s="39">
        <f t="shared" si="133"/>
        <v>0</v>
      </c>
      <c r="BT176" s="39">
        <f t="shared" si="134"/>
        <v>2.7900364740588656E-3</v>
      </c>
      <c r="BU176" s="39">
        <f t="shared" si="135"/>
        <v>2.5133294607712742E-2</v>
      </c>
      <c r="BV176" s="39">
        <f t="shared" si="136"/>
        <v>9.4515908086256664E-2</v>
      </c>
      <c r="BW176" s="39">
        <f t="shared" si="137"/>
        <v>0</v>
      </c>
      <c r="BX176" s="39">
        <f t="shared" si="138"/>
        <v>0</v>
      </c>
      <c r="BY176" s="39">
        <f t="shared" si="139"/>
        <v>0</v>
      </c>
      <c r="BZ176" s="39">
        <f t="shared" si="140"/>
        <v>0</v>
      </c>
      <c r="CA176" s="39">
        <f t="shared" si="141"/>
        <v>53.956429290756439</v>
      </c>
      <c r="CB176" s="39">
        <f t="shared" si="142"/>
        <v>66.001860024316045</v>
      </c>
      <c r="CC176" s="39">
        <f t="shared" si="143"/>
        <v>64.019545566212514</v>
      </c>
      <c r="CD176" s="39">
        <f t="shared" si="144"/>
        <v>87.08814389999857</v>
      </c>
      <c r="CE176" s="39">
        <f t="shared" si="145"/>
        <v>83.172271646481093</v>
      </c>
      <c r="CF176" s="39">
        <f t="shared" si="146"/>
        <v>70.800000000000011</v>
      </c>
      <c r="CG176" s="39">
        <f t="shared" si="147"/>
        <v>70.800000000000011</v>
      </c>
      <c r="CH176" s="39">
        <f t="shared" si="148"/>
        <v>70.800000000000011</v>
      </c>
      <c r="CI176" s="39">
        <f t="shared" si="149"/>
        <v>0</v>
      </c>
      <c r="CJ176" s="39">
        <f t="shared" si="150"/>
        <v>0</v>
      </c>
      <c r="CK176" s="39">
        <f t="shared" si="151"/>
        <v>0</v>
      </c>
      <c r="CL176" s="39">
        <f t="shared" si="152"/>
        <v>0</v>
      </c>
      <c r="CM176" s="39">
        <f t="shared" si="153"/>
        <v>0</v>
      </c>
      <c r="CN176" s="39">
        <f t="shared" si="154"/>
        <v>0</v>
      </c>
      <c r="CO176" s="39">
        <f t="shared" si="155"/>
        <v>0</v>
      </c>
      <c r="CP176" s="39">
        <f t="shared" si="156"/>
        <v>0</v>
      </c>
    </row>
    <row r="177" spans="2:94" ht="16" customHeight="1" x14ac:dyDescent="0.2">
      <c r="B177" s="38"/>
      <c r="L177" s="63">
        <v>30489</v>
      </c>
      <c r="M177" s="38">
        <v>0</v>
      </c>
      <c r="N177" s="38">
        <v>1.4</v>
      </c>
      <c r="O177" s="39">
        <v>0</v>
      </c>
      <c r="P177" s="39">
        <v>0</v>
      </c>
      <c r="Q177" s="46">
        <f t="shared" si="87"/>
        <v>0.10143967035657478</v>
      </c>
      <c r="R177" s="81">
        <f t="shared" si="88"/>
        <v>0</v>
      </c>
      <c r="S177" s="82">
        <f t="shared" si="89"/>
        <v>0</v>
      </c>
      <c r="T177" s="39">
        <f t="shared" si="90"/>
        <v>0</v>
      </c>
      <c r="U177" s="83">
        <f t="shared" si="91"/>
        <v>0</v>
      </c>
      <c r="V177" s="84">
        <f t="shared" si="92"/>
        <v>1.1199999999999999</v>
      </c>
      <c r="W177" s="52">
        <f t="shared" si="93"/>
        <v>122.06597878128355</v>
      </c>
      <c r="X177" s="52">
        <f t="shared" si="94"/>
        <v>154.57227164648111</v>
      </c>
      <c r="Y177" s="52">
        <f t="shared" si="95"/>
        <v>276.63825042776466</v>
      </c>
      <c r="Z177" s="53">
        <f t="shared" si="96"/>
        <v>0.95364045922877771</v>
      </c>
      <c r="AA177" s="53">
        <f t="shared" si="97"/>
        <v>0.92007304551476854</v>
      </c>
      <c r="AB177" s="53">
        <f t="shared" si="98"/>
        <v>0.93458868387758331</v>
      </c>
      <c r="AC177" s="39" t="str">
        <f t="shared" si="99"/>
        <v>No</v>
      </c>
      <c r="AD177" s="85">
        <f t="shared" si="100"/>
        <v>0</v>
      </c>
      <c r="AE177" s="46">
        <f t="shared" si="101"/>
        <v>1</v>
      </c>
      <c r="AF177" s="46">
        <f t="shared" si="102"/>
        <v>0</v>
      </c>
      <c r="AG177" s="39">
        <f t="shared" si="157"/>
        <v>53.956429290756439</v>
      </c>
      <c r="AH177" s="39">
        <f t="shared" si="158"/>
        <v>66.001860024316045</v>
      </c>
      <c r="AI177" s="39">
        <f t="shared" si="159"/>
        <v>64.019545566212514</v>
      </c>
      <c r="AJ177" s="39">
        <f t="shared" si="160"/>
        <v>87.08814389999857</v>
      </c>
      <c r="AK177" s="39">
        <f t="shared" si="161"/>
        <v>83.172271646481093</v>
      </c>
      <c r="AL177" s="39">
        <f t="shared" si="162"/>
        <v>70.800000000000011</v>
      </c>
      <c r="AM177" s="39">
        <f t="shared" si="163"/>
        <v>70.800000000000011</v>
      </c>
      <c r="AN177" s="39">
        <f t="shared" si="164"/>
        <v>70.800000000000011</v>
      </c>
      <c r="AO177" s="39">
        <f t="shared" si="103"/>
        <v>0</v>
      </c>
      <c r="AP177" s="39">
        <f t="shared" si="104"/>
        <v>0</v>
      </c>
      <c r="AQ177" s="39">
        <f t="shared" si="105"/>
        <v>0</v>
      </c>
      <c r="AR177" s="39">
        <f t="shared" si="106"/>
        <v>0</v>
      </c>
      <c r="AS177" s="39">
        <f t="shared" si="107"/>
        <v>0</v>
      </c>
      <c r="AT177" s="39">
        <f t="shared" si="108"/>
        <v>0</v>
      </c>
      <c r="AU177" s="39">
        <f t="shared" si="109"/>
        <v>0</v>
      </c>
      <c r="AV177" s="39">
        <f t="shared" si="110"/>
        <v>0</v>
      </c>
      <c r="AW177" s="39">
        <f t="shared" si="111"/>
        <v>0</v>
      </c>
      <c r="AX177" s="39">
        <f t="shared" si="112"/>
        <v>0</v>
      </c>
      <c r="AY177" s="39">
        <f t="shared" si="113"/>
        <v>0</v>
      </c>
      <c r="AZ177" s="39">
        <f t="shared" si="114"/>
        <v>0</v>
      </c>
      <c r="BA177" s="39">
        <f t="shared" si="115"/>
        <v>0</v>
      </c>
      <c r="BB177" s="39">
        <f t="shared" si="116"/>
        <v>0</v>
      </c>
      <c r="BC177" s="39">
        <f t="shared" si="117"/>
        <v>0</v>
      </c>
      <c r="BD177" s="39">
        <f t="shared" si="118"/>
        <v>0</v>
      </c>
      <c r="BE177" s="39">
        <f t="shared" si="119"/>
        <v>0</v>
      </c>
      <c r="BF177" s="39">
        <f t="shared" si="120"/>
        <v>0</v>
      </c>
      <c r="BG177" s="39">
        <f t="shared" si="121"/>
        <v>0</v>
      </c>
      <c r="BH177" s="84">
        <f t="shared" si="122"/>
        <v>0.35642929075643792</v>
      </c>
      <c r="BI177" s="84">
        <f t="shared" si="123"/>
        <v>0.76357070924356196</v>
      </c>
      <c r="BJ177" s="84">
        <f t="shared" si="124"/>
        <v>1.1199999999999999</v>
      </c>
      <c r="BK177" s="39">
        <f t="shared" si="125"/>
        <v>52.836429290756442</v>
      </c>
      <c r="BL177" s="39">
        <f t="shared" si="126"/>
        <v>66.001860024316045</v>
      </c>
      <c r="BM177" s="39">
        <f t="shared" si="127"/>
        <v>64.019545566212514</v>
      </c>
      <c r="BN177" s="39">
        <f t="shared" si="128"/>
        <v>87.08814389999857</v>
      </c>
      <c r="BO177" s="39">
        <f t="shared" si="129"/>
        <v>83.172271646481093</v>
      </c>
      <c r="BP177" s="39">
        <f t="shared" si="130"/>
        <v>70.800000000000011</v>
      </c>
      <c r="BQ177" s="39">
        <f t="shared" si="131"/>
        <v>70.800000000000011</v>
      </c>
      <c r="BR177" s="39">
        <f t="shared" si="132"/>
        <v>70.800000000000011</v>
      </c>
      <c r="BS177" s="39">
        <f t="shared" si="133"/>
        <v>0</v>
      </c>
      <c r="BT177" s="39">
        <f t="shared" si="134"/>
        <v>1.1160145896269569E-3</v>
      </c>
      <c r="BU177" s="39">
        <f t="shared" si="135"/>
        <v>1.1727339727517005E-2</v>
      </c>
      <c r="BV177" s="39">
        <f t="shared" si="136"/>
        <v>5.2886339999133725E-2</v>
      </c>
      <c r="BW177" s="39">
        <f t="shared" si="137"/>
        <v>0</v>
      </c>
      <c r="BX177" s="39">
        <f t="shared" si="138"/>
        <v>0</v>
      </c>
      <c r="BY177" s="39">
        <f t="shared" si="139"/>
        <v>0</v>
      </c>
      <c r="BZ177" s="39">
        <f t="shared" si="140"/>
        <v>0</v>
      </c>
      <c r="CA177" s="39">
        <f t="shared" si="141"/>
        <v>52.836429290756442</v>
      </c>
      <c r="CB177" s="39">
        <f t="shared" si="142"/>
        <v>66.000744009726418</v>
      </c>
      <c r="CC177" s="39">
        <f t="shared" si="143"/>
        <v>64.008934241074627</v>
      </c>
      <c r="CD177" s="39">
        <f t="shared" si="144"/>
        <v>87.046984899726951</v>
      </c>
      <c r="CE177" s="39">
        <f t="shared" si="145"/>
        <v>83.225157986480227</v>
      </c>
      <c r="CF177" s="39">
        <f t="shared" si="146"/>
        <v>70.800000000000011</v>
      </c>
      <c r="CG177" s="39">
        <f t="shared" si="147"/>
        <v>70.800000000000011</v>
      </c>
      <c r="CH177" s="39">
        <f t="shared" si="148"/>
        <v>70.800000000000011</v>
      </c>
      <c r="CI177" s="39">
        <f t="shared" si="149"/>
        <v>0</v>
      </c>
      <c r="CJ177" s="39">
        <f t="shared" si="150"/>
        <v>0</v>
      </c>
      <c r="CK177" s="39">
        <f t="shared" si="151"/>
        <v>0</v>
      </c>
      <c r="CL177" s="39">
        <f t="shared" si="152"/>
        <v>0</v>
      </c>
      <c r="CM177" s="39">
        <f t="shared" si="153"/>
        <v>0</v>
      </c>
      <c r="CN177" s="39">
        <f t="shared" si="154"/>
        <v>0</v>
      </c>
      <c r="CO177" s="39">
        <f t="shared" si="155"/>
        <v>0</v>
      </c>
      <c r="CP177" s="39">
        <f t="shared" si="156"/>
        <v>0</v>
      </c>
    </row>
    <row r="178" spans="2:94" ht="16" customHeight="1" x14ac:dyDescent="0.2">
      <c r="B178" s="38"/>
      <c r="L178" s="63">
        <v>30490</v>
      </c>
      <c r="M178" s="38">
        <v>0</v>
      </c>
      <c r="N178" s="38">
        <v>1.4</v>
      </c>
      <c r="O178" s="39">
        <v>0</v>
      </c>
      <c r="P178" s="39">
        <v>0</v>
      </c>
      <c r="Q178" s="46">
        <f t="shared" si="87"/>
        <v>0.10370994062684505</v>
      </c>
      <c r="R178" s="81">
        <f t="shared" si="88"/>
        <v>0</v>
      </c>
      <c r="S178" s="82">
        <f t="shared" si="89"/>
        <v>0</v>
      </c>
      <c r="T178" s="39">
        <f t="shared" si="90"/>
        <v>0</v>
      </c>
      <c r="U178" s="83">
        <f t="shared" si="91"/>
        <v>0</v>
      </c>
      <c r="V178" s="84">
        <f t="shared" si="92"/>
        <v>1.1199999999999999</v>
      </c>
      <c r="W178" s="52">
        <f t="shared" si="93"/>
        <v>120.89309244128447</v>
      </c>
      <c r="X178" s="52">
        <f t="shared" si="94"/>
        <v>154.62515798648025</v>
      </c>
      <c r="Y178" s="52">
        <f t="shared" si="95"/>
        <v>275.51825042776471</v>
      </c>
      <c r="Z178" s="53">
        <f t="shared" si="96"/>
        <v>0.94447728469753489</v>
      </c>
      <c r="AA178" s="53">
        <f t="shared" si="97"/>
        <v>0.92038784515762051</v>
      </c>
      <c r="AB178" s="53">
        <f t="shared" si="98"/>
        <v>0.93080490009379968</v>
      </c>
      <c r="AC178" s="39" t="str">
        <f t="shared" si="99"/>
        <v>No</v>
      </c>
      <c r="AD178" s="85">
        <f t="shared" si="100"/>
        <v>0</v>
      </c>
      <c r="AE178" s="46">
        <f t="shared" si="101"/>
        <v>1</v>
      </c>
      <c r="AF178" s="46">
        <f t="shared" si="102"/>
        <v>0</v>
      </c>
      <c r="AG178" s="39">
        <f t="shared" si="157"/>
        <v>52.836429290756442</v>
      </c>
      <c r="AH178" s="39">
        <f t="shared" si="158"/>
        <v>66.000744009726418</v>
      </c>
      <c r="AI178" s="39">
        <f t="shared" si="159"/>
        <v>64.008934241074627</v>
      </c>
      <c r="AJ178" s="39">
        <f t="shared" si="160"/>
        <v>87.046984899726951</v>
      </c>
      <c r="AK178" s="39">
        <f t="shared" si="161"/>
        <v>83.225157986480227</v>
      </c>
      <c r="AL178" s="39">
        <f t="shared" si="162"/>
        <v>70.800000000000011</v>
      </c>
      <c r="AM178" s="39">
        <f t="shared" si="163"/>
        <v>70.800000000000011</v>
      </c>
      <c r="AN178" s="39">
        <f t="shared" si="164"/>
        <v>70.800000000000011</v>
      </c>
      <c r="AO178" s="39">
        <f t="shared" si="103"/>
        <v>0</v>
      </c>
      <c r="AP178" s="39">
        <f t="shared" si="104"/>
        <v>0</v>
      </c>
      <c r="AQ178" s="39">
        <f t="shared" si="105"/>
        <v>0</v>
      </c>
      <c r="AR178" s="39">
        <f t="shared" si="106"/>
        <v>0</v>
      </c>
      <c r="AS178" s="39">
        <f t="shared" si="107"/>
        <v>0</v>
      </c>
      <c r="AT178" s="39">
        <f t="shared" si="108"/>
        <v>0</v>
      </c>
      <c r="AU178" s="39">
        <f t="shared" si="109"/>
        <v>0</v>
      </c>
      <c r="AV178" s="39">
        <f t="shared" si="110"/>
        <v>0</v>
      </c>
      <c r="AW178" s="39">
        <f t="shared" si="111"/>
        <v>0</v>
      </c>
      <c r="AX178" s="39">
        <f t="shared" si="112"/>
        <v>0</v>
      </c>
      <c r="AY178" s="39">
        <f t="shared" si="113"/>
        <v>0</v>
      </c>
      <c r="AZ178" s="39">
        <f t="shared" si="114"/>
        <v>0</v>
      </c>
      <c r="BA178" s="39">
        <f t="shared" si="115"/>
        <v>0</v>
      </c>
      <c r="BB178" s="39">
        <f t="shared" si="116"/>
        <v>0</v>
      </c>
      <c r="BC178" s="39">
        <f t="shared" si="117"/>
        <v>0</v>
      </c>
      <c r="BD178" s="39">
        <f t="shared" si="118"/>
        <v>0</v>
      </c>
      <c r="BE178" s="39">
        <f t="shared" si="119"/>
        <v>0</v>
      </c>
      <c r="BF178" s="39">
        <f t="shared" si="120"/>
        <v>0</v>
      </c>
      <c r="BG178" s="39">
        <f t="shared" si="121"/>
        <v>0</v>
      </c>
      <c r="BH178" s="84">
        <f t="shared" si="122"/>
        <v>0</v>
      </c>
      <c r="BI178" s="84">
        <f t="shared" si="123"/>
        <v>1.1199999999999999</v>
      </c>
      <c r="BJ178" s="84">
        <f t="shared" si="124"/>
        <v>1.0339734356961883</v>
      </c>
      <c r="BK178" s="39">
        <f t="shared" si="125"/>
        <v>51.802455855060252</v>
      </c>
      <c r="BL178" s="39">
        <f t="shared" si="126"/>
        <v>66.000744009726418</v>
      </c>
      <c r="BM178" s="39">
        <f t="shared" si="127"/>
        <v>64.008934241074627</v>
      </c>
      <c r="BN178" s="39">
        <f t="shared" si="128"/>
        <v>87.046984899726951</v>
      </c>
      <c r="BO178" s="39">
        <f t="shared" si="129"/>
        <v>83.225157986480227</v>
      </c>
      <c r="BP178" s="39">
        <f t="shared" si="130"/>
        <v>70.800000000000011</v>
      </c>
      <c r="BQ178" s="39">
        <f t="shared" si="131"/>
        <v>70.800000000000011</v>
      </c>
      <c r="BR178" s="39">
        <f t="shared" si="132"/>
        <v>70.800000000000011</v>
      </c>
      <c r="BS178" s="39">
        <f t="shared" si="133"/>
        <v>0</v>
      </c>
      <c r="BT178" s="39">
        <f t="shared" si="134"/>
        <v>4.4640583585078272E-4</v>
      </c>
      <c r="BU178" s="39">
        <f t="shared" si="135"/>
        <v>5.3605446447846814E-3</v>
      </c>
      <c r="BV178" s="39">
        <f t="shared" si="136"/>
        <v>2.8190939836161985E-2</v>
      </c>
      <c r="BW178" s="39">
        <f t="shared" si="137"/>
        <v>0</v>
      </c>
      <c r="BX178" s="39">
        <f t="shared" si="138"/>
        <v>0</v>
      </c>
      <c r="BY178" s="39">
        <f t="shared" si="139"/>
        <v>0</v>
      </c>
      <c r="BZ178" s="39">
        <f t="shared" si="140"/>
        <v>0</v>
      </c>
      <c r="CA178" s="39">
        <f t="shared" si="141"/>
        <v>51.802455855060252</v>
      </c>
      <c r="CB178" s="39">
        <f t="shared" si="142"/>
        <v>66.000297603890573</v>
      </c>
      <c r="CC178" s="39">
        <f t="shared" si="143"/>
        <v>64.004020102265684</v>
      </c>
      <c r="CD178" s="39">
        <f t="shared" si="144"/>
        <v>87.024154504535574</v>
      </c>
      <c r="CE178" s="39">
        <f t="shared" si="145"/>
        <v>83.253348926316391</v>
      </c>
      <c r="CF178" s="39">
        <f t="shared" si="146"/>
        <v>70.800000000000011</v>
      </c>
      <c r="CG178" s="39">
        <f t="shared" si="147"/>
        <v>70.800000000000011</v>
      </c>
      <c r="CH178" s="39">
        <f t="shared" si="148"/>
        <v>70.800000000000011</v>
      </c>
      <c r="CI178" s="39">
        <f t="shared" si="149"/>
        <v>0</v>
      </c>
      <c r="CJ178" s="39">
        <f t="shared" si="150"/>
        <v>0</v>
      </c>
      <c r="CK178" s="39">
        <f t="shared" si="151"/>
        <v>0</v>
      </c>
      <c r="CL178" s="39">
        <f t="shared" si="152"/>
        <v>0</v>
      </c>
      <c r="CM178" s="39">
        <f t="shared" si="153"/>
        <v>0</v>
      </c>
      <c r="CN178" s="39">
        <f t="shared" si="154"/>
        <v>0</v>
      </c>
      <c r="CO178" s="39">
        <f t="shared" si="155"/>
        <v>0</v>
      </c>
      <c r="CP178" s="39">
        <f t="shared" si="156"/>
        <v>0</v>
      </c>
    </row>
    <row r="179" spans="2:94" ht="16" customHeight="1" x14ac:dyDescent="0.2">
      <c r="B179" s="38"/>
      <c r="L179" s="63">
        <v>30491</v>
      </c>
      <c r="M179" s="38">
        <v>0</v>
      </c>
      <c r="N179" s="38">
        <v>1.5</v>
      </c>
      <c r="O179" s="39">
        <v>0</v>
      </c>
      <c r="P179" s="39">
        <v>0</v>
      </c>
      <c r="Q179" s="46">
        <f t="shared" si="87"/>
        <v>0.10580583272622922</v>
      </c>
      <c r="R179" s="81">
        <f t="shared" si="88"/>
        <v>0</v>
      </c>
      <c r="S179" s="82">
        <f t="shared" si="89"/>
        <v>0</v>
      </c>
      <c r="T179" s="39">
        <f t="shared" si="90"/>
        <v>0</v>
      </c>
      <c r="U179" s="83">
        <f t="shared" si="91"/>
        <v>0</v>
      </c>
      <c r="V179" s="84">
        <f t="shared" si="92"/>
        <v>1.2000000000000002</v>
      </c>
      <c r="W179" s="52">
        <f t="shared" si="93"/>
        <v>119.83092806575212</v>
      </c>
      <c r="X179" s="52">
        <f t="shared" si="94"/>
        <v>154.65334892631643</v>
      </c>
      <c r="Y179" s="52">
        <f t="shared" si="95"/>
        <v>274.48427699206854</v>
      </c>
      <c r="Z179" s="53">
        <f t="shared" si="96"/>
        <v>0.93617912551368843</v>
      </c>
      <c r="AA179" s="53">
        <f t="shared" si="97"/>
        <v>0.92055564837093107</v>
      </c>
      <c r="AB179" s="53">
        <f t="shared" si="98"/>
        <v>0.92731174659482618</v>
      </c>
      <c r="AC179" s="39" t="str">
        <f t="shared" si="99"/>
        <v>No</v>
      </c>
      <c r="AD179" s="85">
        <f t="shared" si="100"/>
        <v>0</v>
      </c>
      <c r="AE179" s="46">
        <f t="shared" si="101"/>
        <v>1</v>
      </c>
      <c r="AF179" s="46">
        <f t="shared" si="102"/>
        <v>0</v>
      </c>
      <c r="AG179" s="39">
        <f t="shared" si="157"/>
        <v>51.802455855060252</v>
      </c>
      <c r="AH179" s="39">
        <f t="shared" si="158"/>
        <v>66.000297603890573</v>
      </c>
      <c r="AI179" s="39">
        <f t="shared" si="159"/>
        <v>64.004020102265684</v>
      </c>
      <c r="AJ179" s="39">
        <f t="shared" si="160"/>
        <v>87.024154504535574</v>
      </c>
      <c r="AK179" s="39">
        <f t="shared" si="161"/>
        <v>83.253348926316391</v>
      </c>
      <c r="AL179" s="39">
        <f t="shared" si="162"/>
        <v>70.800000000000011</v>
      </c>
      <c r="AM179" s="39">
        <f t="shared" si="163"/>
        <v>70.800000000000011</v>
      </c>
      <c r="AN179" s="39">
        <f t="shared" si="164"/>
        <v>70.800000000000011</v>
      </c>
      <c r="AO179" s="39">
        <f t="shared" si="103"/>
        <v>0</v>
      </c>
      <c r="AP179" s="39">
        <f t="shared" si="104"/>
        <v>0</v>
      </c>
      <c r="AQ179" s="39">
        <f t="shared" si="105"/>
        <v>0</v>
      </c>
      <c r="AR179" s="39">
        <f t="shared" si="106"/>
        <v>0</v>
      </c>
      <c r="AS179" s="39">
        <f t="shared" si="107"/>
        <v>0</v>
      </c>
      <c r="AT179" s="39">
        <f t="shared" si="108"/>
        <v>0</v>
      </c>
      <c r="AU179" s="39">
        <f t="shared" si="109"/>
        <v>0</v>
      </c>
      <c r="AV179" s="39">
        <f t="shared" si="110"/>
        <v>0</v>
      </c>
      <c r="AW179" s="39">
        <f t="shared" si="111"/>
        <v>0</v>
      </c>
      <c r="AX179" s="39">
        <f t="shared" si="112"/>
        <v>0</v>
      </c>
      <c r="AY179" s="39">
        <f t="shared" si="113"/>
        <v>0</v>
      </c>
      <c r="AZ179" s="39">
        <f t="shared" si="114"/>
        <v>0</v>
      </c>
      <c r="BA179" s="39">
        <f t="shared" si="115"/>
        <v>0</v>
      </c>
      <c r="BB179" s="39">
        <f t="shared" si="116"/>
        <v>0</v>
      </c>
      <c r="BC179" s="39">
        <f t="shared" si="117"/>
        <v>0</v>
      </c>
      <c r="BD179" s="39">
        <f t="shared" si="118"/>
        <v>0</v>
      </c>
      <c r="BE179" s="39">
        <f t="shared" si="119"/>
        <v>0</v>
      </c>
      <c r="BF179" s="39">
        <f t="shared" si="120"/>
        <v>0</v>
      </c>
      <c r="BG179" s="39">
        <f t="shared" si="121"/>
        <v>0</v>
      </c>
      <c r="BH179" s="84">
        <f t="shared" si="122"/>
        <v>0</v>
      </c>
      <c r="BI179" s="84">
        <f t="shared" si="123"/>
        <v>1.2000000000000002</v>
      </c>
      <c r="BJ179" s="84">
        <f t="shared" si="124"/>
        <v>0.991606189876166</v>
      </c>
      <c r="BK179" s="39">
        <f t="shared" si="125"/>
        <v>50.810849665184087</v>
      </c>
      <c r="BL179" s="39">
        <f t="shared" si="126"/>
        <v>66.000297603890573</v>
      </c>
      <c r="BM179" s="39">
        <f t="shared" si="127"/>
        <v>64.004020102265684</v>
      </c>
      <c r="BN179" s="39">
        <f t="shared" si="128"/>
        <v>87.024154504535574</v>
      </c>
      <c r="BO179" s="39">
        <f t="shared" si="129"/>
        <v>83.253348926316391</v>
      </c>
      <c r="BP179" s="39">
        <f t="shared" si="130"/>
        <v>70.800000000000011</v>
      </c>
      <c r="BQ179" s="39">
        <f t="shared" si="131"/>
        <v>70.800000000000011</v>
      </c>
      <c r="BR179" s="39">
        <f t="shared" si="132"/>
        <v>70.800000000000011</v>
      </c>
      <c r="BS179" s="39">
        <f t="shared" si="133"/>
        <v>0</v>
      </c>
      <c r="BT179" s="39">
        <f t="shared" si="134"/>
        <v>1.7856233434372369E-4</v>
      </c>
      <c r="BU179" s="39">
        <f t="shared" si="135"/>
        <v>2.4120613594192262E-3</v>
      </c>
      <c r="BV179" s="39">
        <f t="shared" si="136"/>
        <v>1.4492702721335604E-2</v>
      </c>
      <c r="BW179" s="39">
        <f t="shared" si="137"/>
        <v>0</v>
      </c>
      <c r="BX179" s="39">
        <f t="shared" si="138"/>
        <v>0</v>
      </c>
      <c r="BY179" s="39">
        <f t="shared" si="139"/>
        <v>0</v>
      </c>
      <c r="BZ179" s="39">
        <f t="shared" si="140"/>
        <v>0</v>
      </c>
      <c r="CA179" s="39">
        <f t="shared" si="141"/>
        <v>50.810849665184087</v>
      </c>
      <c r="CB179" s="39">
        <f t="shared" si="142"/>
        <v>66.000119041556232</v>
      </c>
      <c r="CC179" s="39">
        <f t="shared" si="143"/>
        <v>64.001786603240603</v>
      </c>
      <c r="CD179" s="39">
        <f t="shared" si="144"/>
        <v>87.012073863173654</v>
      </c>
      <c r="CE179" s="39">
        <f t="shared" si="145"/>
        <v>83.267841629037733</v>
      </c>
      <c r="CF179" s="39">
        <f t="shared" si="146"/>
        <v>70.800000000000011</v>
      </c>
      <c r="CG179" s="39">
        <f t="shared" si="147"/>
        <v>70.800000000000011</v>
      </c>
      <c r="CH179" s="39">
        <f t="shared" si="148"/>
        <v>70.800000000000011</v>
      </c>
      <c r="CI179" s="39">
        <f t="shared" si="149"/>
        <v>0</v>
      </c>
      <c r="CJ179" s="39">
        <f t="shared" si="150"/>
        <v>0</v>
      </c>
      <c r="CK179" s="39">
        <f t="shared" si="151"/>
        <v>0</v>
      </c>
      <c r="CL179" s="39">
        <f t="shared" si="152"/>
        <v>0</v>
      </c>
      <c r="CM179" s="39">
        <f t="shared" si="153"/>
        <v>0</v>
      </c>
      <c r="CN179" s="39">
        <f t="shared" si="154"/>
        <v>0</v>
      </c>
      <c r="CO179" s="39">
        <f t="shared" si="155"/>
        <v>0</v>
      </c>
      <c r="CP179" s="39">
        <f t="shared" si="156"/>
        <v>0</v>
      </c>
    </row>
    <row r="180" spans="2:94" ht="16" customHeight="1" x14ac:dyDescent="0.2">
      <c r="B180" s="38"/>
      <c r="L180" s="63">
        <v>30492</v>
      </c>
      <c r="M180" s="38">
        <v>0</v>
      </c>
      <c r="N180" s="38">
        <v>1.2</v>
      </c>
      <c r="O180" s="39">
        <v>0</v>
      </c>
      <c r="P180" s="39">
        <v>0</v>
      </c>
      <c r="Q180" s="46">
        <f t="shared" si="87"/>
        <v>0.10781584527327551</v>
      </c>
      <c r="R180" s="81">
        <f t="shared" si="88"/>
        <v>0</v>
      </c>
      <c r="S180" s="82">
        <f t="shared" si="89"/>
        <v>0</v>
      </c>
      <c r="T180" s="39">
        <f t="shared" si="90"/>
        <v>0</v>
      </c>
      <c r="U180" s="83">
        <f t="shared" si="91"/>
        <v>0</v>
      </c>
      <c r="V180" s="84">
        <f t="shared" si="92"/>
        <v>0.96</v>
      </c>
      <c r="W180" s="52">
        <f t="shared" si="93"/>
        <v>118.82482917315457</v>
      </c>
      <c r="X180" s="52">
        <f t="shared" si="94"/>
        <v>154.66784162903775</v>
      </c>
      <c r="Y180" s="52">
        <f t="shared" si="95"/>
        <v>273.49267080219232</v>
      </c>
      <c r="Z180" s="53">
        <f t="shared" si="96"/>
        <v>0.92831897791527007</v>
      </c>
      <c r="AA180" s="53">
        <f t="shared" si="97"/>
        <v>0.92064191445855803</v>
      </c>
      <c r="AB180" s="53">
        <f t="shared" si="98"/>
        <v>0.92396172568308221</v>
      </c>
      <c r="AC180" s="39" t="str">
        <f t="shared" si="99"/>
        <v>No</v>
      </c>
      <c r="AD180" s="85">
        <f t="shared" si="100"/>
        <v>0</v>
      </c>
      <c r="AE180" s="46">
        <f t="shared" si="101"/>
        <v>1</v>
      </c>
      <c r="AF180" s="46">
        <f t="shared" si="102"/>
        <v>0</v>
      </c>
      <c r="AG180" s="39">
        <f t="shared" si="157"/>
        <v>50.810849665184087</v>
      </c>
      <c r="AH180" s="39">
        <f t="shared" si="158"/>
        <v>66.000119041556232</v>
      </c>
      <c r="AI180" s="39">
        <f t="shared" si="159"/>
        <v>64.001786603240603</v>
      </c>
      <c r="AJ180" s="39">
        <f t="shared" si="160"/>
        <v>87.012073863173654</v>
      </c>
      <c r="AK180" s="39">
        <f t="shared" si="161"/>
        <v>83.267841629037733</v>
      </c>
      <c r="AL180" s="39">
        <f t="shared" si="162"/>
        <v>70.800000000000011</v>
      </c>
      <c r="AM180" s="39">
        <f t="shared" si="163"/>
        <v>70.800000000000011</v>
      </c>
      <c r="AN180" s="39">
        <f t="shared" si="164"/>
        <v>70.800000000000011</v>
      </c>
      <c r="AO180" s="39">
        <f t="shared" si="103"/>
        <v>0</v>
      </c>
      <c r="AP180" s="39">
        <f t="shared" si="104"/>
        <v>0</v>
      </c>
      <c r="AQ180" s="39">
        <f t="shared" si="105"/>
        <v>0</v>
      </c>
      <c r="AR180" s="39">
        <f t="shared" si="106"/>
        <v>0</v>
      </c>
      <c r="AS180" s="39">
        <f t="shared" si="107"/>
        <v>0</v>
      </c>
      <c r="AT180" s="39">
        <f t="shared" si="108"/>
        <v>0</v>
      </c>
      <c r="AU180" s="39">
        <f t="shared" si="109"/>
        <v>0</v>
      </c>
      <c r="AV180" s="39">
        <f t="shared" si="110"/>
        <v>0</v>
      </c>
      <c r="AW180" s="39">
        <f t="shared" si="111"/>
        <v>0</v>
      </c>
      <c r="AX180" s="39">
        <f t="shared" si="112"/>
        <v>0</v>
      </c>
      <c r="AY180" s="39">
        <f t="shared" si="113"/>
        <v>0</v>
      </c>
      <c r="AZ180" s="39">
        <f t="shared" si="114"/>
        <v>0</v>
      </c>
      <c r="BA180" s="39">
        <f t="shared" si="115"/>
        <v>0</v>
      </c>
      <c r="BB180" s="39">
        <f t="shared" si="116"/>
        <v>0</v>
      </c>
      <c r="BC180" s="39">
        <f t="shared" si="117"/>
        <v>0</v>
      </c>
      <c r="BD180" s="39">
        <f t="shared" si="118"/>
        <v>0</v>
      </c>
      <c r="BE180" s="39">
        <f t="shared" si="119"/>
        <v>0</v>
      </c>
      <c r="BF180" s="39">
        <f t="shared" si="120"/>
        <v>0</v>
      </c>
      <c r="BG180" s="39">
        <f t="shared" si="121"/>
        <v>0</v>
      </c>
      <c r="BH180" s="84">
        <f t="shared" si="122"/>
        <v>0</v>
      </c>
      <c r="BI180" s="84">
        <f t="shared" si="123"/>
        <v>0.96</v>
      </c>
      <c r="BJ180" s="84">
        <f t="shared" si="124"/>
        <v>0.71118160678607956</v>
      </c>
      <c r="BK180" s="39">
        <f t="shared" si="125"/>
        <v>50.099668058398009</v>
      </c>
      <c r="BL180" s="39">
        <f t="shared" si="126"/>
        <v>66.000119041556232</v>
      </c>
      <c r="BM180" s="39">
        <f t="shared" si="127"/>
        <v>64.001786603240603</v>
      </c>
      <c r="BN180" s="39">
        <f t="shared" si="128"/>
        <v>87.012073863173654</v>
      </c>
      <c r="BO180" s="39">
        <f t="shared" si="129"/>
        <v>83.267841629037733</v>
      </c>
      <c r="BP180" s="39">
        <f t="shared" si="130"/>
        <v>70.800000000000011</v>
      </c>
      <c r="BQ180" s="39">
        <f t="shared" si="131"/>
        <v>70.800000000000011</v>
      </c>
      <c r="BR180" s="39">
        <f t="shared" si="132"/>
        <v>70.800000000000011</v>
      </c>
      <c r="BS180" s="39">
        <f t="shared" si="133"/>
        <v>0</v>
      </c>
      <c r="BT180" s="39">
        <f t="shared" si="134"/>
        <v>7.1424933739194782E-5</v>
      </c>
      <c r="BU180" s="39">
        <f t="shared" si="135"/>
        <v>1.071961944370514E-3</v>
      </c>
      <c r="BV180" s="39">
        <f t="shared" si="136"/>
        <v>7.2443179041840715E-3</v>
      </c>
      <c r="BW180" s="39">
        <f t="shared" si="137"/>
        <v>0</v>
      </c>
      <c r="BX180" s="39">
        <f t="shared" si="138"/>
        <v>0</v>
      </c>
      <c r="BY180" s="39">
        <f t="shared" si="139"/>
        <v>0</v>
      </c>
      <c r="BZ180" s="39">
        <f t="shared" si="140"/>
        <v>0</v>
      </c>
      <c r="CA180" s="39">
        <f t="shared" si="141"/>
        <v>50.099668058398009</v>
      </c>
      <c r="CB180" s="39">
        <f t="shared" si="142"/>
        <v>66.000047616622496</v>
      </c>
      <c r="CC180" s="39">
        <f t="shared" si="143"/>
        <v>64.000786066229963</v>
      </c>
      <c r="CD180" s="39">
        <f t="shared" si="144"/>
        <v>87.005901507213849</v>
      </c>
      <c r="CE180" s="39">
        <f t="shared" si="145"/>
        <v>83.275085946941914</v>
      </c>
      <c r="CF180" s="39">
        <f t="shared" si="146"/>
        <v>70.800000000000011</v>
      </c>
      <c r="CG180" s="39">
        <f t="shared" si="147"/>
        <v>70.800000000000011</v>
      </c>
      <c r="CH180" s="39">
        <f t="shared" si="148"/>
        <v>70.800000000000011</v>
      </c>
      <c r="CI180" s="39">
        <f t="shared" si="149"/>
        <v>0</v>
      </c>
      <c r="CJ180" s="39">
        <f t="shared" si="150"/>
        <v>0</v>
      </c>
      <c r="CK180" s="39">
        <f t="shared" si="151"/>
        <v>0</v>
      </c>
      <c r="CL180" s="39">
        <f t="shared" si="152"/>
        <v>0</v>
      </c>
      <c r="CM180" s="39">
        <f t="shared" si="153"/>
        <v>0</v>
      </c>
      <c r="CN180" s="39">
        <f t="shared" si="154"/>
        <v>0</v>
      </c>
      <c r="CO180" s="39">
        <f t="shared" si="155"/>
        <v>0</v>
      </c>
      <c r="CP180" s="39">
        <f t="shared" si="156"/>
        <v>0</v>
      </c>
    </row>
    <row r="181" spans="2:94" ht="16" customHeight="1" x14ac:dyDescent="0.2">
      <c r="B181" s="38"/>
      <c r="L181" s="63">
        <v>30493</v>
      </c>
      <c r="M181" s="38">
        <v>0</v>
      </c>
      <c r="N181" s="38">
        <v>1.4</v>
      </c>
      <c r="O181" s="39">
        <v>0</v>
      </c>
      <c r="P181" s="39">
        <v>0</v>
      </c>
      <c r="Q181" s="46">
        <f t="shared" si="87"/>
        <v>0.10925742961135537</v>
      </c>
      <c r="R181" s="81">
        <f t="shared" si="88"/>
        <v>0</v>
      </c>
      <c r="S181" s="82">
        <f t="shared" si="89"/>
        <v>0</v>
      </c>
      <c r="T181" s="39">
        <f t="shared" si="90"/>
        <v>0</v>
      </c>
      <c r="U181" s="83">
        <f t="shared" si="91"/>
        <v>0</v>
      </c>
      <c r="V181" s="84">
        <f t="shared" si="92"/>
        <v>1.1199999999999999</v>
      </c>
      <c r="W181" s="52">
        <f t="shared" si="93"/>
        <v>118.10640324846429</v>
      </c>
      <c r="X181" s="52">
        <f t="shared" si="94"/>
        <v>154.67508594694198</v>
      </c>
      <c r="Y181" s="52">
        <f t="shared" si="95"/>
        <v>272.78148919540627</v>
      </c>
      <c r="Z181" s="53">
        <f t="shared" si="96"/>
        <v>0.92270627537862726</v>
      </c>
      <c r="AA181" s="53">
        <f t="shared" si="97"/>
        <v>0.92068503539846414</v>
      </c>
      <c r="AB181" s="53">
        <f t="shared" si="98"/>
        <v>0.92155908511961582</v>
      </c>
      <c r="AC181" s="39" t="str">
        <f t="shared" si="99"/>
        <v>No</v>
      </c>
      <c r="AD181" s="85">
        <f t="shared" si="100"/>
        <v>0</v>
      </c>
      <c r="AE181" s="46">
        <f t="shared" si="101"/>
        <v>1</v>
      </c>
      <c r="AF181" s="46">
        <f t="shared" si="102"/>
        <v>0</v>
      </c>
      <c r="AG181" s="39">
        <f t="shared" si="157"/>
        <v>50.099668058398009</v>
      </c>
      <c r="AH181" s="39">
        <f t="shared" si="158"/>
        <v>66.000047616622496</v>
      </c>
      <c r="AI181" s="39">
        <f t="shared" si="159"/>
        <v>64.000786066229963</v>
      </c>
      <c r="AJ181" s="39">
        <f t="shared" si="160"/>
        <v>87.005901507213849</v>
      </c>
      <c r="AK181" s="39">
        <f t="shared" si="161"/>
        <v>83.275085946941914</v>
      </c>
      <c r="AL181" s="39">
        <f t="shared" si="162"/>
        <v>70.800000000000011</v>
      </c>
      <c r="AM181" s="39">
        <f t="shared" si="163"/>
        <v>70.800000000000011</v>
      </c>
      <c r="AN181" s="39">
        <f t="shared" si="164"/>
        <v>70.800000000000011</v>
      </c>
      <c r="AO181" s="39">
        <f t="shared" si="103"/>
        <v>0</v>
      </c>
      <c r="AP181" s="39">
        <f t="shared" si="104"/>
        <v>0</v>
      </c>
      <c r="AQ181" s="39">
        <f t="shared" si="105"/>
        <v>0</v>
      </c>
      <c r="AR181" s="39">
        <f t="shared" si="106"/>
        <v>0</v>
      </c>
      <c r="AS181" s="39">
        <f t="shared" si="107"/>
        <v>0</v>
      </c>
      <c r="AT181" s="39">
        <f t="shared" si="108"/>
        <v>0</v>
      </c>
      <c r="AU181" s="39">
        <f t="shared" si="109"/>
        <v>0</v>
      </c>
      <c r="AV181" s="39">
        <f t="shared" si="110"/>
        <v>0</v>
      </c>
      <c r="AW181" s="39">
        <f t="shared" si="111"/>
        <v>0</v>
      </c>
      <c r="AX181" s="39">
        <f t="shared" si="112"/>
        <v>0</v>
      </c>
      <c r="AY181" s="39">
        <f t="shared" si="113"/>
        <v>0</v>
      </c>
      <c r="AZ181" s="39">
        <f t="shared" si="114"/>
        <v>0</v>
      </c>
      <c r="BA181" s="39">
        <f t="shared" si="115"/>
        <v>0</v>
      </c>
      <c r="BB181" s="39">
        <f t="shared" si="116"/>
        <v>0</v>
      </c>
      <c r="BC181" s="39">
        <f t="shared" si="117"/>
        <v>0</v>
      </c>
      <c r="BD181" s="39">
        <f t="shared" si="118"/>
        <v>0</v>
      </c>
      <c r="BE181" s="39">
        <f t="shared" si="119"/>
        <v>0</v>
      </c>
      <c r="BF181" s="39">
        <f t="shared" si="120"/>
        <v>0</v>
      </c>
      <c r="BG181" s="39">
        <f t="shared" si="121"/>
        <v>0</v>
      </c>
      <c r="BH181" s="84">
        <f t="shared" si="122"/>
        <v>0</v>
      </c>
      <c r="BI181" s="84">
        <f t="shared" si="123"/>
        <v>1.1199999999999999</v>
      </c>
      <c r="BJ181" s="84">
        <f t="shared" si="124"/>
        <v>0.76573913125038862</v>
      </c>
      <c r="BK181" s="39">
        <f t="shared" si="125"/>
        <v>49.333928927147618</v>
      </c>
      <c r="BL181" s="39">
        <f t="shared" si="126"/>
        <v>66.000047616622496</v>
      </c>
      <c r="BM181" s="39">
        <f t="shared" si="127"/>
        <v>64.000786066229963</v>
      </c>
      <c r="BN181" s="39">
        <f t="shared" si="128"/>
        <v>87.005901507213849</v>
      </c>
      <c r="BO181" s="39">
        <f t="shared" si="129"/>
        <v>83.275085946941914</v>
      </c>
      <c r="BP181" s="39">
        <f t="shared" si="130"/>
        <v>70.800000000000011</v>
      </c>
      <c r="BQ181" s="39">
        <f t="shared" si="131"/>
        <v>70.800000000000011</v>
      </c>
      <c r="BR181" s="39">
        <f t="shared" si="132"/>
        <v>70.800000000000011</v>
      </c>
      <c r="BS181" s="39">
        <f t="shared" si="133"/>
        <v>0</v>
      </c>
      <c r="BT181" s="39">
        <f t="shared" si="134"/>
        <v>2.8569973497383214E-5</v>
      </c>
      <c r="BU181" s="39">
        <f t="shared" si="135"/>
        <v>4.716397379866066E-4</v>
      </c>
      <c r="BV181" s="39">
        <f t="shared" si="136"/>
        <v>3.5409043283010531E-3</v>
      </c>
      <c r="BW181" s="39">
        <f t="shared" si="137"/>
        <v>0</v>
      </c>
      <c r="BX181" s="39">
        <f t="shared" si="138"/>
        <v>0</v>
      </c>
      <c r="BY181" s="39">
        <f t="shared" si="139"/>
        <v>0</v>
      </c>
      <c r="BZ181" s="39">
        <f t="shared" si="140"/>
        <v>0</v>
      </c>
      <c r="CA181" s="39">
        <f t="shared" si="141"/>
        <v>49.333928927147618</v>
      </c>
      <c r="CB181" s="39">
        <f t="shared" si="142"/>
        <v>66.000019046649001</v>
      </c>
      <c r="CC181" s="39">
        <f t="shared" si="143"/>
        <v>64.000342996465477</v>
      </c>
      <c r="CD181" s="39">
        <f t="shared" si="144"/>
        <v>87.002832242623526</v>
      </c>
      <c r="CE181" s="39">
        <f t="shared" si="145"/>
        <v>83.278626851270218</v>
      </c>
      <c r="CF181" s="39">
        <f t="shared" si="146"/>
        <v>70.800000000000011</v>
      </c>
      <c r="CG181" s="39">
        <f t="shared" si="147"/>
        <v>70.800000000000011</v>
      </c>
      <c r="CH181" s="39">
        <f t="shared" si="148"/>
        <v>70.800000000000011</v>
      </c>
      <c r="CI181" s="39">
        <f t="shared" si="149"/>
        <v>0</v>
      </c>
      <c r="CJ181" s="39">
        <f t="shared" si="150"/>
        <v>0</v>
      </c>
      <c r="CK181" s="39">
        <f t="shared" si="151"/>
        <v>0</v>
      </c>
      <c r="CL181" s="39">
        <f t="shared" si="152"/>
        <v>0</v>
      </c>
      <c r="CM181" s="39">
        <f t="shared" si="153"/>
        <v>0</v>
      </c>
      <c r="CN181" s="39">
        <f t="shared" si="154"/>
        <v>0</v>
      </c>
      <c r="CO181" s="39">
        <f t="shared" si="155"/>
        <v>0</v>
      </c>
      <c r="CP181" s="39">
        <f t="shared" si="156"/>
        <v>0</v>
      </c>
    </row>
    <row r="182" spans="2:94" ht="16" customHeight="1" x14ac:dyDescent="0.2">
      <c r="B182" s="38"/>
      <c r="L182" s="63">
        <v>30494</v>
      </c>
      <c r="M182" s="38">
        <v>0</v>
      </c>
      <c r="N182" s="38">
        <v>1</v>
      </c>
      <c r="O182" s="39">
        <v>0</v>
      </c>
      <c r="P182" s="39">
        <v>0</v>
      </c>
      <c r="Q182" s="46">
        <f t="shared" si="87"/>
        <v>0.11080960352605213</v>
      </c>
      <c r="R182" s="81">
        <f t="shared" si="88"/>
        <v>0</v>
      </c>
      <c r="S182" s="82">
        <f t="shared" si="89"/>
        <v>0</v>
      </c>
      <c r="T182" s="39">
        <f t="shared" si="90"/>
        <v>0</v>
      </c>
      <c r="U182" s="83">
        <f t="shared" si="91"/>
        <v>0</v>
      </c>
      <c r="V182" s="84">
        <f t="shared" si="92"/>
        <v>0.8</v>
      </c>
      <c r="W182" s="52">
        <f t="shared" si="93"/>
        <v>117.33712321288561</v>
      </c>
      <c r="X182" s="52">
        <f t="shared" si="94"/>
        <v>154.67862685127022</v>
      </c>
      <c r="Y182" s="52">
        <f t="shared" si="95"/>
        <v>272.01575006415584</v>
      </c>
      <c r="Z182" s="53">
        <f t="shared" si="96"/>
        <v>0.91669627510066887</v>
      </c>
      <c r="AA182" s="53">
        <f t="shared" si="97"/>
        <v>0.92070611220994181</v>
      </c>
      <c r="AB182" s="53">
        <f t="shared" si="98"/>
        <v>0.91897212859512112</v>
      </c>
      <c r="AC182" s="39" t="str">
        <f t="shared" si="99"/>
        <v>No</v>
      </c>
      <c r="AD182" s="85">
        <f t="shared" si="100"/>
        <v>0</v>
      </c>
      <c r="AE182" s="46">
        <f t="shared" si="101"/>
        <v>1</v>
      </c>
      <c r="AF182" s="46">
        <f t="shared" si="102"/>
        <v>0</v>
      </c>
      <c r="AG182" s="39">
        <f t="shared" si="157"/>
        <v>49.333928927147618</v>
      </c>
      <c r="AH182" s="39">
        <f t="shared" si="158"/>
        <v>66.000019046649001</v>
      </c>
      <c r="AI182" s="39">
        <f t="shared" si="159"/>
        <v>64.000342996465477</v>
      </c>
      <c r="AJ182" s="39">
        <f t="shared" si="160"/>
        <v>87.002832242623526</v>
      </c>
      <c r="AK182" s="39">
        <f t="shared" si="161"/>
        <v>83.278626851270218</v>
      </c>
      <c r="AL182" s="39">
        <f t="shared" si="162"/>
        <v>70.800000000000011</v>
      </c>
      <c r="AM182" s="39">
        <f t="shared" si="163"/>
        <v>70.800000000000011</v>
      </c>
      <c r="AN182" s="39">
        <f t="shared" si="164"/>
        <v>70.800000000000011</v>
      </c>
      <c r="AO182" s="39">
        <f t="shared" si="103"/>
        <v>0</v>
      </c>
      <c r="AP182" s="39">
        <f t="shared" si="104"/>
        <v>0</v>
      </c>
      <c r="AQ182" s="39">
        <f t="shared" si="105"/>
        <v>0</v>
      </c>
      <c r="AR182" s="39">
        <f t="shared" si="106"/>
        <v>0</v>
      </c>
      <c r="AS182" s="39">
        <f t="shared" si="107"/>
        <v>0</v>
      </c>
      <c r="AT182" s="39">
        <f t="shared" si="108"/>
        <v>0</v>
      </c>
      <c r="AU182" s="39">
        <f t="shared" si="109"/>
        <v>0</v>
      </c>
      <c r="AV182" s="39">
        <f t="shared" si="110"/>
        <v>0</v>
      </c>
      <c r="AW182" s="39">
        <f t="shared" si="111"/>
        <v>0</v>
      </c>
      <c r="AX182" s="39">
        <f t="shared" si="112"/>
        <v>0</v>
      </c>
      <c r="AY182" s="39">
        <f t="shared" si="113"/>
        <v>0</v>
      </c>
      <c r="AZ182" s="39">
        <f t="shared" si="114"/>
        <v>0</v>
      </c>
      <c r="BA182" s="39">
        <f t="shared" si="115"/>
        <v>0</v>
      </c>
      <c r="BB182" s="39">
        <f t="shared" si="116"/>
        <v>0</v>
      </c>
      <c r="BC182" s="39">
        <f t="shared" si="117"/>
        <v>0</v>
      </c>
      <c r="BD182" s="39">
        <f t="shared" si="118"/>
        <v>0</v>
      </c>
      <c r="BE182" s="39">
        <f t="shared" si="119"/>
        <v>0</v>
      </c>
      <c r="BF182" s="39">
        <f t="shared" si="120"/>
        <v>0</v>
      </c>
      <c r="BG182" s="39">
        <f t="shared" si="121"/>
        <v>0</v>
      </c>
      <c r="BH182" s="84">
        <f t="shared" si="122"/>
        <v>0</v>
      </c>
      <c r="BI182" s="84">
        <f t="shared" si="123"/>
        <v>0.8</v>
      </c>
      <c r="BJ182" s="84">
        <f t="shared" si="124"/>
        <v>0.50076594135643226</v>
      </c>
      <c r="BK182" s="39">
        <f t="shared" si="125"/>
        <v>48.833162985791184</v>
      </c>
      <c r="BL182" s="39">
        <f t="shared" si="126"/>
        <v>66.000019046649001</v>
      </c>
      <c r="BM182" s="39">
        <f t="shared" si="127"/>
        <v>64.000342996465477</v>
      </c>
      <c r="BN182" s="39">
        <f t="shared" si="128"/>
        <v>87.002832242623526</v>
      </c>
      <c r="BO182" s="39">
        <f t="shared" si="129"/>
        <v>83.278626851270218</v>
      </c>
      <c r="BP182" s="39">
        <f t="shared" si="130"/>
        <v>70.800000000000011</v>
      </c>
      <c r="BQ182" s="39">
        <f t="shared" si="131"/>
        <v>70.800000000000011</v>
      </c>
      <c r="BR182" s="39">
        <f t="shared" si="132"/>
        <v>70.800000000000011</v>
      </c>
      <c r="BS182" s="39">
        <f t="shared" si="133"/>
        <v>0</v>
      </c>
      <c r="BT182" s="39">
        <f t="shared" si="134"/>
        <v>1.1427989400658589E-5</v>
      </c>
      <c r="BU182" s="39">
        <f t="shared" si="135"/>
        <v>2.0579787929477788E-4</v>
      </c>
      <c r="BV182" s="39">
        <f t="shared" si="136"/>
        <v>1.6993455741072694E-3</v>
      </c>
      <c r="BW182" s="39">
        <f t="shared" si="137"/>
        <v>0</v>
      </c>
      <c r="BX182" s="39">
        <f t="shared" si="138"/>
        <v>0</v>
      </c>
      <c r="BY182" s="39">
        <f t="shared" si="139"/>
        <v>0</v>
      </c>
      <c r="BZ182" s="39">
        <f t="shared" si="140"/>
        <v>0</v>
      </c>
      <c r="CA182" s="39">
        <f t="shared" si="141"/>
        <v>48.833162985791184</v>
      </c>
      <c r="CB182" s="39">
        <f t="shared" si="142"/>
        <v>66.000007618659595</v>
      </c>
      <c r="CC182" s="39">
        <f t="shared" si="143"/>
        <v>64.000148626575594</v>
      </c>
      <c r="CD182" s="39">
        <f t="shared" si="144"/>
        <v>87.001338694928705</v>
      </c>
      <c r="CE182" s="39">
        <f t="shared" si="145"/>
        <v>83.280326196844328</v>
      </c>
      <c r="CF182" s="39">
        <f t="shared" si="146"/>
        <v>70.800000000000011</v>
      </c>
      <c r="CG182" s="39">
        <f t="shared" si="147"/>
        <v>70.800000000000011</v>
      </c>
      <c r="CH182" s="39">
        <f t="shared" si="148"/>
        <v>70.800000000000011</v>
      </c>
      <c r="CI182" s="39">
        <f t="shared" si="149"/>
        <v>0</v>
      </c>
      <c r="CJ182" s="39">
        <f t="shared" si="150"/>
        <v>0</v>
      </c>
      <c r="CK182" s="39">
        <f t="shared" si="151"/>
        <v>0</v>
      </c>
      <c r="CL182" s="39">
        <f t="shared" si="152"/>
        <v>0</v>
      </c>
      <c r="CM182" s="39">
        <f t="shared" si="153"/>
        <v>0</v>
      </c>
      <c r="CN182" s="39">
        <f t="shared" si="154"/>
        <v>0</v>
      </c>
      <c r="CO182" s="39">
        <f t="shared" si="155"/>
        <v>0</v>
      </c>
      <c r="CP182" s="39">
        <f t="shared" si="156"/>
        <v>0</v>
      </c>
    </row>
    <row r="183" spans="2:94" ht="16" customHeight="1" x14ac:dyDescent="0.2">
      <c r="B183" s="38"/>
      <c r="L183" s="63">
        <v>30495</v>
      </c>
      <c r="M183" s="38">
        <v>0</v>
      </c>
      <c r="N183" s="38">
        <v>1.1000000000000001</v>
      </c>
      <c r="O183" s="39">
        <v>0</v>
      </c>
      <c r="P183" s="39">
        <v>0</v>
      </c>
      <c r="Q183" s="46">
        <f t="shared" si="87"/>
        <v>0.11182466962339624</v>
      </c>
      <c r="R183" s="81">
        <f t="shared" si="88"/>
        <v>0</v>
      </c>
      <c r="S183" s="82">
        <f t="shared" si="89"/>
        <v>0</v>
      </c>
      <c r="T183" s="39">
        <f t="shared" si="90"/>
        <v>0</v>
      </c>
      <c r="U183" s="83">
        <f t="shared" si="91"/>
        <v>0</v>
      </c>
      <c r="V183" s="84">
        <f t="shared" si="92"/>
        <v>0.88000000000000012</v>
      </c>
      <c r="W183" s="52">
        <f t="shared" si="93"/>
        <v>116.83465792595507</v>
      </c>
      <c r="X183" s="52">
        <f t="shared" si="94"/>
        <v>154.68032619684436</v>
      </c>
      <c r="Y183" s="52">
        <f t="shared" si="95"/>
        <v>271.51498412279943</v>
      </c>
      <c r="Z183" s="53">
        <f t="shared" si="96"/>
        <v>0.91277076504652399</v>
      </c>
      <c r="AA183" s="53">
        <f t="shared" si="97"/>
        <v>0.92071622736216885</v>
      </c>
      <c r="AB183" s="53">
        <f t="shared" si="98"/>
        <v>0.91728035176621425</v>
      </c>
      <c r="AC183" s="39" t="str">
        <f t="shared" si="99"/>
        <v>No</v>
      </c>
      <c r="AD183" s="85">
        <f t="shared" si="100"/>
        <v>0</v>
      </c>
      <c r="AE183" s="46">
        <f t="shared" si="101"/>
        <v>1</v>
      </c>
      <c r="AF183" s="46">
        <f t="shared" si="102"/>
        <v>0</v>
      </c>
      <c r="AG183" s="39">
        <f t="shared" si="157"/>
        <v>48.833162985791184</v>
      </c>
      <c r="AH183" s="39">
        <f t="shared" si="158"/>
        <v>66.000007618659595</v>
      </c>
      <c r="AI183" s="39">
        <f t="shared" si="159"/>
        <v>64.000148626575594</v>
      </c>
      <c r="AJ183" s="39">
        <f t="shared" si="160"/>
        <v>87.001338694928705</v>
      </c>
      <c r="AK183" s="39">
        <f t="shared" si="161"/>
        <v>83.280326196844328</v>
      </c>
      <c r="AL183" s="39">
        <f t="shared" si="162"/>
        <v>70.800000000000011</v>
      </c>
      <c r="AM183" s="39">
        <f t="shared" si="163"/>
        <v>70.800000000000011</v>
      </c>
      <c r="AN183" s="39">
        <f t="shared" si="164"/>
        <v>70.800000000000011</v>
      </c>
      <c r="AO183" s="39">
        <f t="shared" si="103"/>
        <v>0</v>
      </c>
      <c r="AP183" s="39">
        <f t="shared" si="104"/>
        <v>0</v>
      </c>
      <c r="AQ183" s="39">
        <f t="shared" si="105"/>
        <v>0</v>
      </c>
      <c r="AR183" s="39">
        <f t="shared" si="106"/>
        <v>0</v>
      </c>
      <c r="AS183" s="39">
        <f t="shared" si="107"/>
        <v>0</v>
      </c>
      <c r="AT183" s="39">
        <f t="shared" si="108"/>
        <v>0</v>
      </c>
      <c r="AU183" s="39">
        <f t="shared" si="109"/>
        <v>0</v>
      </c>
      <c r="AV183" s="39">
        <f t="shared" si="110"/>
        <v>0</v>
      </c>
      <c r="AW183" s="39">
        <f t="shared" si="111"/>
        <v>0</v>
      </c>
      <c r="AX183" s="39">
        <f t="shared" si="112"/>
        <v>0</v>
      </c>
      <c r="AY183" s="39">
        <f t="shared" si="113"/>
        <v>0</v>
      </c>
      <c r="AZ183" s="39">
        <f t="shared" si="114"/>
        <v>0</v>
      </c>
      <c r="BA183" s="39">
        <f t="shared" si="115"/>
        <v>0</v>
      </c>
      <c r="BB183" s="39">
        <f t="shared" si="116"/>
        <v>0</v>
      </c>
      <c r="BC183" s="39">
        <f t="shared" si="117"/>
        <v>0</v>
      </c>
      <c r="BD183" s="39">
        <f t="shared" si="118"/>
        <v>0</v>
      </c>
      <c r="BE183" s="39">
        <f t="shared" si="119"/>
        <v>0</v>
      </c>
      <c r="BF183" s="39">
        <f t="shared" si="120"/>
        <v>0</v>
      </c>
      <c r="BG183" s="39">
        <f t="shared" si="121"/>
        <v>0</v>
      </c>
      <c r="BH183" s="84">
        <f t="shared" si="122"/>
        <v>0</v>
      </c>
      <c r="BI183" s="84">
        <f t="shared" si="123"/>
        <v>0.88000000000000012</v>
      </c>
      <c r="BJ183" s="84">
        <f t="shared" si="124"/>
        <v>0.51940228637983477</v>
      </c>
      <c r="BK183" s="39">
        <f t="shared" si="125"/>
        <v>48.313760699411347</v>
      </c>
      <c r="BL183" s="39">
        <f t="shared" si="126"/>
        <v>66.000007618659595</v>
      </c>
      <c r="BM183" s="39">
        <f t="shared" si="127"/>
        <v>64.000148626575594</v>
      </c>
      <c r="BN183" s="39">
        <f t="shared" si="128"/>
        <v>87.001338694928705</v>
      </c>
      <c r="BO183" s="39">
        <f t="shared" si="129"/>
        <v>83.280326196844328</v>
      </c>
      <c r="BP183" s="39">
        <f t="shared" si="130"/>
        <v>70.800000000000011</v>
      </c>
      <c r="BQ183" s="39">
        <f t="shared" si="131"/>
        <v>70.800000000000011</v>
      </c>
      <c r="BR183" s="39">
        <f t="shared" si="132"/>
        <v>70.800000000000011</v>
      </c>
      <c r="BS183" s="39">
        <f t="shared" si="133"/>
        <v>0</v>
      </c>
      <c r="BT183" s="39">
        <f t="shared" si="134"/>
        <v>4.5711957568528307E-6</v>
      </c>
      <c r="BU183" s="39">
        <f t="shared" si="135"/>
        <v>8.9175945365127515E-5</v>
      </c>
      <c r="BV183" s="39">
        <f t="shared" si="136"/>
        <v>8.032169572146586E-4</v>
      </c>
      <c r="BW183" s="39">
        <f t="shared" si="137"/>
        <v>0</v>
      </c>
      <c r="BX183" s="39">
        <f t="shared" si="138"/>
        <v>0</v>
      </c>
      <c r="BY183" s="39">
        <f t="shared" si="139"/>
        <v>0</v>
      </c>
      <c r="BZ183" s="39">
        <f t="shared" si="140"/>
        <v>0</v>
      </c>
      <c r="CA183" s="39">
        <f t="shared" si="141"/>
        <v>48.313760699411347</v>
      </c>
      <c r="CB183" s="39">
        <f t="shared" si="142"/>
        <v>66.000003047463835</v>
      </c>
      <c r="CC183" s="39">
        <f t="shared" si="143"/>
        <v>64.000064021825992</v>
      </c>
      <c r="CD183" s="39">
        <f t="shared" si="144"/>
        <v>87.000624653916859</v>
      </c>
      <c r="CE183" s="39">
        <f t="shared" si="145"/>
        <v>83.281129413801537</v>
      </c>
      <c r="CF183" s="39">
        <f t="shared" si="146"/>
        <v>70.800000000000011</v>
      </c>
      <c r="CG183" s="39">
        <f t="shared" si="147"/>
        <v>70.800000000000011</v>
      </c>
      <c r="CH183" s="39">
        <f t="shared" si="148"/>
        <v>70.800000000000011</v>
      </c>
      <c r="CI183" s="39">
        <f t="shared" si="149"/>
        <v>0</v>
      </c>
      <c r="CJ183" s="39">
        <f t="shared" si="150"/>
        <v>0</v>
      </c>
      <c r="CK183" s="39">
        <f t="shared" si="151"/>
        <v>0</v>
      </c>
      <c r="CL183" s="39">
        <f t="shared" si="152"/>
        <v>0</v>
      </c>
      <c r="CM183" s="39">
        <f t="shared" si="153"/>
        <v>0</v>
      </c>
      <c r="CN183" s="39">
        <f t="shared" si="154"/>
        <v>0</v>
      </c>
      <c r="CO183" s="39">
        <f t="shared" si="155"/>
        <v>0</v>
      </c>
      <c r="CP183" s="39">
        <f t="shared" si="156"/>
        <v>0</v>
      </c>
    </row>
    <row r="184" spans="2:94" ht="16" customHeight="1" x14ac:dyDescent="0.2">
      <c r="B184" s="38"/>
      <c r="L184" s="63">
        <v>30496</v>
      </c>
      <c r="M184" s="38">
        <v>0</v>
      </c>
      <c r="N184" s="38">
        <v>1.4</v>
      </c>
      <c r="O184" s="39">
        <v>0</v>
      </c>
      <c r="P184" s="39">
        <v>0</v>
      </c>
      <c r="Q184" s="46">
        <f t="shared" si="87"/>
        <v>0.11287751209578781</v>
      </c>
      <c r="R184" s="81">
        <f t="shared" si="88"/>
        <v>0</v>
      </c>
      <c r="S184" s="82">
        <f t="shared" si="89"/>
        <v>0</v>
      </c>
      <c r="T184" s="39">
        <f t="shared" si="90"/>
        <v>0</v>
      </c>
      <c r="U184" s="83">
        <f t="shared" si="91"/>
        <v>0</v>
      </c>
      <c r="V184" s="84">
        <f t="shared" si="92"/>
        <v>1.1199999999999999</v>
      </c>
      <c r="W184" s="52">
        <f t="shared" si="93"/>
        <v>116.31445242261805</v>
      </c>
      <c r="X184" s="52">
        <f t="shared" si="94"/>
        <v>154.68112941380156</v>
      </c>
      <c r="Y184" s="52">
        <f t="shared" si="95"/>
        <v>270.9955818364196</v>
      </c>
      <c r="Z184" s="53">
        <f t="shared" si="96"/>
        <v>0.90870665955170349</v>
      </c>
      <c r="AA184" s="53">
        <f t="shared" si="97"/>
        <v>0.92072100841548543</v>
      </c>
      <c r="AB184" s="53">
        <f t="shared" si="98"/>
        <v>0.91552561431222834</v>
      </c>
      <c r="AC184" s="39" t="str">
        <f t="shared" si="99"/>
        <v>No</v>
      </c>
      <c r="AD184" s="85">
        <f t="shared" si="100"/>
        <v>0</v>
      </c>
      <c r="AE184" s="46">
        <f t="shared" si="101"/>
        <v>1</v>
      </c>
      <c r="AF184" s="46">
        <f t="shared" si="102"/>
        <v>0</v>
      </c>
      <c r="AG184" s="39">
        <f t="shared" si="157"/>
        <v>48.313760699411347</v>
      </c>
      <c r="AH184" s="39">
        <f t="shared" si="158"/>
        <v>66.000003047463835</v>
      </c>
      <c r="AI184" s="39">
        <f t="shared" si="159"/>
        <v>64.000064021825992</v>
      </c>
      <c r="AJ184" s="39">
        <f t="shared" si="160"/>
        <v>87.000624653916859</v>
      </c>
      <c r="AK184" s="39">
        <f t="shared" si="161"/>
        <v>83.281129413801537</v>
      </c>
      <c r="AL184" s="39">
        <f t="shared" si="162"/>
        <v>70.800000000000011</v>
      </c>
      <c r="AM184" s="39">
        <f t="shared" si="163"/>
        <v>70.800000000000011</v>
      </c>
      <c r="AN184" s="39">
        <f t="shared" si="164"/>
        <v>70.800000000000011</v>
      </c>
      <c r="AO184" s="39">
        <f t="shared" si="103"/>
        <v>0</v>
      </c>
      <c r="AP184" s="39">
        <f t="shared" si="104"/>
        <v>0</v>
      </c>
      <c r="AQ184" s="39">
        <f t="shared" si="105"/>
        <v>0</v>
      </c>
      <c r="AR184" s="39">
        <f t="shared" si="106"/>
        <v>0</v>
      </c>
      <c r="AS184" s="39">
        <f t="shared" si="107"/>
        <v>0</v>
      </c>
      <c r="AT184" s="39">
        <f t="shared" si="108"/>
        <v>0</v>
      </c>
      <c r="AU184" s="39">
        <f t="shared" si="109"/>
        <v>0</v>
      </c>
      <c r="AV184" s="39">
        <f t="shared" si="110"/>
        <v>0</v>
      </c>
      <c r="AW184" s="39">
        <f t="shared" si="111"/>
        <v>0</v>
      </c>
      <c r="AX184" s="39">
        <f t="shared" si="112"/>
        <v>0</v>
      </c>
      <c r="AY184" s="39">
        <f t="shared" si="113"/>
        <v>0</v>
      </c>
      <c r="AZ184" s="39">
        <f t="shared" si="114"/>
        <v>0</v>
      </c>
      <c r="BA184" s="39">
        <f t="shared" si="115"/>
        <v>0</v>
      </c>
      <c r="BB184" s="39">
        <f t="shared" si="116"/>
        <v>0</v>
      </c>
      <c r="BC184" s="39">
        <f t="shared" si="117"/>
        <v>0</v>
      </c>
      <c r="BD184" s="39">
        <f t="shared" si="118"/>
        <v>0</v>
      </c>
      <c r="BE184" s="39">
        <f t="shared" si="119"/>
        <v>0</v>
      </c>
      <c r="BF184" s="39">
        <f t="shared" si="120"/>
        <v>0</v>
      </c>
      <c r="BG184" s="39">
        <f t="shared" si="121"/>
        <v>0</v>
      </c>
      <c r="BH184" s="84">
        <f t="shared" si="122"/>
        <v>0</v>
      </c>
      <c r="BI184" s="84">
        <f t="shared" si="123"/>
        <v>1.1199999999999999</v>
      </c>
      <c r="BJ184" s="84">
        <f t="shared" si="124"/>
        <v>0.62138884275621931</v>
      </c>
      <c r="BK184" s="39">
        <f t="shared" si="125"/>
        <v>47.692371856655129</v>
      </c>
      <c r="BL184" s="39">
        <f t="shared" si="126"/>
        <v>66.000003047463835</v>
      </c>
      <c r="BM184" s="39">
        <f t="shared" si="127"/>
        <v>64.000064021825992</v>
      </c>
      <c r="BN184" s="39">
        <f t="shared" si="128"/>
        <v>87.000624653916859</v>
      </c>
      <c r="BO184" s="39">
        <f t="shared" si="129"/>
        <v>83.281129413801537</v>
      </c>
      <c r="BP184" s="39">
        <f t="shared" si="130"/>
        <v>70.800000000000011</v>
      </c>
      <c r="BQ184" s="39">
        <f t="shared" si="131"/>
        <v>70.800000000000011</v>
      </c>
      <c r="BR184" s="39">
        <f t="shared" si="132"/>
        <v>70.800000000000011</v>
      </c>
      <c r="BS184" s="39">
        <f t="shared" si="133"/>
        <v>0</v>
      </c>
      <c r="BT184" s="39">
        <f t="shared" si="134"/>
        <v>1.8284783010358296E-6</v>
      </c>
      <c r="BU184" s="39">
        <f t="shared" si="135"/>
        <v>3.8413095603573309E-5</v>
      </c>
      <c r="BV184" s="39">
        <f t="shared" si="136"/>
        <v>3.7479235010664521E-4</v>
      </c>
      <c r="BW184" s="39">
        <f t="shared" si="137"/>
        <v>0</v>
      </c>
      <c r="BX184" s="39">
        <f t="shared" si="138"/>
        <v>0</v>
      </c>
      <c r="BY184" s="39">
        <f t="shared" si="139"/>
        <v>0</v>
      </c>
      <c r="BZ184" s="39">
        <f t="shared" si="140"/>
        <v>0</v>
      </c>
      <c r="CA184" s="39">
        <f t="shared" si="141"/>
        <v>47.692371856655129</v>
      </c>
      <c r="CB184" s="39">
        <f t="shared" si="142"/>
        <v>66.000001218985531</v>
      </c>
      <c r="CC184" s="39">
        <f t="shared" si="143"/>
        <v>64.000027437208686</v>
      </c>
      <c r="CD184" s="39">
        <f t="shared" si="144"/>
        <v>87.000288274662367</v>
      </c>
      <c r="CE184" s="39">
        <f t="shared" si="145"/>
        <v>83.281504206151638</v>
      </c>
      <c r="CF184" s="39">
        <f t="shared" si="146"/>
        <v>70.800000000000011</v>
      </c>
      <c r="CG184" s="39">
        <f t="shared" si="147"/>
        <v>70.800000000000011</v>
      </c>
      <c r="CH184" s="39">
        <f t="shared" si="148"/>
        <v>70.800000000000011</v>
      </c>
      <c r="CI184" s="39">
        <f t="shared" si="149"/>
        <v>0</v>
      </c>
      <c r="CJ184" s="39">
        <f t="shared" si="150"/>
        <v>0</v>
      </c>
      <c r="CK184" s="39">
        <f t="shared" si="151"/>
        <v>0</v>
      </c>
      <c r="CL184" s="39">
        <f t="shared" si="152"/>
        <v>0</v>
      </c>
      <c r="CM184" s="39">
        <f t="shared" si="153"/>
        <v>0</v>
      </c>
      <c r="CN184" s="39">
        <f t="shared" si="154"/>
        <v>0</v>
      </c>
      <c r="CO184" s="39">
        <f t="shared" si="155"/>
        <v>0</v>
      </c>
      <c r="CP184" s="39">
        <f t="shared" si="156"/>
        <v>0</v>
      </c>
    </row>
    <row r="185" spans="2:94" ht="16" customHeight="1" x14ac:dyDescent="0.2">
      <c r="B185" s="38"/>
      <c r="L185" s="63">
        <v>30497</v>
      </c>
      <c r="M185" s="38">
        <v>0</v>
      </c>
      <c r="N185" s="38">
        <v>0.6</v>
      </c>
      <c r="O185" s="39">
        <v>0</v>
      </c>
      <c r="P185" s="39">
        <v>0</v>
      </c>
      <c r="Q185" s="46">
        <f t="shared" si="87"/>
        <v>0.11413708407434772</v>
      </c>
      <c r="R185" s="81">
        <f t="shared" si="88"/>
        <v>0</v>
      </c>
      <c r="S185" s="82">
        <f t="shared" si="89"/>
        <v>0</v>
      </c>
      <c r="T185" s="39">
        <f t="shared" si="90"/>
        <v>0</v>
      </c>
      <c r="U185" s="83">
        <f t="shared" si="91"/>
        <v>0</v>
      </c>
      <c r="V185" s="84">
        <f t="shared" si="92"/>
        <v>0.48</v>
      </c>
      <c r="W185" s="52">
        <f t="shared" si="93"/>
        <v>115.69268878751171</v>
      </c>
      <c r="X185" s="52">
        <f t="shared" si="94"/>
        <v>154.68150420615166</v>
      </c>
      <c r="Y185" s="52">
        <f t="shared" si="95"/>
        <v>270.37419299366337</v>
      </c>
      <c r="Z185" s="53">
        <f t="shared" si="96"/>
        <v>0.90384913115243526</v>
      </c>
      <c r="AA185" s="53">
        <f t="shared" si="97"/>
        <v>0.92072323932233124</v>
      </c>
      <c r="AB185" s="53">
        <f t="shared" si="98"/>
        <v>0.91342632768129517</v>
      </c>
      <c r="AC185" s="39" t="str">
        <f t="shared" si="99"/>
        <v>No</v>
      </c>
      <c r="AD185" s="85">
        <f t="shared" si="100"/>
        <v>0</v>
      </c>
      <c r="AE185" s="46">
        <f t="shared" si="101"/>
        <v>1</v>
      </c>
      <c r="AF185" s="46">
        <f t="shared" si="102"/>
        <v>0</v>
      </c>
      <c r="AG185" s="39">
        <f t="shared" si="157"/>
        <v>47.692371856655129</v>
      </c>
      <c r="AH185" s="39">
        <f t="shared" si="158"/>
        <v>66.000001218985531</v>
      </c>
      <c r="AI185" s="39">
        <f t="shared" si="159"/>
        <v>64.000027437208686</v>
      </c>
      <c r="AJ185" s="39">
        <f t="shared" si="160"/>
        <v>87.000288274662367</v>
      </c>
      <c r="AK185" s="39">
        <f t="shared" si="161"/>
        <v>83.281504206151638</v>
      </c>
      <c r="AL185" s="39">
        <f t="shared" si="162"/>
        <v>70.800000000000011</v>
      </c>
      <c r="AM185" s="39">
        <f t="shared" si="163"/>
        <v>70.800000000000011</v>
      </c>
      <c r="AN185" s="39">
        <f t="shared" si="164"/>
        <v>70.800000000000011</v>
      </c>
      <c r="AO185" s="39">
        <f t="shared" si="103"/>
        <v>0</v>
      </c>
      <c r="AP185" s="39">
        <f t="shared" si="104"/>
        <v>0</v>
      </c>
      <c r="AQ185" s="39">
        <f t="shared" si="105"/>
        <v>0</v>
      </c>
      <c r="AR185" s="39">
        <f t="shared" si="106"/>
        <v>0</v>
      </c>
      <c r="AS185" s="39">
        <f t="shared" si="107"/>
        <v>0</v>
      </c>
      <c r="AT185" s="39">
        <f t="shared" si="108"/>
        <v>0</v>
      </c>
      <c r="AU185" s="39">
        <f t="shared" si="109"/>
        <v>0</v>
      </c>
      <c r="AV185" s="39">
        <f t="shared" si="110"/>
        <v>0</v>
      </c>
      <c r="AW185" s="39">
        <f t="shared" si="111"/>
        <v>0</v>
      </c>
      <c r="AX185" s="39">
        <f t="shared" si="112"/>
        <v>0</v>
      </c>
      <c r="AY185" s="39">
        <f t="shared" si="113"/>
        <v>0</v>
      </c>
      <c r="AZ185" s="39">
        <f t="shared" si="114"/>
        <v>0</v>
      </c>
      <c r="BA185" s="39">
        <f t="shared" si="115"/>
        <v>0</v>
      </c>
      <c r="BB185" s="39">
        <f t="shared" si="116"/>
        <v>0</v>
      </c>
      <c r="BC185" s="39">
        <f t="shared" si="117"/>
        <v>0</v>
      </c>
      <c r="BD185" s="39">
        <f t="shared" si="118"/>
        <v>0</v>
      </c>
      <c r="BE185" s="39">
        <f t="shared" si="119"/>
        <v>0</v>
      </c>
      <c r="BF185" s="39">
        <f t="shared" si="120"/>
        <v>0</v>
      </c>
      <c r="BG185" s="39">
        <f t="shared" si="121"/>
        <v>0</v>
      </c>
      <c r="BH185" s="84">
        <f t="shared" si="122"/>
        <v>0</v>
      </c>
      <c r="BI185" s="84">
        <f t="shared" si="123"/>
        <v>0.48</v>
      </c>
      <c r="BJ185" s="84">
        <f t="shared" si="124"/>
        <v>0.24698907245075236</v>
      </c>
      <c r="BK185" s="39">
        <f t="shared" si="125"/>
        <v>47.445382784204376</v>
      </c>
      <c r="BL185" s="39">
        <f t="shared" si="126"/>
        <v>66.000001218985531</v>
      </c>
      <c r="BM185" s="39">
        <f t="shared" si="127"/>
        <v>64.000027437208686</v>
      </c>
      <c r="BN185" s="39">
        <f t="shared" si="128"/>
        <v>87.000288274662367</v>
      </c>
      <c r="BO185" s="39">
        <f t="shared" si="129"/>
        <v>83.281504206151638</v>
      </c>
      <c r="BP185" s="39">
        <f t="shared" si="130"/>
        <v>70.800000000000011</v>
      </c>
      <c r="BQ185" s="39">
        <f t="shared" si="131"/>
        <v>70.800000000000011</v>
      </c>
      <c r="BR185" s="39">
        <f t="shared" si="132"/>
        <v>70.800000000000011</v>
      </c>
      <c r="BS185" s="39">
        <f t="shared" si="133"/>
        <v>0</v>
      </c>
      <c r="BT185" s="39">
        <f t="shared" si="134"/>
        <v>7.3139131870902931E-7</v>
      </c>
      <c r="BU185" s="39">
        <f t="shared" si="135"/>
        <v>1.6462325220345519E-5</v>
      </c>
      <c r="BV185" s="39">
        <f t="shared" si="136"/>
        <v>1.7296479741162328E-4</v>
      </c>
      <c r="BW185" s="39">
        <f t="shared" si="137"/>
        <v>0</v>
      </c>
      <c r="BX185" s="39">
        <f t="shared" si="138"/>
        <v>0</v>
      </c>
      <c r="BY185" s="39">
        <f t="shared" si="139"/>
        <v>0</v>
      </c>
      <c r="BZ185" s="39">
        <f t="shared" si="140"/>
        <v>0</v>
      </c>
      <c r="CA185" s="39">
        <f t="shared" si="141"/>
        <v>47.445382784204376</v>
      </c>
      <c r="CB185" s="39">
        <f t="shared" si="142"/>
        <v>66.000000487594207</v>
      </c>
      <c r="CC185" s="39">
        <f t="shared" si="143"/>
        <v>64.00001170627479</v>
      </c>
      <c r="CD185" s="39">
        <f t="shared" si="144"/>
        <v>87.000131772190173</v>
      </c>
      <c r="CE185" s="39">
        <f t="shared" si="145"/>
        <v>83.281677170949052</v>
      </c>
      <c r="CF185" s="39">
        <f t="shared" si="146"/>
        <v>70.800000000000011</v>
      </c>
      <c r="CG185" s="39">
        <f t="shared" si="147"/>
        <v>70.800000000000011</v>
      </c>
      <c r="CH185" s="39">
        <f t="shared" si="148"/>
        <v>70.800000000000011</v>
      </c>
      <c r="CI185" s="39">
        <f t="shared" si="149"/>
        <v>0</v>
      </c>
      <c r="CJ185" s="39">
        <f t="shared" si="150"/>
        <v>0</v>
      </c>
      <c r="CK185" s="39">
        <f t="shared" si="151"/>
        <v>0</v>
      </c>
      <c r="CL185" s="39">
        <f t="shared" si="152"/>
        <v>0</v>
      </c>
      <c r="CM185" s="39">
        <f t="shared" si="153"/>
        <v>0</v>
      </c>
      <c r="CN185" s="39">
        <f t="shared" si="154"/>
        <v>0</v>
      </c>
      <c r="CO185" s="39">
        <f t="shared" si="155"/>
        <v>0</v>
      </c>
      <c r="CP185" s="39">
        <f t="shared" si="156"/>
        <v>0</v>
      </c>
    </row>
    <row r="186" spans="2:94" ht="16" customHeight="1" x14ac:dyDescent="0.2">
      <c r="B186" s="38"/>
      <c r="L186" s="63">
        <v>30498</v>
      </c>
      <c r="M186" s="38">
        <v>0</v>
      </c>
      <c r="N186" s="38">
        <v>1.5</v>
      </c>
      <c r="O186" s="39">
        <v>0</v>
      </c>
      <c r="P186" s="39">
        <v>0</v>
      </c>
      <c r="Q186" s="46">
        <f t="shared" si="87"/>
        <v>0.11463773759958572</v>
      </c>
      <c r="R186" s="81">
        <f t="shared" si="88"/>
        <v>0</v>
      </c>
      <c r="S186" s="82">
        <f t="shared" si="89"/>
        <v>0</v>
      </c>
      <c r="T186" s="39">
        <f t="shared" si="90"/>
        <v>0</v>
      </c>
      <c r="U186" s="83">
        <f t="shared" si="91"/>
        <v>0</v>
      </c>
      <c r="V186" s="84">
        <f t="shared" si="92"/>
        <v>1.2000000000000002</v>
      </c>
      <c r="W186" s="52">
        <f t="shared" si="93"/>
        <v>115.44552675026353</v>
      </c>
      <c r="X186" s="52">
        <f t="shared" si="94"/>
        <v>154.68167717094911</v>
      </c>
      <c r="Y186" s="52">
        <f t="shared" si="95"/>
        <v>270.12720392121264</v>
      </c>
      <c r="Z186" s="53">
        <f t="shared" si="96"/>
        <v>0.90191817773643379</v>
      </c>
      <c r="AA186" s="53">
        <f t="shared" si="97"/>
        <v>0.92072426887469716</v>
      </c>
      <c r="AB186" s="53">
        <f t="shared" si="98"/>
        <v>0.91259190513923194</v>
      </c>
      <c r="AC186" s="39" t="str">
        <f t="shared" si="99"/>
        <v>No</v>
      </c>
      <c r="AD186" s="85">
        <f t="shared" si="100"/>
        <v>0</v>
      </c>
      <c r="AE186" s="46">
        <f t="shared" si="101"/>
        <v>1</v>
      </c>
      <c r="AF186" s="46">
        <f t="shared" si="102"/>
        <v>0</v>
      </c>
      <c r="AG186" s="39">
        <f t="shared" si="157"/>
        <v>47.445382784204376</v>
      </c>
      <c r="AH186" s="39">
        <f t="shared" si="158"/>
        <v>66.000000487594207</v>
      </c>
      <c r="AI186" s="39">
        <f t="shared" si="159"/>
        <v>64.00001170627479</v>
      </c>
      <c r="AJ186" s="39">
        <f t="shared" si="160"/>
        <v>87.000131772190173</v>
      </c>
      <c r="AK186" s="39">
        <f t="shared" si="161"/>
        <v>83.281677170949052</v>
      </c>
      <c r="AL186" s="39">
        <f t="shared" si="162"/>
        <v>70.800000000000011</v>
      </c>
      <c r="AM186" s="39">
        <f t="shared" si="163"/>
        <v>70.800000000000011</v>
      </c>
      <c r="AN186" s="39">
        <f t="shared" si="164"/>
        <v>70.800000000000011</v>
      </c>
      <c r="AO186" s="39">
        <f t="shared" si="103"/>
        <v>0</v>
      </c>
      <c r="AP186" s="39">
        <f t="shared" si="104"/>
        <v>0</v>
      </c>
      <c r="AQ186" s="39">
        <f t="shared" si="105"/>
        <v>0</v>
      </c>
      <c r="AR186" s="39">
        <f t="shared" si="106"/>
        <v>0</v>
      </c>
      <c r="AS186" s="39">
        <f t="shared" si="107"/>
        <v>0</v>
      </c>
      <c r="AT186" s="39">
        <f t="shared" si="108"/>
        <v>0</v>
      </c>
      <c r="AU186" s="39">
        <f t="shared" si="109"/>
        <v>0</v>
      </c>
      <c r="AV186" s="39">
        <f t="shared" si="110"/>
        <v>0</v>
      </c>
      <c r="AW186" s="39">
        <f t="shared" si="111"/>
        <v>0</v>
      </c>
      <c r="AX186" s="39">
        <f t="shared" si="112"/>
        <v>0</v>
      </c>
      <c r="AY186" s="39">
        <f t="shared" si="113"/>
        <v>0</v>
      </c>
      <c r="AZ186" s="39">
        <f t="shared" si="114"/>
        <v>0</v>
      </c>
      <c r="BA186" s="39">
        <f t="shared" si="115"/>
        <v>0</v>
      </c>
      <c r="BB186" s="39">
        <f t="shared" si="116"/>
        <v>0</v>
      </c>
      <c r="BC186" s="39">
        <f t="shared" si="117"/>
        <v>0</v>
      </c>
      <c r="BD186" s="39">
        <f t="shared" si="118"/>
        <v>0</v>
      </c>
      <c r="BE186" s="39">
        <f t="shared" si="119"/>
        <v>0</v>
      </c>
      <c r="BF186" s="39">
        <f t="shared" si="120"/>
        <v>0</v>
      </c>
      <c r="BG186" s="39">
        <f t="shared" si="121"/>
        <v>0</v>
      </c>
      <c r="BH186" s="84">
        <f t="shared" si="122"/>
        <v>0</v>
      </c>
      <c r="BI186" s="84">
        <f t="shared" si="123"/>
        <v>1.2000000000000002</v>
      </c>
      <c r="BJ186" s="84">
        <f t="shared" si="124"/>
        <v>0.59902319106739543</v>
      </c>
      <c r="BK186" s="39">
        <f t="shared" si="125"/>
        <v>46.846359593136981</v>
      </c>
      <c r="BL186" s="39">
        <f t="shared" si="126"/>
        <v>66.000000487594207</v>
      </c>
      <c r="BM186" s="39">
        <f t="shared" si="127"/>
        <v>64.00001170627479</v>
      </c>
      <c r="BN186" s="39">
        <f t="shared" si="128"/>
        <v>87.000131772190173</v>
      </c>
      <c r="BO186" s="39">
        <f t="shared" si="129"/>
        <v>83.281677170949052</v>
      </c>
      <c r="BP186" s="39">
        <f t="shared" si="130"/>
        <v>70.800000000000011</v>
      </c>
      <c r="BQ186" s="39">
        <f t="shared" si="131"/>
        <v>70.800000000000011</v>
      </c>
      <c r="BR186" s="39">
        <f t="shared" si="132"/>
        <v>70.800000000000011</v>
      </c>
      <c r="BS186" s="39">
        <f t="shared" si="133"/>
        <v>0</v>
      </c>
      <c r="BT186" s="39">
        <f t="shared" si="134"/>
        <v>2.9255652407300657E-7</v>
      </c>
      <c r="BU186" s="39">
        <f t="shared" si="135"/>
        <v>7.0237648827742303E-6</v>
      </c>
      <c r="BV186" s="39">
        <f t="shared" si="136"/>
        <v>7.9063314095151321E-5</v>
      </c>
      <c r="BW186" s="39">
        <f t="shared" si="137"/>
        <v>0</v>
      </c>
      <c r="BX186" s="39">
        <f t="shared" si="138"/>
        <v>0</v>
      </c>
      <c r="BY186" s="39">
        <f t="shared" si="139"/>
        <v>0</v>
      </c>
      <c r="BZ186" s="39">
        <f t="shared" si="140"/>
        <v>0</v>
      </c>
      <c r="CA186" s="39">
        <f t="shared" si="141"/>
        <v>46.846359593136981</v>
      </c>
      <c r="CB186" s="39">
        <f t="shared" si="142"/>
        <v>66.000000195037686</v>
      </c>
      <c r="CC186" s="39">
        <f t="shared" si="143"/>
        <v>64.000004975066432</v>
      </c>
      <c r="CD186" s="39">
        <f t="shared" si="144"/>
        <v>87.000059732640963</v>
      </c>
      <c r="CE186" s="39">
        <f t="shared" si="145"/>
        <v>83.281756234263142</v>
      </c>
      <c r="CF186" s="39">
        <f t="shared" si="146"/>
        <v>70.800000000000011</v>
      </c>
      <c r="CG186" s="39">
        <f t="shared" si="147"/>
        <v>70.800000000000011</v>
      </c>
      <c r="CH186" s="39">
        <f t="shared" si="148"/>
        <v>70.800000000000011</v>
      </c>
      <c r="CI186" s="39">
        <f t="shared" si="149"/>
        <v>0</v>
      </c>
      <c r="CJ186" s="39">
        <f t="shared" si="150"/>
        <v>0</v>
      </c>
      <c r="CK186" s="39">
        <f t="shared" si="151"/>
        <v>0</v>
      </c>
      <c r="CL186" s="39">
        <f t="shared" si="152"/>
        <v>0</v>
      </c>
      <c r="CM186" s="39">
        <f t="shared" si="153"/>
        <v>0</v>
      </c>
      <c r="CN186" s="39">
        <f t="shared" si="154"/>
        <v>0</v>
      </c>
      <c r="CO186" s="39">
        <f t="shared" si="155"/>
        <v>0</v>
      </c>
      <c r="CP186" s="39">
        <f t="shared" si="156"/>
        <v>0</v>
      </c>
    </row>
    <row r="187" spans="2:94" ht="16" customHeight="1" x14ac:dyDescent="0.2">
      <c r="B187" s="38"/>
      <c r="L187" s="63">
        <v>30499</v>
      </c>
      <c r="M187" s="38">
        <v>0</v>
      </c>
      <c r="N187" s="38">
        <v>1.8</v>
      </c>
      <c r="O187" s="39">
        <v>0</v>
      </c>
      <c r="P187" s="39">
        <v>0</v>
      </c>
      <c r="Q187" s="46">
        <f t="shared" si="87"/>
        <v>0.11585197379769531</v>
      </c>
      <c r="R187" s="81">
        <f t="shared" si="88"/>
        <v>0</v>
      </c>
      <c r="S187" s="82">
        <f t="shared" si="89"/>
        <v>0</v>
      </c>
      <c r="T187" s="39">
        <f t="shared" si="90"/>
        <v>0</v>
      </c>
      <c r="U187" s="83">
        <f t="shared" si="91"/>
        <v>0</v>
      </c>
      <c r="V187" s="84">
        <f t="shared" si="92"/>
        <v>1.4400000000000002</v>
      </c>
      <c r="W187" s="52">
        <f t="shared" si="93"/>
        <v>114.84642449588205</v>
      </c>
      <c r="X187" s="52">
        <f t="shared" si="94"/>
        <v>154.68175623426316</v>
      </c>
      <c r="Y187" s="52">
        <f t="shared" si="95"/>
        <v>269.52818073014521</v>
      </c>
      <c r="Z187" s="53">
        <f t="shared" si="96"/>
        <v>0.89723769137407849</v>
      </c>
      <c r="AA187" s="53">
        <f t="shared" si="97"/>
        <v>0.92072473948966171</v>
      </c>
      <c r="AB187" s="53">
        <f t="shared" si="98"/>
        <v>0.91056817814238245</v>
      </c>
      <c r="AC187" s="39" t="str">
        <f t="shared" si="99"/>
        <v>No</v>
      </c>
      <c r="AD187" s="85">
        <f t="shared" si="100"/>
        <v>0</v>
      </c>
      <c r="AE187" s="46">
        <f t="shared" si="101"/>
        <v>1</v>
      </c>
      <c r="AF187" s="46">
        <f t="shared" si="102"/>
        <v>0</v>
      </c>
      <c r="AG187" s="39">
        <f t="shared" si="157"/>
        <v>46.846359593136981</v>
      </c>
      <c r="AH187" s="39">
        <f t="shared" si="158"/>
        <v>66.000000195037686</v>
      </c>
      <c r="AI187" s="39">
        <f t="shared" si="159"/>
        <v>64.000004975066432</v>
      </c>
      <c r="AJ187" s="39">
        <f t="shared" si="160"/>
        <v>87.000059732640963</v>
      </c>
      <c r="AK187" s="39">
        <f t="shared" si="161"/>
        <v>83.281756234263142</v>
      </c>
      <c r="AL187" s="39">
        <f t="shared" si="162"/>
        <v>70.800000000000011</v>
      </c>
      <c r="AM187" s="39">
        <f t="shared" si="163"/>
        <v>70.800000000000011</v>
      </c>
      <c r="AN187" s="39">
        <f t="shared" si="164"/>
        <v>70.800000000000011</v>
      </c>
      <c r="AO187" s="39">
        <f t="shared" si="103"/>
        <v>0</v>
      </c>
      <c r="AP187" s="39">
        <f t="shared" si="104"/>
        <v>0</v>
      </c>
      <c r="AQ187" s="39">
        <f t="shared" si="105"/>
        <v>0</v>
      </c>
      <c r="AR187" s="39">
        <f t="shared" si="106"/>
        <v>0</v>
      </c>
      <c r="AS187" s="39">
        <f t="shared" si="107"/>
        <v>0</v>
      </c>
      <c r="AT187" s="39">
        <f t="shared" si="108"/>
        <v>0</v>
      </c>
      <c r="AU187" s="39">
        <f t="shared" si="109"/>
        <v>0</v>
      </c>
      <c r="AV187" s="39">
        <f t="shared" si="110"/>
        <v>0</v>
      </c>
      <c r="AW187" s="39">
        <f t="shared" si="111"/>
        <v>0</v>
      </c>
      <c r="AX187" s="39">
        <f t="shared" si="112"/>
        <v>0</v>
      </c>
      <c r="AY187" s="39">
        <f t="shared" si="113"/>
        <v>0</v>
      </c>
      <c r="AZ187" s="39">
        <f t="shared" si="114"/>
        <v>0</v>
      </c>
      <c r="BA187" s="39">
        <f t="shared" si="115"/>
        <v>0</v>
      </c>
      <c r="BB187" s="39">
        <f t="shared" si="116"/>
        <v>0</v>
      </c>
      <c r="BC187" s="39">
        <f t="shared" si="117"/>
        <v>0</v>
      </c>
      <c r="BD187" s="39">
        <f t="shared" si="118"/>
        <v>0</v>
      </c>
      <c r="BE187" s="39">
        <f t="shared" si="119"/>
        <v>0</v>
      </c>
      <c r="BF187" s="39">
        <f t="shared" si="120"/>
        <v>0</v>
      </c>
      <c r="BG187" s="39">
        <f t="shared" si="121"/>
        <v>0</v>
      </c>
      <c r="BH187" s="84">
        <f t="shared" si="122"/>
        <v>0</v>
      </c>
      <c r="BI187" s="84">
        <f t="shared" si="123"/>
        <v>1.4400000000000002</v>
      </c>
      <c r="BJ187" s="84">
        <f t="shared" si="124"/>
        <v>0.66719449137283571</v>
      </c>
      <c r="BK187" s="39">
        <f t="shared" si="125"/>
        <v>46.179165101764148</v>
      </c>
      <c r="BL187" s="39">
        <f t="shared" si="126"/>
        <v>66.000000195037686</v>
      </c>
      <c r="BM187" s="39">
        <f t="shared" si="127"/>
        <v>64.000004975066432</v>
      </c>
      <c r="BN187" s="39">
        <f t="shared" si="128"/>
        <v>87.000059732640963</v>
      </c>
      <c r="BO187" s="39">
        <f t="shared" si="129"/>
        <v>83.281756234263142</v>
      </c>
      <c r="BP187" s="39">
        <f t="shared" si="130"/>
        <v>70.800000000000011</v>
      </c>
      <c r="BQ187" s="39">
        <f t="shared" si="131"/>
        <v>70.800000000000011</v>
      </c>
      <c r="BR187" s="39">
        <f t="shared" si="132"/>
        <v>70.800000000000011</v>
      </c>
      <c r="BS187" s="39">
        <f t="shared" si="133"/>
        <v>0</v>
      </c>
      <c r="BT187" s="39">
        <f t="shared" si="134"/>
        <v>1.1702261133450519E-7</v>
      </c>
      <c r="BU187" s="39">
        <f t="shared" si="135"/>
        <v>2.9850398675534959E-6</v>
      </c>
      <c r="BV187" s="39">
        <f t="shared" si="136"/>
        <v>3.5839584569430372E-5</v>
      </c>
      <c r="BW187" s="39">
        <f t="shared" si="137"/>
        <v>0</v>
      </c>
      <c r="BX187" s="39">
        <f t="shared" si="138"/>
        <v>0</v>
      </c>
      <c r="BY187" s="39">
        <f t="shared" si="139"/>
        <v>0</v>
      </c>
      <c r="BZ187" s="39">
        <f t="shared" si="140"/>
        <v>0</v>
      </c>
      <c r="CA187" s="39">
        <f t="shared" si="141"/>
        <v>46.179165101764148</v>
      </c>
      <c r="CB187" s="39">
        <f t="shared" si="142"/>
        <v>66.000000078015077</v>
      </c>
      <c r="CC187" s="39">
        <f t="shared" si="143"/>
        <v>64.00000210704917</v>
      </c>
      <c r="CD187" s="39">
        <f t="shared" si="144"/>
        <v>87.000026878096264</v>
      </c>
      <c r="CE187" s="39">
        <f t="shared" si="145"/>
        <v>83.281792073847711</v>
      </c>
      <c r="CF187" s="39">
        <f t="shared" si="146"/>
        <v>70.800000000000011</v>
      </c>
      <c r="CG187" s="39">
        <f t="shared" si="147"/>
        <v>70.800000000000011</v>
      </c>
      <c r="CH187" s="39">
        <f t="shared" si="148"/>
        <v>70.800000000000011</v>
      </c>
      <c r="CI187" s="39">
        <f t="shared" si="149"/>
        <v>0</v>
      </c>
      <c r="CJ187" s="39">
        <f t="shared" si="150"/>
        <v>0</v>
      </c>
      <c r="CK187" s="39">
        <f t="shared" si="151"/>
        <v>0</v>
      </c>
      <c r="CL187" s="39">
        <f t="shared" si="152"/>
        <v>0</v>
      </c>
      <c r="CM187" s="39">
        <f t="shared" si="153"/>
        <v>0</v>
      </c>
      <c r="CN187" s="39">
        <f t="shared" si="154"/>
        <v>0</v>
      </c>
      <c r="CO187" s="39">
        <f t="shared" si="155"/>
        <v>0</v>
      </c>
      <c r="CP187" s="39">
        <f t="shared" si="156"/>
        <v>0</v>
      </c>
    </row>
    <row r="188" spans="2:94" ht="16" customHeight="1" x14ac:dyDescent="0.2">
      <c r="B188" s="38"/>
      <c r="L188" s="63">
        <v>30500</v>
      </c>
      <c r="M188" s="38">
        <v>0</v>
      </c>
      <c r="N188" s="38">
        <v>1.4</v>
      </c>
      <c r="O188" s="39">
        <v>0</v>
      </c>
      <c r="P188" s="39">
        <v>0</v>
      </c>
      <c r="Q188" s="46">
        <f t="shared" si="87"/>
        <v>0.11720439506399158</v>
      </c>
      <c r="R188" s="81">
        <f t="shared" si="88"/>
        <v>0</v>
      </c>
      <c r="S188" s="82">
        <f t="shared" si="89"/>
        <v>0</v>
      </c>
      <c r="T188" s="39">
        <f t="shared" si="90"/>
        <v>0</v>
      </c>
      <c r="U188" s="83">
        <f t="shared" si="91"/>
        <v>0</v>
      </c>
      <c r="V188" s="84">
        <f t="shared" si="92"/>
        <v>1.1199999999999999</v>
      </c>
      <c r="W188" s="52">
        <f t="shared" si="93"/>
        <v>114.17919416492464</v>
      </c>
      <c r="X188" s="52">
        <f t="shared" si="94"/>
        <v>154.68179207384776</v>
      </c>
      <c r="Y188" s="52">
        <f t="shared" si="95"/>
        <v>268.8609862387724</v>
      </c>
      <c r="Z188" s="53">
        <f t="shared" si="96"/>
        <v>0.89202495441347374</v>
      </c>
      <c r="AA188" s="53">
        <f t="shared" si="97"/>
        <v>0.92072495282052236</v>
      </c>
      <c r="AB188" s="53">
        <f t="shared" si="98"/>
        <v>0.90831414269855537</v>
      </c>
      <c r="AC188" s="39" t="str">
        <f t="shared" si="99"/>
        <v>No</v>
      </c>
      <c r="AD188" s="85">
        <f t="shared" si="100"/>
        <v>0</v>
      </c>
      <c r="AE188" s="46">
        <f t="shared" si="101"/>
        <v>1</v>
      </c>
      <c r="AF188" s="46">
        <f t="shared" si="102"/>
        <v>0</v>
      </c>
      <c r="AG188" s="39">
        <f t="shared" si="157"/>
        <v>46.179165101764148</v>
      </c>
      <c r="AH188" s="39">
        <f t="shared" si="158"/>
        <v>66.000000078015077</v>
      </c>
      <c r="AI188" s="39">
        <f t="shared" si="159"/>
        <v>64.00000210704917</v>
      </c>
      <c r="AJ188" s="39">
        <f t="shared" si="160"/>
        <v>87.000026878096264</v>
      </c>
      <c r="AK188" s="39">
        <f t="shared" si="161"/>
        <v>83.281792073847711</v>
      </c>
      <c r="AL188" s="39">
        <f t="shared" si="162"/>
        <v>70.800000000000011</v>
      </c>
      <c r="AM188" s="39">
        <f t="shared" si="163"/>
        <v>70.800000000000011</v>
      </c>
      <c r="AN188" s="39">
        <f t="shared" si="164"/>
        <v>70.800000000000011</v>
      </c>
      <c r="AO188" s="39">
        <f t="shared" si="103"/>
        <v>0</v>
      </c>
      <c r="AP188" s="39">
        <f t="shared" si="104"/>
        <v>0</v>
      </c>
      <c r="AQ188" s="39">
        <f t="shared" si="105"/>
        <v>0</v>
      </c>
      <c r="AR188" s="39">
        <f t="shared" si="106"/>
        <v>0</v>
      </c>
      <c r="AS188" s="39">
        <f t="shared" si="107"/>
        <v>0</v>
      </c>
      <c r="AT188" s="39">
        <f t="shared" si="108"/>
        <v>0</v>
      </c>
      <c r="AU188" s="39">
        <f t="shared" si="109"/>
        <v>0</v>
      </c>
      <c r="AV188" s="39">
        <f t="shared" si="110"/>
        <v>0</v>
      </c>
      <c r="AW188" s="39">
        <f t="shared" si="111"/>
        <v>0</v>
      </c>
      <c r="AX188" s="39">
        <f t="shared" si="112"/>
        <v>0</v>
      </c>
      <c r="AY188" s="39">
        <f t="shared" si="113"/>
        <v>0</v>
      </c>
      <c r="AZ188" s="39">
        <f t="shared" si="114"/>
        <v>0</v>
      </c>
      <c r="BA188" s="39">
        <f t="shared" si="115"/>
        <v>0</v>
      </c>
      <c r="BB188" s="39">
        <f t="shared" si="116"/>
        <v>0</v>
      </c>
      <c r="BC188" s="39">
        <f t="shared" si="117"/>
        <v>0</v>
      </c>
      <c r="BD188" s="39">
        <f t="shared" si="118"/>
        <v>0</v>
      </c>
      <c r="BE188" s="39">
        <f t="shared" si="119"/>
        <v>0</v>
      </c>
      <c r="BF188" s="39">
        <f t="shared" si="120"/>
        <v>0</v>
      </c>
      <c r="BG188" s="39">
        <f t="shared" si="121"/>
        <v>0</v>
      </c>
      <c r="BH188" s="84">
        <f t="shared" si="122"/>
        <v>0</v>
      </c>
      <c r="BI188" s="84">
        <f t="shared" si="123"/>
        <v>1.1199999999999999</v>
      </c>
      <c r="BJ188" s="84">
        <f t="shared" si="124"/>
        <v>0.47678955287610297</v>
      </c>
      <c r="BK188" s="39">
        <f t="shared" si="125"/>
        <v>45.702375548888043</v>
      </c>
      <c r="BL188" s="39">
        <f t="shared" si="126"/>
        <v>66.000000078015077</v>
      </c>
      <c r="BM188" s="39">
        <f t="shared" si="127"/>
        <v>64.00000210704917</v>
      </c>
      <c r="BN188" s="39">
        <f t="shared" si="128"/>
        <v>87.000026878096264</v>
      </c>
      <c r="BO188" s="39">
        <f t="shared" si="129"/>
        <v>83.281792073847711</v>
      </c>
      <c r="BP188" s="39">
        <f t="shared" si="130"/>
        <v>70.800000000000011</v>
      </c>
      <c r="BQ188" s="39">
        <f t="shared" si="131"/>
        <v>70.800000000000011</v>
      </c>
      <c r="BR188" s="39">
        <f t="shared" si="132"/>
        <v>70.800000000000011</v>
      </c>
      <c r="BS188" s="39">
        <f t="shared" si="133"/>
        <v>0</v>
      </c>
      <c r="BT188" s="39">
        <f t="shared" si="134"/>
        <v>4.6809046239104643E-8</v>
      </c>
      <c r="BU188" s="39">
        <f t="shared" si="135"/>
        <v>1.2642295104114964E-6</v>
      </c>
      <c r="BV188" s="39">
        <f t="shared" si="136"/>
        <v>1.6126857750009547E-5</v>
      </c>
      <c r="BW188" s="39">
        <f t="shared" si="137"/>
        <v>0</v>
      </c>
      <c r="BX188" s="39">
        <f t="shared" si="138"/>
        <v>0</v>
      </c>
      <c r="BY188" s="39">
        <f t="shared" si="139"/>
        <v>0</v>
      </c>
      <c r="BZ188" s="39">
        <f t="shared" si="140"/>
        <v>0</v>
      </c>
      <c r="CA188" s="39">
        <f t="shared" si="141"/>
        <v>45.702375548888043</v>
      </c>
      <c r="CB188" s="39">
        <f t="shared" si="142"/>
        <v>66.000000031206028</v>
      </c>
      <c r="CC188" s="39">
        <f t="shared" si="143"/>
        <v>64.000000889628708</v>
      </c>
      <c r="CD188" s="39">
        <f t="shared" si="144"/>
        <v>87.00001201546803</v>
      </c>
      <c r="CE188" s="39">
        <f t="shared" si="145"/>
        <v>83.281808200705456</v>
      </c>
      <c r="CF188" s="39">
        <f t="shared" si="146"/>
        <v>70.800000000000011</v>
      </c>
      <c r="CG188" s="39">
        <f t="shared" si="147"/>
        <v>70.800000000000011</v>
      </c>
      <c r="CH188" s="39">
        <f t="shared" si="148"/>
        <v>70.800000000000011</v>
      </c>
      <c r="CI188" s="39">
        <f t="shared" si="149"/>
        <v>0</v>
      </c>
      <c r="CJ188" s="39">
        <f t="shared" si="150"/>
        <v>0</v>
      </c>
      <c r="CK188" s="39">
        <f t="shared" si="151"/>
        <v>0</v>
      </c>
      <c r="CL188" s="39">
        <f t="shared" si="152"/>
        <v>0</v>
      </c>
      <c r="CM188" s="39">
        <f t="shared" si="153"/>
        <v>0</v>
      </c>
      <c r="CN188" s="39">
        <f t="shared" si="154"/>
        <v>0</v>
      </c>
      <c r="CO188" s="39">
        <f t="shared" si="155"/>
        <v>0</v>
      </c>
      <c r="CP188" s="39">
        <f t="shared" si="156"/>
        <v>0</v>
      </c>
    </row>
    <row r="189" spans="2:94" ht="16" customHeight="1" x14ac:dyDescent="0.2">
      <c r="B189" s="38"/>
      <c r="L189" s="63">
        <v>30501</v>
      </c>
      <c r="M189" s="38">
        <v>0</v>
      </c>
      <c r="N189" s="38">
        <v>1.5</v>
      </c>
      <c r="O189" s="39">
        <v>0</v>
      </c>
      <c r="P189" s="39">
        <v>0</v>
      </c>
      <c r="Q189" s="46">
        <f t="shared" si="87"/>
        <v>0.11817086037387559</v>
      </c>
      <c r="R189" s="81">
        <f t="shared" si="88"/>
        <v>0</v>
      </c>
      <c r="S189" s="82">
        <f t="shared" si="89"/>
        <v>0</v>
      </c>
      <c r="T189" s="39">
        <f t="shared" si="90"/>
        <v>0</v>
      </c>
      <c r="U189" s="83">
        <f t="shared" si="91"/>
        <v>0</v>
      </c>
      <c r="V189" s="84">
        <f t="shared" si="92"/>
        <v>1.2000000000000002</v>
      </c>
      <c r="W189" s="52">
        <f t="shared" si="93"/>
        <v>113.7023884851908</v>
      </c>
      <c r="X189" s="52">
        <f t="shared" si="94"/>
        <v>154.68180820070552</v>
      </c>
      <c r="Y189" s="52">
        <f t="shared" si="95"/>
        <v>268.38419668589631</v>
      </c>
      <c r="Z189" s="53">
        <f t="shared" si="96"/>
        <v>0.88829991004055309</v>
      </c>
      <c r="AA189" s="53">
        <f t="shared" si="97"/>
        <v>0.9207250488137233</v>
      </c>
      <c r="AB189" s="53">
        <f t="shared" si="98"/>
        <v>0.90670336718208211</v>
      </c>
      <c r="AC189" s="39" t="str">
        <f t="shared" si="99"/>
        <v>No</v>
      </c>
      <c r="AD189" s="85">
        <f t="shared" si="100"/>
        <v>0</v>
      </c>
      <c r="AE189" s="46">
        <f t="shared" si="101"/>
        <v>1</v>
      </c>
      <c r="AF189" s="46">
        <f t="shared" si="102"/>
        <v>0</v>
      </c>
      <c r="AG189" s="39">
        <f t="shared" si="157"/>
        <v>45.702375548888043</v>
      </c>
      <c r="AH189" s="39">
        <f t="shared" si="158"/>
        <v>66.000000031206028</v>
      </c>
      <c r="AI189" s="39">
        <f t="shared" si="159"/>
        <v>64.000000889628708</v>
      </c>
      <c r="AJ189" s="39">
        <f t="shared" si="160"/>
        <v>87.00001201546803</v>
      </c>
      <c r="AK189" s="39">
        <f t="shared" si="161"/>
        <v>83.281808200705456</v>
      </c>
      <c r="AL189" s="39">
        <f t="shared" si="162"/>
        <v>70.800000000000011</v>
      </c>
      <c r="AM189" s="39">
        <f t="shared" si="163"/>
        <v>70.800000000000011</v>
      </c>
      <c r="AN189" s="39">
        <f t="shared" si="164"/>
        <v>70.800000000000011</v>
      </c>
      <c r="AO189" s="39">
        <f t="shared" si="103"/>
        <v>0</v>
      </c>
      <c r="AP189" s="39">
        <f t="shared" si="104"/>
        <v>0</v>
      </c>
      <c r="AQ189" s="39">
        <f t="shared" si="105"/>
        <v>0</v>
      </c>
      <c r="AR189" s="39">
        <f t="shared" si="106"/>
        <v>0</v>
      </c>
      <c r="AS189" s="39">
        <f t="shared" si="107"/>
        <v>0</v>
      </c>
      <c r="AT189" s="39">
        <f t="shared" si="108"/>
        <v>0</v>
      </c>
      <c r="AU189" s="39">
        <f t="shared" si="109"/>
        <v>0</v>
      </c>
      <c r="AV189" s="39">
        <f t="shared" si="110"/>
        <v>0</v>
      </c>
      <c r="AW189" s="39">
        <f t="shared" si="111"/>
        <v>0</v>
      </c>
      <c r="AX189" s="39">
        <f t="shared" si="112"/>
        <v>0</v>
      </c>
      <c r="AY189" s="39">
        <f t="shared" si="113"/>
        <v>0</v>
      </c>
      <c r="AZ189" s="39">
        <f t="shared" si="114"/>
        <v>0</v>
      </c>
      <c r="BA189" s="39">
        <f t="shared" si="115"/>
        <v>0</v>
      </c>
      <c r="BB189" s="39">
        <f t="shared" si="116"/>
        <v>0</v>
      </c>
      <c r="BC189" s="39">
        <f t="shared" si="117"/>
        <v>0</v>
      </c>
      <c r="BD189" s="39">
        <f t="shared" si="118"/>
        <v>0</v>
      </c>
      <c r="BE189" s="39">
        <f t="shared" si="119"/>
        <v>0</v>
      </c>
      <c r="BF189" s="39">
        <f t="shared" si="120"/>
        <v>0</v>
      </c>
      <c r="BG189" s="39">
        <f t="shared" si="121"/>
        <v>0</v>
      </c>
      <c r="BH189" s="84">
        <f t="shared" si="122"/>
        <v>0</v>
      </c>
      <c r="BI189" s="84">
        <f t="shared" si="123"/>
        <v>1.2000000000000002</v>
      </c>
      <c r="BJ189" s="84">
        <f t="shared" si="124"/>
        <v>0.48030813894009672</v>
      </c>
      <c r="BK189" s="39">
        <f t="shared" si="125"/>
        <v>45.222067409947947</v>
      </c>
      <c r="BL189" s="39">
        <f t="shared" si="126"/>
        <v>66.000000031206028</v>
      </c>
      <c r="BM189" s="39">
        <f t="shared" si="127"/>
        <v>64.000000889628708</v>
      </c>
      <c r="BN189" s="39">
        <f t="shared" si="128"/>
        <v>87.00001201546803</v>
      </c>
      <c r="BO189" s="39">
        <f t="shared" si="129"/>
        <v>83.281808200705456</v>
      </c>
      <c r="BP189" s="39">
        <f t="shared" si="130"/>
        <v>70.800000000000011</v>
      </c>
      <c r="BQ189" s="39">
        <f t="shared" si="131"/>
        <v>70.800000000000011</v>
      </c>
      <c r="BR189" s="39">
        <f t="shared" si="132"/>
        <v>70.800000000000011</v>
      </c>
      <c r="BS189" s="39">
        <f t="shared" si="133"/>
        <v>0</v>
      </c>
      <c r="BT189" s="39">
        <f t="shared" si="134"/>
        <v>1.8723616790339291E-8</v>
      </c>
      <c r="BU189" s="39">
        <f t="shared" si="135"/>
        <v>5.3377723361336395E-7</v>
      </c>
      <c r="BV189" s="39">
        <f t="shared" si="136"/>
        <v>7.2092808096613226E-6</v>
      </c>
      <c r="BW189" s="39">
        <f t="shared" si="137"/>
        <v>0</v>
      </c>
      <c r="BX189" s="39">
        <f t="shared" si="138"/>
        <v>0</v>
      </c>
      <c r="BY189" s="39">
        <f t="shared" si="139"/>
        <v>0</v>
      </c>
      <c r="BZ189" s="39">
        <f t="shared" si="140"/>
        <v>0</v>
      </c>
      <c r="CA189" s="39">
        <f t="shared" si="141"/>
        <v>45.222067409947947</v>
      </c>
      <c r="CB189" s="39">
        <f t="shared" si="142"/>
        <v>66.000000012482417</v>
      </c>
      <c r="CC189" s="39">
        <f t="shared" si="143"/>
        <v>64.00000037457508</v>
      </c>
      <c r="CD189" s="39">
        <f t="shared" si="144"/>
        <v>87.00000533996446</v>
      </c>
      <c r="CE189" s="39">
        <f t="shared" si="145"/>
        <v>83.281815409986265</v>
      </c>
      <c r="CF189" s="39">
        <f t="shared" si="146"/>
        <v>70.800000000000011</v>
      </c>
      <c r="CG189" s="39">
        <f t="shared" si="147"/>
        <v>70.800000000000011</v>
      </c>
      <c r="CH189" s="39">
        <f t="shared" si="148"/>
        <v>70.800000000000011</v>
      </c>
      <c r="CI189" s="39">
        <f t="shared" si="149"/>
        <v>0</v>
      </c>
      <c r="CJ189" s="39">
        <f t="shared" si="150"/>
        <v>0</v>
      </c>
      <c r="CK189" s="39">
        <f t="shared" si="151"/>
        <v>0</v>
      </c>
      <c r="CL189" s="39">
        <f t="shared" si="152"/>
        <v>0</v>
      </c>
      <c r="CM189" s="39">
        <f t="shared" si="153"/>
        <v>0</v>
      </c>
      <c r="CN189" s="39">
        <f t="shared" si="154"/>
        <v>0</v>
      </c>
      <c r="CO189" s="39">
        <f t="shared" si="155"/>
        <v>0</v>
      </c>
      <c r="CP189" s="39">
        <f t="shared" si="156"/>
        <v>0</v>
      </c>
    </row>
    <row r="190" spans="2:94" ht="16" customHeight="1" x14ac:dyDescent="0.2">
      <c r="B190" s="38"/>
      <c r="L190" s="63">
        <v>30502</v>
      </c>
      <c r="M190" s="38">
        <v>0</v>
      </c>
      <c r="N190" s="38">
        <v>1.8</v>
      </c>
      <c r="O190" s="39">
        <v>0</v>
      </c>
      <c r="P190" s="39">
        <v>0</v>
      </c>
      <c r="Q190" s="46">
        <f t="shared" si="87"/>
        <v>0.11914445795280822</v>
      </c>
      <c r="R190" s="81">
        <f t="shared" si="88"/>
        <v>0</v>
      </c>
      <c r="S190" s="82">
        <f t="shared" si="89"/>
        <v>0</v>
      </c>
      <c r="T190" s="39">
        <f t="shared" si="90"/>
        <v>0</v>
      </c>
      <c r="U190" s="83">
        <f t="shared" si="91"/>
        <v>0</v>
      </c>
      <c r="V190" s="84">
        <f t="shared" si="92"/>
        <v>1.4400000000000002</v>
      </c>
      <c r="W190" s="52">
        <f t="shared" si="93"/>
        <v>113.22207313696993</v>
      </c>
      <c r="X190" s="52">
        <f t="shared" si="94"/>
        <v>154.68181540998631</v>
      </c>
      <c r="Y190" s="52">
        <f t="shared" si="95"/>
        <v>267.90388854695624</v>
      </c>
      <c r="Z190" s="53">
        <f t="shared" si="96"/>
        <v>0.88454744638257754</v>
      </c>
      <c r="AA190" s="53">
        <f t="shared" si="97"/>
        <v>0.92072509172610906</v>
      </c>
      <c r="AB190" s="53">
        <f t="shared" si="98"/>
        <v>0.9050807045505278</v>
      </c>
      <c r="AC190" s="39" t="str">
        <f t="shared" si="99"/>
        <v>No</v>
      </c>
      <c r="AD190" s="85">
        <f t="shared" si="100"/>
        <v>0</v>
      </c>
      <c r="AE190" s="46">
        <f t="shared" si="101"/>
        <v>1</v>
      </c>
      <c r="AF190" s="46">
        <f t="shared" si="102"/>
        <v>0</v>
      </c>
      <c r="AG190" s="39">
        <f t="shared" si="157"/>
        <v>45.222067409947947</v>
      </c>
      <c r="AH190" s="39">
        <f t="shared" si="158"/>
        <v>66.000000012482417</v>
      </c>
      <c r="AI190" s="39">
        <f t="shared" si="159"/>
        <v>64.00000037457508</v>
      </c>
      <c r="AJ190" s="39">
        <f t="shared" si="160"/>
        <v>87.00000533996446</v>
      </c>
      <c r="AK190" s="39">
        <f t="shared" si="161"/>
        <v>83.281815409986265</v>
      </c>
      <c r="AL190" s="39">
        <f t="shared" si="162"/>
        <v>70.800000000000011</v>
      </c>
      <c r="AM190" s="39">
        <f t="shared" si="163"/>
        <v>70.800000000000011</v>
      </c>
      <c r="AN190" s="39">
        <f t="shared" si="164"/>
        <v>70.800000000000011</v>
      </c>
      <c r="AO190" s="39">
        <f t="shared" si="103"/>
        <v>0</v>
      </c>
      <c r="AP190" s="39">
        <f t="shared" si="104"/>
        <v>0</v>
      </c>
      <c r="AQ190" s="39">
        <f t="shared" si="105"/>
        <v>0</v>
      </c>
      <c r="AR190" s="39">
        <f t="shared" si="106"/>
        <v>0</v>
      </c>
      <c r="AS190" s="39">
        <f t="shared" si="107"/>
        <v>0</v>
      </c>
      <c r="AT190" s="39">
        <f t="shared" si="108"/>
        <v>0</v>
      </c>
      <c r="AU190" s="39">
        <f t="shared" si="109"/>
        <v>0</v>
      </c>
      <c r="AV190" s="39">
        <f t="shared" si="110"/>
        <v>0</v>
      </c>
      <c r="AW190" s="39">
        <f t="shared" si="111"/>
        <v>0</v>
      </c>
      <c r="AX190" s="39">
        <f t="shared" si="112"/>
        <v>0</v>
      </c>
      <c r="AY190" s="39">
        <f t="shared" si="113"/>
        <v>0</v>
      </c>
      <c r="AZ190" s="39">
        <f t="shared" si="114"/>
        <v>0</v>
      </c>
      <c r="BA190" s="39">
        <f t="shared" si="115"/>
        <v>0</v>
      </c>
      <c r="BB190" s="39">
        <f t="shared" si="116"/>
        <v>0</v>
      </c>
      <c r="BC190" s="39">
        <f t="shared" si="117"/>
        <v>0</v>
      </c>
      <c r="BD190" s="39">
        <f t="shared" si="118"/>
        <v>0</v>
      </c>
      <c r="BE190" s="39">
        <f t="shared" si="119"/>
        <v>0</v>
      </c>
      <c r="BF190" s="39">
        <f t="shared" si="120"/>
        <v>0</v>
      </c>
      <c r="BG190" s="39">
        <f t="shared" si="121"/>
        <v>0</v>
      </c>
      <c r="BH190" s="84">
        <f t="shared" si="122"/>
        <v>0</v>
      </c>
      <c r="BI190" s="84">
        <f t="shared" si="123"/>
        <v>1.4400000000000002</v>
      </c>
      <c r="BJ190" s="84">
        <f t="shared" si="124"/>
        <v>0.54114039352149934</v>
      </c>
      <c r="BK190" s="39">
        <f t="shared" si="125"/>
        <v>44.680927016426445</v>
      </c>
      <c r="BL190" s="39">
        <f t="shared" si="126"/>
        <v>66.000000012482417</v>
      </c>
      <c r="BM190" s="39">
        <f t="shared" si="127"/>
        <v>64.00000037457508</v>
      </c>
      <c r="BN190" s="39">
        <f t="shared" si="128"/>
        <v>87.00000533996446</v>
      </c>
      <c r="BO190" s="39">
        <f t="shared" si="129"/>
        <v>83.281815409986265</v>
      </c>
      <c r="BP190" s="39">
        <f t="shared" si="130"/>
        <v>70.800000000000011</v>
      </c>
      <c r="BQ190" s="39">
        <f t="shared" si="131"/>
        <v>70.800000000000011</v>
      </c>
      <c r="BR190" s="39">
        <f t="shared" si="132"/>
        <v>70.800000000000011</v>
      </c>
      <c r="BS190" s="39">
        <f t="shared" si="133"/>
        <v>0</v>
      </c>
      <c r="BT190" s="39">
        <f t="shared" si="134"/>
        <v>7.489450126740848E-9</v>
      </c>
      <c r="BU190" s="39">
        <f t="shared" si="135"/>
        <v>2.2474505669833886E-7</v>
      </c>
      <c r="BV190" s="39">
        <f t="shared" si="136"/>
        <v>3.2039786674431523E-6</v>
      </c>
      <c r="BW190" s="39">
        <f t="shared" si="137"/>
        <v>0</v>
      </c>
      <c r="BX190" s="39">
        <f t="shared" si="138"/>
        <v>0</v>
      </c>
      <c r="BY190" s="39">
        <f t="shared" si="139"/>
        <v>0</v>
      </c>
      <c r="BZ190" s="39">
        <f t="shared" si="140"/>
        <v>0</v>
      </c>
      <c r="CA190" s="39">
        <f t="shared" si="141"/>
        <v>44.680927016426445</v>
      </c>
      <c r="CB190" s="39">
        <f t="shared" si="142"/>
        <v>66.00000000499297</v>
      </c>
      <c r="CC190" s="39">
        <f t="shared" si="143"/>
        <v>64.000000157319477</v>
      </c>
      <c r="CD190" s="39">
        <f t="shared" si="144"/>
        <v>87.000002360730846</v>
      </c>
      <c r="CE190" s="39">
        <f t="shared" si="145"/>
        <v>83.28181861396493</v>
      </c>
      <c r="CF190" s="39">
        <f t="shared" si="146"/>
        <v>70.800000000000011</v>
      </c>
      <c r="CG190" s="39">
        <f t="shared" si="147"/>
        <v>70.800000000000011</v>
      </c>
      <c r="CH190" s="39">
        <f t="shared" si="148"/>
        <v>70.800000000000011</v>
      </c>
      <c r="CI190" s="39">
        <f t="shared" si="149"/>
        <v>0</v>
      </c>
      <c r="CJ190" s="39">
        <f t="shared" si="150"/>
        <v>0</v>
      </c>
      <c r="CK190" s="39">
        <f t="shared" si="151"/>
        <v>0</v>
      </c>
      <c r="CL190" s="39">
        <f t="shared" si="152"/>
        <v>0</v>
      </c>
      <c r="CM190" s="39">
        <f t="shared" si="153"/>
        <v>0</v>
      </c>
      <c r="CN190" s="39">
        <f t="shared" si="154"/>
        <v>0</v>
      </c>
      <c r="CO190" s="39">
        <f t="shared" si="155"/>
        <v>0</v>
      </c>
      <c r="CP190" s="39">
        <f t="shared" si="156"/>
        <v>0</v>
      </c>
    </row>
    <row r="191" spans="2:94" ht="16" customHeight="1" x14ac:dyDescent="0.2">
      <c r="B191" s="38"/>
      <c r="L191" s="63">
        <v>30503</v>
      </c>
      <c r="M191" s="38">
        <v>0</v>
      </c>
      <c r="N191" s="38">
        <v>1.9</v>
      </c>
      <c r="O191" s="39">
        <v>0</v>
      </c>
      <c r="P191" s="39">
        <v>0</v>
      </c>
      <c r="Q191" s="46">
        <f t="shared" si="87"/>
        <v>0.12024136415589234</v>
      </c>
      <c r="R191" s="81">
        <f t="shared" si="88"/>
        <v>0</v>
      </c>
      <c r="S191" s="82">
        <f t="shared" si="89"/>
        <v>0</v>
      </c>
      <c r="T191" s="39">
        <f t="shared" si="90"/>
        <v>0</v>
      </c>
      <c r="U191" s="83">
        <f t="shared" si="91"/>
        <v>0</v>
      </c>
      <c r="V191" s="84">
        <f t="shared" si="92"/>
        <v>1.52</v>
      </c>
      <c r="W191" s="52">
        <f t="shared" si="93"/>
        <v>112.68092953946973</v>
      </c>
      <c r="X191" s="52">
        <f t="shared" si="94"/>
        <v>154.68181861396499</v>
      </c>
      <c r="Y191" s="52">
        <f t="shared" si="95"/>
        <v>267.36274815343472</v>
      </c>
      <c r="Z191" s="53">
        <f t="shared" si="96"/>
        <v>0.88031976202710727</v>
      </c>
      <c r="AA191" s="53">
        <f t="shared" si="97"/>
        <v>0.92072511079741071</v>
      </c>
      <c r="AB191" s="53">
        <f t="shared" si="98"/>
        <v>0.90325252754538754</v>
      </c>
      <c r="AC191" s="39" t="str">
        <f t="shared" si="99"/>
        <v>No</v>
      </c>
      <c r="AD191" s="85">
        <f t="shared" si="100"/>
        <v>0</v>
      </c>
      <c r="AE191" s="46">
        <f t="shared" si="101"/>
        <v>1</v>
      </c>
      <c r="AF191" s="46">
        <f t="shared" si="102"/>
        <v>0</v>
      </c>
      <c r="AG191" s="39">
        <f t="shared" si="157"/>
        <v>44.680927016426445</v>
      </c>
      <c r="AH191" s="39">
        <f t="shared" si="158"/>
        <v>66.00000000499297</v>
      </c>
      <c r="AI191" s="39">
        <f t="shared" si="159"/>
        <v>64.000000157319477</v>
      </c>
      <c r="AJ191" s="39">
        <f t="shared" si="160"/>
        <v>87.000002360730846</v>
      </c>
      <c r="AK191" s="39">
        <f t="shared" si="161"/>
        <v>83.28181861396493</v>
      </c>
      <c r="AL191" s="39">
        <f t="shared" si="162"/>
        <v>70.800000000000011</v>
      </c>
      <c r="AM191" s="39">
        <f t="shared" si="163"/>
        <v>70.800000000000011</v>
      </c>
      <c r="AN191" s="39">
        <f t="shared" si="164"/>
        <v>70.800000000000011</v>
      </c>
      <c r="AO191" s="39">
        <f t="shared" si="103"/>
        <v>0</v>
      </c>
      <c r="AP191" s="39">
        <f t="shared" si="104"/>
        <v>0</v>
      </c>
      <c r="AQ191" s="39">
        <f t="shared" si="105"/>
        <v>0</v>
      </c>
      <c r="AR191" s="39">
        <f t="shared" si="106"/>
        <v>0</v>
      </c>
      <c r="AS191" s="39">
        <f t="shared" si="107"/>
        <v>0</v>
      </c>
      <c r="AT191" s="39">
        <f t="shared" si="108"/>
        <v>0</v>
      </c>
      <c r="AU191" s="39">
        <f t="shared" si="109"/>
        <v>0</v>
      </c>
      <c r="AV191" s="39">
        <f t="shared" si="110"/>
        <v>0</v>
      </c>
      <c r="AW191" s="39">
        <f t="shared" si="111"/>
        <v>0</v>
      </c>
      <c r="AX191" s="39">
        <f t="shared" si="112"/>
        <v>0</v>
      </c>
      <c r="AY191" s="39">
        <f t="shared" si="113"/>
        <v>0</v>
      </c>
      <c r="AZ191" s="39">
        <f t="shared" si="114"/>
        <v>0</v>
      </c>
      <c r="BA191" s="39">
        <f t="shared" si="115"/>
        <v>0</v>
      </c>
      <c r="BB191" s="39">
        <f t="shared" si="116"/>
        <v>0</v>
      </c>
      <c r="BC191" s="39">
        <f t="shared" si="117"/>
        <v>0</v>
      </c>
      <c r="BD191" s="39">
        <f t="shared" si="118"/>
        <v>0</v>
      </c>
      <c r="BE191" s="39">
        <f t="shared" si="119"/>
        <v>0</v>
      </c>
      <c r="BF191" s="39">
        <f t="shared" si="120"/>
        <v>0</v>
      </c>
      <c r="BG191" s="39">
        <f t="shared" si="121"/>
        <v>0</v>
      </c>
      <c r="BH191" s="84">
        <f t="shared" si="122"/>
        <v>0</v>
      </c>
      <c r="BI191" s="84">
        <f t="shared" si="123"/>
        <v>1.52</v>
      </c>
      <c r="BJ191" s="84">
        <f t="shared" si="124"/>
        <v>0.53137878731030352</v>
      </c>
      <c r="BK191" s="39">
        <f t="shared" si="125"/>
        <v>44.149548229116142</v>
      </c>
      <c r="BL191" s="39">
        <f t="shared" si="126"/>
        <v>66.00000000499297</v>
      </c>
      <c r="BM191" s="39">
        <f t="shared" si="127"/>
        <v>64.000000157319477</v>
      </c>
      <c r="BN191" s="39">
        <f t="shared" si="128"/>
        <v>87.000002360730846</v>
      </c>
      <c r="BO191" s="39">
        <f t="shared" si="129"/>
        <v>83.28181861396493</v>
      </c>
      <c r="BP191" s="39">
        <f t="shared" si="130"/>
        <v>70.800000000000011</v>
      </c>
      <c r="BQ191" s="39">
        <f t="shared" si="131"/>
        <v>70.800000000000011</v>
      </c>
      <c r="BR191" s="39">
        <f t="shared" si="132"/>
        <v>70.800000000000011</v>
      </c>
      <c r="BS191" s="39">
        <f t="shared" si="133"/>
        <v>0</v>
      </c>
      <c r="BT191" s="39">
        <f t="shared" si="134"/>
        <v>2.9957817559989052E-9</v>
      </c>
      <c r="BU191" s="39">
        <f t="shared" si="135"/>
        <v>9.4391694460682629E-8</v>
      </c>
      <c r="BV191" s="39">
        <f t="shared" si="136"/>
        <v>1.4164384992909616E-6</v>
      </c>
      <c r="BW191" s="39">
        <f t="shared" si="137"/>
        <v>0</v>
      </c>
      <c r="BX191" s="39">
        <f t="shared" si="138"/>
        <v>0</v>
      </c>
      <c r="BY191" s="39">
        <f t="shared" si="139"/>
        <v>0</v>
      </c>
      <c r="BZ191" s="39">
        <f t="shared" si="140"/>
        <v>0</v>
      </c>
      <c r="CA191" s="39">
        <f t="shared" si="141"/>
        <v>44.149548229116142</v>
      </c>
      <c r="CB191" s="39">
        <f t="shared" si="142"/>
        <v>66.000000001997194</v>
      </c>
      <c r="CC191" s="39">
        <f t="shared" si="143"/>
        <v>64.000000065923558</v>
      </c>
      <c r="CD191" s="39">
        <f t="shared" si="144"/>
        <v>87.000001038684047</v>
      </c>
      <c r="CE191" s="39">
        <f t="shared" si="145"/>
        <v>83.281820030403424</v>
      </c>
      <c r="CF191" s="39">
        <f t="shared" si="146"/>
        <v>70.800000000000011</v>
      </c>
      <c r="CG191" s="39">
        <f t="shared" si="147"/>
        <v>70.800000000000011</v>
      </c>
      <c r="CH191" s="39">
        <f t="shared" si="148"/>
        <v>70.800000000000011</v>
      </c>
      <c r="CI191" s="39">
        <f t="shared" si="149"/>
        <v>0</v>
      </c>
      <c r="CJ191" s="39">
        <f t="shared" si="150"/>
        <v>0</v>
      </c>
      <c r="CK191" s="39">
        <f t="shared" si="151"/>
        <v>0</v>
      </c>
      <c r="CL191" s="39">
        <f t="shared" si="152"/>
        <v>0</v>
      </c>
      <c r="CM191" s="39">
        <f t="shared" si="153"/>
        <v>0</v>
      </c>
      <c r="CN191" s="39">
        <f t="shared" si="154"/>
        <v>0</v>
      </c>
      <c r="CO191" s="39">
        <f t="shared" si="155"/>
        <v>0</v>
      </c>
      <c r="CP191" s="39">
        <f t="shared" si="156"/>
        <v>0</v>
      </c>
    </row>
    <row r="192" spans="2:94" ht="16" customHeight="1" x14ac:dyDescent="0.2">
      <c r="B192" s="38"/>
      <c r="L192" s="63">
        <v>30504</v>
      </c>
      <c r="M192" s="38">
        <v>0.8</v>
      </c>
      <c r="N192" s="38">
        <v>1.2</v>
      </c>
      <c r="O192" s="39">
        <v>0</v>
      </c>
      <c r="P192" s="39">
        <v>0</v>
      </c>
      <c r="Q192" s="46">
        <f t="shared" ref="Q192:Q255" si="165">0.15*($D$12-MAX(AG192,$D$10))/($D$12-$D$10)</f>
        <v>0.12131848331935917</v>
      </c>
      <c r="R192" s="81">
        <f t="shared" ref="R192:R255" si="166">MAX(0,M192-Q192*$B$10)^2/(M192+$B$10*(1-Q192))</f>
        <v>0</v>
      </c>
      <c r="S192" s="82">
        <f t="shared" ref="S192:S255" si="167">M192-R192</f>
        <v>0.8</v>
      </c>
      <c r="T192" s="39">
        <f t="shared" ref="T192:T255" si="168">BZ192+CP192</f>
        <v>0</v>
      </c>
      <c r="U192" s="83">
        <f t="shared" ref="U192:U255" si="169">N192*P192</f>
        <v>0</v>
      </c>
      <c r="V192" s="84">
        <f t="shared" ref="V192:V255" si="170">MAX(0,N192*MAX(0,1-P192)*$B$2)</f>
        <v>0.96</v>
      </c>
      <c r="W192" s="52">
        <f t="shared" ref="W192:W255" si="171">SUM(AG192:AJ192)-SUM(D$10:G$10)</f>
        <v>112.14954933572096</v>
      </c>
      <c r="X192" s="52">
        <f t="shared" ref="X192:X255" si="172">SUM(AK192:AN192)-SUM(H$10:K$10)</f>
        <v>154.68182003040346</v>
      </c>
      <c r="Y192" s="52">
        <f t="shared" ref="Y192:Y255" si="173">X192+W192</f>
        <v>266.83136936612442</v>
      </c>
      <c r="Z192" s="53">
        <f t="shared" ref="Z192:Z255" si="174">W192/(SUM(D$11:G$11)-SUM(D$10:G$10))</f>
        <v>0.87616835418532002</v>
      </c>
      <c r="AA192" s="53">
        <f t="shared" ref="AA192:AA255" si="175">X192/(SUM(H$11:K$11)-SUM(H$10:K$10))</f>
        <v>0.92072511922859201</v>
      </c>
      <c r="AB192" s="53">
        <f t="shared" ref="AB192:AB255" si="176">Y192/(SUM(D$11:K$11)-SUM(D$10:K$10))</f>
        <v>0.9014573289396095</v>
      </c>
      <c r="AC192" s="39" t="str">
        <f t="shared" ref="AC192:AC255" si="177">IF((AJ192-G$10)/(G$11-G$10)&lt;0.3,"Si","No")</f>
        <v>No</v>
      </c>
      <c r="AD192" s="85">
        <f t="shared" ref="AD192:AD255" si="178">IF(O192&gt;0.2,O192-O191,0)</f>
        <v>0</v>
      </c>
      <c r="AE192" s="46">
        <f t="shared" ref="AE192:AE255" si="179">IF(AF191&lt;D$6,1,IF(AF191&lt;E$6,MIN(1,(AH192-E$10)/(0.3*(E$11-E$10))),IF(AF191&lt;F$6,MIN(1,(AI192-F$10)/(0.3*(F$11-F$10))),IF(AF191&lt;G$6,MIN(1,(AJ192-G$10)/(0.3*(G$11-G$10))),IF(AF191&lt;H$6,MIN(1,(AK192-H$10)/(0.3*(H$11-H$10))),IF(AF191&lt;I$6,MIN(1,(AL192-I$10)/(0.3*(I$11-I$10))),IF(AF191&lt;J$6,MIN(1,(AM192-J$10)/(0.3*(J$11-J$10))),IF(AF191&lt;K$6,MIN(1,(AN192-K$10)/(0.3*(K$11-K$10))),0))))))))</f>
        <v>1</v>
      </c>
      <c r="AF192" s="46">
        <f t="shared" ref="AF192:AF255" si="180">IF(O192&lt;0.2,0,IF(O192=0.2,0.2,AF191+AD192*AE192))</f>
        <v>0</v>
      </c>
      <c r="AG192" s="39">
        <f t="shared" si="157"/>
        <v>44.149548229116142</v>
      </c>
      <c r="AH192" s="39">
        <f t="shared" si="158"/>
        <v>66.000000001997194</v>
      </c>
      <c r="AI192" s="39">
        <f t="shared" si="159"/>
        <v>64.000000065923558</v>
      </c>
      <c r="AJ192" s="39">
        <f t="shared" si="160"/>
        <v>87.000001038684047</v>
      </c>
      <c r="AK192" s="39">
        <f t="shared" si="161"/>
        <v>83.281820030403424</v>
      </c>
      <c r="AL192" s="39">
        <f t="shared" si="162"/>
        <v>70.800000000000011</v>
      </c>
      <c r="AM192" s="39">
        <f t="shared" si="163"/>
        <v>70.800000000000011</v>
      </c>
      <c r="AN192" s="39">
        <f t="shared" si="164"/>
        <v>70.800000000000011</v>
      </c>
      <c r="AO192" s="39">
        <f t="shared" ref="AO192:AO255" si="181">MAX(0,(AG192-D$10)*$B$8*MIN(1,(AG192-D$10)/($B$9*(D$11-D$10))))*MIN(1,$AF192/D$6)</f>
        <v>0</v>
      </c>
      <c r="AP192" s="39">
        <f t="shared" ref="AP192:AP255" si="182">MAX(0,(AH192-E$10)*$B$8*MIN(1,(AH192-E$10)/($B$9*(E$11-E$10))))*MIN(1,MAX(0,($AF192-D$6))/(E$6-D$6))</f>
        <v>0</v>
      </c>
      <c r="AQ192" s="39">
        <f t="shared" ref="AQ192:AQ255" si="183">MAX(0,(AI192-F$10)*$B$8*MIN(1,(AI192-F$10)/($B$9*(F$11-F$10))))*MIN(1,MAX(0,($AF192-E$6))/(F$6-E$6))</f>
        <v>0</v>
      </c>
      <c r="AR192" s="39">
        <f t="shared" ref="AR192:AR255" si="184">MAX(0,(AJ192-G$10)*$B$8*MIN(1,(AJ192-G$10)/($B$9*(G$11-G$10))))*MIN(1,MAX(0,($AF192-F$6))/(G$6-F$6))</f>
        <v>0</v>
      </c>
      <c r="AS192" s="39">
        <f t="shared" ref="AS192:AS255" si="185">MAX(0,(AK192-H$10)*$B$8*MIN(1,(AK192-H$10)/($B$9*(H$11-H$10))))*MIN(1,MAX(0,($AF192-G$6))/(H$6-G$6))</f>
        <v>0</v>
      </c>
      <c r="AT192" s="39">
        <f t="shared" ref="AT192:AT255" si="186">MAX(0,(AL192-I$10)*$B$8*MIN(1,(AL192-I$10)/($B$9*(I$11-I$10))))*MIN(1,MAX(0,($AF192-H$6))/(I$6-H$6))</f>
        <v>0</v>
      </c>
      <c r="AU192" s="39">
        <f t="shared" ref="AU192:AU255" si="187">MAX(0,(AM192-J$10)*$B$8*MIN(1,(AM192-J$10)/($B$9*(J$11-J$10))))*MIN(1,MAX(0,($AF192-I$6))/(J$6-I$6))</f>
        <v>0</v>
      </c>
      <c r="AV192" s="39">
        <f t="shared" ref="AV192:AV255" si="188">MAX(0,(AN192-K$10)*$B$8*MIN(1,(AN192-K$10)/($B$9*(K$11-K$10))))*MIN(1,MAX(0,($AF192-J$6))/(K$6-J$6))</f>
        <v>0</v>
      </c>
      <c r="AW192" s="39">
        <f t="shared" ref="AW192:AW255" si="189">SUM(AO192:AV192)</f>
        <v>0</v>
      </c>
      <c r="AX192" s="39">
        <f t="shared" ref="AX192:AX255" si="190">MIN(U192,AW192+S192)</f>
        <v>0</v>
      </c>
      <c r="AY192" s="39">
        <f t="shared" ref="AY192:AY255" si="191">MAX(0,AX192-S192)</f>
        <v>0</v>
      </c>
      <c r="AZ192" s="39">
        <f t="shared" ref="AZ192:AZ255" si="192">IF($AW192&gt;0,$AY192*(AO192/$AW192),0)</f>
        <v>0</v>
      </c>
      <c r="BA192" s="39">
        <f t="shared" ref="BA192:BA255" si="193">IF($AW192&gt;0,$AY192*(AP192/$AW192),0)</f>
        <v>0</v>
      </c>
      <c r="BB192" s="39">
        <f t="shared" ref="BB192:BB255" si="194">IF($AW192&gt;0,$AY192*(AQ192/$AW192),0)</f>
        <v>0</v>
      </c>
      <c r="BC192" s="39">
        <f t="shared" ref="BC192:BC255" si="195">IF($AW192&gt;0,$AY192*(AR192/$AW192),0)</f>
        <v>0</v>
      </c>
      <c r="BD192" s="39">
        <f t="shared" ref="BD192:BD255" si="196">IF($AW192&gt;0,$AY192*(AS192/$AW192),0)</f>
        <v>0</v>
      </c>
      <c r="BE192" s="39">
        <f t="shared" ref="BE192:BE255" si="197">IF($AW192&gt;0,$AY192*(AT192/$AW192),0)</f>
        <v>0</v>
      </c>
      <c r="BF192" s="39">
        <f t="shared" ref="BF192:BF255" si="198">IF($AW192&gt;0,$AY192*(AU192/$AW192),0)</f>
        <v>0</v>
      </c>
      <c r="BG192" s="39">
        <f t="shared" ref="BG192:BG255" si="199">IF($AW192&gt;0,$AY192*(AV192/$AW192),0)</f>
        <v>0</v>
      </c>
      <c r="BH192" s="84">
        <f t="shared" ref="BH192:BH255" si="200">MIN(V192,MAX(0,(AG192-(D$11-$B$5*$B$2)))+MAX(0,S192-AX192))</f>
        <v>0.8</v>
      </c>
      <c r="BI192" s="84">
        <f t="shared" ref="BI192:BI255" si="201">V192-BH192</f>
        <v>0.15999999999999992</v>
      </c>
      <c r="BJ192" s="84">
        <f t="shared" ref="BJ192:BJ255" si="202">BH192+MIN(BI192,BI192*((S192+AG192-AZ192-BH192-D$10*0.5)/(D$11-$B$5*$B$2-D$10*0.5))^4)</f>
        <v>0.85203530172022146</v>
      </c>
      <c r="BK192" s="39">
        <f t="shared" ref="BK192:BK255" si="203">AG192-AZ192-BJ192</f>
        <v>43.297512927395921</v>
      </c>
      <c r="BL192" s="39">
        <f t="shared" ref="BL192:BL255" si="204">AH192-BA192</f>
        <v>66.000000001997194</v>
      </c>
      <c r="BM192" s="39">
        <f t="shared" ref="BM192:BM255" si="205">AI192-BB192</f>
        <v>64.000000065923558</v>
      </c>
      <c r="BN192" s="39">
        <f t="shared" ref="BN192:BN255" si="206">AJ192-BC192</f>
        <v>87.000001038684047</v>
      </c>
      <c r="BO192" s="39">
        <f t="shared" ref="BO192:BO255" si="207">AK192-BD192</f>
        <v>83.281820030403424</v>
      </c>
      <c r="BP192" s="39">
        <f t="shared" ref="BP192:BP255" si="208">AL192-BE192</f>
        <v>70.800000000000011</v>
      </c>
      <c r="BQ192" s="39">
        <f t="shared" ref="BQ192:BQ255" si="209">AM192-BF192</f>
        <v>70.800000000000011</v>
      </c>
      <c r="BR192" s="39">
        <f t="shared" ref="BR192:BR255" si="210">AN192-BG192</f>
        <v>70.800000000000011</v>
      </c>
      <c r="BS192" s="39">
        <f t="shared" ref="BS192:BS255" si="211">MAX(0,(BK192-D$11)*$B$6)</f>
        <v>0</v>
      </c>
      <c r="BT192" s="39">
        <f t="shared" ref="BT192:BT255" si="212">MAX(0,(BL192-E$11)*$B$6)</f>
        <v>1.1983161130046938E-9</v>
      </c>
      <c r="BU192" s="39">
        <f t="shared" ref="BU192:BU255" si="213">MAX(0,(BM192-F$11)*$B$6)</f>
        <v>3.9554143427267262E-8</v>
      </c>
      <c r="BV192" s="39">
        <f t="shared" ref="BV192:BV255" si="214">MAX(0,(BN192-G$11)*$B$6)</f>
        <v>6.2321041980339944E-7</v>
      </c>
      <c r="BW192" s="39">
        <f t="shared" ref="BW192:BW255" si="215">MAX(0,(BO192-H$11)*$B$6)</f>
        <v>0</v>
      </c>
      <c r="BX192" s="39">
        <f t="shared" ref="BX192:BX255" si="216">MAX(0,(BP192-I$11)*$B$6)</f>
        <v>0</v>
      </c>
      <c r="BY192" s="39">
        <f t="shared" ref="BY192:BY255" si="217">MAX(0,(BQ192-J$11)*$B$6)</f>
        <v>0</v>
      </c>
      <c r="BZ192" s="39">
        <f t="shared" ref="BZ192:BZ255" si="218">MAX(0,(BR192-K$11)*$B$6)</f>
        <v>0</v>
      </c>
      <c r="CA192" s="39">
        <f t="shared" ref="CA192:CA255" si="219">BK192-BS192+MAX(0,S192-AY192-BJ192)</f>
        <v>43.297512927395921</v>
      </c>
      <c r="CB192" s="39">
        <f t="shared" ref="CB192:CB255" si="220">BL192-BT192+BS192+CI192</f>
        <v>66.000000000798877</v>
      </c>
      <c r="CC192" s="39">
        <f t="shared" ref="CC192:CC255" si="221">BM192-BU192+BT192+CJ192</f>
        <v>64.000000027567737</v>
      </c>
      <c r="CD192" s="39">
        <f t="shared" ref="CD192:CD255" si="222">BN192-BV192+BU192+CK192</f>
        <v>87.000000455027759</v>
      </c>
      <c r="CE192" s="39">
        <f t="shared" ref="CE192:CE255" si="223">BO192-BW192+BV192+CL192</f>
        <v>83.281820653613849</v>
      </c>
      <c r="CF192" s="39">
        <f t="shared" ref="CF192:CF255" si="224">BP192-BX192+BW192+CM192</f>
        <v>70.800000000000011</v>
      </c>
      <c r="CG192" s="39">
        <f t="shared" ref="CG192:CG255" si="225">BQ192-BY192+BX192+CN192</f>
        <v>70.800000000000011</v>
      </c>
      <c r="CH192" s="39">
        <f t="shared" ref="CH192:CH255" si="226">BR192-BZ192+BY192+CO192</f>
        <v>70.800000000000011</v>
      </c>
      <c r="CI192" s="39">
        <f t="shared" ref="CI192:CI255" si="227">MAX(0,CA192-D$12)</f>
        <v>0</v>
      </c>
      <c r="CJ192" s="39">
        <f t="shared" ref="CJ192:CJ255" si="228">MAX(0,CB192-E$12)</f>
        <v>0</v>
      </c>
      <c r="CK192" s="39">
        <f t="shared" ref="CK192:CK255" si="229">MAX(0,CC192-F$12)</f>
        <v>0</v>
      </c>
      <c r="CL192" s="39">
        <f t="shared" ref="CL192:CL255" si="230">MAX(0,CD192-G$12)</f>
        <v>0</v>
      </c>
      <c r="CM192" s="39">
        <f t="shared" ref="CM192:CM255" si="231">MAX(0,CE192-H$12)</f>
        <v>0</v>
      </c>
      <c r="CN192" s="39">
        <f t="shared" ref="CN192:CN255" si="232">MAX(0,CF192-I$12)</f>
        <v>0</v>
      </c>
      <c r="CO192" s="39">
        <f t="shared" ref="CO192:CO255" si="233">MAX(0,CG192-J$12)</f>
        <v>0</v>
      </c>
      <c r="CP192" s="39">
        <f t="shared" ref="CP192:CP255" si="234">MAX(0,CH192-K$12)</f>
        <v>0</v>
      </c>
    </row>
    <row r="193" spans="2:94" ht="16" customHeight="1" x14ac:dyDescent="0.2">
      <c r="B193" s="38"/>
      <c r="L193" s="63">
        <v>30505</v>
      </c>
      <c r="M193" s="38">
        <v>0</v>
      </c>
      <c r="N193" s="38">
        <v>1.3</v>
      </c>
      <c r="O193" s="39">
        <v>0</v>
      </c>
      <c r="P193" s="39">
        <v>0</v>
      </c>
      <c r="Q193" s="46">
        <f t="shared" si="165"/>
        <v>0.12304558190392718</v>
      </c>
      <c r="R193" s="81">
        <f t="shared" si="166"/>
        <v>0</v>
      </c>
      <c r="S193" s="82">
        <f t="shared" si="167"/>
        <v>0</v>
      </c>
      <c r="T193" s="39">
        <f t="shared" si="168"/>
        <v>0</v>
      </c>
      <c r="U193" s="83">
        <f t="shared" si="169"/>
        <v>0</v>
      </c>
      <c r="V193" s="84">
        <f t="shared" si="170"/>
        <v>1.04</v>
      </c>
      <c r="W193" s="52">
        <f t="shared" si="171"/>
        <v>111.29751341079032</v>
      </c>
      <c r="X193" s="52">
        <f t="shared" si="172"/>
        <v>154.6818206536139</v>
      </c>
      <c r="Y193" s="52">
        <f t="shared" si="173"/>
        <v>265.97933406440421</v>
      </c>
      <c r="Z193" s="53">
        <f t="shared" si="174"/>
        <v>0.86951182352179934</v>
      </c>
      <c r="AA193" s="53">
        <f t="shared" si="175"/>
        <v>0.92072512293817799</v>
      </c>
      <c r="AB193" s="53">
        <f t="shared" si="176"/>
        <v>0.89857883129866289</v>
      </c>
      <c r="AC193" s="39" t="str">
        <f t="shared" si="177"/>
        <v>No</v>
      </c>
      <c r="AD193" s="85">
        <f t="shared" si="178"/>
        <v>0</v>
      </c>
      <c r="AE193" s="46">
        <f t="shared" si="179"/>
        <v>1</v>
      </c>
      <c r="AF193" s="46">
        <f t="shared" si="180"/>
        <v>0</v>
      </c>
      <c r="AG193" s="39">
        <f t="shared" ref="AG193:AG256" si="235">MIN(D$12,CA192)</f>
        <v>43.297512927395921</v>
      </c>
      <c r="AH193" s="39">
        <f t="shared" ref="AH193:AH256" si="236">MIN(E$12,CB192)</f>
        <v>66.000000000798877</v>
      </c>
      <c r="AI193" s="39">
        <f t="shared" ref="AI193:AI256" si="237">MIN(F$12,CC192)</f>
        <v>64.000000027567737</v>
      </c>
      <c r="AJ193" s="39">
        <f t="shared" ref="AJ193:AJ256" si="238">MIN(G$12,CD192)</f>
        <v>87.000000455027759</v>
      </c>
      <c r="AK193" s="39">
        <f t="shared" ref="AK193:AK256" si="239">MIN(H$12,CE192)</f>
        <v>83.281820653613849</v>
      </c>
      <c r="AL193" s="39">
        <f t="shared" ref="AL193:AL256" si="240">MIN(I$12,CF192)</f>
        <v>70.800000000000011</v>
      </c>
      <c r="AM193" s="39">
        <f t="shared" ref="AM193:AM256" si="241">MIN(J$12,CG192)</f>
        <v>70.800000000000011</v>
      </c>
      <c r="AN193" s="39">
        <f t="shared" ref="AN193:AN256" si="242">MIN(K$12,CH192)</f>
        <v>70.800000000000011</v>
      </c>
      <c r="AO193" s="39">
        <f t="shared" si="181"/>
        <v>0</v>
      </c>
      <c r="AP193" s="39">
        <f t="shared" si="182"/>
        <v>0</v>
      </c>
      <c r="AQ193" s="39">
        <f t="shared" si="183"/>
        <v>0</v>
      </c>
      <c r="AR193" s="39">
        <f t="shared" si="184"/>
        <v>0</v>
      </c>
      <c r="AS193" s="39">
        <f t="shared" si="185"/>
        <v>0</v>
      </c>
      <c r="AT193" s="39">
        <f t="shared" si="186"/>
        <v>0</v>
      </c>
      <c r="AU193" s="39">
        <f t="shared" si="187"/>
        <v>0</v>
      </c>
      <c r="AV193" s="39">
        <f t="shared" si="188"/>
        <v>0</v>
      </c>
      <c r="AW193" s="39">
        <f t="shared" si="189"/>
        <v>0</v>
      </c>
      <c r="AX193" s="39">
        <f t="shared" si="190"/>
        <v>0</v>
      </c>
      <c r="AY193" s="39">
        <f t="shared" si="191"/>
        <v>0</v>
      </c>
      <c r="AZ193" s="39">
        <f t="shared" si="192"/>
        <v>0</v>
      </c>
      <c r="BA193" s="39">
        <f t="shared" si="193"/>
        <v>0</v>
      </c>
      <c r="BB193" s="39">
        <f t="shared" si="194"/>
        <v>0</v>
      </c>
      <c r="BC193" s="39">
        <f t="shared" si="195"/>
        <v>0</v>
      </c>
      <c r="BD193" s="39">
        <f t="shared" si="196"/>
        <v>0</v>
      </c>
      <c r="BE193" s="39">
        <f t="shared" si="197"/>
        <v>0</v>
      </c>
      <c r="BF193" s="39">
        <f t="shared" si="198"/>
        <v>0</v>
      </c>
      <c r="BG193" s="39">
        <f t="shared" si="199"/>
        <v>0</v>
      </c>
      <c r="BH193" s="84">
        <f t="shared" si="200"/>
        <v>0</v>
      </c>
      <c r="BI193" s="84">
        <f t="shared" si="201"/>
        <v>1.04</v>
      </c>
      <c r="BJ193" s="84">
        <f t="shared" si="202"/>
        <v>0.30038427141215457</v>
      </c>
      <c r="BK193" s="39">
        <f t="shared" si="203"/>
        <v>42.997128655983765</v>
      </c>
      <c r="BL193" s="39">
        <f t="shared" si="204"/>
        <v>66.000000000798877</v>
      </c>
      <c r="BM193" s="39">
        <f t="shared" si="205"/>
        <v>64.000000027567737</v>
      </c>
      <c r="BN193" s="39">
        <f t="shared" si="206"/>
        <v>87.000000455027759</v>
      </c>
      <c r="BO193" s="39">
        <f t="shared" si="207"/>
        <v>83.281820653613849</v>
      </c>
      <c r="BP193" s="39">
        <f t="shared" si="208"/>
        <v>70.800000000000011</v>
      </c>
      <c r="BQ193" s="39">
        <f t="shared" si="209"/>
        <v>70.800000000000011</v>
      </c>
      <c r="BR193" s="39">
        <f t="shared" si="210"/>
        <v>70.800000000000011</v>
      </c>
      <c r="BS193" s="39">
        <f t="shared" si="211"/>
        <v>0</v>
      </c>
      <c r="BT193" s="39">
        <f t="shared" si="212"/>
        <v>4.7932644520187748E-10</v>
      </c>
      <c r="BU193" s="39">
        <f t="shared" si="213"/>
        <v>1.6540650449314854E-8</v>
      </c>
      <c r="BV193" s="39">
        <f t="shared" si="214"/>
        <v>2.7301664715650983E-7</v>
      </c>
      <c r="BW193" s="39">
        <f t="shared" si="215"/>
        <v>0</v>
      </c>
      <c r="BX193" s="39">
        <f t="shared" si="216"/>
        <v>0</v>
      </c>
      <c r="BY193" s="39">
        <f t="shared" si="217"/>
        <v>0</v>
      </c>
      <c r="BZ193" s="39">
        <f t="shared" si="218"/>
        <v>0</v>
      </c>
      <c r="CA193" s="39">
        <f t="shared" si="219"/>
        <v>42.997128655983765</v>
      </c>
      <c r="CB193" s="39">
        <f t="shared" si="220"/>
        <v>66.000000000319545</v>
      </c>
      <c r="CC193" s="39">
        <f t="shared" si="221"/>
        <v>64.000000011506415</v>
      </c>
      <c r="CD193" s="39">
        <f t="shared" si="222"/>
        <v>87.00000019855176</v>
      </c>
      <c r="CE193" s="39">
        <f t="shared" si="223"/>
        <v>83.281820926630502</v>
      </c>
      <c r="CF193" s="39">
        <f t="shared" si="224"/>
        <v>70.800000000000011</v>
      </c>
      <c r="CG193" s="39">
        <f t="shared" si="225"/>
        <v>70.800000000000011</v>
      </c>
      <c r="CH193" s="39">
        <f t="shared" si="226"/>
        <v>70.800000000000011</v>
      </c>
      <c r="CI193" s="39">
        <f t="shared" si="227"/>
        <v>0</v>
      </c>
      <c r="CJ193" s="39">
        <f t="shared" si="228"/>
        <v>0</v>
      </c>
      <c r="CK193" s="39">
        <f t="shared" si="229"/>
        <v>0</v>
      </c>
      <c r="CL193" s="39">
        <f t="shared" si="230"/>
        <v>0</v>
      </c>
      <c r="CM193" s="39">
        <f t="shared" si="231"/>
        <v>0</v>
      </c>
      <c r="CN193" s="39">
        <f t="shared" si="232"/>
        <v>0</v>
      </c>
      <c r="CO193" s="39">
        <f t="shared" si="233"/>
        <v>0</v>
      </c>
      <c r="CP193" s="39">
        <f t="shared" si="234"/>
        <v>0</v>
      </c>
    </row>
    <row r="194" spans="2:94" ht="16" customHeight="1" x14ac:dyDescent="0.2">
      <c r="B194" s="38"/>
      <c r="L194" s="63">
        <v>30506</v>
      </c>
      <c r="M194" s="38">
        <v>0</v>
      </c>
      <c r="N194" s="38">
        <v>1</v>
      </c>
      <c r="O194" s="39">
        <v>0</v>
      </c>
      <c r="P194" s="39">
        <v>0</v>
      </c>
      <c r="Q194" s="46">
        <f t="shared" si="165"/>
        <v>0.12365446894057344</v>
      </c>
      <c r="R194" s="81">
        <f t="shared" si="166"/>
        <v>0</v>
      </c>
      <c r="S194" s="82">
        <f t="shared" si="167"/>
        <v>0</v>
      </c>
      <c r="T194" s="39">
        <f t="shared" si="168"/>
        <v>0</v>
      </c>
      <c r="U194" s="83">
        <f t="shared" si="169"/>
        <v>0</v>
      </c>
      <c r="V194" s="84">
        <f t="shared" si="170"/>
        <v>0.8</v>
      </c>
      <c r="W194" s="52">
        <f t="shared" si="171"/>
        <v>110.99712886636149</v>
      </c>
      <c r="X194" s="52">
        <f t="shared" si="172"/>
        <v>154.68182092663051</v>
      </c>
      <c r="Y194" s="52">
        <f t="shared" si="173"/>
        <v>265.678949792992</v>
      </c>
      <c r="Z194" s="53">
        <f t="shared" si="174"/>
        <v>0.86716506926844916</v>
      </c>
      <c r="AA194" s="53">
        <f t="shared" si="175"/>
        <v>0.92072512456327682</v>
      </c>
      <c r="AB194" s="53">
        <f t="shared" si="176"/>
        <v>0.89756401957091891</v>
      </c>
      <c r="AC194" s="39" t="str">
        <f t="shared" si="177"/>
        <v>No</v>
      </c>
      <c r="AD194" s="85">
        <f t="shared" si="178"/>
        <v>0</v>
      </c>
      <c r="AE194" s="46">
        <f t="shared" si="179"/>
        <v>1</v>
      </c>
      <c r="AF194" s="46">
        <f t="shared" si="180"/>
        <v>0</v>
      </c>
      <c r="AG194" s="39">
        <f t="shared" si="235"/>
        <v>42.997128655983765</v>
      </c>
      <c r="AH194" s="39">
        <f t="shared" si="236"/>
        <v>66.000000000319545</v>
      </c>
      <c r="AI194" s="39">
        <f t="shared" si="237"/>
        <v>64.000000011506415</v>
      </c>
      <c r="AJ194" s="39">
        <f t="shared" si="238"/>
        <v>87.00000019855176</v>
      </c>
      <c r="AK194" s="39">
        <f t="shared" si="239"/>
        <v>83.281820926630502</v>
      </c>
      <c r="AL194" s="39">
        <f t="shared" si="240"/>
        <v>70.800000000000011</v>
      </c>
      <c r="AM194" s="39">
        <f t="shared" si="241"/>
        <v>70.800000000000011</v>
      </c>
      <c r="AN194" s="39">
        <f t="shared" si="242"/>
        <v>70.800000000000011</v>
      </c>
      <c r="AO194" s="39">
        <f t="shared" si="181"/>
        <v>0</v>
      </c>
      <c r="AP194" s="39">
        <f t="shared" si="182"/>
        <v>0</v>
      </c>
      <c r="AQ194" s="39">
        <f t="shared" si="183"/>
        <v>0</v>
      </c>
      <c r="AR194" s="39">
        <f t="shared" si="184"/>
        <v>0</v>
      </c>
      <c r="AS194" s="39">
        <f t="shared" si="185"/>
        <v>0</v>
      </c>
      <c r="AT194" s="39">
        <f t="shared" si="186"/>
        <v>0</v>
      </c>
      <c r="AU194" s="39">
        <f t="shared" si="187"/>
        <v>0</v>
      </c>
      <c r="AV194" s="39">
        <f t="shared" si="188"/>
        <v>0</v>
      </c>
      <c r="AW194" s="39">
        <f t="shared" si="189"/>
        <v>0</v>
      </c>
      <c r="AX194" s="39">
        <f t="shared" si="190"/>
        <v>0</v>
      </c>
      <c r="AY194" s="39">
        <f t="shared" si="191"/>
        <v>0</v>
      </c>
      <c r="AZ194" s="39">
        <f t="shared" si="192"/>
        <v>0</v>
      </c>
      <c r="BA194" s="39">
        <f t="shared" si="193"/>
        <v>0</v>
      </c>
      <c r="BB194" s="39">
        <f t="shared" si="194"/>
        <v>0</v>
      </c>
      <c r="BC194" s="39">
        <f t="shared" si="195"/>
        <v>0</v>
      </c>
      <c r="BD194" s="39">
        <f t="shared" si="196"/>
        <v>0</v>
      </c>
      <c r="BE194" s="39">
        <f t="shared" si="197"/>
        <v>0</v>
      </c>
      <c r="BF194" s="39">
        <f t="shared" si="198"/>
        <v>0</v>
      </c>
      <c r="BG194" s="39">
        <f t="shared" si="199"/>
        <v>0</v>
      </c>
      <c r="BH194" s="84">
        <f t="shared" si="200"/>
        <v>0</v>
      </c>
      <c r="BI194" s="84">
        <f t="shared" si="201"/>
        <v>0.8</v>
      </c>
      <c r="BJ194" s="84">
        <f t="shared" si="202"/>
        <v>0.22140872979147544</v>
      </c>
      <c r="BK194" s="39">
        <f t="shared" si="203"/>
        <v>42.775719926192288</v>
      </c>
      <c r="BL194" s="39">
        <f t="shared" si="204"/>
        <v>66.000000000319545</v>
      </c>
      <c r="BM194" s="39">
        <f t="shared" si="205"/>
        <v>64.000000011506415</v>
      </c>
      <c r="BN194" s="39">
        <f t="shared" si="206"/>
        <v>87.00000019855176</v>
      </c>
      <c r="BO194" s="39">
        <f t="shared" si="207"/>
        <v>83.281820926630502</v>
      </c>
      <c r="BP194" s="39">
        <f t="shared" si="208"/>
        <v>70.800000000000011</v>
      </c>
      <c r="BQ194" s="39">
        <f t="shared" si="209"/>
        <v>70.800000000000011</v>
      </c>
      <c r="BR194" s="39">
        <f t="shared" si="210"/>
        <v>70.800000000000011</v>
      </c>
      <c r="BS194" s="39">
        <f t="shared" si="211"/>
        <v>0</v>
      </c>
      <c r="BT194" s="39">
        <f t="shared" si="212"/>
        <v>1.9172716747561936E-10</v>
      </c>
      <c r="BU194" s="39">
        <f t="shared" si="213"/>
        <v>6.9038577521496334E-9</v>
      </c>
      <c r="BV194" s="39">
        <f t="shared" si="214"/>
        <v>1.1913104742689028E-7</v>
      </c>
      <c r="BW194" s="39">
        <f t="shared" si="215"/>
        <v>0</v>
      </c>
      <c r="BX194" s="39">
        <f t="shared" si="216"/>
        <v>0</v>
      </c>
      <c r="BY194" s="39">
        <f t="shared" si="217"/>
        <v>0</v>
      </c>
      <c r="BZ194" s="39">
        <f t="shared" si="218"/>
        <v>0</v>
      </c>
      <c r="CA194" s="39">
        <f t="shared" si="219"/>
        <v>42.775719926192288</v>
      </c>
      <c r="CB194" s="39">
        <f t="shared" si="220"/>
        <v>66.000000000127812</v>
      </c>
      <c r="CC194" s="39">
        <f t="shared" si="221"/>
        <v>64.000000004794288</v>
      </c>
      <c r="CD194" s="39">
        <f t="shared" si="222"/>
        <v>87.000000086324576</v>
      </c>
      <c r="CE194" s="39">
        <f t="shared" si="223"/>
        <v>83.281821045761546</v>
      </c>
      <c r="CF194" s="39">
        <f t="shared" si="224"/>
        <v>70.800000000000011</v>
      </c>
      <c r="CG194" s="39">
        <f t="shared" si="225"/>
        <v>70.800000000000011</v>
      </c>
      <c r="CH194" s="39">
        <f t="shared" si="226"/>
        <v>70.800000000000011</v>
      </c>
      <c r="CI194" s="39">
        <f t="shared" si="227"/>
        <v>0</v>
      </c>
      <c r="CJ194" s="39">
        <f t="shared" si="228"/>
        <v>0</v>
      </c>
      <c r="CK194" s="39">
        <f t="shared" si="229"/>
        <v>0</v>
      </c>
      <c r="CL194" s="39">
        <f t="shared" si="230"/>
        <v>0</v>
      </c>
      <c r="CM194" s="39">
        <f t="shared" si="231"/>
        <v>0</v>
      </c>
      <c r="CN194" s="39">
        <f t="shared" si="232"/>
        <v>0</v>
      </c>
      <c r="CO194" s="39">
        <f t="shared" si="233"/>
        <v>0</v>
      </c>
      <c r="CP194" s="39">
        <f t="shared" si="234"/>
        <v>0</v>
      </c>
    </row>
    <row r="195" spans="2:94" ht="16" customHeight="1" x14ac:dyDescent="0.2">
      <c r="B195" s="38"/>
      <c r="L195" s="63">
        <v>30507</v>
      </c>
      <c r="M195" s="38">
        <v>0</v>
      </c>
      <c r="N195" s="38">
        <v>1.1000000000000001</v>
      </c>
      <c r="O195" s="39">
        <v>0</v>
      </c>
      <c r="P195" s="39">
        <v>0</v>
      </c>
      <c r="Q195" s="46">
        <f t="shared" si="165"/>
        <v>0.12410327041988051</v>
      </c>
      <c r="R195" s="81">
        <f t="shared" si="166"/>
        <v>0</v>
      </c>
      <c r="S195" s="82">
        <f t="shared" si="167"/>
        <v>0</v>
      </c>
      <c r="T195" s="39">
        <f t="shared" si="168"/>
        <v>0</v>
      </c>
      <c r="U195" s="83">
        <f t="shared" si="169"/>
        <v>0</v>
      </c>
      <c r="V195" s="84">
        <f t="shared" si="170"/>
        <v>0.88000000000000012</v>
      </c>
      <c r="W195" s="52">
        <f t="shared" si="171"/>
        <v>110.77572001743897</v>
      </c>
      <c r="X195" s="52">
        <f t="shared" si="172"/>
        <v>154.68182104576158</v>
      </c>
      <c r="Y195" s="52">
        <f t="shared" si="173"/>
        <v>265.45754106320055</v>
      </c>
      <c r="Z195" s="53">
        <f t="shared" si="174"/>
        <v>0.86543531263624196</v>
      </c>
      <c r="AA195" s="53">
        <f t="shared" si="175"/>
        <v>0.92072512527239037</v>
      </c>
      <c r="AB195" s="53">
        <f t="shared" si="176"/>
        <v>0.89681601710540726</v>
      </c>
      <c r="AC195" s="39" t="str">
        <f t="shared" si="177"/>
        <v>No</v>
      </c>
      <c r="AD195" s="85">
        <f t="shared" si="178"/>
        <v>0</v>
      </c>
      <c r="AE195" s="46">
        <f t="shared" si="179"/>
        <v>1</v>
      </c>
      <c r="AF195" s="46">
        <f t="shared" si="180"/>
        <v>0</v>
      </c>
      <c r="AG195" s="39">
        <f t="shared" si="235"/>
        <v>42.775719926192288</v>
      </c>
      <c r="AH195" s="39">
        <f t="shared" si="236"/>
        <v>66.000000000127812</v>
      </c>
      <c r="AI195" s="39">
        <f t="shared" si="237"/>
        <v>64.000000004794288</v>
      </c>
      <c r="AJ195" s="39">
        <f t="shared" si="238"/>
        <v>87.000000086324576</v>
      </c>
      <c r="AK195" s="39">
        <f t="shared" si="239"/>
        <v>83.281821045761546</v>
      </c>
      <c r="AL195" s="39">
        <f t="shared" si="240"/>
        <v>70.800000000000011</v>
      </c>
      <c r="AM195" s="39">
        <f t="shared" si="241"/>
        <v>70.800000000000011</v>
      </c>
      <c r="AN195" s="39">
        <f t="shared" si="242"/>
        <v>70.800000000000011</v>
      </c>
      <c r="AO195" s="39">
        <f t="shared" si="181"/>
        <v>0</v>
      </c>
      <c r="AP195" s="39">
        <f t="shared" si="182"/>
        <v>0</v>
      </c>
      <c r="AQ195" s="39">
        <f t="shared" si="183"/>
        <v>0</v>
      </c>
      <c r="AR195" s="39">
        <f t="shared" si="184"/>
        <v>0</v>
      </c>
      <c r="AS195" s="39">
        <f t="shared" si="185"/>
        <v>0</v>
      </c>
      <c r="AT195" s="39">
        <f t="shared" si="186"/>
        <v>0</v>
      </c>
      <c r="AU195" s="39">
        <f t="shared" si="187"/>
        <v>0</v>
      </c>
      <c r="AV195" s="39">
        <f t="shared" si="188"/>
        <v>0</v>
      </c>
      <c r="AW195" s="39">
        <f t="shared" si="189"/>
        <v>0</v>
      </c>
      <c r="AX195" s="39">
        <f t="shared" si="190"/>
        <v>0</v>
      </c>
      <c r="AY195" s="39">
        <f t="shared" si="191"/>
        <v>0</v>
      </c>
      <c r="AZ195" s="39">
        <f t="shared" si="192"/>
        <v>0</v>
      </c>
      <c r="BA195" s="39">
        <f t="shared" si="193"/>
        <v>0</v>
      </c>
      <c r="BB195" s="39">
        <f t="shared" si="194"/>
        <v>0</v>
      </c>
      <c r="BC195" s="39">
        <f t="shared" si="195"/>
        <v>0</v>
      </c>
      <c r="BD195" s="39">
        <f t="shared" si="196"/>
        <v>0</v>
      </c>
      <c r="BE195" s="39">
        <f t="shared" si="197"/>
        <v>0</v>
      </c>
      <c r="BF195" s="39">
        <f t="shared" si="198"/>
        <v>0</v>
      </c>
      <c r="BG195" s="39">
        <f t="shared" si="199"/>
        <v>0</v>
      </c>
      <c r="BH195" s="84">
        <f t="shared" si="200"/>
        <v>0</v>
      </c>
      <c r="BI195" s="84">
        <f t="shared" si="201"/>
        <v>0.88000000000000012</v>
      </c>
      <c r="BJ195" s="84">
        <f t="shared" si="202"/>
        <v>0.23593629262703614</v>
      </c>
      <c r="BK195" s="39">
        <f t="shared" si="203"/>
        <v>42.53978363356525</v>
      </c>
      <c r="BL195" s="39">
        <f t="shared" si="204"/>
        <v>66.000000000127812</v>
      </c>
      <c r="BM195" s="39">
        <f t="shared" si="205"/>
        <v>64.000000004794288</v>
      </c>
      <c r="BN195" s="39">
        <f t="shared" si="206"/>
        <v>87.000000086324576</v>
      </c>
      <c r="BO195" s="39">
        <f t="shared" si="207"/>
        <v>83.281821045761546</v>
      </c>
      <c r="BP195" s="39">
        <f t="shared" si="208"/>
        <v>70.800000000000011</v>
      </c>
      <c r="BQ195" s="39">
        <f t="shared" si="209"/>
        <v>70.800000000000011</v>
      </c>
      <c r="BR195" s="39">
        <f t="shared" si="210"/>
        <v>70.800000000000011</v>
      </c>
      <c r="BS195" s="39">
        <f t="shared" si="211"/>
        <v>0</v>
      </c>
      <c r="BT195" s="39">
        <f t="shared" si="212"/>
        <v>7.6687456385116088E-11</v>
      </c>
      <c r="BU195" s="39">
        <f t="shared" si="213"/>
        <v>2.8765811066477908E-9</v>
      </c>
      <c r="BV195" s="39">
        <f t="shared" si="214"/>
        <v>5.1794737032651029E-8</v>
      </c>
      <c r="BW195" s="39">
        <f t="shared" si="215"/>
        <v>0</v>
      </c>
      <c r="BX195" s="39">
        <f t="shared" si="216"/>
        <v>0</v>
      </c>
      <c r="BY195" s="39">
        <f t="shared" si="217"/>
        <v>0</v>
      </c>
      <c r="BZ195" s="39">
        <f t="shared" si="218"/>
        <v>0</v>
      </c>
      <c r="CA195" s="39">
        <f t="shared" si="219"/>
        <v>42.53978363356525</v>
      </c>
      <c r="CB195" s="39">
        <f t="shared" si="220"/>
        <v>66.000000000051131</v>
      </c>
      <c r="CC195" s="39">
        <f t="shared" si="221"/>
        <v>64.000000001994394</v>
      </c>
      <c r="CD195" s="39">
        <f t="shared" si="222"/>
        <v>87.000000037406409</v>
      </c>
      <c r="CE195" s="39">
        <f t="shared" si="223"/>
        <v>83.281821097556289</v>
      </c>
      <c r="CF195" s="39">
        <f t="shared" si="224"/>
        <v>70.800000000000011</v>
      </c>
      <c r="CG195" s="39">
        <f t="shared" si="225"/>
        <v>70.800000000000011</v>
      </c>
      <c r="CH195" s="39">
        <f t="shared" si="226"/>
        <v>70.800000000000011</v>
      </c>
      <c r="CI195" s="39">
        <f t="shared" si="227"/>
        <v>0</v>
      </c>
      <c r="CJ195" s="39">
        <f t="shared" si="228"/>
        <v>0</v>
      </c>
      <c r="CK195" s="39">
        <f t="shared" si="229"/>
        <v>0</v>
      </c>
      <c r="CL195" s="39">
        <f t="shared" si="230"/>
        <v>0</v>
      </c>
      <c r="CM195" s="39">
        <f t="shared" si="231"/>
        <v>0</v>
      </c>
      <c r="CN195" s="39">
        <f t="shared" si="232"/>
        <v>0</v>
      </c>
      <c r="CO195" s="39">
        <f t="shared" si="233"/>
        <v>0</v>
      </c>
      <c r="CP195" s="39">
        <f t="shared" si="234"/>
        <v>0</v>
      </c>
    </row>
    <row r="196" spans="2:94" ht="16" customHeight="1" x14ac:dyDescent="0.2">
      <c r="B196" s="38"/>
      <c r="L196" s="63">
        <v>30508</v>
      </c>
      <c r="M196" s="38">
        <v>0</v>
      </c>
      <c r="N196" s="38">
        <v>1.8</v>
      </c>
      <c r="O196" s="39">
        <v>0</v>
      </c>
      <c r="P196" s="39">
        <v>0</v>
      </c>
      <c r="Q196" s="46">
        <f t="shared" si="165"/>
        <v>0.12458151966169206</v>
      </c>
      <c r="R196" s="81">
        <f t="shared" si="166"/>
        <v>0</v>
      </c>
      <c r="S196" s="82">
        <f t="shared" si="167"/>
        <v>0</v>
      </c>
      <c r="T196" s="39">
        <f t="shared" si="168"/>
        <v>0</v>
      </c>
      <c r="U196" s="83">
        <f t="shared" si="169"/>
        <v>0</v>
      </c>
      <c r="V196" s="84">
        <f t="shared" si="170"/>
        <v>1.4400000000000002</v>
      </c>
      <c r="W196" s="52">
        <f t="shared" si="171"/>
        <v>110.53978367301715</v>
      </c>
      <c r="X196" s="52">
        <f t="shared" si="172"/>
        <v>154.68182109755634</v>
      </c>
      <c r="Y196" s="52">
        <f t="shared" si="173"/>
        <v>265.22160477057349</v>
      </c>
      <c r="Z196" s="53">
        <f t="shared" si="174"/>
        <v>0.86359205994544652</v>
      </c>
      <c r="AA196" s="53">
        <f t="shared" si="175"/>
        <v>0.92072512558069253</v>
      </c>
      <c r="AB196" s="53">
        <f t="shared" si="176"/>
        <v>0.89601893503572128</v>
      </c>
      <c r="AC196" s="39" t="str">
        <f t="shared" si="177"/>
        <v>No</v>
      </c>
      <c r="AD196" s="85">
        <f t="shared" si="178"/>
        <v>0</v>
      </c>
      <c r="AE196" s="46">
        <f t="shared" si="179"/>
        <v>1</v>
      </c>
      <c r="AF196" s="46">
        <f t="shared" si="180"/>
        <v>0</v>
      </c>
      <c r="AG196" s="39">
        <f t="shared" si="235"/>
        <v>42.53978363356525</v>
      </c>
      <c r="AH196" s="39">
        <f t="shared" si="236"/>
        <v>66.000000000051131</v>
      </c>
      <c r="AI196" s="39">
        <f t="shared" si="237"/>
        <v>64.000000001994394</v>
      </c>
      <c r="AJ196" s="39">
        <f t="shared" si="238"/>
        <v>87.000000037406409</v>
      </c>
      <c r="AK196" s="39">
        <f t="shared" si="239"/>
        <v>83.281821097556289</v>
      </c>
      <c r="AL196" s="39">
        <f t="shared" si="240"/>
        <v>70.800000000000011</v>
      </c>
      <c r="AM196" s="39">
        <f t="shared" si="241"/>
        <v>70.800000000000011</v>
      </c>
      <c r="AN196" s="39">
        <f t="shared" si="242"/>
        <v>70.800000000000011</v>
      </c>
      <c r="AO196" s="39">
        <f t="shared" si="181"/>
        <v>0</v>
      </c>
      <c r="AP196" s="39">
        <f t="shared" si="182"/>
        <v>0</v>
      </c>
      <c r="AQ196" s="39">
        <f t="shared" si="183"/>
        <v>0</v>
      </c>
      <c r="AR196" s="39">
        <f t="shared" si="184"/>
        <v>0</v>
      </c>
      <c r="AS196" s="39">
        <f t="shared" si="185"/>
        <v>0</v>
      </c>
      <c r="AT196" s="39">
        <f t="shared" si="186"/>
        <v>0</v>
      </c>
      <c r="AU196" s="39">
        <f t="shared" si="187"/>
        <v>0</v>
      </c>
      <c r="AV196" s="39">
        <f t="shared" si="188"/>
        <v>0</v>
      </c>
      <c r="AW196" s="39">
        <f t="shared" si="189"/>
        <v>0</v>
      </c>
      <c r="AX196" s="39">
        <f t="shared" si="190"/>
        <v>0</v>
      </c>
      <c r="AY196" s="39">
        <f t="shared" si="191"/>
        <v>0</v>
      </c>
      <c r="AZ196" s="39">
        <f t="shared" si="192"/>
        <v>0</v>
      </c>
      <c r="BA196" s="39">
        <f t="shared" si="193"/>
        <v>0</v>
      </c>
      <c r="BB196" s="39">
        <f t="shared" si="194"/>
        <v>0</v>
      </c>
      <c r="BC196" s="39">
        <f t="shared" si="195"/>
        <v>0</v>
      </c>
      <c r="BD196" s="39">
        <f t="shared" si="196"/>
        <v>0</v>
      </c>
      <c r="BE196" s="39">
        <f t="shared" si="197"/>
        <v>0</v>
      </c>
      <c r="BF196" s="39">
        <f t="shared" si="198"/>
        <v>0</v>
      </c>
      <c r="BG196" s="39">
        <f t="shared" si="199"/>
        <v>0</v>
      </c>
      <c r="BH196" s="84">
        <f t="shared" si="200"/>
        <v>0</v>
      </c>
      <c r="BI196" s="84">
        <f t="shared" si="201"/>
        <v>1.4400000000000002</v>
      </c>
      <c r="BJ196" s="84">
        <f t="shared" si="202"/>
        <v>0.37312587678784892</v>
      </c>
      <c r="BK196" s="39">
        <f t="shared" si="203"/>
        <v>42.166657756777404</v>
      </c>
      <c r="BL196" s="39">
        <f t="shared" si="204"/>
        <v>66.000000000051131</v>
      </c>
      <c r="BM196" s="39">
        <f t="shared" si="205"/>
        <v>64.000000001994394</v>
      </c>
      <c r="BN196" s="39">
        <f t="shared" si="206"/>
        <v>87.000000037406409</v>
      </c>
      <c r="BO196" s="39">
        <f t="shared" si="207"/>
        <v>83.281821097556289</v>
      </c>
      <c r="BP196" s="39">
        <f t="shared" si="208"/>
        <v>70.800000000000011</v>
      </c>
      <c r="BQ196" s="39">
        <f t="shared" si="209"/>
        <v>70.800000000000011</v>
      </c>
      <c r="BR196" s="39">
        <f t="shared" si="210"/>
        <v>70.800000000000011</v>
      </c>
      <c r="BS196" s="39">
        <f t="shared" si="211"/>
        <v>0</v>
      </c>
      <c r="BT196" s="39">
        <f t="shared" si="212"/>
        <v>3.0678393159178082E-11</v>
      </c>
      <c r="BU196" s="39">
        <f t="shared" si="213"/>
        <v>1.1966449164901859E-9</v>
      </c>
      <c r="BV196" s="39">
        <f t="shared" si="214"/>
        <v>2.244383665583882E-8</v>
      </c>
      <c r="BW196" s="39">
        <f t="shared" si="215"/>
        <v>0</v>
      </c>
      <c r="BX196" s="39">
        <f t="shared" si="216"/>
        <v>0</v>
      </c>
      <c r="BY196" s="39">
        <f t="shared" si="217"/>
        <v>0</v>
      </c>
      <c r="BZ196" s="39">
        <f t="shared" si="218"/>
        <v>0</v>
      </c>
      <c r="CA196" s="39">
        <f t="shared" si="219"/>
        <v>42.166657756777404</v>
      </c>
      <c r="CB196" s="39">
        <f t="shared" si="220"/>
        <v>66.000000000020449</v>
      </c>
      <c r="CC196" s="39">
        <f t="shared" si="221"/>
        <v>64.000000000828436</v>
      </c>
      <c r="CD196" s="39">
        <f t="shared" si="222"/>
        <v>87.000000016159206</v>
      </c>
      <c r="CE196" s="39">
        <f t="shared" si="223"/>
        <v>83.281821120000131</v>
      </c>
      <c r="CF196" s="39">
        <f t="shared" si="224"/>
        <v>70.800000000000011</v>
      </c>
      <c r="CG196" s="39">
        <f t="shared" si="225"/>
        <v>70.800000000000011</v>
      </c>
      <c r="CH196" s="39">
        <f t="shared" si="226"/>
        <v>70.800000000000011</v>
      </c>
      <c r="CI196" s="39">
        <f t="shared" si="227"/>
        <v>0</v>
      </c>
      <c r="CJ196" s="39">
        <f t="shared" si="228"/>
        <v>0</v>
      </c>
      <c r="CK196" s="39">
        <f t="shared" si="229"/>
        <v>0</v>
      </c>
      <c r="CL196" s="39">
        <f t="shared" si="230"/>
        <v>0</v>
      </c>
      <c r="CM196" s="39">
        <f t="shared" si="231"/>
        <v>0</v>
      </c>
      <c r="CN196" s="39">
        <f t="shared" si="232"/>
        <v>0</v>
      </c>
      <c r="CO196" s="39">
        <f t="shared" si="233"/>
        <v>0</v>
      </c>
      <c r="CP196" s="39">
        <f t="shared" si="234"/>
        <v>0</v>
      </c>
    </row>
    <row r="197" spans="2:94" ht="16" customHeight="1" x14ac:dyDescent="0.2">
      <c r="B197" s="38"/>
      <c r="L197" s="63">
        <v>30509</v>
      </c>
      <c r="M197" s="38">
        <v>0</v>
      </c>
      <c r="N197" s="38">
        <v>2.4</v>
      </c>
      <c r="O197" s="39">
        <v>0</v>
      </c>
      <c r="P197" s="39">
        <v>0</v>
      </c>
      <c r="Q197" s="46">
        <f t="shared" si="165"/>
        <v>0.12533785589842417</v>
      </c>
      <c r="R197" s="81">
        <f t="shared" si="166"/>
        <v>0</v>
      </c>
      <c r="S197" s="82">
        <f t="shared" si="167"/>
        <v>0</v>
      </c>
      <c r="T197" s="39">
        <f t="shared" si="168"/>
        <v>0</v>
      </c>
      <c r="U197" s="83">
        <f t="shared" si="169"/>
        <v>0</v>
      </c>
      <c r="V197" s="84">
        <f t="shared" si="170"/>
        <v>1.92</v>
      </c>
      <c r="W197" s="52">
        <f t="shared" si="171"/>
        <v>110.16665777378552</v>
      </c>
      <c r="X197" s="52">
        <f t="shared" si="172"/>
        <v>154.68182112000017</v>
      </c>
      <c r="Y197" s="52">
        <f t="shared" si="173"/>
        <v>264.84847889378568</v>
      </c>
      <c r="Z197" s="53">
        <f t="shared" si="174"/>
        <v>0.86067701385769935</v>
      </c>
      <c r="AA197" s="53">
        <f t="shared" si="175"/>
        <v>0.92072512571428666</v>
      </c>
      <c r="AB197" s="53">
        <f t="shared" si="176"/>
        <v>0.89475837464116781</v>
      </c>
      <c r="AC197" s="39" t="str">
        <f t="shared" si="177"/>
        <v>No</v>
      </c>
      <c r="AD197" s="85">
        <f t="shared" si="178"/>
        <v>0</v>
      </c>
      <c r="AE197" s="46">
        <f t="shared" si="179"/>
        <v>1</v>
      </c>
      <c r="AF197" s="46">
        <f t="shared" si="180"/>
        <v>0</v>
      </c>
      <c r="AG197" s="39">
        <f t="shared" si="235"/>
        <v>42.166657756777404</v>
      </c>
      <c r="AH197" s="39">
        <f t="shared" si="236"/>
        <v>66.000000000020449</v>
      </c>
      <c r="AI197" s="39">
        <f t="shared" si="237"/>
        <v>64.000000000828436</v>
      </c>
      <c r="AJ197" s="39">
        <f t="shared" si="238"/>
        <v>87.000000016159206</v>
      </c>
      <c r="AK197" s="39">
        <f t="shared" si="239"/>
        <v>83.281821120000131</v>
      </c>
      <c r="AL197" s="39">
        <f t="shared" si="240"/>
        <v>70.800000000000011</v>
      </c>
      <c r="AM197" s="39">
        <f t="shared" si="241"/>
        <v>70.800000000000011</v>
      </c>
      <c r="AN197" s="39">
        <f t="shared" si="242"/>
        <v>70.800000000000011</v>
      </c>
      <c r="AO197" s="39">
        <f t="shared" si="181"/>
        <v>0</v>
      </c>
      <c r="AP197" s="39">
        <f t="shared" si="182"/>
        <v>0</v>
      </c>
      <c r="AQ197" s="39">
        <f t="shared" si="183"/>
        <v>0</v>
      </c>
      <c r="AR197" s="39">
        <f t="shared" si="184"/>
        <v>0</v>
      </c>
      <c r="AS197" s="39">
        <f t="shared" si="185"/>
        <v>0</v>
      </c>
      <c r="AT197" s="39">
        <f t="shared" si="186"/>
        <v>0</v>
      </c>
      <c r="AU197" s="39">
        <f t="shared" si="187"/>
        <v>0</v>
      </c>
      <c r="AV197" s="39">
        <f t="shared" si="188"/>
        <v>0</v>
      </c>
      <c r="AW197" s="39">
        <f t="shared" si="189"/>
        <v>0</v>
      </c>
      <c r="AX197" s="39">
        <f t="shared" si="190"/>
        <v>0</v>
      </c>
      <c r="AY197" s="39">
        <f t="shared" si="191"/>
        <v>0</v>
      </c>
      <c r="AZ197" s="39">
        <f t="shared" si="192"/>
        <v>0</v>
      </c>
      <c r="BA197" s="39">
        <f t="shared" si="193"/>
        <v>0</v>
      </c>
      <c r="BB197" s="39">
        <f t="shared" si="194"/>
        <v>0</v>
      </c>
      <c r="BC197" s="39">
        <f t="shared" si="195"/>
        <v>0</v>
      </c>
      <c r="BD197" s="39">
        <f t="shared" si="196"/>
        <v>0</v>
      </c>
      <c r="BE197" s="39">
        <f t="shared" si="197"/>
        <v>0</v>
      </c>
      <c r="BF197" s="39">
        <f t="shared" si="198"/>
        <v>0</v>
      </c>
      <c r="BG197" s="39">
        <f t="shared" si="199"/>
        <v>0</v>
      </c>
      <c r="BH197" s="84">
        <f t="shared" si="200"/>
        <v>0</v>
      </c>
      <c r="BI197" s="84">
        <f t="shared" si="201"/>
        <v>1.92</v>
      </c>
      <c r="BJ197" s="84">
        <f t="shared" si="202"/>
        <v>0.47108237547136733</v>
      </c>
      <c r="BK197" s="39">
        <f t="shared" si="203"/>
        <v>41.695575381306035</v>
      </c>
      <c r="BL197" s="39">
        <f t="shared" si="204"/>
        <v>66.000000000020449</v>
      </c>
      <c r="BM197" s="39">
        <f t="shared" si="205"/>
        <v>64.000000000828436</v>
      </c>
      <c r="BN197" s="39">
        <f t="shared" si="206"/>
        <v>87.000000016159206</v>
      </c>
      <c r="BO197" s="39">
        <f t="shared" si="207"/>
        <v>83.281821120000131</v>
      </c>
      <c r="BP197" s="39">
        <f t="shared" si="208"/>
        <v>70.800000000000011</v>
      </c>
      <c r="BQ197" s="39">
        <f t="shared" si="209"/>
        <v>70.800000000000011</v>
      </c>
      <c r="BR197" s="39">
        <f t="shared" si="210"/>
        <v>70.800000000000011</v>
      </c>
      <c r="BS197" s="39">
        <f t="shared" si="211"/>
        <v>0</v>
      </c>
      <c r="BT197" s="39">
        <f t="shared" si="212"/>
        <v>1.226965196110541E-11</v>
      </c>
      <c r="BU197" s="39">
        <f t="shared" si="213"/>
        <v>4.9707011839927869E-10</v>
      </c>
      <c r="BV197" s="39">
        <f t="shared" si="214"/>
        <v>9.6955147910193766E-9</v>
      </c>
      <c r="BW197" s="39">
        <f t="shared" si="215"/>
        <v>0</v>
      </c>
      <c r="BX197" s="39">
        <f t="shared" si="216"/>
        <v>0</v>
      </c>
      <c r="BY197" s="39">
        <f t="shared" si="217"/>
        <v>0</v>
      </c>
      <c r="BZ197" s="39">
        <f t="shared" si="218"/>
        <v>0</v>
      </c>
      <c r="CA197" s="39">
        <f t="shared" si="219"/>
        <v>41.695575381306035</v>
      </c>
      <c r="CB197" s="39">
        <f t="shared" si="220"/>
        <v>66.000000000008185</v>
      </c>
      <c r="CC197" s="39">
        <f t="shared" si="221"/>
        <v>64.000000000343633</v>
      </c>
      <c r="CD197" s="39">
        <f t="shared" si="222"/>
        <v>87.000000006960761</v>
      </c>
      <c r="CE197" s="39">
        <f t="shared" si="223"/>
        <v>83.281821129695643</v>
      </c>
      <c r="CF197" s="39">
        <f t="shared" si="224"/>
        <v>70.800000000000011</v>
      </c>
      <c r="CG197" s="39">
        <f t="shared" si="225"/>
        <v>70.800000000000011</v>
      </c>
      <c r="CH197" s="39">
        <f t="shared" si="226"/>
        <v>70.800000000000011</v>
      </c>
      <c r="CI197" s="39">
        <f t="shared" si="227"/>
        <v>0</v>
      </c>
      <c r="CJ197" s="39">
        <f t="shared" si="228"/>
        <v>0</v>
      </c>
      <c r="CK197" s="39">
        <f t="shared" si="229"/>
        <v>0</v>
      </c>
      <c r="CL197" s="39">
        <f t="shared" si="230"/>
        <v>0</v>
      </c>
      <c r="CM197" s="39">
        <f t="shared" si="231"/>
        <v>0</v>
      </c>
      <c r="CN197" s="39">
        <f t="shared" si="232"/>
        <v>0</v>
      </c>
      <c r="CO197" s="39">
        <f t="shared" si="233"/>
        <v>0</v>
      </c>
      <c r="CP197" s="39">
        <f t="shared" si="234"/>
        <v>0</v>
      </c>
    </row>
    <row r="198" spans="2:94" ht="16" customHeight="1" x14ac:dyDescent="0.2">
      <c r="B198" s="38"/>
      <c r="L198" s="63">
        <v>30510</v>
      </c>
      <c r="M198" s="38">
        <v>0</v>
      </c>
      <c r="N198" s="38">
        <v>1.3</v>
      </c>
      <c r="O198" s="39">
        <v>0</v>
      </c>
      <c r="P198" s="39">
        <v>0</v>
      </c>
      <c r="Q198" s="46">
        <f t="shared" si="165"/>
        <v>0.12629275260546075</v>
      </c>
      <c r="R198" s="81">
        <f t="shared" si="166"/>
        <v>0</v>
      </c>
      <c r="S198" s="82">
        <f t="shared" si="167"/>
        <v>0</v>
      </c>
      <c r="T198" s="39">
        <f t="shared" si="168"/>
        <v>0</v>
      </c>
      <c r="U198" s="83">
        <f t="shared" si="169"/>
        <v>0</v>
      </c>
      <c r="V198" s="84">
        <f t="shared" si="170"/>
        <v>1.04</v>
      </c>
      <c r="W198" s="52">
        <f t="shared" si="171"/>
        <v>109.69557538861864</v>
      </c>
      <c r="X198" s="52">
        <f t="shared" si="172"/>
        <v>154.68182112969566</v>
      </c>
      <c r="Y198" s="52">
        <f t="shared" si="173"/>
        <v>264.3773965183143</v>
      </c>
      <c r="Z198" s="53">
        <f t="shared" si="174"/>
        <v>0.85699668272358309</v>
      </c>
      <c r="AA198" s="53">
        <f t="shared" si="175"/>
        <v>0.92072512577199794</v>
      </c>
      <c r="AB198" s="53">
        <f t="shared" si="176"/>
        <v>0.89316688012944023</v>
      </c>
      <c r="AC198" s="39" t="str">
        <f t="shared" si="177"/>
        <v>No</v>
      </c>
      <c r="AD198" s="85">
        <f t="shared" si="178"/>
        <v>0</v>
      </c>
      <c r="AE198" s="46">
        <f t="shared" si="179"/>
        <v>1</v>
      </c>
      <c r="AF198" s="46">
        <f t="shared" si="180"/>
        <v>0</v>
      </c>
      <c r="AG198" s="39">
        <f t="shared" si="235"/>
        <v>41.695575381306035</v>
      </c>
      <c r="AH198" s="39">
        <f t="shared" si="236"/>
        <v>66.000000000008185</v>
      </c>
      <c r="AI198" s="39">
        <f t="shared" si="237"/>
        <v>64.000000000343633</v>
      </c>
      <c r="AJ198" s="39">
        <f t="shared" si="238"/>
        <v>87.000000006960761</v>
      </c>
      <c r="AK198" s="39">
        <f t="shared" si="239"/>
        <v>83.281821129695643</v>
      </c>
      <c r="AL198" s="39">
        <f t="shared" si="240"/>
        <v>70.800000000000011</v>
      </c>
      <c r="AM198" s="39">
        <f t="shared" si="241"/>
        <v>70.800000000000011</v>
      </c>
      <c r="AN198" s="39">
        <f t="shared" si="242"/>
        <v>70.800000000000011</v>
      </c>
      <c r="AO198" s="39">
        <f t="shared" si="181"/>
        <v>0</v>
      </c>
      <c r="AP198" s="39">
        <f t="shared" si="182"/>
        <v>0</v>
      </c>
      <c r="AQ198" s="39">
        <f t="shared" si="183"/>
        <v>0</v>
      </c>
      <c r="AR198" s="39">
        <f t="shared" si="184"/>
        <v>0</v>
      </c>
      <c r="AS198" s="39">
        <f t="shared" si="185"/>
        <v>0</v>
      </c>
      <c r="AT198" s="39">
        <f t="shared" si="186"/>
        <v>0</v>
      </c>
      <c r="AU198" s="39">
        <f t="shared" si="187"/>
        <v>0</v>
      </c>
      <c r="AV198" s="39">
        <f t="shared" si="188"/>
        <v>0</v>
      </c>
      <c r="AW198" s="39">
        <f t="shared" si="189"/>
        <v>0</v>
      </c>
      <c r="AX198" s="39">
        <f t="shared" si="190"/>
        <v>0</v>
      </c>
      <c r="AY198" s="39">
        <f t="shared" si="191"/>
        <v>0</v>
      </c>
      <c r="AZ198" s="39">
        <f t="shared" si="192"/>
        <v>0</v>
      </c>
      <c r="BA198" s="39">
        <f t="shared" si="193"/>
        <v>0</v>
      </c>
      <c r="BB198" s="39">
        <f t="shared" si="194"/>
        <v>0</v>
      </c>
      <c r="BC198" s="39">
        <f t="shared" si="195"/>
        <v>0</v>
      </c>
      <c r="BD198" s="39">
        <f t="shared" si="196"/>
        <v>0</v>
      </c>
      <c r="BE198" s="39">
        <f t="shared" si="197"/>
        <v>0</v>
      </c>
      <c r="BF198" s="39">
        <f t="shared" si="198"/>
        <v>0</v>
      </c>
      <c r="BG198" s="39">
        <f t="shared" si="199"/>
        <v>0</v>
      </c>
      <c r="BH198" s="84">
        <f t="shared" si="200"/>
        <v>0</v>
      </c>
      <c r="BI198" s="84">
        <f t="shared" si="201"/>
        <v>1.04</v>
      </c>
      <c r="BJ198" s="84">
        <f t="shared" si="202"/>
        <v>0.23792564971819252</v>
      </c>
      <c r="BK198" s="39">
        <f t="shared" si="203"/>
        <v>41.457649731587843</v>
      </c>
      <c r="BL198" s="39">
        <f t="shared" si="204"/>
        <v>66.000000000008185</v>
      </c>
      <c r="BM198" s="39">
        <f t="shared" si="205"/>
        <v>64.000000000343633</v>
      </c>
      <c r="BN198" s="39">
        <f t="shared" si="206"/>
        <v>87.000000006960761</v>
      </c>
      <c r="BO198" s="39">
        <f t="shared" si="207"/>
        <v>83.281821129695643</v>
      </c>
      <c r="BP198" s="39">
        <f t="shared" si="208"/>
        <v>70.800000000000011</v>
      </c>
      <c r="BQ198" s="39">
        <f t="shared" si="209"/>
        <v>70.800000000000011</v>
      </c>
      <c r="BR198" s="39">
        <f t="shared" si="210"/>
        <v>70.800000000000011</v>
      </c>
      <c r="BS198" s="39">
        <f t="shared" si="211"/>
        <v>0</v>
      </c>
      <c r="BT198" s="39">
        <f t="shared" si="212"/>
        <v>4.911271389573812E-12</v>
      </c>
      <c r="BU198" s="39">
        <f t="shared" si="213"/>
        <v>2.061881332338089E-10</v>
      </c>
      <c r="BV198" s="39">
        <f t="shared" si="214"/>
        <v>4.1764479874473177E-9</v>
      </c>
      <c r="BW198" s="39">
        <f t="shared" si="215"/>
        <v>0</v>
      </c>
      <c r="BX198" s="39">
        <f t="shared" si="216"/>
        <v>0</v>
      </c>
      <c r="BY198" s="39">
        <f t="shared" si="217"/>
        <v>0</v>
      </c>
      <c r="BZ198" s="39">
        <f t="shared" si="218"/>
        <v>0</v>
      </c>
      <c r="CA198" s="39">
        <f t="shared" si="219"/>
        <v>41.457649731587843</v>
      </c>
      <c r="CB198" s="39">
        <f t="shared" si="220"/>
        <v>66.000000000003268</v>
      </c>
      <c r="CC198" s="39">
        <f t="shared" si="221"/>
        <v>64.000000000142364</v>
      </c>
      <c r="CD198" s="39">
        <f t="shared" si="222"/>
        <v>87.000000002990504</v>
      </c>
      <c r="CE198" s="39">
        <f t="shared" si="223"/>
        <v>83.281821133872086</v>
      </c>
      <c r="CF198" s="39">
        <f t="shared" si="224"/>
        <v>70.800000000000011</v>
      </c>
      <c r="CG198" s="39">
        <f t="shared" si="225"/>
        <v>70.800000000000011</v>
      </c>
      <c r="CH198" s="39">
        <f t="shared" si="226"/>
        <v>70.800000000000011</v>
      </c>
      <c r="CI198" s="39">
        <f t="shared" si="227"/>
        <v>0</v>
      </c>
      <c r="CJ198" s="39">
        <f t="shared" si="228"/>
        <v>0</v>
      </c>
      <c r="CK198" s="39">
        <f t="shared" si="229"/>
        <v>0</v>
      </c>
      <c r="CL198" s="39">
        <f t="shared" si="230"/>
        <v>0</v>
      </c>
      <c r="CM198" s="39">
        <f t="shared" si="231"/>
        <v>0</v>
      </c>
      <c r="CN198" s="39">
        <f t="shared" si="232"/>
        <v>0</v>
      </c>
      <c r="CO198" s="39">
        <f t="shared" si="233"/>
        <v>0</v>
      </c>
      <c r="CP198" s="39">
        <f t="shared" si="234"/>
        <v>0</v>
      </c>
    </row>
    <row r="199" spans="2:94" ht="16" customHeight="1" x14ac:dyDescent="0.2">
      <c r="B199" s="38"/>
      <c r="L199" s="63">
        <v>30511</v>
      </c>
      <c r="M199" s="38">
        <v>0</v>
      </c>
      <c r="N199" s="38">
        <v>1.1000000000000001</v>
      </c>
      <c r="O199" s="39">
        <v>0</v>
      </c>
      <c r="P199" s="39">
        <v>0</v>
      </c>
      <c r="Q199" s="46">
        <f t="shared" si="165"/>
        <v>0.12677503432786247</v>
      </c>
      <c r="R199" s="81">
        <f t="shared" si="166"/>
        <v>0</v>
      </c>
      <c r="S199" s="82">
        <f t="shared" si="167"/>
        <v>0</v>
      </c>
      <c r="T199" s="39">
        <f t="shared" si="168"/>
        <v>0</v>
      </c>
      <c r="U199" s="83">
        <f t="shared" si="169"/>
        <v>0</v>
      </c>
      <c r="V199" s="84">
        <f t="shared" si="170"/>
        <v>0.88000000000000012</v>
      </c>
      <c r="W199" s="52">
        <f t="shared" si="171"/>
        <v>109.45764973472399</v>
      </c>
      <c r="X199" s="52">
        <f t="shared" si="172"/>
        <v>154.68182113387212</v>
      </c>
      <c r="Y199" s="52">
        <f t="shared" si="173"/>
        <v>264.13947086859611</v>
      </c>
      <c r="Z199" s="53">
        <f t="shared" si="174"/>
        <v>0.85513788855253114</v>
      </c>
      <c r="AA199" s="53">
        <f t="shared" si="175"/>
        <v>0.92072512579685784</v>
      </c>
      <c r="AB199" s="53">
        <f t="shared" si="176"/>
        <v>0.89236307725877062</v>
      </c>
      <c r="AC199" s="39" t="str">
        <f t="shared" si="177"/>
        <v>No</v>
      </c>
      <c r="AD199" s="85">
        <f t="shared" si="178"/>
        <v>0</v>
      </c>
      <c r="AE199" s="46">
        <f t="shared" si="179"/>
        <v>1</v>
      </c>
      <c r="AF199" s="46">
        <f t="shared" si="180"/>
        <v>0</v>
      </c>
      <c r="AG199" s="39">
        <f t="shared" si="235"/>
        <v>41.457649731587843</v>
      </c>
      <c r="AH199" s="39">
        <f t="shared" si="236"/>
        <v>66.000000000003268</v>
      </c>
      <c r="AI199" s="39">
        <f t="shared" si="237"/>
        <v>64.000000000142364</v>
      </c>
      <c r="AJ199" s="39">
        <f t="shared" si="238"/>
        <v>87.000000002990504</v>
      </c>
      <c r="AK199" s="39">
        <f t="shared" si="239"/>
        <v>83.281821133872086</v>
      </c>
      <c r="AL199" s="39">
        <f t="shared" si="240"/>
        <v>70.800000000000011</v>
      </c>
      <c r="AM199" s="39">
        <f t="shared" si="241"/>
        <v>70.800000000000011</v>
      </c>
      <c r="AN199" s="39">
        <f t="shared" si="242"/>
        <v>70.800000000000011</v>
      </c>
      <c r="AO199" s="39">
        <f t="shared" si="181"/>
        <v>0</v>
      </c>
      <c r="AP199" s="39">
        <f t="shared" si="182"/>
        <v>0</v>
      </c>
      <c r="AQ199" s="39">
        <f t="shared" si="183"/>
        <v>0</v>
      </c>
      <c r="AR199" s="39">
        <f t="shared" si="184"/>
        <v>0</v>
      </c>
      <c r="AS199" s="39">
        <f t="shared" si="185"/>
        <v>0</v>
      </c>
      <c r="AT199" s="39">
        <f t="shared" si="186"/>
        <v>0</v>
      </c>
      <c r="AU199" s="39">
        <f t="shared" si="187"/>
        <v>0</v>
      </c>
      <c r="AV199" s="39">
        <f t="shared" si="188"/>
        <v>0</v>
      </c>
      <c r="AW199" s="39">
        <f t="shared" si="189"/>
        <v>0</v>
      </c>
      <c r="AX199" s="39">
        <f t="shared" si="190"/>
        <v>0</v>
      </c>
      <c r="AY199" s="39">
        <f t="shared" si="191"/>
        <v>0</v>
      </c>
      <c r="AZ199" s="39">
        <f t="shared" si="192"/>
        <v>0</v>
      </c>
      <c r="BA199" s="39">
        <f t="shared" si="193"/>
        <v>0</v>
      </c>
      <c r="BB199" s="39">
        <f t="shared" si="194"/>
        <v>0</v>
      </c>
      <c r="BC199" s="39">
        <f t="shared" si="195"/>
        <v>0</v>
      </c>
      <c r="BD199" s="39">
        <f t="shared" si="196"/>
        <v>0</v>
      </c>
      <c r="BE199" s="39">
        <f t="shared" si="197"/>
        <v>0</v>
      </c>
      <c r="BF199" s="39">
        <f t="shared" si="198"/>
        <v>0</v>
      </c>
      <c r="BG199" s="39">
        <f t="shared" si="199"/>
        <v>0</v>
      </c>
      <c r="BH199" s="84">
        <f t="shared" si="200"/>
        <v>0</v>
      </c>
      <c r="BI199" s="84">
        <f t="shared" si="201"/>
        <v>0.88000000000000012</v>
      </c>
      <c r="BJ199" s="84">
        <f t="shared" si="202"/>
        <v>0.19423992597444825</v>
      </c>
      <c r="BK199" s="39">
        <f t="shared" si="203"/>
        <v>41.263409805613392</v>
      </c>
      <c r="BL199" s="39">
        <f t="shared" si="204"/>
        <v>66.000000000003268</v>
      </c>
      <c r="BM199" s="39">
        <f t="shared" si="205"/>
        <v>64.000000000142364</v>
      </c>
      <c r="BN199" s="39">
        <f t="shared" si="206"/>
        <v>87.000000002990504</v>
      </c>
      <c r="BO199" s="39">
        <f t="shared" si="207"/>
        <v>83.281821133872086</v>
      </c>
      <c r="BP199" s="39">
        <f t="shared" si="208"/>
        <v>70.800000000000011</v>
      </c>
      <c r="BQ199" s="39">
        <f t="shared" si="209"/>
        <v>70.800000000000011</v>
      </c>
      <c r="BR199" s="39">
        <f t="shared" si="210"/>
        <v>70.800000000000011</v>
      </c>
      <c r="BS199" s="39">
        <f t="shared" si="211"/>
        <v>0</v>
      </c>
      <c r="BT199" s="39">
        <f t="shared" si="212"/>
        <v>1.9610979506978765E-12</v>
      </c>
      <c r="BU199" s="39">
        <f t="shared" si="213"/>
        <v>8.542713203496532E-11</v>
      </c>
      <c r="BV199" s="39">
        <f t="shared" si="214"/>
        <v>1.7942937802217784E-9</v>
      </c>
      <c r="BW199" s="39">
        <f t="shared" si="215"/>
        <v>0</v>
      </c>
      <c r="BX199" s="39">
        <f t="shared" si="216"/>
        <v>0</v>
      </c>
      <c r="BY199" s="39">
        <f t="shared" si="217"/>
        <v>0</v>
      </c>
      <c r="BZ199" s="39">
        <f t="shared" si="218"/>
        <v>0</v>
      </c>
      <c r="CA199" s="39">
        <f t="shared" si="219"/>
        <v>41.263409805613392</v>
      </c>
      <c r="CB199" s="39">
        <f t="shared" si="220"/>
        <v>66.000000000001307</v>
      </c>
      <c r="CC199" s="39">
        <f t="shared" si="221"/>
        <v>64.000000000058904</v>
      </c>
      <c r="CD199" s="39">
        <f t="shared" si="222"/>
        <v>87.000000001281634</v>
      </c>
      <c r="CE199" s="39">
        <f t="shared" si="223"/>
        <v>83.281821135666377</v>
      </c>
      <c r="CF199" s="39">
        <f t="shared" si="224"/>
        <v>70.800000000000011</v>
      </c>
      <c r="CG199" s="39">
        <f t="shared" si="225"/>
        <v>70.800000000000011</v>
      </c>
      <c r="CH199" s="39">
        <f t="shared" si="226"/>
        <v>70.800000000000011</v>
      </c>
      <c r="CI199" s="39">
        <f t="shared" si="227"/>
        <v>0</v>
      </c>
      <c r="CJ199" s="39">
        <f t="shared" si="228"/>
        <v>0</v>
      </c>
      <c r="CK199" s="39">
        <f t="shared" si="229"/>
        <v>0</v>
      </c>
      <c r="CL199" s="39">
        <f t="shared" si="230"/>
        <v>0</v>
      </c>
      <c r="CM199" s="39">
        <f t="shared" si="231"/>
        <v>0</v>
      </c>
      <c r="CN199" s="39">
        <f t="shared" si="232"/>
        <v>0</v>
      </c>
      <c r="CO199" s="39">
        <f t="shared" si="233"/>
        <v>0</v>
      </c>
      <c r="CP199" s="39">
        <f t="shared" si="234"/>
        <v>0</v>
      </c>
    </row>
    <row r="200" spans="2:94" ht="16" customHeight="1" x14ac:dyDescent="0.2">
      <c r="B200" s="38"/>
      <c r="L200" s="63">
        <v>30512</v>
      </c>
      <c r="M200" s="38">
        <v>0</v>
      </c>
      <c r="N200" s="38">
        <v>2.2999999999999998</v>
      </c>
      <c r="O200" s="39">
        <v>0</v>
      </c>
      <c r="P200" s="39">
        <v>0</v>
      </c>
      <c r="Q200" s="46">
        <f t="shared" si="165"/>
        <v>0.12716876390754042</v>
      </c>
      <c r="R200" s="81">
        <f t="shared" si="166"/>
        <v>0</v>
      </c>
      <c r="S200" s="82">
        <f t="shared" si="167"/>
        <v>0</v>
      </c>
      <c r="T200" s="39">
        <f t="shared" si="168"/>
        <v>0</v>
      </c>
      <c r="U200" s="83">
        <f t="shared" si="169"/>
        <v>0</v>
      </c>
      <c r="V200" s="84">
        <f t="shared" si="170"/>
        <v>1.8399999999999999</v>
      </c>
      <c r="W200" s="52">
        <f t="shared" si="171"/>
        <v>109.26340980695522</v>
      </c>
      <c r="X200" s="52">
        <f t="shared" si="172"/>
        <v>154.68182113566638</v>
      </c>
      <c r="Y200" s="52">
        <f t="shared" si="173"/>
        <v>263.94523094262161</v>
      </c>
      <c r="Z200" s="53">
        <f t="shared" si="174"/>
        <v>0.85362038911683769</v>
      </c>
      <c r="AA200" s="53">
        <f t="shared" si="175"/>
        <v>0.92072512580753796</v>
      </c>
      <c r="AB200" s="53">
        <f t="shared" si="176"/>
        <v>0.89170686129264054</v>
      </c>
      <c r="AC200" s="39" t="str">
        <f t="shared" si="177"/>
        <v>No</v>
      </c>
      <c r="AD200" s="85">
        <f t="shared" si="178"/>
        <v>0</v>
      </c>
      <c r="AE200" s="46">
        <f t="shared" si="179"/>
        <v>1</v>
      </c>
      <c r="AF200" s="46">
        <f t="shared" si="180"/>
        <v>0</v>
      </c>
      <c r="AG200" s="39">
        <f t="shared" si="235"/>
        <v>41.263409805613392</v>
      </c>
      <c r="AH200" s="39">
        <f t="shared" si="236"/>
        <v>66.000000000001307</v>
      </c>
      <c r="AI200" s="39">
        <f t="shared" si="237"/>
        <v>64.000000000058904</v>
      </c>
      <c r="AJ200" s="39">
        <f t="shared" si="238"/>
        <v>87.000000001281634</v>
      </c>
      <c r="AK200" s="39">
        <f t="shared" si="239"/>
        <v>83.281821135666377</v>
      </c>
      <c r="AL200" s="39">
        <f t="shared" si="240"/>
        <v>70.800000000000011</v>
      </c>
      <c r="AM200" s="39">
        <f t="shared" si="241"/>
        <v>70.800000000000011</v>
      </c>
      <c r="AN200" s="39">
        <f t="shared" si="242"/>
        <v>70.800000000000011</v>
      </c>
      <c r="AO200" s="39">
        <f t="shared" si="181"/>
        <v>0</v>
      </c>
      <c r="AP200" s="39">
        <f t="shared" si="182"/>
        <v>0</v>
      </c>
      <c r="AQ200" s="39">
        <f t="shared" si="183"/>
        <v>0</v>
      </c>
      <c r="AR200" s="39">
        <f t="shared" si="184"/>
        <v>0</v>
      </c>
      <c r="AS200" s="39">
        <f t="shared" si="185"/>
        <v>0</v>
      </c>
      <c r="AT200" s="39">
        <f t="shared" si="186"/>
        <v>0</v>
      </c>
      <c r="AU200" s="39">
        <f t="shared" si="187"/>
        <v>0</v>
      </c>
      <c r="AV200" s="39">
        <f t="shared" si="188"/>
        <v>0</v>
      </c>
      <c r="AW200" s="39">
        <f t="shared" si="189"/>
        <v>0</v>
      </c>
      <c r="AX200" s="39">
        <f t="shared" si="190"/>
        <v>0</v>
      </c>
      <c r="AY200" s="39">
        <f t="shared" si="191"/>
        <v>0</v>
      </c>
      <c r="AZ200" s="39">
        <f t="shared" si="192"/>
        <v>0</v>
      </c>
      <c r="BA200" s="39">
        <f t="shared" si="193"/>
        <v>0</v>
      </c>
      <c r="BB200" s="39">
        <f t="shared" si="194"/>
        <v>0</v>
      </c>
      <c r="BC200" s="39">
        <f t="shared" si="195"/>
        <v>0</v>
      </c>
      <c r="BD200" s="39">
        <f t="shared" si="196"/>
        <v>0</v>
      </c>
      <c r="BE200" s="39">
        <f t="shared" si="197"/>
        <v>0</v>
      </c>
      <c r="BF200" s="39">
        <f t="shared" si="198"/>
        <v>0</v>
      </c>
      <c r="BG200" s="39">
        <f t="shared" si="199"/>
        <v>0</v>
      </c>
      <c r="BH200" s="84">
        <f t="shared" si="200"/>
        <v>0</v>
      </c>
      <c r="BI200" s="84">
        <f t="shared" si="201"/>
        <v>1.8399999999999999</v>
      </c>
      <c r="BJ200" s="84">
        <f t="shared" si="202"/>
        <v>0.39434200984792983</v>
      </c>
      <c r="BK200" s="39">
        <f t="shared" si="203"/>
        <v>40.86906779576546</v>
      </c>
      <c r="BL200" s="39">
        <f t="shared" si="204"/>
        <v>66.000000000001307</v>
      </c>
      <c r="BM200" s="39">
        <f t="shared" si="205"/>
        <v>64.000000000058904</v>
      </c>
      <c r="BN200" s="39">
        <f t="shared" si="206"/>
        <v>87.000000001281634</v>
      </c>
      <c r="BO200" s="39">
        <f t="shared" si="207"/>
        <v>83.281821135666377</v>
      </c>
      <c r="BP200" s="39">
        <f t="shared" si="208"/>
        <v>70.800000000000011</v>
      </c>
      <c r="BQ200" s="39">
        <f t="shared" si="209"/>
        <v>70.800000000000011</v>
      </c>
      <c r="BR200" s="39">
        <f t="shared" si="210"/>
        <v>70.800000000000011</v>
      </c>
      <c r="BS200" s="39">
        <f t="shared" si="211"/>
        <v>0</v>
      </c>
      <c r="BT200" s="39">
        <f t="shared" si="212"/>
        <v>7.8443918027915054E-13</v>
      </c>
      <c r="BU200" s="39">
        <f t="shared" si="213"/>
        <v>3.5350922189536503E-11</v>
      </c>
      <c r="BV200" s="39">
        <f t="shared" si="214"/>
        <v>7.6897208600712472E-10</v>
      </c>
      <c r="BW200" s="39">
        <f t="shared" si="215"/>
        <v>0</v>
      </c>
      <c r="BX200" s="39">
        <f t="shared" si="216"/>
        <v>0</v>
      </c>
      <c r="BY200" s="39">
        <f t="shared" si="217"/>
        <v>0</v>
      </c>
      <c r="BZ200" s="39">
        <f t="shared" si="218"/>
        <v>0</v>
      </c>
      <c r="CA200" s="39">
        <f t="shared" si="219"/>
        <v>40.86906779576546</v>
      </c>
      <c r="CB200" s="39">
        <f t="shared" si="220"/>
        <v>66.000000000000526</v>
      </c>
      <c r="CC200" s="39">
        <f t="shared" si="221"/>
        <v>64.000000000024329</v>
      </c>
      <c r="CD200" s="39">
        <f t="shared" si="222"/>
        <v>87.000000000548013</v>
      </c>
      <c r="CE200" s="39">
        <f t="shared" si="223"/>
        <v>83.281821136435354</v>
      </c>
      <c r="CF200" s="39">
        <f t="shared" si="224"/>
        <v>70.800000000000011</v>
      </c>
      <c r="CG200" s="39">
        <f t="shared" si="225"/>
        <v>70.800000000000011</v>
      </c>
      <c r="CH200" s="39">
        <f t="shared" si="226"/>
        <v>70.800000000000011</v>
      </c>
      <c r="CI200" s="39">
        <f t="shared" si="227"/>
        <v>0</v>
      </c>
      <c r="CJ200" s="39">
        <f t="shared" si="228"/>
        <v>0</v>
      </c>
      <c r="CK200" s="39">
        <f t="shared" si="229"/>
        <v>0</v>
      </c>
      <c r="CL200" s="39">
        <f t="shared" si="230"/>
        <v>0</v>
      </c>
      <c r="CM200" s="39">
        <f t="shared" si="231"/>
        <v>0</v>
      </c>
      <c r="CN200" s="39">
        <f t="shared" si="232"/>
        <v>0</v>
      </c>
      <c r="CO200" s="39">
        <f t="shared" si="233"/>
        <v>0</v>
      </c>
      <c r="CP200" s="39">
        <f t="shared" si="234"/>
        <v>0</v>
      </c>
    </row>
    <row r="201" spans="2:94" ht="16" customHeight="1" x14ac:dyDescent="0.2">
      <c r="B201" s="38"/>
      <c r="L201" s="63">
        <v>30513</v>
      </c>
      <c r="M201" s="38">
        <v>0</v>
      </c>
      <c r="N201" s="38">
        <v>0.8</v>
      </c>
      <c r="O201" s="39">
        <v>0</v>
      </c>
      <c r="P201" s="39">
        <v>0</v>
      </c>
      <c r="Q201" s="46">
        <f t="shared" si="165"/>
        <v>0.12796810581939433</v>
      </c>
      <c r="R201" s="81">
        <f t="shared" si="166"/>
        <v>0</v>
      </c>
      <c r="S201" s="82">
        <f t="shared" si="167"/>
        <v>0</v>
      </c>
      <c r="T201" s="39">
        <f t="shared" si="168"/>
        <v>0</v>
      </c>
      <c r="U201" s="83">
        <f t="shared" si="169"/>
        <v>0</v>
      </c>
      <c r="V201" s="84">
        <f t="shared" si="170"/>
        <v>0.64000000000000012</v>
      </c>
      <c r="W201" s="52">
        <f t="shared" si="171"/>
        <v>108.86906779633836</v>
      </c>
      <c r="X201" s="52">
        <f t="shared" si="172"/>
        <v>154.68182113643536</v>
      </c>
      <c r="Y201" s="52">
        <f t="shared" si="173"/>
        <v>263.55088893277372</v>
      </c>
      <c r="Z201" s="53">
        <f t="shared" si="174"/>
        <v>0.85053959215889341</v>
      </c>
      <c r="AA201" s="53">
        <f t="shared" si="175"/>
        <v>0.92072512581211519</v>
      </c>
      <c r="AB201" s="53">
        <f t="shared" si="176"/>
        <v>0.8903746247728842</v>
      </c>
      <c r="AC201" s="39" t="str">
        <f t="shared" si="177"/>
        <v>No</v>
      </c>
      <c r="AD201" s="85">
        <f t="shared" si="178"/>
        <v>0</v>
      </c>
      <c r="AE201" s="46">
        <f t="shared" si="179"/>
        <v>1</v>
      </c>
      <c r="AF201" s="46">
        <f t="shared" si="180"/>
        <v>0</v>
      </c>
      <c r="AG201" s="39">
        <f t="shared" si="235"/>
        <v>40.86906779576546</v>
      </c>
      <c r="AH201" s="39">
        <f t="shared" si="236"/>
        <v>66.000000000000526</v>
      </c>
      <c r="AI201" s="39">
        <f t="shared" si="237"/>
        <v>64.000000000024329</v>
      </c>
      <c r="AJ201" s="39">
        <f t="shared" si="238"/>
        <v>87.000000000548013</v>
      </c>
      <c r="AK201" s="39">
        <f t="shared" si="239"/>
        <v>83.281821136435354</v>
      </c>
      <c r="AL201" s="39">
        <f t="shared" si="240"/>
        <v>70.800000000000011</v>
      </c>
      <c r="AM201" s="39">
        <f t="shared" si="241"/>
        <v>70.800000000000011</v>
      </c>
      <c r="AN201" s="39">
        <f t="shared" si="242"/>
        <v>70.800000000000011</v>
      </c>
      <c r="AO201" s="39">
        <f t="shared" si="181"/>
        <v>0</v>
      </c>
      <c r="AP201" s="39">
        <f t="shared" si="182"/>
        <v>0</v>
      </c>
      <c r="AQ201" s="39">
        <f t="shared" si="183"/>
        <v>0</v>
      </c>
      <c r="AR201" s="39">
        <f t="shared" si="184"/>
        <v>0</v>
      </c>
      <c r="AS201" s="39">
        <f t="shared" si="185"/>
        <v>0</v>
      </c>
      <c r="AT201" s="39">
        <f t="shared" si="186"/>
        <v>0</v>
      </c>
      <c r="AU201" s="39">
        <f t="shared" si="187"/>
        <v>0</v>
      </c>
      <c r="AV201" s="39">
        <f t="shared" si="188"/>
        <v>0</v>
      </c>
      <c r="AW201" s="39">
        <f t="shared" si="189"/>
        <v>0</v>
      </c>
      <c r="AX201" s="39">
        <f t="shared" si="190"/>
        <v>0</v>
      </c>
      <c r="AY201" s="39">
        <f t="shared" si="191"/>
        <v>0</v>
      </c>
      <c r="AZ201" s="39">
        <f t="shared" si="192"/>
        <v>0</v>
      </c>
      <c r="BA201" s="39">
        <f t="shared" si="193"/>
        <v>0</v>
      </c>
      <c r="BB201" s="39">
        <f t="shared" si="194"/>
        <v>0</v>
      </c>
      <c r="BC201" s="39">
        <f t="shared" si="195"/>
        <v>0</v>
      </c>
      <c r="BD201" s="39">
        <f t="shared" si="196"/>
        <v>0</v>
      </c>
      <c r="BE201" s="39">
        <f t="shared" si="197"/>
        <v>0</v>
      </c>
      <c r="BF201" s="39">
        <f t="shared" si="198"/>
        <v>0</v>
      </c>
      <c r="BG201" s="39">
        <f t="shared" si="199"/>
        <v>0</v>
      </c>
      <c r="BH201" s="84">
        <f t="shared" si="200"/>
        <v>0</v>
      </c>
      <c r="BI201" s="84">
        <f t="shared" si="201"/>
        <v>0.64000000000000012</v>
      </c>
      <c r="BJ201" s="84">
        <f t="shared" si="202"/>
        <v>0.12910821335707073</v>
      </c>
      <c r="BK201" s="39">
        <f t="shared" si="203"/>
        <v>40.739959582408389</v>
      </c>
      <c r="BL201" s="39">
        <f t="shared" si="204"/>
        <v>66.000000000000526</v>
      </c>
      <c r="BM201" s="39">
        <f t="shared" si="205"/>
        <v>64.000000000024329</v>
      </c>
      <c r="BN201" s="39">
        <f t="shared" si="206"/>
        <v>87.000000000548013</v>
      </c>
      <c r="BO201" s="39">
        <f t="shared" si="207"/>
        <v>83.281821136435354</v>
      </c>
      <c r="BP201" s="39">
        <f t="shared" si="208"/>
        <v>70.800000000000011</v>
      </c>
      <c r="BQ201" s="39">
        <f t="shared" si="209"/>
        <v>70.800000000000011</v>
      </c>
      <c r="BR201" s="39">
        <f t="shared" si="210"/>
        <v>70.800000000000011</v>
      </c>
      <c r="BS201" s="39">
        <f t="shared" si="211"/>
        <v>0</v>
      </c>
      <c r="BT201" s="39">
        <f t="shared" si="212"/>
        <v>3.1548097467748447E-13</v>
      </c>
      <c r="BU201" s="39">
        <f t="shared" si="213"/>
        <v>1.4605916476284619E-11</v>
      </c>
      <c r="BV201" s="39">
        <f t="shared" si="214"/>
        <v>3.2879938771657181E-10</v>
      </c>
      <c r="BW201" s="39">
        <f t="shared" si="215"/>
        <v>0</v>
      </c>
      <c r="BX201" s="39">
        <f t="shared" si="216"/>
        <v>0</v>
      </c>
      <c r="BY201" s="39">
        <f t="shared" si="217"/>
        <v>0</v>
      </c>
      <c r="BZ201" s="39">
        <f t="shared" si="218"/>
        <v>0</v>
      </c>
      <c r="CA201" s="39">
        <f t="shared" si="219"/>
        <v>40.739959582408389</v>
      </c>
      <c r="CB201" s="39">
        <f t="shared" si="220"/>
        <v>66.000000000000213</v>
      </c>
      <c r="CC201" s="39">
        <f t="shared" si="221"/>
        <v>64.000000000010033</v>
      </c>
      <c r="CD201" s="39">
        <f t="shared" si="222"/>
        <v>87.000000000233825</v>
      </c>
      <c r="CE201" s="39">
        <f t="shared" si="223"/>
        <v>83.281821136764151</v>
      </c>
      <c r="CF201" s="39">
        <f t="shared" si="224"/>
        <v>70.800000000000011</v>
      </c>
      <c r="CG201" s="39">
        <f t="shared" si="225"/>
        <v>70.800000000000011</v>
      </c>
      <c r="CH201" s="39">
        <f t="shared" si="226"/>
        <v>70.800000000000011</v>
      </c>
      <c r="CI201" s="39">
        <f t="shared" si="227"/>
        <v>0</v>
      </c>
      <c r="CJ201" s="39">
        <f t="shared" si="228"/>
        <v>0</v>
      </c>
      <c r="CK201" s="39">
        <f t="shared" si="229"/>
        <v>0</v>
      </c>
      <c r="CL201" s="39">
        <f t="shared" si="230"/>
        <v>0</v>
      </c>
      <c r="CM201" s="39">
        <f t="shared" si="231"/>
        <v>0</v>
      </c>
      <c r="CN201" s="39">
        <f t="shared" si="232"/>
        <v>0</v>
      </c>
      <c r="CO201" s="39">
        <f t="shared" si="233"/>
        <v>0</v>
      </c>
      <c r="CP201" s="39">
        <f t="shared" si="234"/>
        <v>0</v>
      </c>
    </row>
    <row r="202" spans="2:94" ht="16" customHeight="1" x14ac:dyDescent="0.2">
      <c r="B202" s="38"/>
      <c r="L202" s="63">
        <v>30514</v>
      </c>
      <c r="M202" s="38">
        <v>0</v>
      </c>
      <c r="N202" s="38">
        <v>1.2</v>
      </c>
      <c r="O202" s="39">
        <v>0</v>
      </c>
      <c r="P202" s="39">
        <v>0</v>
      </c>
      <c r="Q202" s="46">
        <f t="shared" si="165"/>
        <v>0.12822981165728028</v>
      </c>
      <c r="R202" s="81">
        <f t="shared" si="166"/>
        <v>0</v>
      </c>
      <c r="S202" s="82">
        <f t="shared" si="167"/>
        <v>0</v>
      </c>
      <c r="T202" s="39">
        <f t="shared" si="168"/>
        <v>0</v>
      </c>
      <c r="U202" s="83">
        <f t="shared" si="169"/>
        <v>0</v>
      </c>
      <c r="V202" s="84">
        <f t="shared" si="170"/>
        <v>0.96</v>
      </c>
      <c r="W202" s="52">
        <f t="shared" si="171"/>
        <v>108.73995958265243</v>
      </c>
      <c r="X202" s="52">
        <f t="shared" si="172"/>
        <v>154.6818211367642</v>
      </c>
      <c r="Y202" s="52">
        <f t="shared" si="173"/>
        <v>263.42178071941663</v>
      </c>
      <c r="Z202" s="53">
        <f t="shared" si="174"/>
        <v>0.84953093423947212</v>
      </c>
      <c r="AA202" s="53">
        <f t="shared" si="175"/>
        <v>0.92072512581407262</v>
      </c>
      <c r="AB202" s="53">
        <f t="shared" si="176"/>
        <v>0.88993844837640756</v>
      </c>
      <c r="AC202" s="39" t="str">
        <f t="shared" si="177"/>
        <v>No</v>
      </c>
      <c r="AD202" s="85">
        <f t="shared" si="178"/>
        <v>0</v>
      </c>
      <c r="AE202" s="46">
        <f t="shared" si="179"/>
        <v>1</v>
      </c>
      <c r="AF202" s="46">
        <f t="shared" si="180"/>
        <v>0</v>
      </c>
      <c r="AG202" s="39">
        <f t="shared" si="235"/>
        <v>40.739959582408389</v>
      </c>
      <c r="AH202" s="39">
        <f t="shared" si="236"/>
        <v>66.000000000000213</v>
      </c>
      <c r="AI202" s="39">
        <f t="shared" si="237"/>
        <v>64.000000000010033</v>
      </c>
      <c r="AJ202" s="39">
        <f t="shared" si="238"/>
        <v>87.000000000233825</v>
      </c>
      <c r="AK202" s="39">
        <f t="shared" si="239"/>
        <v>83.281821136764151</v>
      </c>
      <c r="AL202" s="39">
        <f t="shared" si="240"/>
        <v>70.800000000000011</v>
      </c>
      <c r="AM202" s="39">
        <f t="shared" si="241"/>
        <v>70.800000000000011</v>
      </c>
      <c r="AN202" s="39">
        <f t="shared" si="242"/>
        <v>70.800000000000011</v>
      </c>
      <c r="AO202" s="39">
        <f t="shared" si="181"/>
        <v>0</v>
      </c>
      <c r="AP202" s="39">
        <f t="shared" si="182"/>
        <v>0</v>
      </c>
      <c r="AQ202" s="39">
        <f t="shared" si="183"/>
        <v>0</v>
      </c>
      <c r="AR202" s="39">
        <f t="shared" si="184"/>
        <v>0</v>
      </c>
      <c r="AS202" s="39">
        <f t="shared" si="185"/>
        <v>0</v>
      </c>
      <c r="AT202" s="39">
        <f t="shared" si="186"/>
        <v>0</v>
      </c>
      <c r="AU202" s="39">
        <f t="shared" si="187"/>
        <v>0</v>
      </c>
      <c r="AV202" s="39">
        <f t="shared" si="188"/>
        <v>0</v>
      </c>
      <c r="AW202" s="39">
        <f t="shared" si="189"/>
        <v>0</v>
      </c>
      <c r="AX202" s="39">
        <f t="shared" si="190"/>
        <v>0</v>
      </c>
      <c r="AY202" s="39">
        <f t="shared" si="191"/>
        <v>0</v>
      </c>
      <c r="AZ202" s="39">
        <f t="shared" si="192"/>
        <v>0</v>
      </c>
      <c r="BA202" s="39">
        <f t="shared" si="193"/>
        <v>0</v>
      </c>
      <c r="BB202" s="39">
        <f t="shared" si="194"/>
        <v>0</v>
      </c>
      <c r="BC202" s="39">
        <f t="shared" si="195"/>
        <v>0</v>
      </c>
      <c r="BD202" s="39">
        <f t="shared" si="196"/>
        <v>0</v>
      </c>
      <c r="BE202" s="39">
        <f t="shared" si="197"/>
        <v>0</v>
      </c>
      <c r="BF202" s="39">
        <f t="shared" si="198"/>
        <v>0</v>
      </c>
      <c r="BG202" s="39">
        <f t="shared" si="199"/>
        <v>0</v>
      </c>
      <c r="BH202" s="84">
        <f t="shared" si="200"/>
        <v>0</v>
      </c>
      <c r="BI202" s="84">
        <f t="shared" si="201"/>
        <v>0.96</v>
      </c>
      <c r="BJ202" s="84">
        <f t="shared" si="202"/>
        <v>0.18982502111735242</v>
      </c>
      <c r="BK202" s="39">
        <f t="shared" si="203"/>
        <v>40.550134561291038</v>
      </c>
      <c r="BL202" s="39">
        <f t="shared" si="204"/>
        <v>66.000000000000213</v>
      </c>
      <c r="BM202" s="39">
        <f t="shared" si="205"/>
        <v>64.000000000010033</v>
      </c>
      <c r="BN202" s="39">
        <f t="shared" si="206"/>
        <v>87.000000000233825</v>
      </c>
      <c r="BO202" s="39">
        <f t="shared" si="207"/>
        <v>83.281821136764151</v>
      </c>
      <c r="BP202" s="39">
        <f t="shared" si="208"/>
        <v>70.800000000000011</v>
      </c>
      <c r="BQ202" s="39">
        <f t="shared" si="209"/>
        <v>70.800000000000011</v>
      </c>
      <c r="BR202" s="39">
        <f t="shared" si="210"/>
        <v>70.800000000000011</v>
      </c>
      <c r="BS202" s="39">
        <f t="shared" si="211"/>
        <v>0</v>
      </c>
      <c r="BT202" s="39">
        <f t="shared" si="212"/>
        <v>1.2789769243681803E-13</v>
      </c>
      <c r="BU202" s="39">
        <f t="shared" si="213"/>
        <v>6.0282445701886898E-12</v>
      </c>
      <c r="BV202" s="39">
        <f t="shared" si="214"/>
        <v>1.4028671557753113E-10</v>
      </c>
      <c r="BW202" s="39">
        <f t="shared" si="215"/>
        <v>0</v>
      </c>
      <c r="BX202" s="39">
        <f t="shared" si="216"/>
        <v>0</v>
      </c>
      <c r="BY202" s="39">
        <f t="shared" si="217"/>
        <v>0</v>
      </c>
      <c r="BZ202" s="39">
        <f t="shared" si="218"/>
        <v>0</v>
      </c>
      <c r="CA202" s="39">
        <f t="shared" si="219"/>
        <v>40.550134561291038</v>
      </c>
      <c r="CB202" s="39">
        <f t="shared" si="220"/>
        <v>66.000000000000085</v>
      </c>
      <c r="CC202" s="39">
        <f t="shared" si="221"/>
        <v>64.000000000004135</v>
      </c>
      <c r="CD202" s="39">
        <f t="shared" si="222"/>
        <v>87.000000000099561</v>
      </c>
      <c r="CE202" s="39">
        <f t="shared" si="223"/>
        <v>83.281821136904441</v>
      </c>
      <c r="CF202" s="39">
        <f t="shared" si="224"/>
        <v>70.800000000000011</v>
      </c>
      <c r="CG202" s="39">
        <f t="shared" si="225"/>
        <v>70.800000000000011</v>
      </c>
      <c r="CH202" s="39">
        <f t="shared" si="226"/>
        <v>70.800000000000011</v>
      </c>
      <c r="CI202" s="39">
        <f t="shared" si="227"/>
        <v>0</v>
      </c>
      <c r="CJ202" s="39">
        <f t="shared" si="228"/>
        <v>0</v>
      </c>
      <c r="CK202" s="39">
        <f t="shared" si="229"/>
        <v>0</v>
      </c>
      <c r="CL202" s="39">
        <f t="shared" si="230"/>
        <v>0</v>
      </c>
      <c r="CM202" s="39">
        <f t="shared" si="231"/>
        <v>0</v>
      </c>
      <c r="CN202" s="39">
        <f t="shared" si="232"/>
        <v>0</v>
      </c>
      <c r="CO202" s="39">
        <f t="shared" si="233"/>
        <v>0</v>
      </c>
      <c r="CP202" s="39">
        <f t="shared" si="234"/>
        <v>0</v>
      </c>
    </row>
    <row r="203" spans="2:94" ht="16" customHeight="1" x14ac:dyDescent="0.2">
      <c r="B203" s="38"/>
      <c r="L203" s="63">
        <v>30515</v>
      </c>
      <c r="M203" s="38">
        <v>0</v>
      </c>
      <c r="N203" s="38">
        <v>1.1000000000000001</v>
      </c>
      <c r="O203" s="39">
        <v>0</v>
      </c>
      <c r="P203" s="39">
        <v>0</v>
      </c>
      <c r="Q203" s="46">
        <f t="shared" si="165"/>
        <v>0.12861459210549112</v>
      </c>
      <c r="R203" s="81">
        <f t="shared" si="166"/>
        <v>0</v>
      </c>
      <c r="S203" s="82">
        <f t="shared" si="167"/>
        <v>0</v>
      </c>
      <c r="T203" s="39">
        <f t="shared" si="168"/>
        <v>0</v>
      </c>
      <c r="U203" s="83">
        <f t="shared" si="169"/>
        <v>0</v>
      </c>
      <c r="V203" s="84">
        <f t="shared" si="170"/>
        <v>0.88000000000000012</v>
      </c>
      <c r="W203" s="52">
        <f t="shared" si="171"/>
        <v>108.55013456139477</v>
      </c>
      <c r="X203" s="52">
        <f t="shared" si="172"/>
        <v>154.68182113690449</v>
      </c>
      <c r="Y203" s="52">
        <f t="shared" si="173"/>
        <v>263.23195569829926</v>
      </c>
      <c r="Z203" s="53">
        <f t="shared" si="174"/>
        <v>0.84804792626089665</v>
      </c>
      <c r="AA203" s="53">
        <f t="shared" si="175"/>
        <v>0.92072512581490762</v>
      </c>
      <c r="AB203" s="53">
        <f t="shared" si="176"/>
        <v>0.88929714762938938</v>
      </c>
      <c r="AC203" s="39" t="str">
        <f t="shared" si="177"/>
        <v>No</v>
      </c>
      <c r="AD203" s="85">
        <f t="shared" si="178"/>
        <v>0</v>
      </c>
      <c r="AE203" s="46">
        <f t="shared" si="179"/>
        <v>1</v>
      </c>
      <c r="AF203" s="46">
        <f t="shared" si="180"/>
        <v>0</v>
      </c>
      <c r="AG203" s="39">
        <f t="shared" si="235"/>
        <v>40.550134561291038</v>
      </c>
      <c r="AH203" s="39">
        <f t="shared" si="236"/>
        <v>66.000000000000085</v>
      </c>
      <c r="AI203" s="39">
        <f t="shared" si="237"/>
        <v>64.000000000004135</v>
      </c>
      <c r="AJ203" s="39">
        <f t="shared" si="238"/>
        <v>87.000000000099561</v>
      </c>
      <c r="AK203" s="39">
        <f t="shared" si="239"/>
        <v>83.281821136904441</v>
      </c>
      <c r="AL203" s="39">
        <f t="shared" si="240"/>
        <v>70.800000000000011</v>
      </c>
      <c r="AM203" s="39">
        <f t="shared" si="241"/>
        <v>70.800000000000011</v>
      </c>
      <c r="AN203" s="39">
        <f t="shared" si="242"/>
        <v>70.800000000000011</v>
      </c>
      <c r="AO203" s="39">
        <f t="shared" si="181"/>
        <v>0</v>
      </c>
      <c r="AP203" s="39">
        <f t="shared" si="182"/>
        <v>0</v>
      </c>
      <c r="AQ203" s="39">
        <f t="shared" si="183"/>
        <v>0</v>
      </c>
      <c r="AR203" s="39">
        <f t="shared" si="184"/>
        <v>0</v>
      </c>
      <c r="AS203" s="39">
        <f t="shared" si="185"/>
        <v>0</v>
      </c>
      <c r="AT203" s="39">
        <f t="shared" si="186"/>
        <v>0</v>
      </c>
      <c r="AU203" s="39">
        <f t="shared" si="187"/>
        <v>0</v>
      </c>
      <c r="AV203" s="39">
        <f t="shared" si="188"/>
        <v>0</v>
      </c>
      <c r="AW203" s="39">
        <f t="shared" si="189"/>
        <v>0</v>
      </c>
      <c r="AX203" s="39">
        <f t="shared" si="190"/>
        <v>0</v>
      </c>
      <c r="AY203" s="39">
        <f t="shared" si="191"/>
        <v>0</v>
      </c>
      <c r="AZ203" s="39">
        <f t="shared" si="192"/>
        <v>0</v>
      </c>
      <c r="BA203" s="39">
        <f t="shared" si="193"/>
        <v>0</v>
      </c>
      <c r="BB203" s="39">
        <f t="shared" si="194"/>
        <v>0</v>
      </c>
      <c r="BC203" s="39">
        <f t="shared" si="195"/>
        <v>0</v>
      </c>
      <c r="BD203" s="39">
        <f t="shared" si="196"/>
        <v>0</v>
      </c>
      <c r="BE203" s="39">
        <f t="shared" si="197"/>
        <v>0</v>
      </c>
      <c r="BF203" s="39">
        <f t="shared" si="198"/>
        <v>0</v>
      </c>
      <c r="BG203" s="39">
        <f t="shared" si="199"/>
        <v>0</v>
      </c>
      <c r="BH203" s="84">
        <f t="shared" si="200"/>
        <v>0</v>
      </c>
      <c r="BI203" s="84">
        <f t="shared" si="201"/>
        <v>0.88000000000000012</v>
      </c>
      <c r="BJ203" s="84">
        <f t="shared" si="202"/>
        <v>0.16892978149675242</v>
      </c>
      <c r="BK203" s="39">
        <f t="shared" si="203"/>
        <v>40.381204779794288</v>
      </c>
      <c r="BL203" s="39">
        <f t="shared" si="204"/>
        <v>66.000000000000085</v>
      </c>
      <c r="BM203" s="39">
        <f t="shared" si="205"/>
        <v>64.000000000004135</v>
      </c>
      <c r="BN203" s="39">
        <f t="shared" si="206"/>
        <v>87.000000000099561</v>
      </c>
      <c r="BO203" s="39">
        <f t="shared" si="207"/>
        <v>83.281821136904441</v>
      </c>
      <c r="BP203" s="39">
        <f t="shared" si="208"/>
        <v>70.800000000000011</v>
      </c>
      <c r="BQ203" s="39">
        <f t="shared" si="209"/>
        <v>70.800000000000011</v>
      </c>
      <c r="BR203" s="39">
        <f t="shared" si="210"/>
        <v>70.800000000000011</v>
      </c>
      <c r="BS203" s="39">
        <f t="shared" si="211"/>
        <v>0</v>
      </c>
      <c r="BT203" s="39">
        <f t="shared" si="212"/>
        <v>5.1159076974727208E-14</v>
      </c>
      <c r="BU203" s="39">
        <f t="shared" si="213"/>
        <v>2.4897417461033909E-12</v>
      </c>
      <c r="BV203" s="39">
        <f t="shared" si="214"/>
        <v>5.9728222367994022E-11</v>
      </c>
      <c r="BW203" s="39">
        <f t="shared" si="215"/>
        <v>0</v>
      </c>
      <c r="BX203" s="39">
        <f t="shared" si="216"/>
        <v>0</v>
      </c>
      <c r="BY203" s="39">
        <f t="shared" si="217"/>
        <v>0</v>
      </c>
      <c r="BZ203" s="39">
        <f t="shared" si="218"/>
        <v>0</v>
      </c>
      <c r="CA203" s="39">
        <f t="shared" si="219"/>
        <v>40.381204779794288</v>
      </c>
      <c r="CB203" s="39">
        <f t="shared" si="220"/>
        <v>66.000000000000028</v>
      </c>
      <c r="CC203" s="39">
        <f t="shared" si="221"/>
        <v>64.000000000001705</v>
      </c>
      <c r="CD203" s="39">
        <f t="shared" si="222"/>
        <v>87.00000000004232</v>
      </c>
      <c r="CE203" s="39">
        <f t="shared" si="223"/>
        <v>83.281821136964169</v>
      </c>
      <c r="CF203" s="39">
        <f t="shared" si="224"/>
        <v>70.800000000000011</v>
      </c>
      <c r="CG203" s="39">
        <f t="shared" si="225"/>
        <v>70.800000000000011</v>
      </c>
      <c r="CH203" s="39">
        <f t="shared" si="226"/>
        <v>70.800000000000011</v>
      </c>
      <c r="CI203" s="39">
        <f t="shared" si="227"/>
        <v>0</v>
      </c>
      <c r="CJ203" s="39">
        <f t="shared" si="228"/>
        <v>0</v>
      </c>
      <c r="CK203" s="39">
        <f t="shared" si="229"/>
        <v>0</v>
      </c>
      <c r="CL203" s="39">
        <f t="shared" si="230"/>
        <v>0</v>
      </c>
      <c r="CM203" s="39">
        <f t="shared" si="231"/>
        <v>0</v>
      </c>
      <c r="CN203" s="39">
        <f t="shared" si="232"/>
        <v>0</v>
      </c>
      <c r="CO203" s="39">
        <f t="shared" si="233"/>
        <v>0</v>
      </c>
      <c r="CP203" s="39">
        <f t="shared" si="234"/>
        <v>0</v>
      </c>
    </row>
    <row r="204" spans="2:94" ht="16" customHeight="1" x14ac:dyDescent="0.2">
      <c r="B204" s="38"/>
      <c r="L204" s="63">
        <v>30516</v>
      </c>
      <c r="M204" s="38">
        <v>0</v>
      </c>
      <c r="N204" s="38">
        <v>1.2</v>
      </c>
      <c r="O204" s="39">
        <v>0</v>
      </c>
      <c r="P204" s="39">
        <v>0</v>
      </c>
      <c r="Q204" s="46">
        <f t="shared" si="165"/>
        <v>0.12895701733825482</v>
      </c>
      <c r="R204" s="81">
        <f t="shared" si="166"/>
        <v>0</v>
      </c>
      <c r="S204" s="82">
        <f t="shared" si="167"/>
        <v>0</v>
      </c>
      <c r="T204" s="39">
        <f t="shared" si="168"/>
        <v>0</v>
      </c>
      <c r="U204" s="83">
        <f t="shared" si="169"/>
        <v>0</v>
      </c>
      <c r="V204" s="84">
        <f t="shared" si="170"/>
        <v>0.96</v>
      </c>
      <c r="W204" s="52">
        <f t="shared" si="171"/>
        <v>108.3812047798383</v>
      </c>
      <c r="X204" s="52">
        <f t="shared" si="172"/>
        <v>154.68182113696423</v>
      </c>
      <c r="Y204" s="52">
        <f t="shared" si="173"/>
        <v>263.06302591680253</v>
      </c>
      <c r="Z204" s="53">
        <f t="shared" si="174"/>
        <v>0.84672816234248671</v>
      </c>
      <c r="AA204" s="53">
        <f t="shared" si="175"/>
        <v>0.92072512581526333</v>
      </c>
      <c r="AB204" s="53">
        <f t="shared" si="176"/>
        <v>0.88872643890811664</v>
      </c>
      <c r="AC204" s="39" t="str">
        <f t="shared" si="177"/>
        <v>No</v>
      </c>
      <c r="AD204" s="85">
        <f t="shared" si="178"/>
        <v>0</v>
      </c>
      <c r="AE204" s="46">
        <f t="shared" si="179"/>
        <v>1</v>
      </c>
      <c r="AF204" s="46">
        <f t="shared" si="180"/>
        <v>0</v>
      </c>
      <c r="AG204" s="39">
        <f t="shared" si="235"/>
        <v>40.381204779794288</v>
      </c>
      <c r="AH204" s="39">
        <f t="shared" si="236"/>
        <v>66.000000000000028</v>
      </c>
      <c r="AI204" s="39">
        <f t="shared" si="237"/>
        <v>64.000000000001705</v>
      </c>
      <c r="AJ204" s="39">
        <f t="shared" si="238"/>
        <v>87.00000000004232</v>
      </c>
      <c r="AK204" s="39">
        <f t="shared" si="239"/>
        <v>83.281821136964169</v>
      </c>
      <c r="AL204" s="39">
        <f t="shared" si="240"/>
        <v>70.800000000000011</v>
      </c>
      <c r="AM204" s="39">
        <f t="shared" si="241"/>
        <v>70.800000000000011</v>
      </c>
      <c r="AN204" s="39">
        <f t="shared" si="242"/>
        <v>70.800000000000011</v>
      </c>
      <c r="AO204" s="39">
        <f t="shared" si="181"/>
        <v>0</v>
      </c>
      <c r="AP204" s="39">
        <f t="shared" si="182"/>
        <v>0</v>
      </c>
      <c r="AQ204" s="39">
        <f t="shared" si="183"/>
        <v>0</v>
      </c>
      <c r="AR204" s="39">
        <f t="shared" si="184"/>
        <v>0</v>
      </c>
      <c r="AS204" s="39">
        <f t="shared" si="185"/>
        <v>0</v>
      </c>
      <c r="AT204" s="39">
        <f t="shared" si="186"/>
        <v>0</v>
      </c>
      <c r="AU204" s="39">
        <f t="shared" si="187"/>
        <v>0</v>
      </c>
      <c r="AV204" s="39">
        <f t="shared" si="188"/>
        <v>0</v>
      </c>
      <c r="AW204" s="39">
        <f t="shared" si="189"/>
        <v>0</v>
      </c>
      <c r="AX204" s="39">
        <f t="shared" si="190"/>
        <v>0</v>
      </c>
      <c r="AY204" s="39">
        <f t="shared" si="191"/>
        <v>0</v>
      </c>
      <c r="AZ204" s="39">
        <f t="shared" si="192"/>
        <v>0</v>
      </c>
      <c r="BA204" s="39">
        <f t="shared" si="193"/>
        <v>0</v>
      </c>
      <c r="BB204" s="39">
        <f t="shared" si="194"/>
        <v>0</v>
      </c>
      <c r="BC204" s="39">
        <f t="shared" si="195"/>
        <v>0</v>
      </c>
      <c r="BD204" s="39">
        <f t="shared" si="196"/>
        <v>0</v>
      </c>
      <c r="BE204" s="39">
        <f t="shared" si="197"/>
        <v>0</v>
      </c>
      <c r="BF204" s="39">
        <f t="shared" si="198"/>
        <v>0</v>
      </c>
      <c r="BG204" s="39">
        <f t="shared" si="199"/>
        <v>0</v>
      </c>
      <c r="BH204" s="84">
        <f t="shared" si="200"/>
        <v>0</v>
      </c>
      <c r="BI204" s="84">
        <f t="shared" si="201"/>
        <v>0.96</v>
      </c>
      <c r="BJ204" s="84">
        <f t="shared" si="202"/>
        <v>0.17946135671543936</v>
      </c>
      <c r="BK204" s="39">
        <f t="shared" si="203"/>
        <v>40.201743423078845</v>
      </c>
      <c r="BL204" s="39">
        <f t="shared" si="204"/>
        <v>66.000000000000028</v>
      </c>
      <c r="BM204" s="39">
        <f t="shared" si="205"/>
        <v>64.000000000001705</v>
      </c>
      <c r="BN204" s="39">
        <f t="shared" si="206"/>
        <v>87.00000000004232</v>
      </c>
      <c r="BO204" s="39">
        <f t="shared" si="207"/>
        <v>83.281821136964169</v>
      </c>
      <c r="BP204" s="39">
        <f t="shared" si="208"/>
        <v>70.800000000000011</v>
      </c>
      <c r="BQ204" s="39">
        <f t="shared" si="209"/>
        <v>70.800000000000011</v>
      </c>
      <c r="BR204" s="39">
        <f t="shared" si="210"/>
        <v>70.800000000000011</v>
      </c>
      <c r="BS204" s="39">
        <f t="shared" si="211"/>
        <v>0</v>
      </c>
      <c r="BT204" s="39">
        <f t="shared" si="212"/>
        <v>1.7053025658242404E-14</v>
      </c>
      <c r="BU204" s="39">
        <f t="shared" si="213"/>
        <v>1.0317080523236654E-12</v>
      </c>
      <c r="BV204" s="39">
        <f t="shared" si="214"/>
        <v>2.538342869229382E-11</v>
      </c>
      <c r="BW204" s="39">
        <f t="shared" si="215"/>
        <v>0</v>
      </c>
      <c r="BX204" s="39">
        <f t="shared" si="216"/>
        <v>0</v>
      </c>
      <c r="BY204" s="39">
        <f t="shared" si="217"/>
        <v>0</v>
      </c>
      <c r="BZ204" s="39">
        <f t="shared" si="218"/>
        <v>0</v>
      </c>
      <c r="CA204" s="39">
        <f t="shared" si="219"/>
        <v>40.201743423078845</v>
      </c>
      <c r="CB204" s="39">
        <f t="shared" si="220"/>
        <v>66.000000000000014</v>
      </c>
      <c r="CC204" s="39">
        <f t="shared" si="221"/>
        <v>64.000000000000682</v>
      </c>
      <c r="CD204" s="39">
        <f t="shared" si="222"/>
        <v>87.000000000017977</v>
      </c>
      <c r="CE204" s="39">
        <f t="shared" si="223"/>
        <v>83.281821136989549</v>
      </c>
      <c r="CF204" s="39">
        <f t="shared" si="224"/>
        <v>70.800000000000011</v>
      </c>
      <c r="CG204" s="39">
        <f t="shared" si="225"/>
        <v>70.800000000000011</v>
      </c>
      <c r="CH204" s="39">
        <f t="shared" si="226"/>
        <v>70.800000000000011</v>
      </c>
      <c r="CI204" s="39">
        <f t="shared" si="227"/>
        <v>0</v>
      </c>
      <c r="CJ204" s="39">
        <f t="shared" si="228"/>
        <v>0</v>
      </c>
      <c r="CK204" s="39">
        <f t="shared" si="229"/>
        <v>0</v>
      </c>
      <c r="CL204" s="39">
        <f t="shared" si="230"/>
        <v>0</v>
      </c>
      <c r="CM204" s="39">
        <f t="shared" si="231"/>
        <v>0</v>
      </c>
      <c r="CN204" s="39">
        <f t="shared" si="232"/>
        <v>0</v>
      </c>
      <c r="CO204" s="39">
        <f t="shared" si="233"/>
        <v>0</v>
      </c>
      <c r="CP204" s="39">
        <f t="shared" si="234"/>
        <v>0</v>
      </c>
    </row>
    <row r="205" spans="2:94" ht="16" customHeight="1" x14ac:dyDescent="0.2">
      <c r="B205" s="38"/>
      <c r="L205" s="63">
        <v>30517</v>
      </c>
      <c r="M205" s="38">
        <v>0</v>
      </c>
      <c r="N205" s="38">
        <v>0.8</v>
      </c>
      <c r="O205" s="39">
        <v>0</v>
      </c>
      <c r="P205" s="39">
        <v>0</v>
      </c>
      <c r="Q205" s="46">
        <f t="shared" si="165"/>
        <v>0.12932079035862395</v>
      </c>
      <c r="R205" s="81">
        <f t="shared" si="166"/>
        <v>0</v>
      </c>
      <c r="S205" s="82">
        <f t="shared" si="167"/>
        <v>0</v>
      </c>
      <c r="T205" s="39">
        <f t="shared" si="168"/>
        <v>0</v>
      </c>
      <c r="U205" s="83">
        <f t="shared" si="169"/>
        <v>0</v>
      </c>
      <c r="V205" s="84">
        <f t="shared" si="170"/>
        <v>0.64000000000000012</v>
      </c>
      <c r="W205" s="52">
        <f t="shared" si="171"/>
        <v>108.20174342309753</v>
      </c>
      <c r="X205" s="52">
        <f t="shared" si="172"/>
        <v>154.68182113698958</v>
      </c>
      <c r="Y205" s="52">
        <f t="shared" si="173"/>
        <v>262.88356456008711</v>
      </c>
      <c r="Z205" s="53">
        <f t="shared" si="174"/>
        <v>0.84532612049294942</v>
      </c>
      <c r="AA205" s="53">
        <f t="shared" si="175"/>
        <v>0.92072512581541421</v>
      </c>
      <c r="AB205" s="53">
        <f t="shared" si="176"/>
        <v>0.88812015054083482</v>
      </c>
      <c r="AC205" s="39" t="str">
        <f t="shared" si="177"/>
        <v>No</v>
      </c>
      <c r="AD205" s="85">
        <f t="shared" si="178"/>
        <v>0</v>
      </c>
      <c r="AE205" s="46">
        <f t="shared" si="179"/>
        <v>1</v>
      </c>
      <c r="AF205" s="46">
        <f t="shared" si="180"/>
        <v>0</v>
      </c>
      <c r="AG205" s="39">
        <f t="shared" si="235"/>
        <v>40.201743423078845</v>
      </c>
      <c r="AH205" s="39">
        <f t="shared" si="236"/>
        <v>66.000000000000014</v>
      </c>
      <c r="AI205" s="39">
        <f t="shared" si="237"/>
        <v>64.000000000000682</v>
      </c>
      <c r="AJ205" s="39">
        <f t="shared" si="238"/>
        <v>87.000000000017977</v>
      </c>
      <c r="AK205" s="39">
        <f t="shared" si="239"/>
        <v>83.281821136989549</v>
      </c>
      <c r="AL205" s="39">
        <f t="shared" si="240"/>
        <v>70.800000000000011</v>
      </c>
      <c r="AM205" s="39">
        <f t="shared" si="241"/>
        <v>70.800000000000011</v>
      </c>
      <c r="AN205" s="39">
        <f t="shared" si="242"/>
        <v>70.800000000000011</v>
      </c>
      <c r="AO205" s="39">
        <f t="shared" si="181"/>
        <v>0</v>
      </c>
      <c r="AP205" s="39">
        <f t="shared" si="182"/>
        <v>0</v>
      </c>
      <c r="AQ205" s="39">
        <f t="shared" si="183"/>
        <v>0</v>
      </c>
      <c r="AR205" s="39">
        <f t="shared" si="184"/>
        <v>0</v>
      </c>
      <c r="AS205" s="39">
        <f t="shared" si="185"/>
        <v>0</v>
      </c>
      <c r="AT205" s="39">
        <f t="shared" si="186"/>
        <v>0</v>
      </c>
      <c r="AU205" s="39">
        <f t="shared" si="187"/>
        <v>0</v>
      </c>
      <c r="AV205" s="39">
        <f t="shared" si="188"/>
        <v>0</v>
      </c>
      <c r="AW205" s="39">
        <f t="shared" si="189"/>
        <v>0</v>
      </c>
      <c r="AX205" s="39">
        <f t="shared" si="190"/>
        <v>0</v>
      </c>
      <c r="AY205" s="39">
        <f t="shared" si="191"/>
        <v>0</v>
      </c>
      <c r="AZ205" s="39">
        <f t="shared" si="192"/>
        <v>0</v>
      </c>
      <c r="BA205" s="39">
        <f t="shared" si="193"/>
        <v>0</v>
      </c>
      <c r="BB205" s="39">
        <f t="shared" si="194"/>
        <v>0</v>
      </c>
      <c r="BC205" s="39">
        <f t="shared" si="195"/>
        <v>0</v>
      </c>
      <c r="BD205" s="39">
        <f t="shared" si="196"/>
        <v>0</v>
      </c>
      <c r="BE205" s="39">
        <f t="shared" si="197"/>
        <v>0</v>
      </c>
      <c r="BF205" s="39">
        <f t="shared" si="198"/>
        <v>0</v>
      </c>
      <c r="BG205" s="39">
        <f t="shared" si="199"/>
        <v>0</v>
      </c>
      <c r="BH205" s="84">
        <f t="shared" si="200"/>
        <v>0</v>
      </c>
      <c r="BI205" s="84">
        <f t="shared" si="201"/>
        <v>0.64000000000000012</v>
      </c>
      <c r="BJ205" s="84">
        <f t="shared" si="202"/>
        <v>0.11629287257115904</v>
      </c>
      <c r="BK205" s="39">
        <f t="shared" si="203"/>
        <v>40.085450550507687</v>
      </c>
      <c r="BL205" s="39">
        <f t="shared" si="204"/>
        <v>66.000000000000014</v>
      </c>
      <c r="BM205" s="39">
        <f t="shared" si="205"/>
        <v>64.000000000000682</v>
      </c>
      <c r="BN205" s="39">
        <f t="shared" si="206"/>
        <v>87.000000000017977</v>
      </c>
      <c r="BO205" s="39">
        <f t="shared" si="207"/>
        <v>83.281821136989549</v>
      </c>
      <c r="BP205" s="39">
        <f t="shared" si="208"/>
        <v>70.800000000000011</v>
      </c>
      <c r="BQ205" s="39">
        <f t="shared" si="209"/>
        <v>70.800000000000011</v>
      </c>
      <c r="BR205" s="39">
        <f t="shared" si="210"/>
        <v>70.800000000000011</v>
      </c>
      <c r="BS205" s="39">
        <f t="shared" si="211"/>
        <v>0</v>
      </c>
      <c r="BT205" s="39">
        <f t="shared" si="212"/>
        <v>8.5265128291212019E-15</v>
      </c>
      <c r="BU205" s="39">
        <f t="shared" si="213"/>
        <v>4.1779912862693889E-13</v>
      </c>
      <c r="BV205" s="39">
        <f t="shared" si="214"/>
        <v>1.0777512216009199E-11</v>
      </c>
      <c r="BW205" s="39">
        <f t="shared" si="215"/>
        <v>0</v>
      </c>
      <c r="BX205" s="39">
        <f t="shared" si="216"/>
        <v>0</v>
      </c>
      <c r="BY205" s="39">
        <f t="shared" si="217"/>
        <v>0</v>
      </c>
      <c r="BZ205" s="39">
        <f t="shared" si="218"/>
        <v>0</v>
      </c>
      <c r="CA205" s="39">
        <f t="shared" si="219"/>
        <v>40.085450550507687</v>
      </c>
      <c r="CB205" s="39">
        <f t="shared" si="220"/>
        <v>66</v>
      </c>
      <c r="CC205" s="39">
        <f t="shared" si="221"/>
        <v>64.000000000000284</v>
      </c>
      <c r="CD205" s="39">
        <f t="shared" si="222"/>
        <v>87.000000000007617</v>
      </c>
      <c r="CE205" s="39">
        <f t="shared" si="223"/>
        <v>83.281821137000321</v>
      </c>
      <c r="CF205" s="39">
        <f t="shared" si="224"/>
        <v>70.800000000000011</v>
      </c>
      <c r="CG205" s="39">
        <f t="shared" si="225"/>
        <v>70.800000000000011</v>
      </c>
      <c r="CH205" s="39">
        <f t="shared" si="226"/>
        <v>70.800000000000011</v>
      </c>
      <c r="CI205" s="39">
        <f t="shared" si="227"/>
        <v>0</v>
      </c>
      <c r="CJ205" s="39">
        <f t="shared" si="228"/>
        <v>0</v>
      </c>
      <c r="CK205" s="39">
        <f t="shared" si="229"/>
        <v>0</v>
      </c>
      <c r="CL205" s="39">
        <f t="shared" si="230"/>
        <v>0</v>
      </c>
      <c r="CM205" s="39">
        <f t="shared" si="231"/>
        <v>0</v>
      </c>
      <c r="CN205" s="39">
        <f t="shared" si="232"/>
        <v>0</v>
      </c>
      <c r="CO205" s="39">
        <f t="shared" si="233"/>
        <v>0</v>
      </c>
      <c r="CP205" s="39">
        <f t="shared" si="234"/>
        <v>0</v>
      </c>
    </row>
    <row r="206" spans="2:94" ht="16" customHeight="1" x14ac:dyDescent="0.2">
      <c r="B206" s="38"/>
      <c r="L206" s="63">
        <v>30518</v>
      </c>
      <c r="M206" s="38">
        <v>0</v>
      </c>
      <c r="N206" s="38">
        <v>0.7</v>
      </c>
      <c r="O206" s="39">
        <v>0</v>
      </c>
      <c r="P206" s="39">
        <v>0</v>
      </c>
      <c r="Q206" s="46">
        <f t="shared" si="165"/>
        <v>0.1295565191543763</v>
      </c>
      <c r="R206" s="81">
        <f t="shared" si="166"/>
        <v>0</v>
      </c>
      <c r="S206" s="82">
        <f t="shared" si="167"/>
        <v>0</v>
      </c>
      <c r="T206" s="39">
        <f t="shared" si="168"/>
        <v>0</v>
      </c>
      <c r="U206" s="83">
        <f t="shared" si="169"/>
        <v>0</v>
      </c>
      <c r="V206" s="84">
        <f t="shared" si="170"/>
        <v>0.55999999999999994</v>
      </c>
      <c r="W206" s="52">
        <f t="shared" si="171"/>
        <v>108.08545055051559</v>
      </c>
      <c r="X206" s="52">
        <f t="shared" si="172"/>
        <v>154.68182113700038</v>
      </c>
      <c r="Y206" s="52">
        <f t="shared" si="173"/>
        <v>262.76727168751597</v>
      </c>
      <c r="Z206" s="53">
        <f t="shared" si="174"/>
        <v>0.84441758242590303</v>
      </c>
      <c r="AA206" s="53">
        <f t="shared" si="175"/>
        <v>0.9207251258154785</v>
      </c>
      <c r="AB206" s="53">
        <f t="shared" si="176"/>
        <v>0.88772726921458101</v>
      </c>
      <c r="AC206" s="39" t="str">
        <f t="shared" si="177"/>
        <v>No</v>
      </c>
      <c r="AD206" s="85">
        <f t="shared" si="178"/>
        <v>0</v>
      </c>
      <c r="AE206" s="46">
        <f t="shared" si="179"/>
        <v>1</v>
      </c>
      <c r="AF206" s="46">
        <f t="shared" si="180"/>
        <v>0</v>
      </c>
      <c r="AG206" s="39">
        <f t="shared" si="235"/>
        <v>40.085450550507687</v>
      </c>
      <c r="AH206" s="39">
        <f t="shared" si="236"/>
        <v>66</v>
      </c>
      <c r="AI206" s="39">
        <f t="shared" si="237"/>
        <v>64.000000000000284</v>
      </c>
      <c r="AJ206" s="39">
        <f t="shared" si="238"/>
        <v>87.000000000007617</v>
      </c>
      <c r="AK206" s="39">
        <f t="shared" si="239"/>
        <v>83.281821137000321</v>
      </c>
      <c r="AL206" s="39">
        <f t="shared" si="240"/>
        <v>70.800000000000011</v>
      </c>
      <c r="AM206" s="39">
        <f t="shared" si="241"/>
        <v>70.800000000000011</v>
      </c>
      <c r="AN206" s="39">
        <f t="shared" si="242"/>
        <v>70.800000000000011</v>
      </c>
      <c r="AO206" s="39">
        <f t="shared" si="181"/>
        <v>0</v>
      </c>
      <c r="AP206" s="39">
        <f t="shared" si="182"/>
        <v>0</v>
      </c>
      <c r="AQ206" s="39">
        <f t="shared" si="183"/>
        <v>0</v>
      </c>
      <c r="AR206" s="39">
        <f t="shared" si="184"/>
        <v>0</v>
      </c>
      <c r="AS206" s="39">
        <f t="shared" si="185"/>
        <v>0</v>
      </c>
      <c r="AT206" s="39">
        <f t="shared" si="186"/>
        <v>0</v>
      </c>
      <c r="AU206" s="39">
        <f t="shared" si="187"/>
        <v>0</v>
      </c>
      <c r="AV206" s="39">
        <f t="shared" si="188"/>
        <v>0</v>
      </c>
      <c r="AW206" s="39">
        <f t="shared" si="189"/>
        <v>0</v>
      </c>
      <c r="AX206" s="39">
        <f t="shared" si="190"/>
        <v>0</v>
      </c>
      <c r="AY206" s="39">
        <f t="shared" si="191"/>
        <v>0</v>
      </c>
      <c r="AZ206" s="39">
        <f t="shared" si="192"/>
        <v>0</v>
      </c>
      <c r="BA206" s="39">
        <f t="shared" si="193"/>
        <v>0</v>
      </c>
      <c r="BB206" s="39">
        <f t="shared" si="194"/>
        <v>0</v>
      </c>
      <c r="BC206" s="39">
        <f t="shared" si="195"/>
        <v>0</v>
      </c>
      <c r="BD206" s="39">
        <f t="shared" si="196"/>
        <v>0</v>
      </c>
      <c r="BE206" s="39">
        <f t="shared" si="197"/>
        <v>0</v>
      </c>
      <c r="BF206" s="39">
        <f t="shared" si="198"/>
        <v>0</v>
      </c>
      <c r="BG206" s="39">
        <f t="shared" si="199"/>
        <v>0</v>
      </c>
      <c r="BH206" s="84">
        <f t="shared" si="200"/>
        <v>0</v>
      </c>
      <c r="BI206" s="84">
        <f t="shared" si="201"/>
        <v>0.55999999999999994</v>
      </c>
      <c r="BJ206" s="84">
        <f t="shared" si="202"/>
        <v>9.9891016107618982E-2</v>
      </c>
      <c r="BK206" s="39">
        <f t="shared" si="203"/>
        <v>39.985559534400068</v>
      </c>
      <c r="BL206" s="39">
        <f t="shared" si="204"/>
        <v>66</v>
      </c>
      <c r="BM206" s="39">
        <f t="shared" si="205"/>
        <v>64.000000000000284</v>
      </c>
      <c r="BN206" s="39">
        <f t="shared" si="206"/>
        <v>87.000000000007617</v>
      </c>
      <c r="BO206" s="39">
        <f t="shared" si="207"/>
        <v>83.281821137000321</v>
      </c>
      <c r="BP206" s="39">
        <f t="shared" si="208"/>
        <v>70.800000000000011</v>
      </c>
      <c r="BQ206" s="39">
        <f t="shared" si="209"/>
        <v>70.800000000000011</v>
      </c>
      <c r="BR206" s="39">
        <f t="shared" si="210"/>
        <v>70.800000000000011</v>
      </c>
      <c r="BS206" s="39">
        <f t="shared" si="211"/>
        <v>0</v>
      </c>
      <c r="BT206" s="39">
        <f t="shared" si="212"/>
        <v>0</v>
      </c>
      <c r="BU206" s="39">
        <f t="shared" si="213"/>
        <v>1.7905676941154524E-13</v>
      </c>
      <c r="BV206" s="39">
        <f t="shared" si="214"/>
        <v>4.5616843635798432E-12</v>
      </c>
      <c r="BW206" s="39">
        <f t="shared" si="215"/>
        <v>0</v>
      </c>
      <c r="BX206" s="39">
        <f t="shared" si="216"/>
        <v>0</v>
      </c>
      <c r="BY206" s="39">
        <f t="shared" si="217"/>
        <v>0</v>
      </c>
      <c r="BZ206" s="39">
        <f t="shared" si="218"/>
        <v>0</v>
      </c>
      <c r="CA206" s="39">
        <f t="shared" si="219"/>
        <v>39.985559534400068</v>
      </c>
      <c r="CB206" s="39">
        <f t="shared" si="220"/>
        <v>66</v>
      </c>
      <c r="CC206" s="39">
        <f t="shared" si="221"/>
        <v>64.000000000000099</v>
      </c>
      <c r="CD206" s="39">
        <f t="shared" si="222"/>
        <v>87.00000000000324</v>
      </c>
      <c r="CE206" s="39">
        <f t="shared" si="223"/>
        <v>83.281821137004883</v>
      </c>
      <c r="CF206" s="39">
        <f t="shared" si="224"/>
        <v>70.800000000000011</v>
      </c>
      <c r="CG206" s="39">
        <f t="shared" si="225"/>
        <v>70.800000000000011</v>
      </c>
      <c r="CH206" s="39">
        <f t="shared" si="226"/>
        <v>70.800000000000011</v>
      </c>
      <c r="CI206" s="39">
        <f t="shared" si="227"/>
        <v>0</v>
      </c>
      <c r="CJ206" s="39">
        <f t="shared" si="228"/>
        <v>0</v>
      </c>
      <c r="CK206" s="39">
        <f t="shared" si="229"/>
        <v>0</v>
      </c>
      <c r="CL206" s="39">
        <f t="shared" si="230"/>
        <v>0</v>
      </c>
      <c r="CM206" s="39">
        <f t="shared" si="231"/>
        <v>0</v>
      </c>
      <c r="CN206" s="39">
        <f t="shared" si="232"/>
        <v>0</v>
      </c>
      <c r="CO206" s="39">
        <f t="shared" si="233"/>
        <v>0</v>
      </c>
      <c r="CP206" s="39">
        <f t="shared" si="234"/>
        <v>0</v>
      </c>
    </row>
    <row r="207" spans="2:94" ht="16" customHeight="1" x14ac:dyDescent="0.2">
      <c r="B207" s="38"/>
      <c r="L207" s="63">
        <v>30519</v>
      </c>
      <c r="M207" s="38">
        <v>0</v>
      </c>
      <c r="N207" s="38">
        <v>1.4</v>
      </c>
      <c r="O207" s="39">
        <v>0</v>
      </c>
      <c r="P207" s="39">
        <v>0</v>
      </c>
      <c r="Q207" s="46">
        <f t="shared" si="165"/>
        <v>0.12975900094378365</v>
      </c>
      <c r="R207" s="81">
        <f t="shared" si="166"/>
        <v>0</v>
      </c>
      <c r="S207" s="82">
        <f t="shared" si="167"/>
        <v>0</v>
      </c>
      <c r="T207" s="39">
        <f t="shared" si="168"/>
        <v>0</v>
      </c>
      <c r="U207" s="83">
        <f t="shared" si="169"/>
        <v>0</v>
      </c>
      <c r="V207" s="84">
        <f t="shared" si="170"/>
        <v>1.1199999999999999</v>
      </c>
      <c r="W207" s="52">
        <f t="shared" si="171"/>
        <v>107.98555953440342</v>
      </c>
      <c r="X207" s="52">
        <f t="shared" si="172"/>
        <v>154.68182113700493</v>
      </c>
      <c r="Y207" s="52">
        <f t="shared" si="173"/>
        <v>262.66738067140835</v>
      </c>
      <c r="Z207" s="53">
        <f t="shared" si="174"/>
        <v>0.84363718386252673</v>
      </c>
      <c r="AA207" s="53">
        <f t="shared" si="175"/>
        <v>0.92072512581550559</v>
      </c>
      <c r="AB207" s="53">
        <f t="shared" si="176"/>
        <v>0.88738979956556874</v>
      </c>
      <c r="AC207" s="39" t="str">
        <f t="shared" si="177"/>
        <v>No</v>
      </c>
      <c r="AD207" s="85">
        <f t="shared" si="178"/>
        <v>0</v>
      </c>
      <c r="AE207" s="46">
        <f t="shared" si="179"/>
        <v>1</v>
      </c>
      <c r="AF207" s="46">
        <f t="shared" si="180"/>
        <v>0</v>
      </c>
      <c r="AG207" s="39">
        <f t="shared" si="235"/>
        <v>39.985559534400068</v>
      </c>
      <c r="AH207" s="39">
        <f t="shared" si="236"/>
        <v>66</v>
      </c>
      <c r="AI207" s="39">
        <f t="shared" si="237"/>
        <v>64.000000000000099</v>
      </c>
      <c r="AJ207" s="39">
        <f t="shared" si="238"/>
        <v>87.00000000000324</v>
      </c>
      <c r="AK207" s="39">
        <f t="shared" si="239"/>
        <v>83.281821137004883</v>
      </c>
      <c r="AL207" s="39">
        <f t="shared" si="240"/>
        <v>70.800000000000011</v>
      </c>
      <c r="AM207" s="39">
        <f t="shared" si="241"/>
        <v>70.800000000000011</v>
      </c>
      <c r="AN207" s="39">
        <f t="shared" si="242"/>
        <v>70.800000000000011</v>
      </c>
      <c r="AO207" s="39">
        <f t="shared" si="181"/>
        <v>0</v>
      </c>
      <c r="AP207" s="39">
        <f t="shared" si="182"/>
        <v>0</v>
      </c>
      <c r="AQ207" s="39">
        <f t="shared" si="183"/>
        <v>0</v>
      </c>
      <c r="AR207" s="39">
        <f t="shared" si="184"/>
        <v>0</v>
      </c>
      <c r="AS207" s="39">
        <f t="shared" si="185"/>
        <v>0</v>
      </c>
      <c r="AT207" s="39">
        <f t="shared" si="186"/>
        <v>0</v>
      </c>
      <c r="AU207" s="39">
        <f t="shared" si="187"/>
        <v>0</v>
      </c>
      <c r="AV207" s="39">
        <f t="shared" si="188"/>
        <v>0</v>
      </c>
      <c r="AW207" s="39">
        <f t="shared" si="189"/>
        <v>0</v>
      </c>
      <c r="AX207" s="39">
        <f t="shared" si="190"/>
        <v>0</v>
      </c>
      <c r="AY207" s="39">
        <f t="shared" si="191"/>
        <v>0</v>
      </c>
      <c r="AZ207" s="39">
        <f t="shared" si="192"/>
        <v>0</v>
      </c>
      <c r="BA207" s="39">
        <f t="shared" si="193"/>
        <v>0</v>
      </c>
      <c r="BB207" s="39">
        <f t="shared" si="194"/>
        <v>0</v>
      </c>
      <c r="BC207" s="39">
        <f t="shared" si="195"/>
        <v>0</v>
      </c>
      <c r="BD207" s="39">
        <f t="shared" si="196"/>
        <v>0</v>
      </c>
      <c r="BE207" s="39">
        <f t="shared" si="197"/>
        <v>0</v>
      </c>
      <c r="BF207" s="39">
        <f t="shared" si="198"/>
        <v>0</v>
      </c>
      <c r="BG207" s="39">
        <f t="shared" si="199"/>
        <v>0</v>
      </c>
      <c r="BH207" s="84">
        <f t="shared" si="200"/>
        <v>0</v>
      </c>
      <c r="BI207" s="84">
        <f t="shared" si="201"/>
        <v>1.1199999999999999</v>
      </c>
      <c r="BJ207" s="84">
        <f t="shared" si="202"/>
        <v>0.19661883677994063</v>
      </c>
      <c r="BK207" s="39">
        <f t="shared" si="203"/>
        <v>39.788940697620127</v>
      </c>
      <c r="BL207" s="39">
        <f t="shared" si="204"/>
        <v>66</v>
      </c>
      <c r="BM207" s="39">
        <f t="shared" si="205"/>
        <v>64.000000000000099</v>
      </c>
      <c r="BN207" s="39">
        <f t="shared" si="206"/>
        <v>87.00000000000324</v>
      </c>
      <c r="BO207" s="39">
        <f t="shared" si="207"/>
        <v>83.281821137004883</v>
      </c>
      <c r="BP207" s="39">
        <f t="shared" si="208"/>
        <v>70.800000000000011</v>
      </c>
      <c r="BQ207" s="39">
        <f t="shared" si="209"/>
        <v>70.800000000000011</v>
      </c>
      <c r="BR207" s="39">
        <f t="shared" si="210"/>
        <v>70.800000000000011</v>
      </c>
      <c r="BS207" s="39">
        <f t="shared" si="211"/>
        <v>0</v>
      </c>
      <c r="BT207" s="39">
        <f t="shared" si="212"/>
        <v>0</v>
      </c>
      <c r="BU207" s="39">
        <f t="shared" si="213"/>
        <v>6.8212102632969615E-14</v>
      </c>
      <c r="BV207" s="39">
        <f t="shared" si="214"/>
        <v>1.9355184122105127E-12</v>
      </c>
      <c r="BW207" s="39">
        <f t="shared" si="215"/>
        <v>0</v>
      </c>
      <c r="BX207" s="39">
        <f t="shared" si="216"/>
        <v>0</v>
      </c>
      <c r="BY207" s="39">
        <f t="shared" si="217"/>
        <v>0</v>
      </c>
      <c r="BZ207" s="39">
        <f t="shared" si="218"/>
        <v>0</v>
      </c>
      <c r="CA207" s="39">
        <f t="shared" si="219"/>
        <v>39.788940697620127</v>
      </c>
      <c r="CB207" s="39">
        <f t="shared" si="220"/>
        <v>66</v>
      </c>
      <c r="CC207" s="39">
        <f t="shared" si="221"/>
        <v>64.000000000000028</v>
      </c>
      <c r="CD207" s="39">
        <f t="shared" si="222"/>
        <v>87.000000000001378</v>
      </c>
      <c r="CE207" s="39">
        <f t="shared" si="223"/>
        <v>83.281821137006816</v>
      </c>
      <c r="CF207" s="39">
        <f t="shared" si="224"/>
        <v>70.800000000000011</v>
      </c>
      <c r="CG207" s="39">
        <f t="shared" si="225"/>
        <v>70.800000000000011</v>
      </c>
      <c r="CH207" s="39">
        <f t="shared" si="226"/>
        <v>70.800000000000011</v>
      </c>
      <c r="CI207" s="39">
        <f t="shared" si="227"/>
        <v>0</v>
      </c>
      <c r="CJ207" s="39">
        <f t="shared" si="228"/>
        <v>0</v>
      </c>
      <c r="CK207" s="39">
        <f t="shared" si="229"/>
        <v>0</v>
      </c>
      <c r="CL207" s="39">
        <f t="shared" si="230"/>
        <v>0</v>
      </c>
      <c r="CM207" s="39">
        <f t="shared" si="231"/>
        <v>0</v>
      </c>
      <c r="CN207" s="39">
        <f t="shared" si="232"/>
        <v>0</v>
      </c>
      <c r="CO207" s="39">
        <f t="shared" si="233"/>
        <v>0</v>
      </c>
      <c r="CP207" s="39">
        <f t="shared" si="234"/>
        <v>0</v>
      </c>
    </row>
    <row r="208" spans="2:94" ht="16" customHeight="1" x14ac:dyDescent="0.2">
      <c r="B208" s="38"/>
      <c r="L208" s="63">
        <v>30520</v>
      </c>
      <c r="M208" s="38">
        <v>0.3</v>
      </c>
      <c r="N208" s="38">
        <v>1.2</v>
      </c>
      <c r="O208" s="39">
        <v>0</v>
      </c>
      <c r="P208" s="39">
        <v>0</v>
      </c>
      <c r="Q208" s="46">
        <f t="shared" si="165"/>
        <v>0.13015755263995921</v>
      </c>
      <c r="R208" s="81">
        <f t="shared" si="166"/>
        <v>0</v>
      </c>
      <c r="S208" s="82">
        <f t="shared" si="167"/>
        <v>0.3</v>
      </c>
      <c r="T208" s="39">
        <f t="shared" si="168"/>
        <v>0</v>
      </c>
      <c r="U208" s="83">
        <f t="shared" si="169"/>
        <v>0</v>
      </c>
      <c r="V208" s="84">
        <f t="shared" si="170"/>
        <v>0.96</v>
      </c>
      <c r="W208" s="52">
        <f t="shared" si="171"/>
        <v>107.78894069762151</v>
      </c>
      <c r="X208" s="52">
        <f t="shared" si="172"/>
        <v>154.68182113700686</v>
      </c>
      <c r="Y208" s="52">
        <f t="shared" si="173"/>
        <v>262.47076183462838</v>
      </c>
      <c r="Z208" s="53">
        <f t="shared" si="174"/>
        <v>0.84210109920016807</v>
      </c>
      <c r="AA208" s="53">
        <f t="shared" si="175"/>
        <v>0.92072512581551702</v>
      </c>
      <c r="AB208" s="53">
        <f t="shared" si="176"/>
        <v>0.88672554673860937</v>
      </c>
      <c r="AC208" s="39" t="str">
        <f t="shared" si="177"/>
        <v>No</v>
      </c>
      <c r="AD208" s="85">
        <f t="shared" si="178"/>
        <v>0</v>
      </c>
      <c r="AE208" s="46">
        <f t="shared" si="179"/>
        <v>1</v>
      </c>
      <c r="AF208" s="46">
        <f t="shared" si="180"/>
        <v>0</v>
      </c>
      <c r="AG208" s="39">
        <f t="shared" si="235"/>
        <v>39.788940697620127</v>
      </c>
      <c r="AH208" s="39">
        <f t="shared" si="236"/>
        <v>66</v>
      </c>
      <c r="AI208" s="39">
        <f t="shared" si="237"/>
        <v>64.000000000000028</v>
      </c>
      <c r="AJ208" s="39">
        <f t="shared" si="238"/>
        <v>87.000000000001378</v>
      </c>
      <c r="AK208" s="39">
        <f t="shared" si="239"/>
        <v>83.281821137006816</v>
      </c>
      <c r="AL208" s="39">
        <f t="shared" si="240"/>
        <v>70.800000000000011</v>
      </c>
      <c r="AM208" s="39">
        <f t="shared" si="241"/>
        <v>70.800000000000011</v>
      </c>
      <c r="AN208" s="39">
        <f t="shared" si="242"/>
        <v>70.800000000000011</v>
      </c>
      <c r="AO208" s="39">
        <f t="shared" si="181"/>
        <v>0</v>
      </c>
      <c r="AP208" s="39">
        <f t="shared" si="182"/>
        <v>0</v>
      </c>
      <c r="AQ208" s="39">
        <f t="shared" si="183"/>
        <v>0</v>
      </c>
      <c r="AR208" s="39">
        <f t="shared" si="184"/>
        <v>0</v>
      </c>
      <c r="AS208" s="39">
        <f t="shared" si="185"/>
        <v>0</v>
      </c>
      <c r="AT208" s="39">
        <f t="shared" si="186"/>
        <v>0</v>
      </c>
      <c r="AU208" s="39">
        <f t="shared" si="187"/>
        <v>0</v>
      </c>
      <c r="AV208" s="39">
        <f t="shared" si="188"/>
        <v>0</v>
      </c>
      <c r="AW208" s="39">
        <f t="shared" si="189"/>
        <v>0</v>
      </c>
      <c r="AX208" s="39">
        <f t="shared" si="190"/>
        <v>0</v>
      </c>
      <c r="AY208" s="39">
        <f t="shared" si="191"/>
        <v>0</v>
      </c>
      <c r="AZ208" s="39">
        <f t="shared" si="192"/>
        <v>0</v>
      </c>
      <c r="BA208" s="39">
        <f t="shared" si="193"/>
        <v>0</v>
      </c>
      <c r="BB208" s="39">
        <f t="shared" si="194"/>
        <v>0</v>
      </c>
      <c r="BC208" s="39">
        <f t="shared" si="195"/>
        <v>0</v>
      </c>
      <c r="BD208" s="39">
        <f t="shared" si="196"/>
        <v>0</v>
      </c>
      <c r="BE208" s="39">
        <f t="shared" si="197"/>
        <v>0</v>
      </c>
      <c r="BF208" s="39">
        <f t="shared" si="198"/>
        <v>0</v>
      </c>
      <c r="BG208" s="39">
        <f t="shared" si="199"/>
        <v>0</v>
      </c>
      <c r="BH208" s="84">
        <f t="shared" si="200"/>
        <v>0.3</v>
      </c>
      <c r="BI208" s="84">
        <f t="shared" si="201"/>
        <v>0.65999999999999992</v>
      </c>
      <c r="BJ208" s="84">
        <f t="shared" si="202"/>
        <v>0.41226040144428527</v>
      </c>
      <c r="BK208" s="39">
        <f t="shared" si="203"/>
        <v>39.376680296175842</v>
      </c>
      <c r="BL208" s="39">
        <f t="shared" si="204"/>
        <v>66</v>
      </c>
      <c r="BM208" s="39">
        <f t="shared" si="205"/>
        <v>64.000000000000028</v>
      </c>
      <c r="BN208" s="39">
        <f t="shared" si="206"/>
        <v>87.000000000001378</v>
      </c>
      <c r="BO208" s="39">
        <f t="shared" si="207"/>
        <v>83.281821137006816</v>
      </c>
      <c r="BP208" s="39">
        <f t="shared" si="208"/>
        <v>70.800000000000011</v>
      </c>
      <c r="BQ208" s="39">
        <f t="shared" si="209"/>
        <v>70.800000000000011</v>
      </c>
      <c r="BR208" s="39">
        <f t="shared" si="210"/>
        <v>70.800000000000011</v>
      </c>
      <c r="BS208" s="39">
        <f t="shared" si="211"/>
        <v>0</v>
      </c>
      <c r="BT208" s="39">
        <f t="shared" si="212"/>
        <v>0</v>
      </c>
      <c r="BU208" s="39">
        <f t="shared" si="213"/>
        <v>2.5579538487363604E-14</v>
      </c>
      <c r="BV208" s="39">
        <f t="shared" si="214"/>
        <v>8.1854523159563533E-13</v>
      </c>
      <c r="BW208" s="39">
        <f t="shared" si="215"/>
        <v>0</v>
      </c>
      <c r="BX208" s="39">
        <f t="shared" si="216"/>
        <v>0</v>
      </c>
      <c r="BY208" s="39">
        <f t="shared" si="217"/>
        <v>0</v>
      </c>
      <c r="BZ208" s="39">
        <f t="shared" si="218"/>
        <v>0</v>
      </c>
      <c r="CA208" s="39">
        <f t="shared" si="219"/>
        <v>39.376680296175842</v>
      </c>
      <c r="CB208" s="39">
        <f t="shared" si="220"/>
        <v>66</v>
      </c>
      <c r="CC208" s="39">
        <f t="shared" si="221"/>
        <v>64</v>
      </c>
      <c r="CD208" s="39">
        <f t="shared" si="222"/>
        <v>87.000000000000583</v>
      </c>
      <c r="CE208" s="39">
        <f t="shared" si="223"/>
        <v>83.28182113700764</v>
      </c>
      <c r="CF208" s="39">
        <f t="shared" si="224"/>
        <v>70.800000000000011</v>
      </c>
      <c r="CG208" s="39">
        <f t="shared" si="225"/>
        <v>70.800000000000011</v>
      </c>
      <c r="CH208" s="39">
        <f t="shared" si="226"/>
        <v>70.800000000000011</v>
      </c>
      <c r="CI208" s="39">
        <f t="shared" si="227"/>
        <v>0</v>
      </c>
      <c r="CJ208" s="39">
        <f t="shared" si="228"/>
        <v>0</v>
      </c>
      <c r="CK208" s="39">
        <f t="shared" si="229"/>
        <v>0</v>
      </c>
      <c r="CL208" s="39">
        <f t="shared" si="230"/>
        <v>0</v>
      </c>
      <c r="CM208" s="39">
        <f t="shared" si="231"/>
        <v>0</v>
      </c>
      <c r="CN208" s="39">
        <f t="shared" si="232"/>
        <v>0</v>
      </c>
      <c r="CO208" s="39">
        <f t="shared" si="233"/>
        <v>0</v>
      </c>
      <c r="CP208" s="39">
        <f t="shared" si="234"/>
        <v>0</v>
      </c>
    </row>
    <row r="209" spans="2:94" ht="16" customHeight="1" x14ac:dyDescent="0.2">
      <c r="B209" s="38"/>
      <c r="L209" s="63">
        <v>30521</v>
      </c>
      <c r="M209" s="38">
        <v>1</v>
      </c>
      <c r="N209" s="38">
        <v>1.4</v>
      </c>
      <c r="O209" s="39">
        <v>0</v>
      </c>
      <c r="P209" s="39">
        <v>0</v>
      </c>
      <c r="Q209" s="46">
        <f t="shared" si="165"/>
        <v>0.1309932156158598</v>
      </c>
      <c r="R209" s="81">
        <f t="shared" si="166"/>
        <v>0</v>
      </c>
      <c r="S209" s="82">
        <f t="shared" si="167"/>
        <v>1</v>
      </c>
      <c r="T209" s="39">
        <f t="shared" si="168"/>
        <v>0</v>
      </c>
      <c r="U209" s="83">
        <f t="shared" si="169"/>
        <v>0</v>
      </c>
      <c r="V209" s="84">
        <f t="shared" si="170"/>
        <v>1.1199999999999999</v>
      </c>
      <c r="W209" s="52">
        <f t="shared" si="171"/>
        <v>107.3766802961764</v>
      </c>
      <c r="X209" s="52">
        <f t="shared" si="172"/>
        <v>154.68182113700766</v>
      </c>
      <c r="Y209" s="52">
        <f t="shared" si="173"/>
        <v>262.05850143318406</v>
      </c>
      <c r="Z209" s="53">
        <f t="shared" si="174"/>
        <v>0.83888031481387815</v>
      </c>
      <c r="AA209" s="53">
        <f t="shared" si="175"/>
        <v>0.92072512581552179</v>
      </c>
      <c r="AB209" s="53">
        <f t="shared" si="176"/>
        <v>0.88533277511210828</v>
      </c>
      <c r="AC209" s="39" t="str">
        <f t="shared" si="177"/>
        <v>No</v>
      </c>
      <c r="AD209" s="85">
        <f t="shared" si="178"/>
        <v>0</v>
      </c>
      <c r="AE209" s="46">
        <f t="shared" si="179"/>
        <v>1</v>
      </c>
      <c r="AF209" s="46">
        <f t="shared" si="180"/>
        <v>0</v>
      </c>
      <c r="AG209" s="39">
        <f t="shared" si="235"/>
        <v>39.376680296175842</v>
      </c>
      <c r="AH209" s="39">
        <f t="shared" si="236"/>
        <v>66</v>
      </c>
      <c r="AI209" s="39">
        <f t="shared" si="237"/>
        <v>64</v>
      </c>
      <c r="AJ209" s="39">
        <f t="shared" si="238"/>
        <v>87.000000000000583</v>
      </c>
      <c r="AK209" s="39">
        <f t="shared" si="239"/>
        <v>83.28182113700764</v>
      </c>
      <c r="AL209" s="39">
        <f t="shared" si="240"/>
        <v>70.800000000000011</v>
      </c>
      <c r="AM209" s="39">
        <f t="shared" si="241"/>
        <v>70.800000000000011</v>
      </c>
      <c r="AN209" s="39">
        <f t="shared" si="242"/>
        <v>70.800000000000011</v>
      </c>
      <c r="AO209" s="39">
        <f t="shared" si="181"/>
        <v>0</v>
      </c>
      <c r="AP209" s="39">
        <f t="shared" si="182"/>
        <v>0</v>
      </c>
      <c r="AQ209" s="39">
        <f t="shared" si="183"/>
        <v>0</v>
      </c>
      <c r="AR209" s="39">
        <f t="shared" si="184"/>
        <v>0</v>
      </c>
      <c r="AS209" s="39">
        <f t="shared" si="185"/>
        <v>0</v>
      </c>
      <c r="AT209" s="39">
        <f t="shared" si="186"/>
        <v>0</v>
      </c>
      <c r="AU209" s="39">
        <f t="shared" si="187"/>
        <v>0</v>
      </c>
      <c r="AV209" s="39">
        <f t="shared" si="188"/>
        <v>0</v>
      </c>
      <c r="AW209" s="39">
        <f t="shared" si="189"/>
        <v>0</v>
      </c>
      <c r="AX209" s="39">
        <f t="shared" si="190"/>
        <v>0</v>
      </c>
      <c r="AY209" s="39">
        <f t="shared" si="191"/>
        <v>0</v>
      </c>
      <c r="AZ209" s="39">
        <f t="shared" si="192"/>
        <v>0</v>
      </c>
      <c r="BA209" s="39">
        <f t="shared" si="193"/>
        <v>0</v>
      </c>
      <c r="BB209" s="39">
        <f t="shared" si="194"/>
        <v>0</v>
      </c>
      <c r="BC209" s="39">
        <f t="shared" si="195"/>
        <v>0</v>
      </c>
      <c r="BD209" s="39">
        <f t="shared" si="196"/>
        <v>0</v>
      </c>
      <c r="BE209" s="39">
        <f t="shared" si="197"/>
        <v>0</v>
      </c>
      <c r="BF209" s="39">
        <f t="shared" si="198"/>
        <v>0</v>
      </c>
      <c r="BG209" s="39">
        <f t="shared" si="199"/>
        <v>0</v>
      </c>
      <c r="BH209" s="84">
        <f t="shared" si="200"/>
        <v>1</v>
      </c>
      <c r="BI209" s="84">
        <f t="shared" si="201"/>
        <v>0.11999999999999988</v>
      </c>
      <c r="BJ209" s="84">
        <f t="shared" si="202"/>
        <v>1.0190866747754459</v>
      </c>
      <c r="BK209" s="39">
        <f t="shared" si="203"/>
        <v>38.357593621400397</v>
      </c>
      <c r="BL209" s="39">
        <f t="shared" si="204"/>
        <v>66</v>
      </c>
      <c r="BM209" s="39">
        <f t="shared" si="205"/>
        <v>64</v>
      </c>
      <c r="BN209" s="39">
        <f t="shared" si="206"/>
        <v>87.000000000000583</v>
      </c>
      <c r="BO209" s="39">
        <f t="shared" si="207"/>
        <v>83.28182113700764</v>
      </c>
      <c r="BP209" s="39">
        <f t="shared" si="208"/>
        <v>70.800000000000011</v>
      </c>
      <c r="BQ209" s="39">
        <f t="shared" si="209"/>
        <v>70.800000000000011</v>
      </c>
      <c r="BR209" s="39">
        <f t="shared" si="210"/>
        <v>70.800000000000011</v>
      </c>
      <c r="BS209" s="39">
        <f t="shared" si="211"/>
        <v>0</v>
      </c>
      <c r="BT209" s="39">
        <f t="shared" si="212"/>
        <v>0</v>
      </c>
      <c r="BU209" s="39">
        <f t="shared" si="213"/>
        <v>8.5265128291212019E-15</v>
      </c>
      <c r="BV209" s="39">
        <f t="shared" si="214"/>
        <v>3.4106051316484809E-13</v>
      </c>
      <c r="BW209" s="39">
        <f t="shared" si="215"/>
        <v>0</v>
      </c>
      <c r="BX209" s="39">
        <f t="shared" si="216"/>
        <v>0</v>
      </c>
      <c r="BY209" s="39">
        <f t="shared" si="217"/>
        <v>0</v>
      </c>
      <c r="BZ209" s="39">
        <f t="shared" si="218"/>
        <v>0</v>
      </c>
      <c r="CA209" s="39">
        <f t="shared" si="219"/>
        <v>38.357593621400397</v>
      </c>
      <c r="CB209" s="39">
        <f t="shared" si="220"/>
        <v>66</v>
      </c>
      <c r="CC209" s="39">
        <f t="shared" si="221"/>
        <v>63.999999999999993</v>
      </c>
      <c r="CD209" s="39">
        <f t="shared" si="222"/>
        <v>87.000000000000256</v>
      </c>
      <c r="CE209" s="39">
        <f t="shared" si="223"/>
        <v>83.281821137007981</v>
      </c>
      <c r="CF209" s="39">
        <f t="shared" si="224"/>
        <v>70.800000000000011</v>
      </c>
      <c r="CG209" s="39">
        <f t="shared" si="225"/>
        <v>70.800000000000011</v>
      </c>
      <c r="CH209" s="39">
        <f t="shared" si="226"/>
        <v>70.800000000000011</v>
      </c>
      <c r="CI209" s="39">
        <f t="shared" si="227"/>
        <v>0</v>
      </c>
      <c r="CJ209" s="39">
        <f t="shared" si="228"/>
        <v>0</v>
      </c>
      <c r="CK209" s="39">
        <f t="shared" si="229"/>
        <v>0</v>
      </c>
      <c r="CL209" s="39">
        <f t="shared" si="230"/>
        <v>0</v>
      </c>
      <c r="CM209" s="39">
        <f t="shared" si="231"/>
        <v>0</v>
      </c>
      <c r="CN209" s="39">
        <f t="shared" si="232"/>
        <v>0</v>
      </c>
      <c r="CO209" s="39">
        <f t="shared" si="233"/>
        <v>0</v>
      </c>
      <c r="CP209" s="39">
        <f t="shared" si="234"/>
        <v>0</v>
      </c>
    </row>
    <row r="210" spans="2:94" ht="16" customHeight="1" x14ac:dyDescent="0.2">
      <c r="B210" s="38"/>
      <c r="L210" s="63">
        <v>30522</v>
      </c>
      <c r="M210" s="38">
        <v>0</v>
      </c>
      <c r="N210" s="38">
        <v>1.2</v>
      </c>
      <c r="O210" s="39">
        <v>0</v>
      </c>
      <c r="P210" s="39">
        <v>0</v>
      </c>
      <c r="Q210" s="46">
        <f t="shared" si="165"/>
        <v>0.1330589318485127</v>
      </c>
      <c r="R210" s="81">
        <f t="shared" si="166"/>
        <v>0</v>
      </c>
      <c r="S210" s="82">
        <f t="shared" si="167"/>
        <v>0</v>
      </c>
      <c r="T210" s="39">
        <f t="shared" si="168"/>
        <v>0</v>
      </c>
      <c r="U210" s="83">
        <f t="shared" si="169"/>
        <v>0</v>
      </c>
      <c r="V210" s="84">
        <f t="shared" si="170"/>
        <v>0.96</v>
      </c>
      <c r="W210" s="52">
        <f t="shared" si="171"/>
        <v>106.35759362140064</v>
      </c>
      <c r="X210" s="52">
        <f t="shared" si="172"/>
        <v>154.681821137008</v>
      </c>
      <c r="Y210" s="52">
        <f t="shared" si="173"/>
        <v>261.03941475840861</v>
      </c>
      <c r="Z210" s="53">
        <f t="shared" si="174"/>
        <v>0.83091870016719249</v>
      </c>
      <c r="AA210" s="53">
        <f t="shared" si="175"/>
        <v>0.92072512581552379</v>
      </c>
      <c r="AB210" s="53">
        <f t="shared" si="176"/>
        <v>0.88188991472435341</v>
      </c>
      <c r="AC210" s="39" t="str">
        <f t="shared" si="177"/>
        <v>No</v>
      </c>
      <c r="AD210" s="85">
        <f t="shared" si="178"/>
        <v>0</v>
      </c>
      <c r="AE210" s="46">
        <f t="shared" si="179"/>
        <v>1</v>
      </c>
      <c r="AF210" s="46">
        <f t="shared" si="180"/>
        <v>0</v>
      </c>
      <c r="AG210" s="39">
        <f t="shared" si="235"/>
        <v>38.357593621400397</v>
      </c>
      <c r="AH210" s="39">
        <f t="shared" si="236"/>
        <v>66</v>
      </c>
      <c r="AI210" s="39">
        <f t="shared" si="237"/>
        <v>63.999999999999993</v>
      </c>
      <c r="AJ210" s="39">
        <f t="shared" si="238"/>
        <v>87.000000000000256</v>
      </c>
      <c r="AK210" s="39">
        <f t="shared" si="239"/>
        <v>83.281821137007981</v>
      </c>
      <c r="AL210" s="39">
        <f t="shared" si="240"/>
        <v>70.800000000000011</v>
      </c>
      <c r="AM210" s="39">
        <f t="shared" si="241"/>
        <v>70.800000000000011</v>
      </c>
      <c r="AN210" s="39">
        <f t="shared" si="242"/>
        <v>70.800000000000011</v>
      </c>
      <c r="AO210" s="39">
        <f t="shared" si="181"/>
        <v>0</v>
      </c>
      <c r="AP210" s="39">
        <f t="shared" si="182"/>
        <v>0</v>
      </c>
      <c r="AQ210" s="39">
        <f t="shared" si="183"/>
        <v>0</v>
      </c>
      <c r="AR210" s="39">
        <f t="shared" si="184"/>
        <v>0</v>
      </c>
      <c r="AS210" s="39">
        <f t="shared" si="185"/>
        <v>0</v>
      </c>
      <c r="AT210" s="39">
        <f t="shared" si="186"/>
        <v>0</v>
      </c>
      <c r="AU210" s="39">
        <f t="shared" si="187"/>
        <v>0</v>
      </c>
      <c r="AV210" s="39">
        <f t="shared" si="188"/>
        <v>0</v>
      </c>
      <c r="AW210" s="39">
        <f t="shared" si="189"/>
        <v>0</v>
      </c>
      <c r="AX210" s="39">
        <f t="shared" si="190"/>
        <v>0</v>
      </c>
      <c r="AY210" s="39">
        <f t="shared" si="191"/>
        <v>0</v>
      </c>
      <c r="AZ210" s="39">
        <f t="shared" si="192"/>
        <v>0</v>
      </c>
      <c r="BA210" s="39">
        <f t="shared" si="193"/>
        <v>0</v>
      </c>
      <c r="BB210" s="39">
        <f t="shared" si="194"/>
        <v>0</v>
      </c>
      <c r="BC210" s="39">
        <f t="shared" si="195"/>
        <v>0</v>
      </c>
      <c r="BD210" s="39">
        <f t="shared" si="196"/>
        <v>0</v>
      </c>
      <c r="BE210" s="39">
        <f t="shared" si="197"/>
        <v>0</v>
      </c>
      <c r="BF210" s="39">
        <f t="shared" si="198"/>
        <v>0</v>
      </c>
      <c r="BG210" s="39">
        <f t="shared" si="199"/>
        <v>0</v>
      </c>
      <c r="BH210" s="84">
        <f t="shared" si="200"/>
        <v>0</v>
      </c>
      <c r="BI210" s="84">
        <f t="shared" si="201"/>
        <v>0.96</v>
      </c>
      <c r="BJ210" s="84">
        <f t="shared" si="202"/>
        <v>0.12871655490420753</v>
      </c>
      <c r="BK210" s="39">
        <f t="shared" si="203"/>
        <v>38.228877066496189</v>
      </c>
      <c r="BL210" s="39">
        <f t="shared" si="204"/>
        <v>66</v>
      </c>
      <c r="BM210" s="39">
        <f t="shared" si="205"/>
        <v>63.999999999999993</v>
      </c>
      <c r="BN210" s="39">
        <f t="shared" si="206"/>
        <v>87.000000000000256</v>
      </c>
      <c r="BO210" s="39">
        <f t="shared" si="207"/>
        <v>83.281821137007981</v>
      </c>
      <c r="BP210" s="39">
        <f t="shared" si="208"/>
        <v>70.800000000000011</v>
      </c>
      <c r="BQ210" s="39">
        <f t="shared" si="209"/>
        <v>70.800000000000011</v>
      </c>
      <c r="BR210" s="39">
        <f t="shared" si="210"/>
        <v>70.800000000000011</v>
      </c>
      <c r="BS210" s="39">
        <f t="shared" si="211"/>
        <v>0</v>
      </c>
      <c r="BT210" s="39">
        <f t="shared" si="212"/>
        <v>0</v>
      </c>
      <c r="BU210" s="39">
        <f t="shared" si="213"/>
        <v>4.263256414560601E-15</v>
      </c>
      <c r="BV210" s="39">
        <f t="shared" si="214"/>
        <v>1.4495071809506043E-13</v>
      </c>
      <c r="BW210" s="39">
        <f t="shared" si="215"/>
        <v>0</v>
      </c>
      <c r="BX210" s="39">
        <f t="shared" si="216"/>
        <v>0</v>
      </c>
      <c r="BY210" s="39">
        <f t="shared" si="217"/>
        <v>0</v>
      </c>
      <c r="BZ210" s="39">
        <f t="shared" si="218"/>
        <v>0</v>
      </c>
      <c r="CA210" s="39">
        <f t="shared" si="219"/>
        <v>38.228877066496189</v>
      </c>
      <c r="CB210" s="39">
        <f t="shared" si="220"/>
        <v>66</v>
      </c>
      <c r="CC210" s="39">
        <f t="shared" si="221"/>
        <v>63.999999999999986</v>
      </c>
      <c r="CD210" s="39">
        <f t="shared" si="222"/>
        <v>87.000000000000114</v>
      </c>
      <c r="CE210" s="39">
        <f t="shared" si="223"/>
        <v>83.281821137008123</v>
      </c>
      <c r="CF210" s="39">
        <f t="shared" si="224"/>
        <v>70.800000000000011</v>
      </c>
      <c r="CG210" s="39">
        <f t="shared" si="225"/>
        <v>70.800000000000011</v>
      </c>
      <c r="CH210" s="39">
        <f t="shared" si="226"/>
        <v>70.800000000000011</v>
      </c>
      <c r="CI210" s="39">
        <f t="shared" si="227"/>
        <v>0</v>
      </c>
      <c r="CJ210" s="39">
        <f t="shared" si="228"/>
        <v>0</v>
      </c>
      <c r="CK210" s="39">
        <f t="shared" si="229"/>
        <v>0</v>
      </c>
      <c r="CL210" s="39">
        <f t="shared" si="230"/>
        <v>0</v>
      </c>
      <c r="CM210" s="39">
        <f t="shared" si="231"/>
        <v>0</v>
      </c>
      <c r="CN210" s="39">
        <f t="shared" si="232"/>
        <v>0</v>
      </c>
      <c r="CO210" s="39">
        <f t="shared" si="233"/>
        <v>0</v>
      </c>
      <c r="CP210" s="39">
        <f t="shared" si="234"/>
        <v>0</v>
      </c>
    </row>
    <row r="211" spans="2:94" ht="16" customHeight="1" x14ac:dyDescent="0.2">
      <c r="B211" s="38"/>
      <c r="L211" s="63">
        <v>30523</v>
      </c>
      <c r="M211" s="38">
        <v>0</v>
      </c>
      <c r="N211" s="38">
        <v>1.4</v>
      </c>
      <c r="O211" s="39">
        <v>0</v>
      </c>
      <c r="P211" s="39">
        <v>0</v>
      </c>
      <c r="Q211" s="46">
        <f t="shared" si="165"/>
        <v>0.13331984378412937</v>
      </c>
      <c r="R211" s="81">
        <f t="shared" si="166"/>
        <v>0</v>
      </c>
      <c r="S211" s="82">
        <f t="shared" si="167"/>
        <v>0</v>
      </c>
      <c r="T211" s="39">
        <f t="shared" si="168"/>
        <v>0</v>
      </c>
      <c r="U211" s="83">
        <f t="shared" si="169"/>
        <v>0</v>
      </c>
      <c r="V211" s="84">
        <f t="shared" si="170"/>
        <v>1.1199999999999999</v>
      </c>
      <c r="W211" s="52">
        <f t="shared" si="171"/>
        <v>106.2288770664963</v>
      </c>
      <c r="X211" s="52">
        <f t="shared" si="172"/>
        <v>154.68182113700817</v>
      </c>
      <c r="Y211" s="52">
        <f t="shared" si="173"/>
        <v>260.91069820350447</v>
      </c>
      <c r="Z211" s="53">
        <f t="shared" si="174"/>
        <v>0.82991310208200231</v>
      </c>
      <c r="AA211" s="53">
        <f t="shared" si="175"/>
        <v>0.92072512581552479</v>
      </c>
      <c r="AB211" s="53">
        <f t="shared" si="176"/>
        <v>0.88145506149832586</v>
      </c>
      <c r="AC211" s="39" t="str">
        <f t="shared" si="177"/>
        <v>No</v>
      </c>
      <c r="AD211" s="85">
        <f t="shared" si="178"/>
        <v>0</v>
      </c>
      <c r="AE211" s="46">
        <f t="shared" si="179"/>
        <v>1</v>
      </c>
      <c r="AF211" s="46">
        <f t="shared" si="180"/>
        <v>0</v>
      </c>
      <c r="AG211" s="39">
        <f t="shared" si="235"/>
        <v>38.228877066496189</v>
      </c>
      <c r="AH211" s="39">
        <f t="shared" si="236"/>
        <v>66</v>
      </c>
      <c r="AI211" s="39">
        <f t="shared" si="237"/>
        <v>63.999999999999986</v>
      </c>
      <c r="AJ211" s="39">
        <f t="shared" si="238"/>
        <v>87.000000000000114</v>
      </c>
      <c r="AK211" s="39">
        <f t="shared" si="239"/>
        <v>83.281821137008123</v>
      </c>
      <c r="AL211" s="39">
        <f t="shared" si="240"/>
        <v>70.800000000000011</v>
      </c>
      <c r="AM211" s="39">
        <f t="shared" si="241"/>
        <v>70.800000000000011</v>
      </c>
      <c r="AN211" s="39">
        <f t="shared" si="242"/>
        <v>70.800000000000011</v>
      </c>
      <c r="AO211" s="39">
        <f t="shared" si="181"/>
        <v>0</v>
      </c>
      <c r="AP211" s="39">
        <f t="shared" si="182"/>
        <v>0</v>
      </c>
      <c r="AQ211" s="39">
        <f t="shared" si="183"/>
        <v>0</v>
      </c>
      <c r="AR211" s="39">
        <f t="shared" si="184"/>
        <v>0</v>
      </c>
      <c r="AS211" s="39">
        <f t="shared" si="185"/>
        <v>0</v>
      </c>
      <c r="AT211" s="39">
        <f t="shared" si="186"/>
        <v>0</v>
      </c>
      <c r="AU211" s="39">
        <f t="shared" si="187"/>
        <v>0</v>
      </c>
      <c r="AV211" s="39">
        <f t="shared" si="188"/>
        <v>0</v>
      </c>
      <c r="AW211" s="39">
        <f t="shared" si="189"/>
        <v>0</v>
      </c>
      <c r="AX211" s="39">
        <f t="shared" si="190"/>
        <v>0</v>
      </c>
      <c r="AY211" s="39">
        <f t="shared" si="191"/>
        <v>0</v>
      </c>
      <c r="AZ211" s="39">
        <f t="shared" si="192"/>
        <v>0</v>
      </c>
      <c r="BA211" s="39">
        <f t="shared" si="193"/>
        <v>0</v>
      </c>
      <c r="BB211" s="39">
        <f t="shared" si="194"/>
        <v>0</v>
      </c>
      <c r="BC211" s="39">
        <f t="shared" si="195"/>
        <v>0</v>
      </c>
      <c r="BD211" s="39">
        <f t="shared" si="196"/>
        <v>0</v>
      </c>
      <c r="BE211" s="39">
        <f t="shared" si="197"/>
        <v>0</v>
      </c>
      <c r="BF211" s="39">
        <f t="shared" si="198"/>
        <v>0</v>
      </c>
      <c r="BG211" s="39">
        <f t="shared" si="199"/>
        <v>0</v>
      </c>
      <c r="BH211" s="84">
        <f t="shared" si="200"/>
        <v>0</v>
      </c>
      <c r="BI211" s="84">
        <f t="shared" si="201"/>
        <v>1.1199999999999999</v>
      </c>
      <c r="BJ211" s="84">
        <f t="shared" si="202"/>
        <v>0.14688642684534797</v>
      </c>
      <c r="BK211" s="39">
        <f t="shared" si="203"/>
        <v>38.08199063965084</v>
      </c>
      <c r="BL211" s="39">
        <f t="shared" si="204"/>
        <v>66</v>
      </c>
      <c r="BM211" s="39">
        <f t="shared" si="205"/>
        <v>63.999999999999986</v>
      </c>
      <c r="BN211" s="39">
        <f t="shared" si="206"/>
        <v>87.000000000000114</v>
      </c>
      <c r="BO211" s="39">
        <f t="shared" si="207"/>
        <v>83.281821137008123</v>
      </c>
      <c r="BP211" s="39">
        <f t="shared" si="208"/>
        <v>70.800000000000011</v>
      </c>
      <c r="BQ211" s="39">
        <f t="shared" si="209"/>
        <v>70.800000000000011</v>
      </c>
      <c r="BR211" s="39">
        <f t="shared" si="210"/>
        <v>70.800000000000011</v>
      </c>
      <c r="BS211" s="39">
        <f t="shared" si="211"/>
        <v>0</v>
      </c>
      <c r="BT211" s="39">
        <f t="shared" si="212"/>
        <v>0</v>
      </c>
      <c r="BU211" s="39">
        <f t="shared" si="213"/>
        <v>0</v>
      </c>
      <c r="BV211" s="39">
        <f t="shared" si="214"/>
        <v>5.9685589803848418E-14</v>
      </c>
      <c r="BW211" s="39">
        <f t="shared" si="215"/>
        <v>0</v>
      </c>
      <c r="BX211" s="39">
        <f t="shared" si="216"/>
        <v>0</v>
      </c>
      <c r="BY211" s="39">
        <f t="shared" si="217"/>
        <v>0</v>
      </c>
      <c r="BZ211" s="39">
        <f t="shared" si="218"/>
        <v>0</v>
      </c>
      <c r="CA211" s="39">
        <f t="shared" si="219"/>
        <v>38.08199063965084</v>
      </c>
      <c r="CB211" s="39">
        <f t="shared" si="220"/>
        <v>66</v>
      </c>
      <c r="CC211" s="39">
        <f t="shared" si="221"/>
        <v>63.999999999999986</v>
      </c>
      <c r="CD211" s="39">
        <f t="shared" si="222"/>
        <v>87.000000000000057</v>
      </c>
      <c r="CE211" s="39">
        <f t="shared" si="223"/>
        <v>83.28182113700818</v>
      </c>
      <c r="CF211" s="39">
        <f t="shared" si="224"/>
        <v>70.800000000000011</v>
      </c>
      <c r="CG211" s="39">
        <f t="shared" si="225"/>
        <v>70.800000000000011</v>
      </c>
      <c r="CH211" s="39">
        <f t="shared" si="226"/>
        <v>70.800000000000011</v>
      </c>
      <c r="CI211" s="39">
        <f t="shared" si="227"/>
        <v>0</v>
      </c>
      <c r="CJ211" s="39">
        <f t="shared" si="228"/>
        <v>0</v>
      </c>
      <c r="CK211" s="39">
        <f t="shared" si="229"/>
        <v>0</v>
      </c>
      <c r="CL211" s="39">
        <f t="shared" si="230"/>
        <v>0</v>
      </c>
      <c r="CM211" s="39">
        <f t="shared" si="231"/>
        <v>0</v>
      </c>
      <c r="CN211" s="39">
        <f t="shared" si="232"/>
        <v>0</v>
      </c>
      <c r="CO211" s="39">
        <f t="shared" si="233"/>
        <v>0</v>
      </c>
      <c r="CP211" s="39">
        <f t="shared" si="234"/>
        <v>0</v>
      </c>
    </row>
    <row r="212" spans="2:94" ht="16" customHeight="1" x14ac:dyDescent="0.2">
      <c r="B212" s="38"/>
      <c r="L212" s="63">
        <v>30524</v>
      </c>
      <c r="M212" s="38">
        <v>0</v>
      </c>
      <c r="N212" s="38">
        <v>1.1000000000000001</v>
      </c>
      <c r="O212" s="39">
        <v>0</v>
      </c>
      <c r="P212" s="39">
        <v>0</v>
      </c>
      <c r="Q212" s="46">
        <f t="shared" si="165"/>
        <v>0.13361758654124828</v>
      </c>
      <c r="R212" s="81">
        <f t="shared" si="166"/>
        <v>0</v>
      </c>
      <c r="S212" s="82">
        <f t="shared" si="167"/>
        <v>0</v>
      </c>
      <c r="T212" s="39">
        <f t="shared" si="168"/>
        <v>0</v>
      </c>
      <c r="U212" s="83">
        <f t="shared" si="169"/>
        <v>0</v>
      </c>
      <c r="V212" s="84">
        <f t="shared" si="170"/>
        <v>0.88000000000000012</v>
      </c>
      <c r="W212" s="52">
        <f t="shared" si="171"/>
        <v>106.08199063965088</v>
      </c>
      <c r="X212" s="52">
        <f t="shared" si="172"/>
        <v>154.68182113700823</v>
      </c>
      <c r="Y212" s="52">
        <f t="shared" si="173"/>
        <v>260.76381177665911</v>
      </c>
      <c r="Z212" s="53">
        <f t="shared" si="174"/>
        <v>0.82876555187227252</v>
      </c>
      <c r="AA212" s="53">
        <f t="shared" si="175"/>
        <v>0.92072512581552513</v>
      </c>
      <c r="AB212" s="53">
        <f t="shared" si="176"/>
        <v>0.88095882356979427</v>
      </c>
      <c r="AC212" s="39" t="str">
        <f t="shared" si="177"/>
        <v>No</v>
      </c>
      <c r="AD212" s="85">
        <f t="shared" si="178"/>
        <v>0</v>
      </c>
      <c r="AE212" s="46">
        <f t="shared" si="179"/>
        <v>1</v>
      </c>
      <c r="AF212" s="46">
        <f t="shared" si="180"/>
        <v>0</v>
      </c>
      <c r="AG212" s="39">
        <f t="shared" si="235"/>
        <v>38.08199063965084</v>
      </c>
      <c r="AH212" s="39">
        <f t="shared" si="236"/>
        <v>66</v>
      </c>
      <c r="AI212" s="39">
        <f t="shared" si="237"/>
        <v>63.999999999999986</v>
      </c>
      <c r="AJ212" s="39">
        <f t="shared" si="238"/>
        <v>87.000000000000057</v>
      </c>
      <c r="AK212" s="39">
        <f t="shared" si="239"/>
        <v>83.28182113700818</v>
      </c>
      <c r="AL212" s="39">
        <f t="shared" si="240"/>
        <v>70.800000000000011</v>
      </c>
      <c r="AM212" s="39">
        <f t="shared" si="241"/>
        <v>70.800000000000011</v>
      </c>
      <c r="AN212" s="39">
        <f t="shared" si="242"/>
        <v>70.800000000000011</v>
      </c>
      <c r="AO212" s="39">
        <f t="shared" si="181"/>
        <v>0</v>
      </c>
      <c r="AP212" s="39">
        <f t="shared" si="182"/>
        <v>0</v>
      </c>
      <c r="AQ212" s="39">
        <f t="shared" si="183"/>
        <v>0</v>
      </c>
      <c r="AR212" s="39">
        <f t="shared" si="184"/>
        <v>0</v>
      </c>
      <c r="AS212" s="39">
        <f t="shared" si="185"/>
        <v>0</v>
      </c>
      <c r="AT212" s="39">
        <f t="shared" si="186"/>
        <v>0</v>
      </c>
      <c r="AU212" s="39">
        <f t="shared" si="187"/>
        <v>0</v>
      </c>
      <c r="AV212" s="39">
        <f t="shared" si="188"/>
        <v>0</v>
      </c>
      <c r="AW212" s="39">
        <f t="shared" si="189"/>
        <v>0</v>
      </c>
      <c r="AX212" s="39">
        <f t="shared" si="190"/>
        <v>0</v>
      </c>
      <c r="AY212" s="39">
        <f t="shared" si="191"/>
        <v>0</v>
      </c>
      <c r="AZ212" s="39">
        <f t="shared" si="192"/>
        <v>0</v>
      </c>
      <c r="BA212" s="39">
        <f t="shared" si="193"/>
        <v>0</v>
      </c>
      <c r="BB212" s="39">
        <f t="shared" si="194"/>
        <v>0</v>
      </c>
      <c r="BC212" s="39">
        <f t="shared" si="195"/>
        <v>0</v>
      </c>
      <c r="BD212" s="39">
        <f t="shared" si="196"/>
        <v>0</v>
      </c>
      <c r="BE212" s="39">
        <f t="shared" si="197"/>
        <v>0</v>
      </c>
      <c r="BF212" s="39">
        <f t="shared" si="198"/>
        <v>0</v>
      </c>
      <c r="BG212" s="39">
        <f t="shared" si="199"/>
        <v>0</v>
      </c>
      <c r="BH212" s="84">
        <f t="shared" si="200"/>
        <v>0</v>
      </c>
      <c r="BI212" s="84">
        <f t="shared" si="201"/>
        <v>0.88000000000000012</v>
      </c>
      <c r="BJ212" s="84">
        <f t="shared" si="202"/>
        <v>0.11251916373830076</v>
      </c>
      <c r="BK212" s="39">
        <f t="shared" si="203"/>
        <v>37.969471475912542</v>
      </c>
      <c r="BL212" s="39">
        <f t="shared" si="204"/>
        <v>66</v>
      </c>
      <c r="BM212" s="39">
        <f t="shared" si="205"/>
        <v>63.999999999999986</v>
      </c>
      <c r="BN212" s="39">
        <f t="shared" si="206"/>
        <v>87.000000000000057</v>
      </c>
      <c r="BO212" s="39">
        <f t="shared" si="207"/>
        <v>83.28182113700818</v>
      </c>
      <c r="BP212" s="39">
        <f t="shared" si="208"/>
        <v>70.800000000000011</v>
      </c>
      <c r="BQ212" s="39">
        <f t="shared" si="209"/>
        <v>70.800000000000011</v>
      </c>
      <c r="BR212" s="39">
        <f t="shared" si="210"/>
        <v>70.800000000000011</v>
      </c>
      <c r="BS212" s="39">
        <f t="shared" si="211"/>
        <v>0</v>
      </c>
      <c r="BT212" s="39">
        <f t="shared" si="212"/>
        <v>0</v>
      </c>
      <c r="BU212" s="39">
        <f t="shared" si="213"/>
        <v>0</v>
      </c>
      <c r="BV212" s="39">
        <f t="shared" si="214"/>
        <v>2.5579538487363604E-14</v>
      </c>
      <c r="BW212" s="39">
        <f t="shared" si="215"/>
        <v>0</v>
      </c>
      <c r="BX212" s="39">
        <f t="shared" si="216"/>
        <v>0</v>
      </c>
      <c r="BY212" s="39">
        <f t="shared" si="217"/>
        <v>0</v>
      </c>
      <c r="BZ212" s="39">
        <f t="shared" si="218"/>
        <v>0</v>
      </c>
      <c r="CA212" s="39">
        <f t="shared" si="219"/>
        <v>37.969471475912542</v>
      </c>
      <c r="CB212" s="39">
        <f t="shared" si="220"/>
        <v>66</v>
      </c>
      <c r="CC212" s="39">
        <f t="shared" si="221"/>
        <v>63.999999999999986</v>
      </c>
      <c r="CD212" s="39">
        <f t="shared" si="222"/>
        <v>87.000000000000028</v>
      </c>
      <c r="CE212" s="39">
        <f t="shared" si="223"/>
        <v>83.281821137008208</v>
      </c>
      <c r="CF212" s="39">
        <f t="shared" si="224"/>
        <v>70.800000000000011</v>
      </c>
      <c r="CG212" s="39">
        <f t="shared" si="225"/>
        <v>70.800000000000011</v>
      </c>
      <c r="CH212" s="39">
        <f t="shared" si="226"/>
        <v>70.800000000000011</v>
      </c>
      <c r="CI212" s="39">
        <f t="shared" si="227"/>
        <v>0</v>
      </c>
      <c r="CJ212" s="39">
        <f t="shared" si="228"/>
        <v>0</v>
      </c>
      <c r="CK212" s="39">
        <f t="shared" si="229"/>
        <v>0</v>
      </c>
      <c r="CL212" s="39">
        <f t="shared" si="230"/>
        <v>0</v>
      </c>
      <c r="CM212" s="39">
        <f t="shared" si="231"/>
        <v>0</v>
      </c>
      <c r="CN212" s="39">
        <f t="shared" si="232"/>
        <v>0</v>
      </c>
      <c r="CO212" s="39">
        <f t="shared" si="233"/>
        <v>0</v>
      </c>
      <c r="CP212" s="39">
        <f t="shared" si="234"/>
        <v>0</v>
      </c>
    </row>
    <row r="213" spans="2:94" ht="16" customHeight="1" x14ac:dyDescent="0.2">
      <c r="B213" s="38"/>
      <c r="L213" s="63">
        <v>30525</v>
      </c>
      <c r="M213" s="38">
        <v>0</v>
      </c>
      <c r="N213" s="38">
        <v>1.6</v>
      </c>
      <c r="O213" s="39">
        <v>0</v>
      </c>
      <c r="P213" s="39">
        <v>0</v>
      </c>
      <c r="Q213" s="46">
        <f t="shared" si="165"/>
        <v>0.13384566592720432</v>
      </c>
      <c r="R213" s="81">
        <f t="shared" si="166"/>
        <v>0</v>
      </c>
      <c r="S213" s="82">
        <f t="shared" si="167"/>
        <v>0</v>
      </c>
      <c r="T213" s="39">
        <f t="shared" si="168"/>
        <v>0</v>
      </c>
      <c r="U213" s="83">
        <f t="shared" si="169"/>
        <v>0</v>
      </c>
      <c r="V213" s="84">
        <f t="shared" si="170"/>
        <v>1.2800000000000002</v>
      </c>
      <c r="W213" s="52">
        <f t="shared" si="171"/>
        <v>105.96947147591257</v>
      </c>
      <c r="X213" s="52">
        <f t="shared" si="172"/>
        <v>154.68182113700823</v>
      </c>
      <c r="Y213" s="52">
        <f t="shared" si="173"/>
        <v>260.65129261292077</v>
      </c>
      <c r="Z213" s="53">
        <f t="shared" si="174"/>
        <v>0.82788649590556695</v>
      </c>
      <c r="AA213" s="53">
        <f t="shared" si="175"/>
        <v>0.92072512581552513</v>
      </c>
      <c r="AB213" s="53">
        <f t="shared" si="176"/>
        <v>0.88057869125986743</v>
      </c>
      <c r="AC213" s="39" t="str">
        <f t="shared" si="177"/>
        <v>No</v>
      </c>
      <c r="AD213" s="85">
        <f t="shared" si="178"/>
        <v>0</v>
      </c>
      <c r="AE213" s="46">
        <f t="shared" si="179"/>
        <v>1</v>
      </c>
      <c r="AF213" s="46">
        <f t="shared" si="180"/>
        <v>0</v>
      </c>
      <c r="AG213" s="39">
        <f t="shared" si="235"/>
        <v>37.969471475912542</v>
      </c>
      <c r="AH213" s="39">
        <f t="shared" si="236"/>
        <v>66</v>
      </c>
      <c r="AI213" s="39">
        <f t="shared" si="237"/>
        <v>63.999999999999986</v>
      </c>
      <c r="AJ213" s="39">
        <f t="shared" si="238"/>
        <v>87.000000000000028</v>
      </c>
      <c r="AK213" s="39">
        <f t="shared" si="239"/>
        <v>83.281821137008208</v>
      </c>
      <c r="AL213" s="39">
        <f t="shared" si="240"/>
        <v>70.800000000000011</v>
      </c>
      <c r="AM213" s="39">
        <f t="shared" si="241"/>
        <v>70.800000000000011</v>
      </c>
      <c r="AN213" s="39">
        <f t="shared" si="242"/>
        <v>70.800000000000011</v>
      </c>
      <c r="AO213" s="39">
        <f t="shared" si="181"/>
        <v>0</v>
      </c>
      <c r="AP213" s="39">
        <f t="shared" si="182"/>
        <v>0</v>
      </c>
      <c r="AQ213" s="39">
        <f t="shared" si="183"/>
        <v>0</v>
      </c>
      <c r="AR213" s="39">
        <f t="shared" si="184"/>
        <v>0</v>
      </c>
      <c r="AS213" s="39">
        <f t="shared" si="185"/>
        <v>0</v>
      </c>
      <c r="AT213" s="39">
        <f t="shared" si="186"/>
        <v>0</v>
      </c>
      <c r="AU213" s="39">
        <f t="shared" si="187"/>
        <v>0</v>
      </c>
      <c r="AV213" s="39">
        <f t="shared" si="188"/>
        <v>0</v>
      </c>
      <c r="AW213" s="39">
        <f t="shared" si="189"/>
        <v>0</v>
      </c>
      <c r="AX213" s="39">
        <f t="shared" si="190"/>
        <v>0</v>
      </c>
      <c r="AY213" s="39">
        <f t="shared" si="191"/>
        <v>0</v>
      </c>
      <c r="AZ213" s="39">
        <f t="shared" si="192"/>
        <v>0</v>
      </c>
      <c r="BA213" s="39">
        <f t="shared" si="193"/>
        <v>0</v>
      </c>
      <c r="BB213" s="39">
        <f t="shared" si="194"/>
        <v>0</v>
      </c>
      <c r="BC213" s="39">
        <f t="shared" si="195"/>
        <v>0</v>
      </c>
      <c r="BD213" s="39">
        <f t="shared" si="196"/>
        <v>0</v>
      </c>
      <c r="BE213" s="39">
        <f t="shared" si="197"/>
        <v>0</v>
      </c>
      <c r="BF213" s="39">
        <f t="shared" si="198"/>
        <v>0</v>
      </c>
      <c r="BG213" s="39">
        <f t="shared" si="199"/>
        <v>0</v>
      </c>
      <c r="BH213" s="84">
        <f t="shared" si="200"/>
        <v>0</v>
      </c>
      <c r="BI213" s="84">
        <f t="shared" si="201"/>
        <v>1.2800000000000002</v>
      </c>
      <c r="BJ213" s="84">
        <f t="shared" si="202"/>
        <v>0.16049620212129728</v>
      </c>
      <c r="BK213" s="39">
        <f t="shared" si="203"/>
        <v>37.808975273791248</v>
      </c>
      <c r="BL213" s="39">
        <f t="shared" si="204"/>
        <v>66</v>
      </c>
      <c r="BM213" s="39">
        <f t="shared" si="205"/>
        <v>63.999999999999986</v>
      </c>
      <c r="BN213" s="39">
        <f t="shared" si="206"/>
        <v>87.000000000000028</v>
      </c>
      <c r="BO213" s="39">
        <f t="shared" si="207"/>
        <v>83.281821137008208</v>
      </c>
      <c r="BP213" s="39">
        <f t="shared" si="208"/>
        <v>70.800000000000011</v>
      </c>
      <c r="BQ213" s="39">
        <f t="shared" si="209"/>
        <v>70.800000000000011</v>
      </c>
      <c r="BR213" s="39">
        <f t="shared" si="210"/>
        <v>70.800000000000011</v>
      </c>
      <c r="BS213" s="39">
        <f t="shared" si="211"/>
        <v>0</v>
      </c>
      <c r="BT213" s="39">
        <f t="shared" si="212"/>
        <v>0</v>
      </c>
      <c r="BU213" s="39">
        <f t="shared" si="213"/>
        <v>0</v>
      </c>
      <c r="BV213" s="39">
        <f t="shared" si="214"/>
        <v>8.5265128291212019E-15</v>
      </c>
      <c r="BW213" s="39">
        <f t="shared" si="215"/>
        <v>0</v>
      </c>
      <c r="BX213" s="39">
        <f t="shared" si="216"/>
        <v>0</v>
      </c>
      <c r="BY213" s="39">
        <f t="shared" si="217"/>
        <v>0</v>
      </c>
      <c r="BZ213" s="39">
        <f t="shared" si="218"/>
        <v>0</v>
      </c>
      <c r="CA213" s="39">
        <f t="shared" si="219"/>
        <v>37.808975273791248</v>
      </c>
      <c r="CB213" s="39">
        <f t="shared" si="220"/>
        <v>66</v>
      </c>
      <c r="CC213" s="39">
        <f t="shared" si="221"/>
        <v>63.999999999999986</v>
      </c>
      <c r="CD213" s="39">
        <f t="shared" si="222"/>
        <v>87.000000000000014</v>
      </c>
      <c r="CE213" s="39">
        <f t="shared" si="223"/>
        <v>83.281821137008222</v>
      </c>
      <c r="CF213" s="39">
        <f t="shared" si="224"/>
        <v>70.800000000000011</v>
      </c>
      <c r="CG213" s="39">
        <f t="shared" si="225"/>
        <v>70.800000000000011</v>
      </c>
      <c r="CH213" s="39">
        <f t="shared" si="226"/>
        <v>70.800000000000011</v>
      </c>
      <c r="CI213" s="39">
        <f t="shared" si="227"/>
        <v>0</v>
      </c>
      <c r="CJ213" s="39">
        <f t="shared" si="228"/>
        <v>0</v>
      </c>
      <c r="CK213" s="39">
        <f t="shared" si="229"/>
        <v>0</v>
      </c>
      <c r="CL213" s="39">
        <f t="shared" si="230"/>
        <v>0</v>
      </c>
      <c r="CM213" s="39">
        <f t="shared" si="231"/>
        <v>0</v>
      </c>
      <c r="CN213" s="39">
        <f t="shared" si="232"/>
        <v>0</v>
      </c>
      <c r="CO213" s="39">
        <f t="shared" si="233"/>
        <v>0</v>
      </c>
      <c r="CP213" s="39">
        <f t="shared" si="234"/>
        <v>0</v>
      </c>
    </row>
    <row r="214" spans="2:94" ht="16" customHeight="1" x14ac:dyDescent="0.2">
      <c r="B214" s="38"/>
      <c r="L214" s="63">
        <v>30526</v>
      </c>
      <c r="M214" s="38">
        <v>0</v>
      </c>
      <c r="N214" s="38">
        <v>1.5</v>
      </c>
      <c r="O214" s="39">
        <v>0</v>
      </c>
      <c r="P214" s="39">
        <v>0</v>
      </c>
      <c r="Q214" s="46">
        <f t="shared" si="165"/>
        <v>0.13417099606663935</v>
      </c>
      <c r="R214" s="81">
        <f t="shared" si="166"/>
        <v>0</v>
      </c>
      <c r="S214" s="82">
        <f t="shared" si="167"/>
        <v>0</v>
      </c>
      <c r="T214" s="39">
        <f t="shared" si="168"/>
        <v>0</v>
      </c>
      <c r="U214" s="83">
        <f t="shared" si="169"/>
        <v>0</v>
      </c>
      <c r="V214" s="84">
        <f t="shared" si="170"/>
        <v>1.2000000000000002</v>
      </c>
      <c r="W214" s="52">
        <f t="shared" si="171"/>
        <v>105.80897527379125</v>
      </c>
      <c r="X214" s="52">
        <f t="shared" si="172"/>
        <v>154.68182113700823</v>
      </c>
      <c r="Y214" s="52">
        <f t="shared" si="173"/>
        <v>260.49079641079948</v>
      </c>
      <c r="Z214" s="53">
        <f t="shared" si="174"/>
        <v>0.82663261932649412</v>
      </c>
      <c r="AA214" s="53">
        <f t="shared" si="175"/>
        <v>0.92072512581552513</v>
      </c>
      <c r="AB214" s="53">
        <f t="shared" si="176"/>
        <v>0.88003647436080901</v>
      </c>
      <c r="AC214" s="39" t="str">
        <f t="shared" si="177"/>
        <v>No</v>
      </c>
      <c r="AD214" s="85">
        <f t="shared" si="178"/>
        <v>0</v>
      </c>
      <c r="AE214" s="46">
        <f t="shared" si="179"/>
        <v>1</v>
      </c>
      <c r="AF214" s="46">
        <f t="shared" si="180"/>
        <v>0</v>
      </c>
      <c r="AG214" s="39">
        <f t="shared" si="235"/>
        <v>37.808975273791248</v>
      </c>
      <c r="AH214" s="39">
        <f t="shared" si="236"/>
        <v>66</v>
      </c>
      <c r="AI214" s="39">
        <f t="shared" si="237"/>
        <v>63.999999999999986</v>
      </c>
      <c r="AJ214" s="39">
        <f t="shared" si="238"/>
        <v>87.000000000000014</v>
      </c>
      <c r="AK214" s="39">
        <f t="shared" si="239"/>
        <v>83.281821137008222</v>
      </c>
      <c r="AL214" s="39">
        <f t="shared" si="240"/>
        <v>70.800000000000011</v>
      </c>
      <c r="AM214" s="39">
        <f t="shared" si="241"/>
        <v>70.800000000000011</v>
      </c>
      <c r="AN214" s="39">
        <f t="shared" si="242"/>
        <v>70.800000000000011</v>
      </c>
      <c r="AO214" s="39">
        <f t="shared" si="181"/>
        <v>0</v>
      </c>
      <c r="AP214" s="39">
        <f t="shared" si="182"/>
        <v>0</v>
      </c>
      <c r="AQ214" s="39">
        <f t="shared" si="183"/>
        <v>0</v>
      </c>
      <c r="AR214" s="39">
        <f t="shared" si="184"/>
        <v>0</v>
      </c>
      <c r="AS214" s="39">
        <f t="shared" si="185"/>
        <v>0</v>
      </c>
      <c r="AT214" s="39">
        <f t="shared" si="186"/>
        <v>0</v>
      </c>
      <c r="AU214" s="39">
        <f t="shared" si="187"/>
        <v>0</v>
      </c>
      <c r="AV214" s="39">
        <f t="shared" si="188"/>
        <v>0</v>
      </c>
      <c r="AW214" s="39">
        <f t="shared" si="189"/>
        <v>0</v>
      </c>
      <c r="AX214" s="39">
        <f t="shared" si="190"/>
        <v>0</v>
      </c>
      <c r="AY214" s="39">
        <f t="shared" si="191"/>
        <v>0</v>
      </c>
      <c r="AZ214" s="39">
        <f t="shared" si="192"/>
        <v>0</v>
      </c>
      <c r="BA214" s="39">
        <f t="shared" si="193"/>
        <v>0</v>
      </c>
      <c r="BB214" s="39">
        <f t="shared" si="194"/>
        <v>0</v>
      </c>
      <c r="BC214" s="39">
        <f t="shared" si="195"/>
        <v>0</v>
      </c>
      <c r="BD214" s="39">
        <f t="shared" si="196"/>
        <v>0</v>
      </c>
      <c r="BE214" s="39">
        <f t="shared" si="197"/>
        <v>0</v>
      </c>
      <c r="BF214" s="39">
        <f t="shared" si="198"/>
        <v>0</v>
      </c>
      <c r="BG214" s="39">
        <f t="shared" si="199"/>
        <v>0</v>
      </c>
      <c r="BH214" s="84">
        <f t="shared" si="200"/>
        <v>0</v>
      </c>
      <c r="BI214" s="84">
        <f t="shared" si="201"/>
        <v>1.2000000000000002</v>
      </c>
      <c r="BJ214" s="84">
        <f t="shared" si="202"/>
        <v>0.1463036378389784</v>
      </c>
      <c r="BK214" s="39">
        <f t="shared" si="203"/>
        <v>37.662671635952272</v>
      </c>
      <c r="BL214" s="39">
        <f t="shared" si="204"/>
        <v>66</v>
      </c>
      <c r="BM214" s="39">
        <f t="shared" si="205"/>
        <v>63.999999999999986</v>
      </c>
      <c r="BN214" s="39">
        <f t="shared" si="206"/>
        <v>87.000000000000014</v>
      </c>
      <c r="BO214" s="39">
        <f t="shared" si="207"/>
        <v>83.281821137008222</v>
      </c>
      <c r="BP214" s="39">
        <f t="shared" si="208"/>
        <v>70.800000000000011</v>
      </c>
      <c r="BQ214" s="39">
        <f t="shared" si="209"/>
        <v>70.800000000000011</v>
      </c>
      <c r="BR214" s="39">
        <f t="shared" si="210"/>
        <v>70.800000000000011</v>
      </c>
      <c r="BS214" s="39">
        <f t="shared" si="211"/>
        <v>0</v>
      </c>
      <c r="BT214" s="39">
        <f t="shared" si="212"/>
        <v>0</v>
      </c>
      <c r="BU214" s="39">
        <f t="shared" si="213"/>
        <v>0</v>
      </c>
      <c r="BV214" s="39">
        <f t="shared" si="214"/>
        <v>0</v>
      </c>
      <c r="BW214" s="39">
        <f t="shared" si="215"/>
        <v>0</v>
      </c>
      <c r="BX214" s="39">
        <f t="shared" si="216"/>
        <v>0</v>
      </c>
      <c r="BY214" s="39">
        <f t="shared" si="217"/>
        <v>0</v>
      </c>
      <c r="BZ214" s="39">
        <f t="shared" si="218"/>
        <v>0</v>
      </c>
      <c r="CA214" s="39">
        <f t="shared" si="219"/>
        <v>37.662671635952272</v>
      </c>
      <c r="CB214" s="39">
        <f t="shared" si="220"/>
        <v>66</v>
      </c>
      <c r="CC214" s="39">
        <f t="shared" si="221"/>
        <v>63.999999999999986</v>
      </c>
      <c r="CD214" s="39">
        <f t="shared" si="222"/>
        <v>87.000000000000014</v>
      </c>
      <c r="CE214" s="39">
        <f t="shared" si="223"/>
        <v>83.281821137008222</v>
      </c>
      <c r="CF214" s="39">
        <f t="shared" si="224"/>
        <v>70.800000000000011</v>
      </c>
      <c r="CG214" s="39">
        <f t="shared" si="225"/>
        <v>70.800000000000011</v>
      </c>
      <c r="CH214" s="39">
        <f t="shared" si="226"/>
        <v>70.800000000000011</v>
      </c>
      <c r="CI214" s="39">
        <f t="shared" si="227"/>
        <v>0</v>
      </c>
      <c r="CJ214" s="39">
        <f t="shared" si="228"/>
        <v>0</v>
      </c>
      <c r="CK214" s="39">
        <f t="shared" si="229"/>
        <v>0</v>
      </c>
      <c r="CL214" s="39">
        <f t="shared" si="230"/>
        <v>0</v>
      </c>
      <c r="CM214" s="39">
        <f t="shared" si="231"/>
        <v>0</v>
      </c>
      <c r="CN214" s="39">
        <f t="shared" si="232"/>
        <v>0</v>
      </c>
      <c r="CO214" s="39">
        <f t="shared" si="233"/>
        <v>0</v>
      </c>
      <c r="CP214" s="39">
        <f t="shared" si="234"/>
        <v>0</v>
      </c>
    </row>
    <row r="215" spans="2:94" ht="16" customHeight="1" x14ac:dyDescent="0.2">
      <c r="B215" s="38"/>
      <c r="L215" s="63">
        <v>30527</v>
      </c>
      <c r="M215" s="38">
        <v>0</v>
      </c>
      <c r="N215" s="38">
        <v>1.4</v>
      </c>
      <c r="O215" s="39">
        <v>0</v>
      </c>
      <c r="P215" s="39">
        <v>0</v>
      </c>
      <c r="Q215" s="46">
        <f t="shared" si="165"/>
        <v>0.1344675574946913</v>
      </c>
      <c r="R215" s="81">
        <f t="shared" si="166"/>
        <v>0</v>
      </c>
      <c r="S215" s="82">
        <f t="shared" si="167"/>
        <v>0</v>
      </c>
      <c r="T215" s="39">
        <f t="shared" si="168"/>
        <v>0</v>
      </c>
      <c r="U215" s="83">
        <f t="shared" si="169"/>
        <v>0</v>
      </c>
      <c r="V215" s="84">
        <f t="shared" si="170"/>
        <v>1.1199999999999999</v>
      </c>
      <c r="W215" s="52">
        <f t="shared" si="171"/>
        <v>105.66267163595228</v>
      </c>
      <c r="X215" s="52">
        <f t="shared" si="172"/>
        <v>154.68182113700823</v>
      </c>
      <c r="Y215" s="52">
        <f t="shared" si="173"/>
        <v>260.34449277296051</v>
      </c>
      <c r="Z215" s="53">
        <f t="shared" si="174"/>
        <v>0.82548962215587718</v>
      </c>
      <c r="AA215" s="53">
        <f t="shared" si="175"/>
        <v>0.92072512581552513</v>
      </c>
      <c r="AB215" s="53">
        <f t="shared" si="176"/>
        <v>0.8795422053140558</v>
      </c>
      <c r="AC215" s="39" t="str">
        <f t="shared" si="177"/>
        <v>No</v>
      </c>
      <c r="AD215" s="85">
        <f t="shared" si="178"/>
        <v>0</v>
      </c>
      <c r="AE215" s="46">
        <f t="shared" si="179"/>
        <v>1</v>
      </c>
      <c r="AF215" s="46">
        <f t="shared" si="180"/>
        <v>0</v>
      </c>
      <c r="AG215" s="39">
        <f t="shared" si="235"/>
        <v>37.662671635952272</v>
      </c>
      <c r="AH215" s="39">
        <f t="shared" si="236"/>
        <v>66</v>
      </c>
      <c r="AI215" s="39">
        <f t="shared" si="237"/>
        <v>63.999999999999986</v>
      </c>
      <c r="AJ215" s="39">
        <f t="shared" si="238"/>
        <v>87.000000000000014</v>
      </c>
      <c r="AK215" s="39">
        <f t="shared" si="239"/>
        <v>83.281821137008222</v>
      </c>
      <c r="AL215" s="39">
        <f t="shared" si="240"/>
        <v>70.800000000000011</v>
      </c>
      <c r="AM215" s="39">
        <f t="shared" si="241"/>
        <v>70.800000000000011</v>
      </c>
      <c r="AN215" s="39">
        <f t="shared" si="242"/>
        <v>70.800000000000011</v>
      </c>
      <c r="AO215" s="39">
        <f t="shared" si="181"/>
        <v>0</v>
      </c>
      <c r="AP215" s="39">
        <f t="shared" si="182"/>
        <v>0</v>
      </c>
      <c r="AQ215" s="39">
        <f t="shared" si="183"/>
        <v>0</v>
      </c>
      <c r="AR215" s="39">
        <f t="shared" si="184"/>
        <v>0</v>
      </c>
      <c r="AS215" s="39">
        <f t="shared" si="185"/>
        <v>0</v>
      </c>
      <c r="AT215" s="39">
        <f t="shared" si="186"/>
        <v>0</v>
      </c>
      <c r="AU215" s="39">
        <f t="shared" si="187"/>
        <v>0</v>
      </c>
      <c r="AV215" s="39">
        <f t="shared" si="188"/>
        <v>0</v>
      </c>
      <c r="AW215" s="39">
        <f t="shared" si="189"/>
        <v>0</v>
      </c>
      <c r="AX215" s="39">
        <f t="shared" si="190"/>
        <v>0</v>
      </c>
      <c r="AY215" s="39">
        <f t="shared" si="191"/>
        <v>0</v>
      </c>
      <c r="AZ215" s="39">
        <f t="shared" si="192"/>
        <v>0</v>
      </c>
      <c r="BA215" s="39">
        <f t="shared" si="193"/>
        <v>0</v>
      </c>
      <c r="BB215" s="39">
        <f t="shared" si="194"/>
        <v>0</v>
      </c>
      <c r="BC215" s="39">
        <f t="shared" si="195"/>
        <v>0</v>
      </c>
      <c r="BD215" s="39">
        <f t="shared" si="196"/>
        <v>0</v>
      </c>
      <c r="BE215" s="39">
        <f t="shared" si="197"/>
        <v>0</v>
      </c>
      <c r="BF215" s="39">
        <f t="shared" si="198"/>
        <v>0</v>
      </c>
      <c r="BG215" s="39">
        <f t="shared" si="199"/>
        <v>0</v>
      </c>
      <c r="BH215" s="84">
        <f t="shared" si="200"/>
        <v>0</v>
      </c>
      <c r="BI215" s="84">
        <f t="shared" si="201"/>
        <v>1.1199999999999999</v>
      </c>
      <c r="BJ215" s="84">
        <f t="shared" si="202"/>
        <v>0.13308013384276776</v>
      </c>
      <c r="BK215" s="39">
        <f t="shared" si="203"/>
        <v>37.529591502109504</v>
      </c>
      <c r="BL215" s="39">
        <f t="shared" si="204"/>
        <v>66</v>
      </c>
      <c r="BM215" s="39">
        <f t="shared" si="205"/>
        <v>63.999999999999986</v>
      </c>
      <c r="BN215" s="39">
        <f t="shared" si="206"/>
        <v>87.000000000000014</v>
      </c>
      <c r="BO215" s="39">
        <f t="shared" si="207"/>
        <v>83.281821137008222</v>
      </c>
      <c r="BP215" s="39">
        <f t="shared" si="208"/>
        <v>70.800000000000011</v>
      </c>
      <c r="BQ215" s="39">
        <f t="shared" si="209"/>
        <v>70.800000000000011</v>
      </c>
      <c r="BR215" s="39">
        <f t="shared" si="210"/>
        <v>70.800000000000011</v>
      </c>
      <c r="BS215" s="39">
        <f t="shared" si="211"/>
        <v>0</v>
      </c>
      <c r="BT215" s="39">
        <f t="shared" si="212"/>
        <v>0</v>
      </c>
      <c r="BU215" s="39">
        <f t="shared" si="213"/>
        <v>0</v>
      </c>
      <c r="BV215" s="39">
        <f t="shared" si="214"/>
        <v>0</v>
      </c>
      <c r="BW215" s="39">
        <f t="shared" si="215"/>
        <v>0</v>
      </c>
      <c r="BX215" s="39">
        <f t="shared" si="216"/>
        <v>0</v>
      </c>
      <c r="BY215" s="39">
        <f t="shared" si="217"/>
        <v>0</v>
      </c>
      <c r="BZ215" s="39">
        <f t="shared" si="218"/>
        <v>0</v>
      </c>
      <c r="CA215" s="39">
        <f t="shared" si="219"/>
        <v>37.529591502109504</v>
      </c>
      <c r="CB215" s="39">
        <f t="shared" si="220"/>
        <v>66</v>
      </c>
      <c r="CC215" s="39">
        <f t="shared" si="221"/>
        <v>63.999999999999986</v>
      </c>
      <c r="CD215" s="39">
        <f t="shared" si="222"/>
        <v>87.000000000000014</v>
      </c>
      <c r="CE215" s="39">
        <f t="shared" si="223"/>
        <v>83.281821137008222</v>
      </c>
      <c r="CF215" s="39">
        <f t="shared" si="224"/>
        <v>70.800000000000011</v>
      </c>
      <c r="CG215" s="39">
        <f t="shared" si="225"/>
        <v>70.800000000000011</v>
      </c>
      <c r="CH215" s="39">
        <f t="shared" si="226"/>
        <v>70.800000000000011</v>
      </c>
      <c r="CI215" s="39">
        <f t="shared" si="227"/>
        <v>0</v>
      </c>
      <c r="CJ215" s="39">
        <f t="shared" si="228"/>
        <v>0</v>
      </c>
      <c r="CK215" s="39">
        <f t="shared" si="229"/>
        <v>0</v>
      </c>
      <c r="CL215" s="39">
        <f t="shared" si="230"/>
        <v>0</v>
      </c>
      <c r="CM215" s="39">
        <f t="shared" si="231"/>
        <v>0</v>
      </c>
      <c r="CN215" s="39">
        <f t="shared" si="232"/>
        <v>0</v>
      </c>
      <c r="CO215" s="39">
        <f t="shared" si="233"/>
        <v>0</v>
      </c>
      <c r="CP215" s="39">
        <f t="shared" si="234"/>
        <v>0</v>
      </c>
    </row>
    <row r="216" spans="2:94" ht="16" customHeight="1" x14ac:dyDescent="0.2">
      <c r="B216" s="38"/>
      <c r="L216" s="63">
        <v>30528</v>
      </c>
      <c r="M216" s="38">
        <v>0</v>
      </c>
      <c r="N216" s="38">
        <v>1.2</v>
      </c>
      <c r="O216" s="39">
        <v>0</v>
      </c>
      <c r="P216" s="39">
        <v>0</v>
      </c>
      <c r="Q216" s="46">
        <f t="shared" si="165"/>
        <v>0.13473731452275101</v>
      </c>
      <c r="R216" s="81">
        <f t="shared" si="166"/>
        <v>0</v>
      </c>
      <c r="S216" s="82">
        <f t="shared" si="167"/>
        <v>0</v>
      </c>
      <c r="T216" s="39">
        <f t="shared" si="168"/>
        <v>0</v>
      </c>
      <c r="U216" s="83">
        <f t="shared" si="169"/>
        <v>0</v>
      </c>
      <c r="V216" s="84">
        <f t="shared" si="170"/>
        <v>0.96</v>
      </c>
      <c r="W216" s="52">
        <f t="shared" si="171"/>
        <v>105.5295915021095</v>
      </c>
      <c r="X216" s="52">
        <f t="shared" si="172"/>
        <v>154.68182113700823</v>
      </c>
      <c r="Y216" s="52">
        <f t="shared" si="173"/>
        <v>260.21141263911773</v>
      </c>
      <c r="Z216" s="53">
        <f t="shared" si="174"/>
        <v>0.82444993361023045</v>
      </c>
      <c r="AA216" s="53">
        <f t="shared" si="175"/>
        <v>0.92072512581552513</v>
      </c>
      <c r="AB216" s="53">
        <f t="shared" si="176"/>
        <v>0.87909261026728958</v>
      </c>
      <c r="AC216" s="39" t="str">
        <f t="shared" si="177"/>
        <v>No</v>
      </c>
      <c r="AD216" s="85">
        <f t="shared" si="178"/>
        <v>0</v>
      </c>
      <c r="AE216" s="46">
        <f t="shared" si="179"/>
        <v>1</v>
      </c>
      <c r="AF216" s="46">
        <f t="shared" si="180"/>
        <v>0</v>
      </c>
      <c r="AG216" s="39">
        <f t="shared" si="235"/>
        <v>37.529591502109504</v>
      </c>
      <c r="AH216" s="39">
        <f t="shared" si="236"/>
        <v>66</v>
      </c>
      <c r="AI216" s="39">
        <f t="shared" si="237"/>
        <v>63.999999999999986</v>
      </c>
      <c r="AJ216" s="39">
        <f t="shared" si="238"/>
        <v>87.000000000000014</v>
      </c>
      <c r="AK216" s="39">
        <f t="shared" si="239"/>
        <v>83.281821137008222</v>
      </c>
      <c r="AL216" s="39">
        <f t="shared" si="240"/>
        <v>70.800000000000011</v>
      </c>
      <c r="AM216" s="39">
        <f t="shared" si="241"/>
        <v>70.800000000000011</v>
      </c>
      <c r="AN216" s="39">
        <f t="shared" si="242"/>
        <v>70.800000000000011</v>
      </c>
      <c r="AO216" s="39">
        <f t="shared" si="181"/>
        <v>0</v>
      </c>
      <c r="AP216" s="39">
        <f t="shared" si="182"/>
        <v>0</v>
      </c>
      <c r="AQ216" s="39">
        <f t="shared" si="183"/>
        <v>0</v>
      </c>
      <c r="AR216" s="39">
        <f t="shared" si="184"/>
        <v>0</v>
      </c>
      <c r="AS216" s="39">
        <f t="shared" si="185"/>
        <v>0</v>
      </c>
      <c r="AT216" s="39">
        <f t="shared" si="186"/>
        <v>0</v>
      </c>
      <c r="AU216" s="39">
        <f t="shared" si="187"/>
        <v>0</v>
      </c>
      <c r="AV216" s="39">
        <f t="shared" si="188"/>
        <v>0</v>
      </c>
      <c r="AW216" s="39">
        <f t="shared" si="189"/>
        <v>0</v>
      </c>
      <c r="AX216" s="39">
        <f t="shared" si="190"/>
        <v>0</v>
      </c>
      <c r="AY216" s="39">
        <f t="shared" si="191"/>
        <v>0</v>
      </c>
      <c r="AZ216" s="39">
        <f t="shared" si="192"/>
        <v>0</v>
      </c>
      <c r="BA216" s="39">
        <f t="shared" si="193"/>
        <v>0</v>
      </c>
      <c r="BB216" s="39">
        <f t="shared" si="194"/>
        <v>0</v>
      </c>
      <c r="BC216" s="39">
        <f t="shared" si="195"/>
        <v>0</v>
      </c>
      <c r="BD216" s="39">
        <f t="shared" si="196"/>
        <v>0</v>
      </c>
      <c r="BE216" s="39">
        <f t="shared" si="197"/>
        <v>0</v>
      </c>
      <c r="BF216" s="39">
        <f t="shared" si="198"/>
        <v>0</v>
      </c>
      <c r="BG216" s="39">
        <f t="shared" si="199"/>
        <v>0</v>
      </c>
      <c r="BH216" s="84">
        <f t="shared" si="200"/>
        <v>0</v>
      </c>
      <c r="BI216" s="84">
        <f t="shared" si="201"/>
        <v>0.96</v>
      </c>
      <c r="BJ216" s="84">
        <f t="shared" si="202"/>
        <v>0.11141284995768702</v>
      </c>
      <c r="BK216" s="39">
        <f t="shared" si="203"/>
        <v>37.418178652151816</v>
      </c>
      <c r="BL216" s="39">
        <f t="shared" si="204"/>
        <v>66</v>
      </c>
      <c r="BM216" s="39">
        <f t="shared" si="205"/>
        <v>63.999999999999986</v>
      </c>
      <c r="BN216" s="39">
        <f t="shared" si="206"/>
        <v>87.000000000000014</v>
      </c>
      <c r="BO216" s="39">
        <f t="shared" si="207"/>
        <v>83.281821137008222</v>
      </c>
      <c r="BP216" s="39">
        <f t="shared" si="208"/>
        <v>70.800000000000011</v>
      </c>
      <c r="BQ216" s="39">
        <f t="shared" si="209"/>
        <v>70.800000000000011</v>
      </c>
      <c r="BR216" s="39">
        <f t="shared" si="210"/>
        <v>70.800000000000011</v>
      </c>
      <c r="BS216" s="39">
        <f t="shared" si="211"/>
        <v>0</v>
      </c>
      <c r="BT216" s="39">
        <f t="shared" si="212"/>
        <v>0</v>
      </c>
      <c r="BU216" s="39">
        <f t="shared" si="213"/>
        <v>0</v>
      </c>
      <c r="BV216" s="39">
        <f t="shared" si="214"/>
        <v>0</v>
      </c>
      <c r="BW216" s="39">
        <f t="shared" si="215"/>
        <v>0</v>
      </c>
      <c r="BX216" s="39">
        <f t="shared" si="216"/>
        <v>0</v>
      </c>
      <c r="BY216" s="39">
        <f t="shared" si="217"/>
        <v>0</v>
      </c>
      <c r="BZ216" s="39">
        <f t="shared" si="218"/>
        <v>0</v>
      </c>
      <c r="CA216" s="39">
        <f t="shared" si="219"/>
        <v>37.418178652151816</v>
      </c>
      <c r="CB216" s="39">
        <f t="shared" si="220"/>
        <v>66</v>
      </c>
      <c r="CC216" s="39">
        <f t="shared" si="221"/>
        <v>63.999999999999986</v>
      </c>
      <c r="CD216" s="39">
        <f t="shared" si="222"/>
        <v>87.000000000000014</v>
      </c>
      <c r="CE216" s="39">
        <f t="shared" si="223"/>
        <v>83.281821137008222</v>
      </c>
      <c r="CF216" s="39">
        <f t="shared" si="224"/>
        <v>70.800000000000011</v>
      </c>
      <c r="CG216" s="39">
        <f t="shared" si="225"/>
        <v>70.800000000000011</v>
      </c>
      <c r="CH216" s="39">
        <f t="shared" si="226"/>
        <v>70.800000000000011</v>
      </c>
      <c r="CI216" s="39">
        <f t="shared" si="227"/>
        <v>0</v>
      </c>
      <c r="CJ216" s="39">
        <f t="shared" si="228"/>
        <v>0</v>
      </c>
      <c r="CK216" s="39">
        <f t="shared" si="229"/>
        <v>0</v>
      </c>
      <c r="CL216" s="39">
        <f t="shared" si="230"/>
        <v>0</v>
      </c>
      <c r="CM216" s="39">
        <f t="shared" si="231"/>
        <v>0</v>
      </c>
      <c r="CN216" s="39">
        <f t="shared" si="232"/>
        <v>0</v>
      </c>
      <c r="CO216" s="39">
        <f t="shared" si="233"/>
        <v>0</v>
      </c>
      <c r="CP216" s="39">
        <f t="shared" si="234"/>
        <v>0</v>
      </c>
    </row>
    <row r="217" spans="2:94" ht="16" customHeight="1" x14ac:dyDescent="0.2">
      <c r="B217" s="38"/>
      <c r="L217" s="63">
        <v>30529</v>
      </c>
      <c r="M217" s="38">
        <v>0</v>
      </c>
      <c r="N217" s="38">
        <v>1.2</v>
      </c>
      <c r="O217" s="39">
        <v>0</v>
      </c>
      <c r="P217" s="39">
        <v>0</v>
      </c>
      <c r="Q217" s="46">
        <f t="shared" si="165"/>
        <v>0.13496315138077333</v>
      </c>
      <c r="R217" s="81">
        <f t="shared" si="166"/>
        <v>0</v>
      </c>
      <c r="S217" s="82">
        <f t="shared" si="167"/>
        <v>0</v>
      </c>
      <c r="T217" s="39">
        <f t="shared" si="168"/>
        <v>0</v>
      </c>
      <c r="U217" s="83">
        <f t="shared" si="169"/>
        <v>0</v>
      </c>
      <c r="V217" s="84">
        <f t="shared" si="170"/>
        <v>0.96</v>
      </c>
      <c r="W217" s="52">
        <f t="shared" si="171"/>
        <v>105.41817865215182</v>
      </c>
      <c r="X217" s="52">
        <f t="shared" si="172"/>
        <v>154.68182113700823</v>
      </c>
      <c r="Y217" s="52">
        <f t="shared" si="173"/>
        <v>260.09999978916005</v>
      </c>
      <c r="Z217" s="53">
        <f t="shared" si="174"/>
        <v>0.82357952071993612</v>
      </c>
      <c r="AA217" s="53">
        <f t="shared" si="175"/>
        <v>0.92072512581552513</v>
      </c>
      <c r="AB217" s="53">
        <f t="shared" si="176"/>
        <v>0.8787162155039191</v>
      </c>
      <c r="AC217" s="39" t="str">
        <f t="shared" si="177"/>
        <v>No</v>
      </c>
      <c r="AD217" s="85">
        <f t="shared" si="178"/>
        <v>0</v>
      </c>
      <c r="AE217" s="46">
        <f t="shared" si="179"/>
        <v>1</v>
      </c>
      <c r="AF217" s="46">
        <f t="shared" si="180"/>
        <v>0</v>
      </c>
      <c r="AG217" s="39">
        <f t="shared" si="235"/>
        <v>37.418178652151816</v>
      </c>
      <c r="AH217" s="39">
        <f t="shared" si="236"/>
        <v>66</v>
      </c>
      <c r="AI217" s="39">
        <f t="shared" si="237"/>
        <v>63.999999999999986</v>
      </c>
      <c r="AJ217" s="39">
        <f t="shared" si="238"/>
        <v>87.000000000000014</v>
      </c>
      <c r="AK217" s="39">
        <f t="shared" si="239"/>
        <v>83.281821137008222</v>
      </c>
      <c r="AL217" s="39">
        <f t="shared" si="240"/>
        <v>70.800000000000011</v>
      </c>
      <c r="AM217" s="39">
        <f t="shared" si="241"/>
        <v>70.800000000000011</v>
      </c>
      <c r="AN217" s="39">
        <f t="shared" si="242"/>
        <v>70.800000000000011</v>
      </c>
      <c r="AO217" s="39">
        <f t="shared" si="181"/>
        <v>0</v>
      </c>
      <c r="AP217" s="39">
        <f t="shared" si="182"/>
        <v>0</v>
      </c>
      <c r="AQ217" s="39">
        <f t="shared" si="183"/>
        <v>0</v>
      </c>
      <c r="AR217" s="39">
        <f t="shared" si="184"/>
        <v>0</v>
      </c>
      <c r="AS217" s="39">
        <f t="shared" si="185"/>
        <v>0</v>
      </c>
      <c r="AT217" s="39">
        <f t="shared" si="186"/>
        <v>0</v>
      </c>
      <c r="AU217" s="39">
        <f t="shared" si="187"/>
        <v>0</v>
      </c>
      <c r="AV217" s="39">
        <f t="shared" si="188"/>
        <v>0</v>
      </c>
      <c r="AW217" s="39">
        <f t="shared" si="189"/>
        <v>0</v>
      </c>
      <c r="AX217" s="39">
        <f t="shared" si="190"/>
        <v>0</v>
      </c>
      <c r="AY217" s="39">
        <f t="shared" si="191"/>
        <v>0</v>
      </c>
      <c r="AZ217" s="39">
        <f t="shared" si="192"/>
        <v>0</v>
      </c>
      <c r="BA217" s="39">
        <f t="shared" si="193"/>
        <v>0</v>
      </c>
      <c r="BB217" s="39">
        <f t="shared" si="194"/>
        <v>0</v>
      </c>
      <c r="BC217" s="39">
        <f t="shared" si="195"/>
        <v>0</v>
      </c>
      <c r="BD217" s="39">
        <f t="shared" si="196"/>
        <v>0</v>
      </c>
      <c r="BE217" s="39">
        <f t="shared" si="197"/>
        <v>0</v>
      </c>
      <c r="BF217" s="39">
        <f t="shared" si="198"/>
        <v>0</v>
      </c>
      <c r="BG217" s="39">
        <f t="shared" si="199"/>
        <v>0</v>
      </c>
      <c r="BH217" s="84">
        <f t="shared" si="200"/>
        <v>0</v>
      </c>
      <c r="BI217" s="84">
        <f t="shared" si="201"/>
        <v>0.96</v>
      </c>
      <c r="BJ217" s="84">
        <f t="shared" si="202"/>
        <v>0.10922531790689427</v>
      </c>
      <c r="BK217" s="39">
        <f t="shared" si="203"/>
        <v>37.308953334244919</v>
      </c>
      <c r="BL217" s="39">
        <f t="shared" si="204"/>
        <v>66</v>
      </c>
      <c r="BM217" s="39">
        <f t="shared" si="205"/>
        <v>63.999999999999986</v>
      </c>
      <c r="BN217" s="39">
        <f t="shared" si="206"/>
        <v>87.000000000000014</v>
      </c>
      <c r="BO217" s="39">
        <f t="shared" si="207"/>
        <v>83.281821137008222</v>
      </c>
      <c r="BP217" s="39">
        <f t="shared" si="208"/>
        <v>70.800000000000011</v>
      </c>
      <c r="BQ217" s="39">
        <f t="shared" si="209"/>
        <v>70.800000000000011</v>
      </c>
      <c r="BR217" s="39">
        <f t="shared" si="210"/>
        <v>70.800000000000011</v>
      </c>
      <c r="BS217" s="39">
        <f t="shared" si="211"/>
        <v>0</v>
      </c>
      <c r="BT217" s="39">
        <f t="shared" si="212"/>
        <v>0</v>
      </c>
      <c r="BU217" s="39">
        <f t="shared" si="213"/>
        <v>0</v>
      </c>
      <c r="BV217" s="39">
        <f t="shared" si="214"/>
        <v>0</v>
      </c>
      <c r="BW217" s="39">
        <f t="shared" si="215"/>
        <v>0</v>
      </c>
      <c r="BX217" s="39">
        <f t="shared" si="216"/>
        <v>0</v>
      </c>
      <c r="BY217" s="39">
        <f t="shared" si="217"/>
        <v>0</v>
      </c>
      <c r="BZ217" s="39">
        <f t="shared" si="218"/>
        <v>0</v>
      </c>
      <c r="CA217" s="39">
        <f t="shared" si="219"/>
        <v>37.308953334244919</v>
      </c>
      <c r="CB217" s="39">
        <f t="shared" si="220"/>
        <v>66</v>
      </c>
      <c r="CC217" s="39">
        <f t="shared" si="221"/>
        <v>63.999999999999986</v>
      </c>
      <c r="CD217" s="39">
        <f t="shared" si="222"/>
        <v>87.000000000000014</v>
      </c>
      <c r="CE217" s="39">
        <f t="shared" si="223"/>
        <v>83.281821137008222</v>
      </c>
      <c r="CF217" s="39">
        <f t="shared" si="224"/>
        <v>70.800000000000011</v>
      </c>
      <c r="CG217" s="39">
        <f t="shared" si="225"/>
        <v>70.800000000000011</v>
      </c>
      <c r="CH217" s="39">
        <f t="shared" si="226"/>
        <v>70.800000000000011</v>
      </c>
      <c r="CI217" s="39">
        <f t="shared" si="227"/>
        <v>0</v>
      </c>
      <c r="CJ217" s="39">
        <f t="shared" si="228"/>
        <v>0</v>
      </c>
      <c r="CK217" s="39">
        <f t="shared" si="229"/>
        <v>0</v>
      </c>
      <c r="CL217" s="39">
        <f t="shared" si="230"/>
        <v>0</v>
      </c>
      <c r="CM217" s="39">
        <f t="shared" si="231"/>
        <v>0</v>
      </c>
      <c r="CN217" s="39">
        <f t="shared" si="232"/>
        <v>0</v>
      </c>
      <c r="CO217" s="39">
        <f t="shared" si="233"/>
        <v>0</v>
      </c>
      <c r="CP217" s="39">
        <f t="shared" si="234"/>
        <v>0</v>
      </c>
    </row>
    <row r="218" spans="2:94" ht="16" customHeight="1" x14ac:dyDescent="0.2">
      <c r="B218" s="38"/>
      <c r="L218" s="63">
        <v>30530</v>
      </c>
      <c r="M218" s="38">
        <v>0</v>
      </c>
      <c r="N218" s="38">
        <v>1.8</v>
      </c>
      <c r="O218" s="39">
        <v>0</v>
      </c>
      <c r="P218" s="39">
        <v>0</v>
      </c>
      <c r="Q218" s="46">
        <f t="shared" si="165"/>
        <v>0.13518455405220625</v>
      </c>
      <c r="R218" s="81">
        <f t="shared" si="166"/>
        <v>0</v>
      </c>
      <c r="S218" s="82">
        <f t="shared" si="167"/>
        <v>0</v>
      </c>
      <c r="T218" s="39">
        <f t="shared" si="168"/>
        <v>0</v>
      </c>
      <c r="U218" s="83">
        <f t="shared" si="169"/>
        <v>0</v>
      </c>
      <c r="V218" s="84">
        <f t="shared" si="170"/>
        <v>1.4400000000000002</v>
      </c>
      <c r="W218" s="52">
        <f t="shared" si="171"/>
        <v>105.3089533342449</v>
      </c>
      <c r="X218" s="52">
        <f t="shared" si="172"/>
        <v>154.68182113700823</v>
      </c>
      <c r="Y218" s="52">
        <f t="shared" si="173"/>
        <v>259.99077447125313</v>
      </c>
      <c r="Z218" s="53">
        <f t="shared" si="174"/>
        <v>0.82272619792378832</v>
      </c>
      <c r="AA218" s="53">
        <f t="shared" si="175"/>
        <v>0.92072512581552513</v>
      </c>
      <c r="AB218" s="53">
        <f t="shared" si="176"/>
        <v>0.87834721105153091</v>
      </c>
      <c r="AC218" s="39" t="str">
        <f t="shared" si="177"/>
        <v>No</v>
      </c>
      <c r="AD218" s="85">
        <f t="shared" si="178"/>
        <v>0</v>
      </c>
      <c r="AE218" s="46">
        <f t="shared" si="179"/>
        <v>1</v>
      </c>
      <c r="AF218" s="46">
        <f t="shared" si="180"/>
        <v>0</v>
      </c>
      <c r="AG218" s="39">
        <f t="shared" si="235"/>
        <v>37.308953334244919</v>
      </c>
      <c r="AH218" s="39">
        <f t="shared" si="236"/>
        <v>66</v>
      </c>
      <c r="AI218" s="39">
        <f t="shared" si="237"/>
        <v>63.999999999999986</v>
      </c>
      <c r="AJ218" s="39">
        <f t="shared" si="238"/>
        <v>87.000000000000014</v>
      </c>
      <c r="AK218" s="39">
        <f t="shared" si="239"/>
        <v>83.281821137008222</v>
      </c>
      <c r="AL218" s="39">
        <f t="shared" si="240"/>
        <v>70.800000000000011</v>
      </c>
      <c r="AM218" s="39">
        <f t="shared" si="241"/>
        <v>70.800000000000011</v>
      </c>
      <c r="AN218" s="39">
        <f t="shared" si="242"/>
        <v>70.800000000000011</v>
      </c>
      <c r="AO218" s="39">
        <f t="shared" si="181"/>
        <v>0</v>
      </c>
      <c r="AP218" s="39">
        <f t="shared" si="182"/>
        <v>0</v>
      </c>
      <c r="AQ218" s="39">
        <f t="shared" si="183"/>
        <v>0</v>
      </c>
      <c r="AR218" s="39">
        <f t="shared" si="184"/>
        <v>0</v>
      </c>
      <c r="AS218" s="39">
        <f t="shared" si="185"/>
        <v>0</v>
      </c>
      <c r="AT218" s="39">
        <f t="shared" si="186"/>
        <v>0</v>
      </c>
      <c r="AU218" s="39">
        <f t="shared" si="187"/>
        <v>0</v>
      </c>
      <c r="AV218" s="39">
        <f t="shared" si="188"/>
        <v>0</v>
      </c>
      <c r="AW218" s="39">
        <f t="shared" si="189"/>
        <v>0</v>
      </c>
      <c r="AX218" s="39">
        <f t="shared" si="190"/>
        <v>0</v>
      </c>
      <c r="AY218" s="39">
        <f t="shared" si="191"/>
        <v>0</v>
      </c>
      <c r="AZ218" s="39">
        <f t="shared" si="192"/>
        <v>0</v>
      </c>
      <c r="BA218" s="39">
        <f t="shared" si="193"/>
        <v>0</v>
      </c>
      <c r="BB218" s="39">
        <f t="shared" si="194"/>
        <v>0</v>
      </c>
      <c r="BC218" s="39">
        <f t="shared" si="195"/>
        <v>0</v>
      </c>
      <c r="BD218" s="39">
        <f t="shared" si="196"/>
        <v>0</v>
      </c>
      <c r="BE218" s="39">
        <f t="shared" si="197"/>
        <v>0</v>
      </c>
      <c r="BF218" s="39">
        <f t="shared" si="198"/>
        <v>0</v>
      </c>
      <c r="BG218" s="39">
        <f t="shared" si="199"/>
        <v>0</v>
      </c>
      <c r="BH218" s="84">
        <f t="shared" si="200"/>
        <v>0</v>
      </c>
      <c r="BI218" s="84">
        <f t="shared" si="201"/>
        <v>1.4400000000000002</v>
      </c>
      <c r="BJ218" s="84">
        <f t="shared" si="202"/>
        <v>0.16066824636445376</v>
      </c>
      <c r="BK218" s="39">
        <f t="shared" si="203"/>
        <v>37.148285087880467</v>
      </c>
      <c r="BL218" s="39">
        <f t="shared" si="204"/>
        <v>66</v>
      </c>
      <c r="BM218" s="39">
        <f t="shared" si="205"/>
        <v>63.999999999999986</v>
      </c>
      <c r="BN218" s="39">
        <f t="shared" si="206"/>
        <v>87.000000000000014</v>
      </c>
      <c r="BO218" s="39">
        <f t="shared" si="207"/>
        <v>83.281821137008222</v>
      </c>
      <c r="BP218" s="39">
        <f t="shared" si="208"/>
        <v>70.800000000000011</v>
      </c>
      <c r="BQ218" s="39">
        <f t="shared" si="209"/>
        <v>70.800000000000011</v>
      </c>
      <c r="BR218" s="39">
        <f t="shared" si="210"/>
        <v>70.800000000000011</v>
      </c>
      <c r="BS218" s="39">
        <f t="shared" si="211"/>
        <v>0</v>
      </c>
      <c r="BT218" s="39">
        <f t="shared" si="212"/>
        <v>0</v>
      </c>
      <c r="BU218" s="39">
        <f t="shared" si="213"/>
        <v>0</v>
      </c>
      <c r="BV218" s="39">
        <f t="shared" si="214"/>
        <v>0</v>
      </c>
      <c r="BW218" s="39">
        <f t="shared" si="215"/>
        <v>0</v>
      </c>
      <c r="BX218" s="39">
        <f t="shared" si="216"/>
        <v>0</v>
      </c>
      <c r="BY218" s="39">
        <f t="shared" si="217"/>
        <v>0</v>
      </c>
      <c r="BZ218" s="39">
        <f t="shared" si="218"/>
        <v>0</v>
      </c>
      <c r="CA218" s="39">
        <f t="shared" si="219"/>
        <v>37.148285087880467</v>
      </c>
      <c r="CB218" s="39">
        <f t="shared" si="220"/>
        <v>66</v>
      </c>
      <c r="CC218" s="39">
        <f t="shared" si="221"/>
        <v>63.999999999999986</v>
      </c>
      <c r="CD218" s="39">
        <f t="shared" si="222"/>
        <v>87.000000000000014</v>
      </c>
      <c r="CE218" s="39">
        <f t="shared" si="223"/>
        <v>83.281821137008222</v>
      </c>
      <c r="CF218" s="39">
        <f t="shared" si="224"/>
        <v>70.800000000000011</v>
      </c>
      <c r="CG218" s="39">
        <f t="shared" si="225"/>
        <v>70.800000000000011</v>
      </c>
      <c r="CH218" s="39">
        <f t="shared" si="226"/>
        <v>70.800000000000011</v>
      </c>
      <c r="CI218" s="39">
        <f t="shared" si="227"/>
        <v>0</v>
      </c>
      <c r="CJ218" s="39">
        <f t="shared" si="228"/>
        <v>0</v>
      </c>
      <c r="CK218" s="39">
        <f t="shared" si="229"/>
        <v>0</v>
      </c>
      <c r="CL218" s="39">
        <f t="shared" si="230"/>
        <v>0</v>
      </c>
      <c r="CM218" s="39">
        <f t="shared" si="231"/>
        <v>0</v>
      </c>
      <c r="CN218" s="39">
        <f t="shared" si="232"/>
        <v>0</v>
      </c>
      <c r="CO218" s="39">
        <f t="shared" si="233"/>
        <v>0</v>
      </c>
      <c r="CP218" s="39">
        <f t="shared" si="234"/>
        <v>0</v>
      </c>
    </row>
    <row r="219" spans="2:94" ht="16" customHeight="1" x14ac:dyDescent="0.2">
      <c r="B219" s="38"/>
      <c r="L219" s="63">
        <v>30531</v>
      </c>
      <c r="M219" s="38">
        <v>0</v>
      </c>
      <c r="N219" s="38">
        <v>2.2999999999999998</v>
      </c>
      <c r="O219" s="39">
        <v>0</v>
      </c>
      <c r="P219" s="39">
        <v>0</v>
      </c>
      <c r="Q219" s="46">
        <f t="shared" si="165"/>
        <v>0.13551023292997202</v>
      </c>
      <c r="R219" s="81">
        <f t="shared" si="166"/>
        <v>0</v>
      </c>
      <c r="S219" s="82">
        <f t="shared" si="167"/>
        <v>0</v>
      </c>
      <c r="T219" s="39">
        <f t="shared" si="168"/>
        <v>0</v>
      </c>
      <c r="U219" s="83">
        <f t="shared" si="169"/>
        <v>0</v>
      </c>
      <c r="V219" s="84">
        <f t="shared" si="170"/>
        <v>1.8399999999999999</v>
      </c>
      <c r="W219" s="52">
        <f t="shared" si="171"/>
        <v>105.14828508788048</v>
      </c>
      <c r="X219" s="52">
        <f t="shared" si="172"/>
        <v>154.68182113700823</v>
      </c>
      <c r="Y219" s="52">
        <f t="shared" si="173"/>
        <v>259.83010622488871</v>
      </c>
      <c r="Z219" s="53">
        <f t="shared" si="174"/>
        <v>0.82147097724906626</v>
      </c>
      <c r="AA219" s="53">
        <f t="shared" si="175"/>
        <v>0.92072512581552513</v>
      </c>
      <c r="AB219" s="53">
        <f t="shared" si="176"/>
        <v>0.87780441292192135</v>
      </c>
      <c r="AC219" s="39" t="str">
        <f t="shared" si="177"/>
        <v>No</v>
      </c>
      <c r="AD219" s="85">
        <f t="shared" si="178"/>
        <v>0</v>
      </c>
      <c r="AE219" s="46">
        <f t="shared" si="179"/>
        <v>1</v>
      </c>
      <c r="AF219" s="46">
        <f t="shared" si="180"/>
        <v>0</v>
      </c>
      <c r="AG219" s="39">
        <f t="shared" si="235"/>
        <v>37.148285087880467</v>
      </c>
      <c r="AH219" s="39">
        <f t="shared" si="236"/>
        <v>66</v>
      </c>
      <c r="AI219" s="39">
        <f t="shared" si="237"/>
        <v>63.999999999999986</v>
      </c>
      <c r="AJ219" s="39">
        <f t="shared" si="238"/>
        <v>87.000000000000014</v>
      </c>
      <c r="AK219" s="39">
        <f t="shared" si="239"/>
        <v>83.281821137008222</v>
      </c>
      <c r="AL219" s="39">
        <f t="shared" si="240"/>
        <v>70.800000000000011</v>
      </c>
      <c r="AM219" s="39">
        <f t="shared" si="241"/>
        <v>70.800000000000011</v>
      </c>
      <c r="AN219" s="39">
        <f t="shared" si="242"/>
        <v>70.800000000000011</v>
      </c>
      <c r="AO219" s="39">
        <f t="shared" si="181"/>
        <v>0</v>
      </c>
      <c r="AP219" s="39">
        <f t="shared" si="182"/>
        <v>0</v>
      </c>
      <c r="AQ219" s="39">
        <f t="shared" si="183"/>
        <v>0</v>
      </c>
      <c r="AR219" s="39">
        <f t="shared" si="184"/>
        <v>0</v>
      </c>
      <c r="AS219" s="39">
        <f t="shared" si="185"/>
        <v>0</v>
      </c>
      <c r="AT219" s="39">
        <f t="shared" si="186"/>
        <v>0</v>
      </c>
      <c r="AU219" s="39">
        <f t="shared" si="187"/>
        <v>0</v>
      </c>
      <c r="AV219" s="39">
        <f t="shared" si="188"/>
        <v>0</v>
      </c>
      <c r="AW219" s="39">
        <f t="shared" si="189"/>
        <v>0</v>
      </c>
      <c r="AX219" s="39">
        <f t="shared" si="190"/>
        <v>0</v>
      </c>
      <c r="AY219" s="39">
        <f t="shared" si="191"/>
        <v>0</v>
      </c>
      <c r="AZ219" s="39">
        <f t="shared" si="192"/>
        <v>0</v>
      </c>
      <c r="BA219" s="39">
        <f t="shared" si="193"/>
        <v>0</v>
      </c>
      <c r="BB219" s="39">
        <f t="shared" si="194"/>
        <v>0</v>
      </c>
      <c r="BC219" s="39">
        <f t="shared" si="195"/>
        <v>0</v>
      </c>
      <c r="BD219" s="39">
        <f t="shared" si="196"/>
        <v>0</v>
      </c>
      <c r="BE219" s="39">
        <f t="shared" si="197"/>
        <v>0</v>
      </c>
      <c r="BF219" s="39">
        <f t="shared" si="198"/>
        <v>0</v>
      </c>
      <c r="BG219" s="39">
        <f t="shared" si="199"/>
        <v>0</v>
      </c>
      <c r="BH219" s="84">
        <f t="shared" si="200"/>
        <v>0</v>
      </c>
      <c r="BI219" s="84">
        <f t="shared" si="201"/>
        <v>1.8399999999999999</v>
      </c>
      <c r="BJ219" s="84">
        <f t="shared" si="202"/>
        <v>0.19944769629952336</v>
      </c>
      <c r="BK219" s="39">
        <f t="shared" si="203"/>
        <v>36.948837391580945</v>
      </c>
      <c r="BL219" s="39">
        <f t="shared" si="204"/>
        <v>66</v>
      </c>
      <c r="BM219" s="39">
        <f t="shared" si="205"/>
        <v>63.999999999999986</v>
      </c>
      <c r="BN219" s="39">
        <f t="shared" si="206"/>
        <v>87.000000000000014</v>
      </c>
      <c r="BO219" s="39">
        <f t="shared" si="207"/>
        <v>83.281821137008222</v>
      </c>
      <c r="BP219" s="39">
        <f t="shared" si="208"/>
        <v>70.800000000000011</v>
      </c>
      <c r="BQ219" s="39">
        <f t="shared" si="209"/>
        <v>70.800000000000011</v>
      </c>
      <c r="BR219" s="39">
        <f t="shared" si="210"/>
        <v>70.800000000000011</v>
      </c>
      <c r="BS219" s="39">
        <f t="shared" si="211"/>
        <v>0</v>
      </c>
      <c r="BT219" s="39">
        <f t="shared" si="212"/>
        <v>0</v>
      </c>
      <c r="BU219" s="39">
        <f t="shared" si="213"/>
        <v>0</v>
      </c>
      <c r="BV219" s="39">
        <f t="shared" si="214"/>
        <v>0</v>
      </c>
      <c r="BW219" s="39">
        <f t="shared" si="215"/>
        <v>0</v>
      </c>
      <c r="BX219" s="39">
        <f t="shared" si="216"/>
        <v>0</v>
      </c>
      <c r="BY219" s="39">
        <f t="shared" si="217"/>
        <v>0</v>
      </c>
      <c r="BZ219" s="39">
        <f t="shared" si="218"/>
        <v>0</v>
      </c>
      <c r="CA219" s="39">
        <f t="shared" si="219"/>
        <v>36.948837391580945</v>
      </c>
      <c r="CB219" s="39">
        <f t="shared" si="220"/>
        <v>66</v>
      </c>
      <c r="CC219" s="39">
        <f t="shared" si="221"/>
        <v>63.999999999999986</v>
      </c>
      <c r="CD219" s="39">
        <f t="shared" si="222"/>
        <v>87.000000000000014</v>
      </c>
      <c r="CE219" s="39">
        <f t="shared" si="223"/>
        <v>83.281821137008222</v>
      </c>
      <c r="CF219" s="39">
        <f t="shared" si="224"/>
        <v>70.800000000000011</v>
      </c>
      <c r="CG219" s="39">
        <f t="shared" si="225"/>
        <v>70.800000000000011</v>
      </c>
      <c r="CH219" s="39">
        <f t="shared" si="226"/>
        <v>70.800000000000011</v>
      </c>
      <c r="CI219" s="39">
        <f t="shared" si="227"/>
        <v>0</v>
      </c>
      <c r="CJ219" s="39">
        <f t="shared" si="228"/>
        <v>0</v>
      </c>
      <c r="CK219" s="39">
        <f t="shared" si="229"/>
        <v>0</v>
      </c>
      <c r="CL219" s="39">
        <f t="shared" si="230"/>
        <v>0</v>
      </c>
      <c r="CM219" s="39">
        <f t="shared" si="231"/>
        <v>0</v>
      </c>
      <c r="CN219" s="39">
        <f t="shared" si="232"/>
        <v>0</v>
      </c>
      <c r="CO219" s="39">
        <f t="shared" si="233"/>
        <v>0</v>
      </c>
      <c r="CP219" s="39">
        <f t="shared" si="234"/>
        <v>0</v>
      </c>
    </row>
    <row r="220" spans="2:94" ht="16" customHeight="1" x14ac:dyDescent="0.2">
      <c r="B220" s="38"/>
      <c r="L220" s="63">
        <v>30532</v>
      </c>
      <c r="M220" s="38">
        <v>0</v>
      </c>
      <c r="N220" s="38">
        <v>1.5</v>
      </c>
      <c r="O220" s="39">
        <v>0</v>
      </c>
      <c r="P220" s="39">
        <v>0</v>
      </c>
      <c r="Q220" s="46">
        <f t="shared" si="165"/>
        <v>0.13591451880084943</v>
      </c>
      <c r="R220" s="81">
        <f t="shared" si="166"/>
        <v>0</v>
      </c>
      <c r="S220" s="82">
        <f t="shared" si="167"/>
        <v>0</v>
      </c>
      <c r="T220" s="39">
        <f t="shared" si="168"/>
        <v>0</v>
      </c>
      <c r="U220" s="83">
        <f t="shared" si="169"/>
        <v>0</v>
      </c>
      <c r="V220" s="84">
        <f t="shared" si="170"/>
        <v>1.2000000000000002</v>
      </c>
      <c r="W220" s="52">
        <f t="shared" si="171"/>
        <v>104.94883739158092</v>
      </c>
      <c r="X220" s="52">
        <f t="shared" si="172"/>
        <v>154.68182113700823</v>
      </c>
      <c r="Y220" s="52">
        <f t="shared" si="173"/>
        <v>259.63065852858915</v>
      </c>
      <c r="Z220" s="53">
        <f t="shared" si="174"/>
        <v>0.81991279212172596</v>
      </c>
      <c r="AA220" s="53">
        <f t="shared" si="175"/>
        <v>0.92072512581552513</v>
      </c>
      <c r="AB220" s="53">
        <f t="shared" si="176"/>
        <v>0.87713060313712554</v>
      </c>
      <c r="AC220" s="39" t="str">
        <f t="shared" si="177"/>
        <v>No</v>
      </c>
      <c r="AD220" s="85">
        <f t="shared" si="178"/>
        <v>0</v>
      </c>
      <c r="AE220" s="46">
        <f t="shared" si="179"/>
        <v>1</v>
      </c>
      <c r="AF220" s="46">
        <f t="shared" si="180"/>
        <v>0</v>
      </c>
      <c r="AG220" s="39">
        <f t="shared" si="235"/>
        <v>36.948837391580945</v>
      </c>
      <c r="AH220" s="39">
        <f t="shared" si="236"/>
        <v>66</v>
      </c>
      <c r="AI220" s="39">
        <f t="shared" si="237"/>
        <v>63.999999999999986</v>
      </c>
      <c r="AJ220" s="39">
        <f t="shared" si="238"/>
        <v>87.000000000000014</v>
      </c>
      <c r="AK220" s="39">
        <f t="shared" si="239"/>
        <v>83.281821137008222</v>
      </c>
      <c r="AL220" s="39">
        <f t="shared" si="240"/>
        <v>70.800000000000011</v>
      </c>
      <c r="AM220" s="39">
        <f t="shared" si="241"/>
        <v>70.800000000000011</v>
      </c>
      <c r="AN220" s="39">
        <f t="shared" si="242"/>
        <v>70.800000000000011</v>
      </c>
      <c r="AO220" s="39">
        <f t="shared" si="181"/>
        <v>0</v>
      </c>
      <c r="AP220" s="39">
        <f t="shared" si="182"/>
        <v>0</v>
      </c>
      <c r="AQ220" s="39">
        <f t="shared" si="183"/>
        <v>0</v>
      </c>
      <c r="AR220" s="39">
        <f t="shared" si="184"/>
        <v>0</v>
      </c>
      <c r="AS220" s="39">
        <f t="shared" si="185"/>
        <v>0</v>
      </c>
      <c r="AT220" s="39">
        <f t="shared" si="186"/>
        <v>0</v>
      </c>
      <c r="AU220" s="39">
        <f t="shared" si="187"/>
        <v>0</v>
      </c>
      <c r="AV220" s="39">
        <f t="shared" si="188"/>
        <v>0</v>
      </c>
      <c r="AW220" s="39">
        <f t="shared" si="189"/>
        <v>0</v>
      </c>
      <c r="AX220" s="39">
        <f t="shared" si="190"/>
        <v>0</v>
      </c>
      <c r="AY220" s="39">
        <f t="shared" si="191"/>
        <v>0</v>
      </c>
      <c r="AZ220" s="39">
        <f t="shared" si="192"/>
        <v>0</v>
      </c>
      <c r="BA220" s="39">
        <f t="shared" si="193"/>
        <v>0</v>
      </c>
      <c r="BB220" s="39">
        <f t="shared" si="194"/>
        <v>0</v>
      </c>
      <c r="BC220" s="39">
        <f t="shared" si="195"/>
        <v>0</v>
      </c>
      <c r="BD220" s="39">
        <f t="shared" si="196"/>
        <v>0</v>
      </c>
      <c r="BE220" s="39">
        <f t="shared" si="197"/>
        <v>0</v>
      </c>
      <c r="BF220" s="39">
        <f t="shared" si="198"/>
        <v>0</v>
      </c>
      <c r="BG220" s="39">
        <f t="shared" si="199"/>
        <v>0</v>
      </c>
      <c r="BH220" s="84">
        <f t="shared" si="200"/>
        <v>0</v>
      </c>
      <c r="BI220" s="84">
        <f t="shared" si="201"/>
        <v>1.2000000000000002</v>
      </c>
      <c r="BJ220" s="84">
        <f t="shared" si="202"/>
        <v>0.12545215082032979</v>
      </c>
      <c r="BK220" s="39">
        <f t="shared" si="203"/>
        <v>36.823385240760615</v>
      </c>
      <c r="BL220" s="39">
        <f t="shared" si="204"/>
        <v>66</v>
      </c>
      <c r="BM220" s="39">
        <f t="shared" si="205"/>
        <v>63.999999999999986</v>
      </c>
      <c r="BN220" s="39">
        <f t="shared" si="206"/>
        <v>87.000000000000014</v>
      </c>
      <c r="BO220" s="39">
        <f t="shared" si="207"/>
        <v>83.281821137008222</v>
      </c>
      <c r="BP220" s="39">
        <f t="shared" si="208"/>
        <v>70.800000000000011</v>
      </c>
      <c r="BQ220" s="39">
        <f t="shared" si="209"/>
        <v>70.800000000000011</v>
      </c>
      <c r="BR220" s="39">
        <f t="shared" si="210"/>
        <v>70.800000000000011</v>
      </c>
      <c r="BS220" s="39">
        <f t="shared" si="211"/>
        <v>0</v>
      </c>
      <c r="BT220" s="39">
        <f t="shared" si="212"/>
        <v>0</v>
      </c>
      <c r="BU220" s="39">
        <f t="shared" si="213"/>
        <v>0</v>
      </c>
      <c r="BV220" s="39">
        <f t="shared" si="214"/>
        <v>0</v>
      </c>
      <c r="BW220" s="39">
        <f t="shared" si="215"/>
        <v>0</v>
      </c>
      <c r="BX220" s="39">
        <f t="shared" si="216"/>
        <v>0</v>
      </c>
      <c r="BY220" s="39">
        <f t="shared" si="217"/>
        <v>0</v>
      </c>
      <c r="BZ220" s="39">
        <f t="shared" si="218"/>
        <v>0</v>
      </c>
      <c r="CA220" s="39">
        <f t="shared" si="219"/>
        <v>36.823385240760615</v>
      </c>
      <c r="CB220" s="39">
        <f t="shared" si="220"/>
        <v>66</v>
      </c>
      <c r="CC220" s="39">
        <f t="shared" si="221"/>
        <v>63.999999999999986</v>
      </c>
      <c r="CD220" s="39">
        <f t="shared" si="222"/>
        <v>87.000000000000014</v>
      </c>
      <c r="CE220" s="39">
        <f t="shared" si="223"/>
        <v>83.281821137008222</v>
      </c>
      <c r="CF220" s="39">
        <f t="shared" si="224"/>
        <v>70.800000000000011</v>
      </c>
      <c r="CG220" s="39">
        <f t="shared" si="225"/>
        <v>70.800000000000011</v>
      </c>
      <c r="CH220" s="39">
        <f t="shared" si="226"/>
        <v>70.800000000000011</v>
      </c>
      <c r="CI220" s="39">
        <f t="shared" si="227"/>
        <v>0</v>
      </c>
      <c r="CJ220" s="39">
        <f t="shared" si="228"/>
        <v>0</v>
      </c>
      <c r="CK220" s="39">
        <f t="shared" si="229"/>
        <v>0</v>
      </c>
      <c r="CL220" s="39">
        <f t="shared" si="230"/>
        <v>0</v>
      </c>
      <c r="CM220" s="39">
        <f t="shared" si="231"/>
        <v>0</v>
      </c>
      <c r="CN220" s="39">
        <f t="shared" si="232"/>
        <v>0</v>
      </c>
      <c r="CO220" s="39">
        <f t="shared" si="233"/>
        <v>0</v>
      </c>
      <c r="CP220" s="39">
        <f t="shared" si="234"/>
        <v>0</v>
      </c>
    </row>
    <row r="221" spans="2:94" ht="16" customHeight="1" x14ac:dyDescent="0.2">
      <c r="B221" s="38"/>
      <c r="L221" s="63">
        <v>30533</v>
      </c>
      <c r="M221" s="38">
        <v>0</v>
      </c>
      <c r="N221" s="38">
        <v>2.2000000000000002</v>
      </c>
      <c r="O221" s="39">
        <v>0</v>
      </c>
      <c r="P221" s="39">
        <v>0</v>
      </c>
      <c r="Q221" s="46">
        <f t="shared" si="165"/>
        <v>0.13616881370116091</v>
      </c>
      <c r="R221" s="81">
        <f t="shared" si="166"/>
        <v>0</v>
      </c>
      <c r="S221" s="82">
        <f t="shared" si="167"/>
        <v>0</v>
      </c>
      <c r="T221" s="39">
        <f t="shared" si="168"/>
        <v>0</v>
      </c>
      <c r="U221" s="83">
        <f t="shared" si="169"/>
        <v>0</v>
      </c>
      <c r="V221" s="84">
        <f t="shared" si="170"/>
        <v>1.7600000000000002</v>
      </c>
      <c r="W221" s="52">
        <f t="shared" si="171"/>
        <v>104.82338524076062</v>
      </c>
      <c r="X221" s="52">
        <f t="shared" si="172"/>
        <v>154.68182113700823</v>
      </c>
      <c r="Y221" s="52">
        <f t="shared" si="173"/>
        <v>259.50520637776884</v>
      </c>
      <c r="Z221" s="53">
        <f t="shared" si="174"/>
        <v>0.8189326971934423</v>
      </c>
      <c r="AA221" s="53">
        <f t="shared" si="175"/>
        <v>0.92072512581552513</v>
      </c>
      <c r="AB221" s="53">
        <f t="shared" si="176"/>
        <v>0.87670677830327315</v>
      </c>
      <c r="AC221" s="39" t="str">
        <f t="shared" si="177"/>
        <v>No</v>
      </c>
      <c r="AD221" s="85">
        <f t="shared" si="178"/>
        <v>0</v>
      </c>
      <c r="AE221" s="46">
        <f t="shared" si="179"/>
        <v>1</v>
      </c>
      <c r="AF221" s="46">
        <f t="shared" si="180"/>
        <v>0</v>
      </c>
      <c r="AG221" s="39">
        <f t="shared" si="235"/>
        <v>36.823385240760615</v>
      </c>
      <c r="AH221" s="39">
        <f t="shared" si="236"/>
        <v>66</v>
      </c>
      <c r="AI221" s="39">
        <f t="shared" si="237"/>
        <v>63.999999999999986</v>
      </c>
      <c r="AJ221" s="39">
        <f t="shared" si="238"/>
        <v>87.000000000000014</v>
      </c>
      <c r="AK221" s="39">
        <f t="shared" si="239"/>
        <v>83.281821137008222</v>
      </c>
      <c r="AL221" s="39">
        <f t="shared" si="240"/>
        <v>70.800000000000011</v>
      </c>
      <c r="AM221" s="39">
        <f t="shared" si="241"/>
        <v>70.800000000000011</v>
      </c>
      <c r="AN221" s="39">
        <f t="shared" si="242"/>
        <v>70.800000000000011</v>
      </c>
      <c r="AO221" s="39">
        <f t="shared" si="181"/>
        <v>0</v>
      </c>
      <c r="AP221" s="39">
        <f t="shared" si="182"/>
        <v>0</v>
      </c>
      <c r="AQ221" s="39">
        <f t="shared" si="183"/>
        <v>0</v>
      </c>
      <c r="AR221" s="39">
        <f t="shared" si="184"/>
        <v>0</v>
      </c>
      <c r="AS221" s="39">
        <f t="shared" si="185"/>
        <v>0</v>
      </c>
      <c r="AT221" s="39">
        <f t="shared" si="186"/>
        <v>0</v>
      </c>
      <c r="AU221" s="39">
        <f t="shared" si="187"/>
        <v>0</v>
      </c>
      <c r="AV221" s="39">
        <f t="shared" si="188"/>
        <v>0</v>
      </c>
      <c r="AW221" s="39">
        <f t="shared" si="189"/>
        <v>0</v>
      </c>
      <c r="AX221" s="39">
        <f t="shared" si="190"/>
        <v>0</v>
      </c>
      <c r="AY221" s="39">
        <f t="shared" si="191"/>
        <v>0</v>
      </c>
      <c r="AZ221" s="39">
        <f t="shared" si="192"/>
        <v>0</v>
      </c>
      <c r="BA221" s="39">
        <f t="shared" si="193"/>
        <v>0</v>
      </c>
      <c r="BB221" s="39">
        <f t="shared" si="194"/>
        <v>0</v>
      </c>
      <c r="BC221" s="39">
        <f t="shared" si="195"/>
        <v>0</v>
      </c>
      <c r="BD221" s="39">
        <f t="shared" si="196"/>
        <v>0</v>
      </c>
      <c r="BE221" s="39">
        <f t="shared" si="197"/>
        <v>0</v>
      </c>
      <c r="BF221" s="39">
        <f t="shared" si="198"/>
        <v>0</v>
      </c>
      <c r="BG221" s="39">
        <f t="shared" si="199"/>
        <v>0</v>
      </c>
      <c r="BH221" s="84">
        <f t="shared" si="200"/>
        <v>0</v>
      </c>
      <c r="BI221" s="84">
        <f t="shared" si="201"/>
        <v>1.7600000000000002</v>
      </c>
      <c r="BJ221" s="84">
        <f t="shared" si="202"/>
        <v>0.17982576886845619</v>
      </c>
      <c r="BK221" s="39">
        <f t="shared" si="203"/>
        <v>36.643559471892161</v>
      </c>
      <c r="BL221" s="39">
        <f t="shared" si="204"/>
        <v>66</v>
      </c>
      <c r="BM221" s="39">
        <f t="shared" si="205"/>
        <v>63.999999999999986</v>
      </c>
      <c r="BN221" s="39">
        <f t="shared" si="206"/>
        <v>87.000000000000014</v>
      </c>
      <c r="BO221" s="39">
        <f t="shared" si="207"/>
        <v>83.281821137008222</v>
      </c>
      <c r="BP221" s="39">
        <f t="shared" si="208"/>
        <v>70.800000000000011</v>
      </c>
      <c r="BQ221" s="39">
        <f t="shared" si="209"/>
        <v>70.800000000000011</v>
      </c>
      <c r="BR221" s="39">
        <f t="shared" si="210"/>
        <v>70.800000000000011</v>
      </c>
      <c r="BS221" s="39">
        <f t="shared" si="211"/>
        <v>0</v>
      </c>
      <c r="BT221" s="39">
        <f t="shared" si="212"/>
        <v>0</v>
      </c>
      <c r="BU221" s="39">
        <f t="shared" si="213"/>
        <v>0</v>
      </c>
      <c r="BV221" s="39">
        <f t="shared" si="214"/>
        <v>0</v>
      </c>
      <c r="BW221" s="39">
        <f t="shared" si="215"/>
        <v>0</v>
      </c>
      <c r="BX221" s="39">
        <f t="shared" si="216"/>
        <v>0</v>
      </c>
      <c r="BY221" s="39">
        <f t="shared" si="217"/>
        <v>0</v>
      </c>
      <c r="BZ221" s="39">
        <f t="shared" si="218"/>
        <v>0</v>
      </c>
      <c r="CA221" s="39">
        <f t="shared" si="219"/>
        <v>36.643559471892161</v>
      </c>
      <c r="CB221" s="39">
        <f t="shared" si="220"/>
        <v>66</v>
      </c>
      <c r="CC221" s="39">
        <f t="shared" si="221"/>
        <v>63.999999999999986</v>
      </c>
      <c r="CD221" s="39">
        <f t="shared" si="222"/>
        <v>87.000000000000014</v>
      </c>
      <c r="CE221" s="39">
        <f t="shared" si="223"/>
        <v>83.281821137008222</v>
      </c>
      <c r="CF221" s="39">
        <f t="shared" si="224"/>
        <v>70.800000000000011</v>
      </c>
      <c r="CG221" s="39">
        <f t="shared" si="225"/>
        <v>70.800000000000011</v>
      </c>
      <c r="CH221" s="39">
        <f t="shared" si="226"/>
        <v>70.800000000000011</v>
      </c>
      <c r="CI221" s="39">
        <f t="shared" si="227"/>
        <v>0</v>
      </c>
      <c r="CJ221" s="39">
        <f t="shared" si="228"/>
        <v>0</v>
      </c>
      <c r="CK221" s="39">
        <f t="shared" si="229"/>
        <v>0</v>
      </c>
      <c r="CL221" s="39">
        <f t="shared" si="230"/>
        <v>0</v>
      </c>
      <c r="CM221" s="39">
        <f t="shared" si="231"/>
        <v>0</v>
      </c>
      <c r="CN221" s="39">
        <f t="shared" si="232"/>
        <v>0</v>
      </c>
      <c r="CO221" s="39">
        <f t="shared" si="233"/>
        <v>0</v>
      </c>
      <c r="CP221" s="39">
        <f t="shared" si="234"/>
        <v>0</v>
      </c>
    </row>
    <row r="222" spans="2:94" ht="16" customHeight="1" x14ac:dyDescent="0.2">
      <c r="B222" s="38"/>
      <c r="L222" s="63">
        <v>30534</v>
      </c>
      <c r="M222" s="38">
        <v>0</v>
      </c>
      <c r="N222" s="38">
        <v>1.9</v>
      </c>
      <c r="O222" s="39">
        <v>0</v>
      </c>
      <c r="P222" s="39">
        <v>0</v>
      </c>
      <c r="Q222" s="46">
        <f t="shared" si="165"/>
        <v>0.13653332539481319</v>
      </c>
      <c r="R222" s="81">
        <f t="shared" si="166"/>
        <v>0</v>
      </c>
      <c r="S222" s="82">
        <f t="shared" si="167"/>
        <v>0</v>
      </c>
      <c r="T222" s="39">
        <f t="shared" si="168"/>
        <v>0</v>
      </c>
      <c r="U222" s="83">
        <f t="shared" si="169"/>
        <v>0</v>
      </c>
      <c r="V222" s="84">
        <f t="shared" si="170"/>
        <v>1.52</v>
      </c>
      <c r="W222" s="52">
        <f t="shared" si="171"/>
        <v>104.64355947189216</v>
      </c>
      <c r="X222" s="52">
        <f t="shared" si="172"/>
        <v>154.68182113700823</v>
      </c>
      <c r="Y222" s="52">
        <f t="shared" si="173"/>
        <v>259.32538060890039</v>
      </c>
      <c r="Z222" s="53">
        <f t="shared" si="174"/>
        <v>0.81752780837415751</v>
      </c>
      <c r="AA222" s="53">
        <f t="shared" si="175"/>
        <v>0.92072512581552513</v>
      </c>
      <c r="AB222" s="53">
        <f t="shared" si="176"/>
        <v>0.87609925881385264</v>
      </c>
      <c r="AC222" s="39" t="str">
        <f t="shared" si="177"/>
        <v>No</v>
      </c>
      <c r="AD222" s="85">
        <f t="shared" si="178"/>
        <v>0</v>
      </c>
      <c r="AE222" s="46">
        <f t="shared" si="179"/>
        <v>1</v>
      </c>
      <c r="AF222" s="46">
        <f t="shared" si="180"/>
        <v>0</v>
      </c>
      <c r="AG222" s="39">
        <f t="shared" si="235"/>
        <v>36.643559471892161</v>
      </c>
      <c r="AH222" s="39">
        <f t="shared" si="236"/>
        <v>66</v>
      </c>
      <c r="AI222" s="39">
        <f t="shared" si="237"/>
        <v>63.999999999999986</v>
      </c>
      <c r="AJ222" s="39">
        <f t="shared" si="238"/>
        <v>87.000000000000014</v>
      </c>
      <c r="AK222" s="39">
        <f t="shared" si="239"/>
        <v>83.281821137008222</v>
      </c>
      <c r="AL222" s="39">
        <f t="shared" si="240"/>
        <v>70.800000000000011</v>
      </c>
      <c r="AM222" s="39">
        <f t="shared" si="241"/>
        <v>70.800000000000011</v>
      </c>
      <c r="AN222" s="39">
        <f t="shared" si="242"/>
        <v>70.800000000000011</v>
      </c>
      <c r="AO222" s="39">
        <f t="shared" si="181"/>
        <v>0</v>
      </c>
      <c r="AP222" s="39">
        <f t="shared" si="182"/>
        <v>0</v>
      </c>
      <c r="AQ222" s="39">
        <f t="shared" si="183"/>
        <v>0</v>
      </c>
      <c r="AR222" s="39">
        <f t="shared" si="184"/>
        <v>0</v>
      </c>
      <c r="AS222" s="39">
        <f t="shared" si="185"/>
        <v>0</v>
      </c>
      <c r="AT222" s="39">
        <f t="shared" si="186"/>
        <v>0</v>
      </c>
      <c r="AU222" s="39">
        <f t="shared" si="187"/>
        <v>0</v>
      </c>
      <c r="AV222" s="39">
        <f t="shared" si="188"/>
        <v>0</v>
      </c>
      <c r="AW222" s="39">
        <f t="shared" si="189"/>
        <v>0</v>
      </c>
      <c r="AX222" s="39">
        <f t="shared" si="190"/>
        <v>0</v>
      </c>
      <c r="AY222" s="39">
        <f t="shared" si="191"/>
        <v>0</v>
      </c>
      <c r="AZ222" s="39">
        <f t="shared" si="192"/>
        <v>0</v>
      </c>
      <c r="BA222" s="39">
        <f t="shared" si="193"/>
        <v>0</v>
      </c>
      <c r="BB222" s="39">
        <f t="shared" si="194"/>
        <v>0</v>
      </c>
      <c r="BC222" s="39">
        <f t="shared" si="195"/>
        <v>0</v>
      </c>
      <c r="BD222" s="39">
        <f t="shared" si="196"/>
        <v>0</v>
      </c>
      <c r="BE222" s="39">
        <f t="shared" si="197"/>
        <v>0</v>
      </c>
      <c r="BF222" s="39">
        <f t="shared" si="198"/>
        <v>0</v>
      </c>
      <c r="BG222" s="39">
        <f t="shared" si="199"/>
        <v>0</v>
      </c>
      <c r="BH222" s="84">
        <f t="shared" si="200"/>
        <v>0</v>
      </c>
      <c r="BI222" s="84">
        <f t="shared" si="201"/>
        <v>1.52</v>
      </c>
      <c r="BJ222" s="84">
        <f t="shared" si="202"/>
        <v>0.15024814283106447</v>
      </c>
      <c r="BK222" s="39">
        <f t="shared" si="203"/>
        <v>36.493311329061093</v>
      </c>
      <c r="BL222" s="39">
        <f t="shared" si="204"/>
        <v>66</v>
      </c>
      <c r="BM222" s="39">
        <f t="shared" si="205"/>
        <v>63.999999999999986</v>
      </c>
      <c r="BN222" s="39">
        <f t="shared" si="206"/>
        <v>87.000000000000014</v>
      </c>
      <c r="BO222" s="39">
        <f t="shared" si="207"/>
        <v>83.281821137008222</v>
      </c>
      <c r="BP222" s="39">
        <f t="shared" si="208"/>
        <v>70.800000000000011</v>
      </c>
      <c r="BQ222" s="39">
        <f t="shared" si="209"/>
        <v>70.800000000000011</v>
      </c>
      <c r="BR222" s="39">
        <f t="shared" si="210"/>
        <v>70.800000000000011</v>
      </c>
      <c r="BS222" s="39">
        <f t="shared" si="211"/>
        <v>0</v>
      </c>
      <c r="BT222" s="39">
        <f t="shared" si="212"/>
        <v>0</v>
      </c>
      <c r="BU222" s="39">
        <f t="shared" si="213"/>
        <v>0</v>
      </c>
      <c r="BV222" s="39">
        <f t="shared" si="214"/>
        <v>0</v>
      </c>
      <c r="BW222" s="39">
        <f t="shared" si="215"/>
        <v>0</v>
      </c>
      <c r="BX222" s="39">
        <f t="shared" si="216"/>
        <v>0</v>
      </c>
      <c r="BY222" s="39">
        <f t="shared" si="217"/>
        <v>0</v>
      </c>
      <c r="BZ222" s="39">
        <f t="shared" si="218"/>
        <v>0</v>
      </c>
      <c r="CA222" s="39">
        <f t="shared" si="219"/>
        <v>36.493311329061093</v>
      </c>
      <c r="CB222" s="39">
        <f t="shared" si="220"/>
        <v>66</v>
      </c>
      <c r="CC222" s="39">
        <f t="shared" si="221"/>
        <v>63.999999999999986</v>
      </c>
      <c r="CD222" s="39">
        <f t="shared" si="222"/>
        <v>87.000000000000014</v>
      </c>
      <c r="CE222" s="39">
        <f t="shared" si="223"/>
        <v>83.281821137008222</v>
      </c>
      <c r="CF222" s="39">
        <f t="shared" si="224"/>
        <v>70.800000000000011</v>
      </c>
      <c r="CG222" s="39">
        <f t="shared" si="225"/>
        <v>70.800000000000011</v>
      </c>
      <c r="CH222" s="39">
        <f t="shared" si="226"/>
        <v>70.800000000000011</v>
      </c>
      <c r="CI222" s="39">
        <f t="shared" si="227"/>
        <v>0</v>
      </c>
      <c r="CJ222" s="39">
        <f t="shared" si="228"/>
        <v>0</v>
      </c>
      <c r="CK222" s="39">
        <f t="shared" si="229"/>
        <v>0</v>
      </c>
      <c r="CL222" s="39">
        <f t="shared" si="230"/>
        <v>0</v>
      </c>
      <c r="CM222" s="39">
        <f t="shared" si="231"/>
        <v>0</v>
      </c>
      <c r="CN222" s="39">
        <f t="shared" si="232"/>
        <v>0</v>
      </c>
      <c r="CO222" s="39">
        <f t="shared" si="233"/>
        <v>0</v>
      </c>
      <c r="CP222" s="39">
        <f t="shared" si="234"/>
        <v>0</v>
      </c>
    </row>
    <row r="223" spans="2:94" ht="16" customHeight="1" x14ac:dyDescent="0.2">
      <c r="B223" s="38"/>
      <c r="L223" s="63">
        <v>30535</v>
      </c>
      <c r="M223" s="38">
        <v>18.8</v>
      </c>
      <c r="N223" s="38">
        <v>1.1000000000000001</v>
      </c>
      <c r="O223" s="39">
        <v>0</v>
      </c>
      <c r="P223" s="39">
        <v>0</v>
      </c>
      <c r="Q223" s="46">
        <f t="shared" si="165"/>
        <v>0.13683788244109235</v>
      </c>
      <c r="R223" s="81">
        <f t="shared" si="166"/>
        <v>0.84073756399680577</v>
      </c>
      <c r="S223" s="82">
        <f t="shared" si="167"/>
        <v>17.959262436003193</v>
      </c>
      <c r="T223" s="39">
        <f t="shared" si="168"/>
        <v>0</v>
      </c>
      <c r="U223" s="83">
        <f t="shared" si="169"/>
        <v>0</v>
      </c>
      <c r="V223" s="84">
        <f t="shared" si="170"/>
        <v>0.88000000000000012</v>
      </c>
      <c r="W223" s="52">
        <f t="shared" si="171"/>
        <v>104.4933113290611</v>
      </c>
      <c r="X223" s="52">
        <f t="shared" si="172"/>
        <v>154.68182113700823</v>
      </c>
      <c r="Y223" s="52">
        <f t="shared" si="173"/>
        <v>259.17513246606933</v>
      </c>
      <c r="Z223" s="53">
        <f t="shared" si="174"/>
        <v>0.81635399475828985</v>
      </c>
      <c r="AA223" s="53">
        <f t="shared" si="175"/>
        <v>0.92072512581552513</v>
      </c>
      <c r="AB223" s="53">
        <f t="shared" si="176"/>
        <v>0.8755916637367207</v>
      </c>
      <c r="AC223" s="39" t="str">
        <f t="shared" si="177"/>
        <v>No</v>
      </c>
      <c r="AD223" s="85">
        <f t="shared" si="178"/>
        <v>0</v>
      </c>
      <c r="AE223" s="46">
        <f t="shared" si="179"/>
        <v>1</v>
      </c>
      <c r="AF223" s="46">
        <f t="shared" si="180"/>
        <v>0</v>
      </c>
      <c r="AG223" s="39">
        <f t="shared" si="235"/>
        <v>36.493311329061093</v>
      </c>
      <c r="AH223" s="39">
        <f t="shared" si="236"/>
        <v>66</v>
      </c>
      <c r="AI223" s="39">
        <f t="shared" si="237"/>
        <v>63.999999999999986</v>
      </c>
      <c r="AJ223" s="39">
        <f t="shared" si="238"/>
        <v>87.000000000000014</v>
      </c>
      <c r="AK223" s="39">
        <f t="shared" si="239"/>
        <v>83.281821137008222</v>
      </c>
      <c r="AL223" s="39">
        <f t="shared" si="240"/>
        <v>70.800000000000011</v>
      </c>
      <c r="AM223" s="39">
        <f t="shared" si="241"/>
        <v>70.800000000000011</v>
      </c>
      <c r="AN223" s="39">
        <f t="shared" si="242"/>
        <v>70.800000000000011</v>
      </c>
      <c r="AO223" s="39">
        <f t="shared" si="181"/>
        <v>0</v>
      </c>
      <c r="AP223" s="39">
        <f t="shared" si="182"/>
        <v>0</v>
      </c>
      <c r="AQ223" s="39">
        <f t="shared" si="183"/>
        <v>0</v>
      </c>
      <c r="AR223" s="39">
        <f t="shared" si="184"/>
        <v>0</v>
      </c>
      <c r="AS223" s="39">
        <f t="shared" si="185"/>
        <v>0</v>
      </c>
      <c r="AT223" s="39">
        <f t="shared" si="186"/>
        <v>0</v>
      </c>
      <c r="AU223" s="39">
        <f t="shared" si="187"/>
        <v>0</v>
      </c>
      <c r="AV223" s="39">
        <f t="shared" si="188"/>
        <v>0</v>
      </c>
      <c r="AW223" s="39">
        <f t="shared" si="189"/>
        <v>0</v>
      </c>
      <c r="AX223" s="39">
        <f t="shared" si="190"/>
        <v>0</v>
      </c>
      <c r="AY223" s="39">
        <f t="shared" si="191"/>
        <v>0</v>
      </c>
      <c r="AZ223" s="39">
        <f t="shared" si="192"/>
        <v>0</v>
      </c>
      <c r="BA223" s="39">
        <f t="shared" si="193"/>
        <v>0</v>
      </c>
      <c r="BB223" s="39">
        <f t="shared" si="194"/>
        <v>0</v>
      </c>
      <c r="BC223" s="39">
        <f t="shared" si="195"/>
        <v>0</v>
      </c>
      <c r="BD223" s="39">
        <f t="shared" si="196"/>
        <v>0</v>
      </c>
      <c r="BE223" s="39">
        <f t="shared" si="197"/>
        <v>0</v>
      </c>
      <c r="BF223" s="39">
        <f t="shared" si="198"/>
        <v>0</v>
      </c>
      <c r="BG223" s="39">
        <f t="shared" si="199"/>
        <v>0</v>
      </c>
      <c r="BH223" s="84">
        <f t="shared" si="200"/>
        <v>0.88000000000000012</v>
      </c>
      <c r="BI223" s="84">
        <f t="shared" si="201"/>
        <v>0</v>
      </c>
      <c r="BJ223" s="84">
        <f t="shared" si="202"/>
        <v>0.88000000000000012</v>
      </c>
      <c r="BK223" s="39">
        <f t="shared" si="203"/>
        <v>35.613311329061091</v>
      </c>
      <c r="BL223" s="39">
        <f t="shared" si="204"/>
        <v>66</v>
      </c>
      <c r="BM223" s="39">
        <f t="shared" si="205"/>
        <v>63.999999999999986</v>
      </c>
      <c r="BN223" s="39">
        <f t="shared" si="206"/>
        <v>87.000000000000014</v>
      </c>
      <c r="BO223" s="39">
        <f t="shared" si="207"/>
        <v>83.281821137008222</v>
      </c>
      <c r="BP223" s="39">
        <f t="shared" si="208"/>
        <v>70.800000000000011</v>
      </c>
      <c r="BQ223" s="39">
        <f t="shared" si="209"/>
        <v>70.800000000000011</v>
      </c>
      <c r="BR223" s="39">
        <f t="shared" si="210"/>
        <v>70.800000000000011</v>
      </c>
      <c r="BS223" s="39">
        <f t="shared" si="211"/>
        <v>0</v>
      </c>
      <c r="BT223" s="39">
        <f t="shared" si="212"/>
        <v>0</v>
      </c>
      <c r="BU223" s="39">
        <f t="shared" si="213"/>
        <v>0</v>
      </c>
      <c r="BV223" s="39">
        <f t="shared" si="214"/>
        <v>0</v>
      </c>
      <c r="BW223" s="39">
        <f t="shared" si="215"/>
        <v>0</v>
      </c>
      <c r="BX223" s="39">
        <f t="shared" si="216"/>
        <v>0</v>
      </c>
      <c r="BY223" s="39">
        <f t="shared" si="217"/>
        <v>0</v>
      </c>
      <c r="BZ223" s="39">
        <f t="shared" si="218"/>
        <v>0</v>
      </c>
      <c r="CA223" s="39">
        <f t="shared" si="219"/>
        <v>52.692573765064282</v>
      </c>
      <c r="CB223" s="39">
        <f t="shared" si="220"/>
        <v>66</v>
      </c>
      <c r="CC223" s="39">
        <f t="shared" si="221"/>
        <v>63.999999999999986</v>
      </c>
      <c r="CD223" s="39">
        <f t="shared" si="222"/>
        <v>87.000000000000014</v>
      </c>
      <c r="CE223" s="39">
        <f t="shared" si="223"/>
        <v>83.281821137008222</v>
      </c>
      <c r="CF223" s="39">
        <f t="shared" si="224"/>
        <v>70.800000000000011</v>
      </c>
      <c r="CG223" s="39">
        <f t="shared" si="225"/>
        <v>70.800000000000011</v>
      </c>
      <c r="CH223" s="39">
        <f t="shared" si="226"/>
        <v>70.800000000000011</v>
      </c>
      <c r="CI223" s="39">
        <f t="shared" si="227"/>
        <v>0</v>
      </c>
      <c r="CJ223" s="39">
        <f t="shared" si="228"/>
        <v>0</v>
      </c>
      <c r="CK223" s="39">
        <f t="shared" si="229"/>
        <v>0</v>
      </c>
      <c r="CL223" s="39">
        <f t="shared" si="230"/>
        <v>0</v>
      </c>
      <c r="CM223" s="39">
        <f t="shared" si="231"/>
        <v>0</v>
      </c>
      <c r="CN223" s="39">
        <f t="shared" si="232"/>
        <v>0</v>
      </c>
      <c r="CO223" s="39">
        <f t="shared" si="233"/>
        <v>0</v>
      </c>
      <c r="CP223" s="39">
        <f t="shared" si="234"/>
        <v>0</v>
      </c>
    </row>
    <row r="224" spans="2:94" ht="16" customHeight="1" x14ac:dyDescent="0.2">
      <c r="B224" s="38"/>
      <c r="L224" s="63">
        <v>30536</v>
      </c>
      <c r="M224" s="38">
        <v>0</v>
      </c>
      <c r="N224" s="38">
        <v>1.7</v>
      </c>
      <c r="O224" s="39">
        <v>0</v>
      </c>
      <c r="P224" s="39">
        <v>0</v>
      </c>
      <c r="Q224" s="46">
        <f t="shared" si="165"/>
        <v>0.10400153966541023</v>
      </c>
      <c r="R224" s="81">
        <f t="shared" si="166"/>
        <v>0</v>
      </c>
      <c r="S224" s="82">
        <f t="shared" si="167"/>
        <v>0</v>
      </c>
      <c r="T224" s="39">
        <f t="shared" si="168"/>
        <v>0</v>
      </c>
      <c r="U224" s="83">
        <f t="shared" si="169"/>
        <v>0</v>
      </c>
      <c r="V224" s="84">
        <f t="shared" si="170"/>
        <v>1.36</v>
      </c>
      <c r="W224" s="52">
        <f t="shared" si="171"/>
        <v>120.69257376506425</v>
      </c>
      <c r="X224" s="52">
        <f t="shared" si="172"/>
        <v>154.68182113700823</v>
      </c>
      <c r="Y224" s="52">
        <f t="shared" si="173"/>
        <v>275.37439490207248</v>
      </c>
      <c r="Z224" s="53">
        <f t="shared" si="174"/>
        <v>0.94291073253956448</v>
      </c>
      <c r="AA224" s="53">
        <f t="shared" si="175"/>
        <v>0.92072512581552513</v>
      </c>
      <c r="AB224" s="53">
        <f t="shared" si="176"/>
        <v>0.9303189016961908</v>
      </c>
      <c r="AC224" s="39" t="str">
        <f t="shared" si="177"/>
        <v>No</v>
      </c>
      <c r="AD224" s="85">
        <f t="shared" si="178"/>
        <v>0</v>
      </c>
      <c r="AE224" s="46">
        <f t="shared" si="179"/>
        <v>1</v>
      </c>
      <c r="AF224" s="46">
        <f t="shared" si="180"/>
        <v>0</v>
      </c>
      <c r="AG224" s="39">
        <f t="shared" si="235"/>
        <v>52.692573765064282</v>
      </c>
      <c r="AH224" s="39">
        <f t="shared" si="236"/>
        <v>66</v>
      </c>
      <c r="AI224" s="39">
        <f t="shared" si="237"/>
        <v>63.999999999999986</v>
      </c>
      <c r="AJ224" s="39">
        <f t="shared" si="238"/>
        <v>87.000000000000014</v>
      </c>
      <c r="AK224" s="39">
        <f t="shared" si="239"/>
        <v>83.281821137008222</v>
      </c>
      <c r="AL224" s="39">
        <f t="shared" si="240"/>
        <v>70.800000000000011</v>
      </c>
      <c r="AM224" s="39">
        <f t="shared" si="241"/>
        <v>70.800000000000011</v>
      </c>
      <c r="AN224" s="39">
        <f t="shared" si="242"/>
        <v>70.800000000000011</v>
      </c>
      <c r="AO224" s="39">
        <f t="shared" si="181"/>
        <v>0</v>
      </c>
      <c r="AP224" s="39">
        <f t="shared" si="182"/>
        <v>0</v>
      </c>
      <c r="AQ224" s="39">
        <f t="shared" si="183"/>
        <v>0</v>
      </c>
      <c r="AR224" s="39">
        <f t="shared" si="184"/>
        <v>0</v>
      </c>
      <c r="AS224" s="39">
        <f t="shared" si="185"/>
        <v>0</v>
      </c>
      <c r="AT224" s="39">
        <f t="shared" si="186"/>
        <v>0</v>
      </c>
      <c r="AU224" s="39">
        <f t="shared" si="187"/>
        <v>0</v>
      </c>
      <c r="AV224" s="39">
        <f t="shared" si="188"/>
        <v>0</v>
      </c>
      <c r="AW224" s="39">
        <f t="shared" si="189"/>
        <v>0</v>
      </c>
      <c r="AX224" s="39">
        <f t="shared" si="190"/>
        <v>0</v>
      </c>
      <c r="AY224" s="39">
        <f t="shared" si="191"/>
        <v>0</v>
      </c>
      <c r="AZ224" s="39">
        <f t="shared" si="192"/>
        <v>0</v>
      </c>
      <c r="BA224" s="39">
        <f t="shared" si="193"/>
        <v>0</v>
      </c>
      <c r="BB224" s="39">
        <f t="shared" si="194"/>
        <v>0</v>
      </c>
      <c r="BC224" s="39">
        <f t="shared" si="195"/>
        <v>0</v>
      </c>
      <c r="BD224" s="39">
        <f t="shared" si="196"/>
        <v>0</v>
      </c>
      <c r="BE224" s="39">
        <f t="shared" si="197"/>
        <v>0</v>
      </c>
      <c r="BF224" s="39">
        <f t="shared" si="198"/>
        <v>0</v>
      </c>
      <c r="BG224" s="39">
        <f t="shared" si="199"/>
        <v>0</v>
      </c>
      <c r="BH224" s="84">
        <f t="shared" si="200"/>
        <v>0</v>
      </c>
      <c r="BI224" s="84">
        <f t="shared" si="201"/>
        <v>1.36</v>
      </c>
      <c r="BJ224" s="84">
        <f t="shared" si="202"/>
        <v>1.2365533643503475</v>
      </c>
      <c r="BK224" s="39">
        <f t="shared" si="203"/>
        <v>51.456020400713932</v>
      </c>
      <c r="BL224" s="39">
        <f t="shared" si="204"/>
        <v>66</v>
      </c>
      <c r="BM224" s="39">
        <f t="shared" si="205"/>
        <v>63.999999999999986</v>
      </c>
      <c r="BN224" s="39">
        <f t="shared" si="206"/>
        <v>87.000000000000014</v>
      </c>
      <c r="BO224" s="39">
        <f t="shared" si="207"/>
        <v>83.281821137008222</v>
      </c>
      <c r="BP224" s="39">
        <f t="shared" si="208"/>
        <v>70.800000000000011</v>
      </c>
      <c r="BQ224" s="39">
        <f t="shared" si="209"/>
        <v>70.800000000000011</v>
      </c>
      <c r="BR224" s="39">
        <f t="shared" si="210"/>
        <v>70.800000000000011</v>
      </c>
      <c r="BS224" s="39">
        <f t="shared" si="211"/>
        <v>0</v>
      </c>
      <c r="BT224" s="39">
        <f t="shared" si="212"/>
        <v>0</v>
      </c>
      <c r="BU224" s="39">
        <f t="shared" si="213"/>
        <v>0</v>
      </c>
      <c r="BV224" s="39">
        <f t="shared" si="214"/>
        <v>0</v>
      </c>
      <c r="BW224" s="39">
        <f t="shared" si="215"/>
        <v>0</v>
      </c>
      <c r="BX224" s="39">
        <f t="shared" si="216"/>
        <v>0</v>
      </c>
      <c r="BY224" s="39">
        <f t="shared" si="217"/>
        <v>0</v>
      </c>
      <c r="BZ224" s="39">
        <f t="shared" si="218"/>
        <v>0</v>
      </c>
      <c r="CA224" s="39">
        <f t="shared" si="219"/>
        <v>51.456020400713932</v>
      </c>
      <c r="CB224" s="39">
        <f t="shared" si="220"/>
        <v>66</v>
      </c>
      <c r="CC224" s="39">
        <f t="shared" si="221"/>
        <v>63.999999999999986</v>
      </c>
      <c r="CD224" s="39">
        <f t="shared" si="222"/>
        <v>87.000000000000014</v>
      </c>
      <c r="CE224" s="39">
        <f t="shared" si="223"/>
        <v>83.281821137008222</v>
      </c>
      <c r="CF224" s="39">
        <f t="shared" si="224"/>
        <v>70.800000000000011</v>
      </c>
      <c r="CG224" s="39">
        <f t="shared" si="225"/>
        <v>70.800000000000011</v>
      </c>
      <c r="CH224" s="39">
        <f t="shared" si="226"/>
        <v>70.800000000000011</v>
      </c>
      <c r="CI224" s="39">
        <f t="shared" si="227"/>
        <v>0</v>
      </c>
      <c r="CJ224" s="39">
        <f t="shared" si="228"/>
        <v>0</v>
      </c>
      <c r="CK224" s="39">
        <f t="shared" si="229"/>
        <v>0</v>
      </c>
      <c r="CL224" s="39">
        <f t="shared" si="230"/>
        <v>0</v>
      </c>
      <c r="CM224" s="39">
        <f t="shared" si="231"/>
        <v>0</v>
      </c>
      <c r="CN224" s="39">
        <f t="shared" si="232"/>
        <v>0</v>
      </c>
      <c r="CO224" s="39">
        <f t="shared" si="233"/>
        <v>0</v>
      </c>
      <c r="CP224" s="39">
        <f t="shared" si="234"/>
        <v>0</v>
      </c>
    </row>
    <row r="225" spans="2:94" ht="16" customHeight="1" x14ac:dyDescent="0.2">
      <c r="B225" s="38"/>
      <c r="L225" s="63">
        <v>30537</v>
      </c>
      <c r="M225" s="38">
        <v>0</v>
      </c>
      <c r="N225" s="38">
        <v>1.1000000000000001</v>
      </c>
      <c r="O225" s="39">
        <v>0</v>
      </c>
      <c r="P225" s="39">
        <v>0</v>
      </c>
      <c r="Q225" s="46">
        <f t="shared" si="165"/>
        <v>0.10650806675530959</v>
      </c>
      <c r="R225" s="81">
        <f t="shared" si="166"/>
        <v>0</v>
      </c>
      <c r="S225" s="82">
        <f t="shared" si="167"/>
        <v>0</v>
      </c>
      <c r="T225" s="39">
        <f t="shared" si="168"/>
        <v>0</v>
      </c>
      <c r="U225" s="83">
        <f t="shared" si="169"/>
        <v>0</v>
      </c>
      <c r="V225" s="84">
        <f t="shared" si="170"/>
        <v>0.88000000000000012</v>
      </c>
      <c r="W225" s="52">
        <f t="shared" si="171"/>
        <v>119.4560204007139</v>
      </c>
      <c r="X225" s="52">
        <f t="shared" si="172"/>
        <v>154.68182113700823</v>
      </c>
      <c r="Y225" s="52">
        <f t="shared" si="173"/>
        <v>274.13784153772212</v>
      </c>
      <c r="Z225" s="53">
        <f t="shared" si="174"/>
        <v>0.93325015938057732</v>
      </c>
      <c r="AA225" s="53">
        <f t="shared" si="175"/>
        <v>0.92072512581552513</v>
      </c>
      <c r="AB225" s="53">
        <f t="shared" si="176"/>
        <v>0.92614135654635854</v>
      </c>
      <c r="AC225" s="39" t="str">
        <f t="shared" si="177"/>
        <v>No</v>
      </c>
      <c r="AD225" s="85">
        <f t="shared" si="178"/>
        <v>0</v>
      </c>
      <c r="AE225" s="46">
        <f t="shared" si="179"/>
        <v>1</v>
      </c>
      <c r="AF225" s="46">
        <f t="shared" si="180"/>
        <v>0</v>
      </c>
      <c r="AG225" s="39">
        <f t="shared" si="235"/>
        <v>51.456020400713932</v>
      </c>
      <c r="AH225" s="39">
        <f t="shared" si="236"/>
        <v>66</v>
      </c>
      <c r="AI225" s="39">
        <f t="shared" si="237"/>
        <v>63.999999999999986</v>
      </c>
      <c r="AJ225" s="39">
        <f t="shared" si="238"/>
        <v>87.000000000000014</v>
      </c>
      <c r="AK225" s="39">
        <f t="shared" si="239"/>
        <v>83.281821137008222</v>
      </c>
      <c r="AL225" s="39">
        <f t="shared" si="240"/>
        <v>70.800000000000011</v>
      </c>
      <c r="AM225" s="39">
        <f t="shared" si="241"/>
        <v>70.800000000000011</v>
      </c>
      <c r="AN225" s="39">
        <f t="shared" si="242"/>
        <v>70.800000000000011</v>
      </c>
      <c r="AO225" s="39">
        <f t="shared" si="181"/>
        <v>0</v>
      </c>
      <c r="AP225" s="39">
        <f t="shared" si="182"/>
        <v>0</v>
      </c>
      <c r="AQ225" s="39">
        <f t="shared" si="183"/>
        <v>0</v>
      </c>
      <c r="AR225" s="39">
        <f t="shared" si="184"/>
        <v>0</v>
      </c>
      <c r="AS225" s="39">
        <f t="shared" si="185"/>
        <v>0</v>
      </c>
      <c r="AT225" s="39">
        <f t="shared" si="186"/>
        <v>0</v>
      </c>
      <c r="AU225" s="39">
        <f t="shared" si="187"/>
        <v>0</v>
      </c>
      <c r="AV225" s="39">
        <f t="shared" si="188"/>
        <v>0</v>
      </c>
      <c r="AW225" s="39">
        <f t="shared" si="189"/>
        <v>0</v>
      </c>
      <c r="AX225" s="39">
        <f t="shared" si="190"/>
        <v>0</v>
      </c>
      <c r="AY225" s="39">
        <f t="shared" si="191"/>
        <v>0</v>
      </c>
      <c r="AZ225" s="39">
        <f t="shared" si="192"/>
        <v>0</v>
      </c>
      <c r="BA225" s="39">
        <f t="shared" si="193"/>
        <v>0</v>
      </c>
      <c r="BB225" s="39">
        <f t="shared" si="194"/>
        <v>0</v>
      </c>
      <c r="BC225" s="39">
        <f t="shared" si="195"/>
        <v>0</v>
      </c>
      <c r="BD225" s="39">
        <f t="shared" si="196"/>
        <v>0</v>
      </c>
      <c r="BE225" s="39">
        <f t="shared" si="197"/>
        <v>0</v>
      </c>
      <c r="BF225" s="39">
        <f t="shared" si="198"/>
        <v>0</v>
      </c>
      <c r="BG225" s="39">
        <f t="shared" si="199"/>
        <v>0</v>
      </c>
      <c r="BH225" s="84">
        <f t="shared" si="200"/>
        <v>0</v>
      </c>
      <c r="BI225" s="84">
        <f t="shared" si="201"/>
        <v>0.88000000000000012</v>
      </c>
      <c r="BJ225" s="84">
        <f t="shared" si="202"/>
        <v>0.70018126801511005</v>
      </c>
      <c r="BK225" s="39">
        <f t="shared" si="203"/>
        <v>50.755839132698824</v>
      </c>
      <c r="BL225" s="39">
        <f t="shared" si="204"/>
        <v>66</v>
      </c>
      <c r="BM225" s="39">
        <f t="shared" si="205"/>
        <v>63.999999999999986</v>
      </c>
      <c r="BN225" s="39">
        <f t="shared" si="206"/>
        <v>87.000000000000014</v>
      </c>
      <c r="BO225" s="39">
        <f t="shared" si="207"/>
        <v>83.281821137008222</v>
      </c>
      <c r="BP225" s="39">
        <f t="shared" si="208"/>
        <v>70.800000000000011</v>
      </c>
      <c r="BQ225" s="39">
        <f t="shared" si="209"/>
        <v>70.800000000000011</v>
      </c>
      <c r="BR225" s="39">
        <f t="shared" si="210"/>
        <v>70.800000000000011</v>
      </c>
      <c r="BS225" s="39">
        <f t="shared" si="211"/>
        <v>0</v>
      </c>
      <c r="BT225" s="39">
        <f t="shared" si="212"/>
        <v>0</v>
      </c>
      <c r="BU225" s="39">
        <f t="shared" si="213"/>
        <v>0</v>
      </c>
      <c r="BV225" s="39">
        <f t="shared" si="214"/>
        <v>0</v>
      </c>
      <c r="BW225" s="39">
        <f t="shared" si="215"/>
        <v>0</v>
      </c>
      <c r="BX225" s="39">
        <f t="shared" si="216"/>
        <v>0</v>
      </c>
      <c r="BY225" s="39">
        <f t="shared" si="217"/>
        <v>0</v>
      </c>
      <c r="BZ225" s="39">
        <f t="shared" si="218"/>
        <v>0</v>
      </c>
      <c r="CA225" s="39">
        <f t="shared" si="219"/>
        <v>50.755839132698824</v>
      </c>
      <c r="CB225" s="39">
        <f t="shared" si="220"/>
        <v>66</v>
      </c>
      <c r="CC225" s="39">
        <f t="shared" si="221"/>
        <v>63.999999999999986</v>
      </c>
      <c r="CD225" s="39">
        <f t="shared" si="222"/>
        <v>87.000000000000014</v>
      </c>
      <c r="CE225" s="39">
        <f t="shared" si="223"/>
        <v>83.281821137008222</v>
      </c>
      <c r="CF225" s="39">
        <f t="shared" si="224"/>
        <v>70.800000000000011</v>
      </c>
      <c r="CG225" s="39">
        <f t="shared" si="225"/>
        <v>70.800000000000011</v>
      </c>
      <c r="CH225" s="39">
        <f t="shared" si="226"/>
        <v>70.800000000000011</v>
      </c>
      <c r="CI225" s="39">
        <f t="shared" si="227"/>
        <v>0</v>
      </c>
      <c r="CJ225" s="39">
        <f t="shared" si="228"/>
        <v>0</v>
      </c>
      <c r="CK225" s="39">
        <f t="shared" si="229"/>
        <v>0</v>
      </c>
      <c r="CL225" s="39">
        <f t="shared" si="230"/>
        <v>0</v>
      </c>
      <c r="CM225" s="39">
        <f t="shared" si="231"/>
        <v>0</v>
      </c>
      <c r="CN225" s="39">
        <f t="shared" si="232"/>
        <v>0</v>
      </c>
      <c r="CO225" s="39">
        <f t="shared" si="233"/>
        <v>0</v>
      </c>
      <c r="CP225" s="39">
        <f t="shared" si="234"/>
        <v>0</v>
      </c>
    </row>
    <row r="226" spans="2:94" ht="16" customHeight="1" x14ac:dyDescent="0.2">
      <c r="B226" s="38"/>
      <c r="L226" s="63">
        <v>30538</v>
      </c>
      <c r="M226" s="38">
        <v>0.2</v>
      </c>
      <c r="N226" s="38">
        <v>1</v>
      </c>
      <c r="O226" s="39">
        <v>0</v>
      </c>
      <c r="P226" s="39">
        <v>0</v>
      </c>
      <c r="Q226" s="46">
        <f t="shared" si="165"/>
        <v>0.10792735310939428</v>
      </c>
      <c r="R226" s="81">
        <f t="shared" si="166"/>
        <v>0</v>
      </c>
      <c r="S226" s="82">
        <f t="shared" si="167"/>
        <v>0.2</v>
      </c>
      <c r="T226" s="39">
        <f t="shared" si="168"/>
        <v>0</v>
      </c>
      <c r="U226" s="83">
        <f t="shared" si="169"/>
        <v>0</v>
      </c>
      <c r="V226" s="84">
        <f t="shared" si="170"/>
        <v>0.8</v>
      </c>
      <c r="W226" s="52">
        <f t="shared" si="171"/>
        <v>118.75583913269884</v>
      </c>
      <c r="X226" s="52">
        <f t="shared" si="172"/>
        <v>154.68182113700823</v>
      </c>
      <c r="Y226" s="52">
        <f t="shared" si="173"/>
        <v>273.43766026970707</v>
      </c>
      <c r="Z226" s="53">
        <f t="shared" si="174"/>
        <v>0.92777999322420968</v>
      </c>
      <c r="AA226" s="53">
        <f t="shared" si="175"/>
        <v>0.92072512581552513</v>
      </c>
      <c r="AB226" s="53">
        <f t="shared" si="176"/>
        <v>0.92377587928955085</v>
      </c>
      <c r="AC226" s="39" t="str">
        <f t="shared" si="177"/>
        <v>No</v>
      </c>
      <c r="AD226" s="85">
        <f t="shared" si="178"/>
        <v>0</v>
      </c>
      <c r="AE226" s="46">
        <f t="shared" si="179"/>
        <v>1</v>
      </c>
      <c r="AF226" s="46">
        <f t="shared" si="180"/>
        <v>0</v>
      </c>
      <c r="AG226" s="39">
        <f t="shared" si="235"/>
        <v>50.755839132698824</v>
      </c>
      <c r="AH226" s="39">
        <f t="shared" si="236"/>
        <v>66</v>
      </c>
      <c r="AI226" s="39">
        <f t="shared" si="237"/>
        <v>63.999999999999986</v>
      </c>
      <c r="AJ226" s="39">
        <f t="shared" si="238"/>
        <v>87.000000000000014</v>
      </c>
      <c r="AK226" s="39">
        <f t="shared" si="239"/>
        <v>83.281821137008222</v>
      </c>
      <c r="AL226" s="39">
        <f t="shared" si="240"/>
        <v>70.800000000000011</v>
      </c>
      <c r="AM226" s="39">
        <f t="shared" si="241"/>
        <v>70.800000000000011</v>
      </c>
      <c r="AN226" s="39">
        <f t="shared" si="242"/>
        <v>70.800000000000011</v>
      </c>
      <c r="AO226" s="39">
        <f t="shared" si="181"/>
        <v>0</v>
      </c>
      <c r="AP226" s="39">
        <f t="shared" si="182"/>
        <v>0</v>
      </c>
      <c r="AQ226" s="39">
        <f t="shared" si="183"/>
        <v>0</v>
      </c>
      <c r="AR226" s="39">
        <f t="shared" si="184"/>
        <v>0</v>
      </c>
      <c r="AS226" s="39">
        <f t="shared" si="185"/>
        <v>0</v>
      </c>
      <c r="AT226" s="39">
        <f t="shared" si="186"/>
        <v>0</v>
      </c>
      <c r="AU226" s="39">
        <f t="shared" si="187"/>
        <v>0</v>
      </c>
      <c r="AV226" s="39">
        <f t="shared" si="188"/>
        <v>0</v>
      </c>
      <c r="AW226" s="39">
        <f t="shared" si="189"/>
        <v>0</v>
      </c>
      <c r="AX226" s="39">
        <f t="shared" si="190"/>
        <v>0</v>
      </c>
      <c r="AY226" s="39">
        <f t="shared" si="191"/>
        <v>0</v>
      </c>
      <c r="AZ226" s="39">
        <f t="shared" si="192"/>
        <v>0</v>
      </c>
      <c r="BA226" s="39">
        <f t="shared" si="193"/>
        <v>0</v>
      </c>
      <c r="BB226" s="39">
        <f t="shared" si="194"/>
        <v>0</v>
      </c>
      <c r="BC226" s="39">
        <f t="shared" si="195"/>
        <v>0</v>
      </c>
      <c r="BD226" s="39">
        <f t="shared" si="196"/>
        <v>0</v>
      </c>
      <c r="BE226" s="39">
        <f t="shared" si="197"/>
        <v>0</v>
      </c>
      <c r="BF226" s="39">
        <f t="shared" si="198"/>
        <v>0</v>
      </c>
      <c r="BG226" s="39">
        <f t="shared" si="199"/>
        <v>0</v>
      </c>
      <c r="BH226" s="84">
        <f t="shared" si="200"/>
        <v>0.2</v>
      </c>
      <c r="BI226" s="84">
        <f t="shared" si="201"/>
        <v>0.60000000000000009</v>
      </c>
      <c r="BJ226" s="84">
        <f t="shared" si="202"/>
        <v>0.64176360207926919</v>
      </c>
      <c r="BK226" s="39">
        <f t="shared" si="203"/>
        <v>50.114075530619559</v>
      </c>
      <c r="BL226" s="39">
        <f t="shared" si="204"/>
        <v>66</v>
      </c>
      <c r="BM226" s="39">
        <f t="shared" si="205"/>
        <v>63.999999999999986</v>
      </c>
      <c r="BN226" s="39">
        <f t="shared" si="206"/>
        <v>87.000000000000014</v>
      </c>
      <c r="BO226" s="39">
        <f t="shared" si="207"/>
        <v>83.281821137008222</v>
      </c>
      <c r="BP226" s="39">
        <f t="shared" si="208"/>
        <v>70.800000000000011</v>
      </c>
      <c r="BQ226" s="39">
        <f t="shared" si="209"/>
        <v>70.800000000000011</v>
      </c>
      <c r="BR226" s="39">
        <f t="shared" si="210"/>
        <v>70.800000000000011</v>
      </c>
      <c r="BS226" s="39">
        <f t="shared" si="211"/>
        <v>0</v>
      </c>
      <c r="BT226" s="39">
        <f t="shared" si="212"/>
        <v>0</v>
      </c>
      <c r="BU226" s="39">
        <f t="shared" si="213"/>
        <v>0</v>
      </c>
      <c r="BV226" s="39">
        <f t="shared" si="214"/>
        <v>0</v>
      </c>
      <c r="BW226" s="39">
        <f t="shared" si="215"/>
        <v>0</v>
      </c>
      <c r="BX226" s="39">
        <f t="shared" si="216"/>
        <v>0</v>
      </c>
      <c r="BY226" s="39">
        <f t="shared" si="217"/>
        <v>0</v>
      </c>
      <c r="BZ226" s="39">
        <f t="shared" si="218"/>
        <v>0</v>
      </c>
      <c r="CA226" s="39">
        <f t="shared" si="219"/>
        <v>50.114075530619559</v>
      </c>
      <c r="CB226" s="39">
        <f t="shared" si="220"/>
        <v>66</v>
      </c>
      <c r="CC226" s="39">
        <f t="shared" si="221"/>
        <v>63.999999999999986</v>
      </c>
      <c r="CD226" s="39">
        <f t="shared" si="222"/>
        <v>87.000000000000014</v>
      </c>
      <c r="CE226" s="39">
        <f t="shared" si="223"/>
        <v>83.281821137008222</v>
      </c>
      <c r="CF226" s="39">
        <f t="shared" si="224"/>
        <v>70.800000000000011</v>
      </c>
      <c r="CG226" s="39">
        <f t="shared" si="225"/>
        <v>70.800000000000011</v>
      </c>
      <c r="CH226" s="39">
        <f t="shared" si="226"/>
        <v>70.800000000000011</v>
      </c>
      <c r="CI226" s="39">
        <f t="shared" si="227"/>
        <v>0</v>
      </c>
      <c r="CJ226" s="39">
        <f t="shared" si="228"/>
        <v>0</v>
      </c>
      <c r="CK226" s="39">
        <f t="shared" si="229"/>
        <v>0</v>
      </c>
      <c r="CL226" s="39">
        <f t="shared" si="230"/>
        <v>0</v>
      </c>
      <c r="CM226" s="39">
        <f t="shared" si="231"/>
        <v>0</v>
      </c>
      <c r="CN226" s="39">
        <f t="shared" si="232"/>
        <v>0</v>
      </c>
      <c r="CO226" s="39">
        <f t="shared" si="233"/>
        <v>0</v>
      </c>
      <c r="CP226" s="39">
        <f t="shared" si="234"/>
        <v>0</v>
      </c>
    </row>
    <row r="227" spans="2:94" ht="16" customHeight="1" x14ac:dyDescent="0.2">
      <c r="B227" s="38"/>
      <c r="L227" s="63">
        <v>30539</v>
      </c>
      <c r="M227" s="38">
        <v>0.5</v>
      </c>
      <c r="N227" s="38">
        <v>1.6</v>
      </c>
      <c r="O227" s="39">
        <v>0</v>
      </c>
      <c r="P227" s="39">
        <v>0</v>
      </c>
      <c r="Q227" s="46">
        <f t="shared" si="165"/>
        <v>0.10922822527577115</v>
      </c>
      <c r="R227" s="81">
        <f t="shared" si="166"/>
        <v>0</v>
      </c>
      <c r="S227" s="82">
        <f t="shared" si="167"/>
        <v>0.5</v>
      </c>
      <c r="T227" s="39">
        <f t="shared" si="168"/>
        <v>0</v>
      </c>
      <c r="U227" s="83">
        <f t="shared" si="169"/>
        <v>0</v>
      </c>
      <c r="V227" s="84">
        <f t="shared" si="170"/>
        <v>1.2800000000000002</v>
      </c>
      <c r="W227" s="52">
        <f t="shared" si="171"/>
        <v>118.11407553061957</v>
      </c>
      <c r="X227" s="52">
        <f t="shared" si="172"/>
        <v>154.68182113700823</v>
      </c>
      <c r="Y227" s="52">
        <f t="shared" si="173"/>
        <v>272.7958966676278</v>
      </c>
      <c r="Z227" s="53">
        <f t="shared" si="174"/>
        <v>0.92276621508296541</v>
      </c>
      <c r="AA227" s="53">
        <f t="shared" si="175"/>
        <v>0.92072512581552513</v>
      </c>
      <c r="AB227" s="53">
        <f t="shared" si="176"/>
        <v>0.92160775901225611</v>
      </c>
      <c r="AC227" s="39" t="str">
        <f t="shared" si="177"/>
        <v>No</v>
      </c>
      <c r="AD227" s="85">
        <f t="shared" si="178"/>
        <v>0</v>
      </c>
      <c r="AE227" s="46">
        <f t="shared" si="179"/>
        <v>1</v>
      </c>
      <c r="AF227" s="46">
        <f t="shared" si="180"/>
        <v>0</v>
      </c>
      <c r="AG227" s="39">
        <f t="shared" si="235"/>
        <v>50.114075530619559</v>
      </c>
      <c r="AH227" s="39">
        <f t="shared" si="236"/>
        <v>66</v>
      </c>
      <c r="AI227" s="39">
        <f t="shared" si="237"/>
        <v>63.999999999999986</v>
      </c>
      <c r="AJ227" s="39">
        <f t="shared" si="238"/>
        <v>87.000000000000014</v>
      </c>
      <c r="AK227" s="39">
        <f t="shared" si="239"/>
        <v>83.281821137008222</v>
      </c>
      <c r="AL227" s="39">
        <f t="shared" si="240"/>
        <v>70.800000000000011</v>
      </c>
      <c r="AM227" s="39">
        <f t="shared" si="241"/>
        <v>70.800000000000011</v>
      </c>
      <c r="AN227" s="39">
        <f t="shared" si="242"/>
        <v>70.800000000000011</v>
      </c>
      <c r="AO227" s="39">
        <f t="shared" si="181"/>
        <v>0</v>
      </c>
      <c r="AP227" s="39">
        <f t="shared" si="182"/>
        <v>0</v>
      </c>
      <c r="AQ227" s="39">
        <f t="shared" si="183"/>
        <v>0</v>
      </c>
      <c r="AR227" s="39">
        <f t="shared" si="184"/>
        <v>0</v>
      </c>
      <c r="AS227" s="39">
        <f t="shared" si="185"/>
        <v>0</v>
      </c>
      <c r="AT227" s="39">
        <f t="shared" si="186"/>
        <v>0</v>
      </c>
      <c r="AU227" s="39">
        <f t="shared" si="187"/>
        <v>0</v>
      </c>
      <c r="AV227" s="39">
        <f t="shared" si="188"/>
        <v>0</v>
      </c>
      <c r="AW227" s="39">
        <f t="shared" si="189"/>
        <v>0</v>
      </c>
      <c r="AX227" s="39">
        <f t="shared" si="190"/>
        <v>0</v>
      </c>
      <c r="AY227" s="39">
        <f t="shared" si="191"/>
        <v>0</v>
      </c>
      <c r="AZ227" s="39">
        <f t="shared" si="192"/>
        <v>0</v>
      </c>
      <c r="BA227" s="39">
        <f t="shared" si="193"/>
        <v>0</v>
      </c>
      <c r="BB227" s="39">
        <f t="shared" si="194"/>
        <v>0</v>
      </c>
      <c r="BC227" s="39">
        <f t="shared" si="195"/>
        <v>0</v>
      </c>
      <c r="BD227" s="39">
        <f t="shared" si="196"/>
        <v>0</v>
      </c>
      <c r="BE227" s="39">
        <f t="shared" si="197"/>
        <v>0</v>
      </c>
      <c r="BF227" s="39">
        <f t="shared" si="198"/>
        <v>0</v>
      </c>
      <c r="BG227" s="39">
        <f t="shared" si="199"/>
        <v>0</v>
      </c>
      <c r="BH227" s="84">
        <f t="shared" si="200"/>
        <v>0.5</v>
      </c>
      <c r="BI227" s="84">
        <f t="shared" si="201"/>
        <v>0.78000000000000025</v>
      </c>
      <c r="BJ227" s="84">
        <f t="shared" si="202"/>
        <v>1.0341587413473996</v>
      </c>
      <c r="BK227" s="39">
        <f t="shared" si="203"/>
        <v>49.079916789272161</v>
      </c>
      <c r="BL227" s="39">
        <f t="shared" si="204"/>
        <v>66</v>
      </c>
      <c r="BM227" s="39">
        <f t="shared" si="205"/>
        <v>63.999999999999986</v>
      </c>
      <c r="BN227" s="39">
        <f t="shared" si="206"/>
        <v>87.000000000000014</v>
      </c>
      <c r="BO227" s="39">
        <f t="shared" si="207"/>
        <v>83.281821137008222</v>
      </c>
      <c r="BP227" s="39">
        <f t="shared" si="208"/>
        <v>70.800000000000011</v>
      </c>
      <c r="BQ227" s="39">
        <f t="shared" si="209"/>
        <v>70.800000000000011</v>
      </c>
      <c r="BR227" s="39">
        <f t="shared" si="210"/>
        <v>70.800000000000011</v>
      </c>
      <c r="BS227" s="39">
        <f t="shared" si="211"/>
        <v>0</v>
      </c>
      <c r="BT227" s="39">
        <f t="shared" si="212"/>
        <v>0</v>
      </c>
      <c r="BU227" s="39">
        <f t="shared" si="213"/>
        <v>0</v>
      </c>
      <c r="BV227" s="39">
        <f t="shared" si="214"/>
        <v>0</v>
      </c>
      <c r="BW227" s="39">
        <f t="shared" si="215"/>
        <v>0</v>
      </c>
      <c r="BX227" s="39">
        <f t="shared" si="216"/>
        <v>0</v>
      </c>
      <c r="BY227" s="39">
        <f t="shared" si="217"/>
        <v>0</v>
      </c>
      <c r="BZ227" s="39">
        <f t="shared" si="218"/>
        <v>0</v>
      </c>
      <c r="CA227" s="39">
        <f t="shared" si="219"/>
        <v>49.079916789272161</v>
      </c>
      <c r="CB227" s="39">
        <f t="shared" si="220"/>
        <v>66</v>
      </c>
      <c r="CC227" s="39">
        <f t="shared" si="221"/>
        <v>63.999999999999986</v>
      </c>
      <c r="CD227" s="39">
        <f t="shared" si="222"/>
        <v>87.000000000000014</v>
      </c>
      <c r="CE227" s="39">
        <f t="shared" si="223"/>
        <v>83.281821137008222</v>
      </c>
      <c r="CF227" s="39">
        <f t="shared" si="224"/>
        <v>70.800000000000011</v>
      </c>
      <c r="CG227" s="39">
        <f t="shared" si="225"/>
        <v>70.800000000000011</v>
      </c>
      <c r="CH227" s="39">
        <f t="shared" si="226"/>
        <v>70.800000000000011</v>
      </c>
      <c r="CI227" s="39">
        <f t="shared" si="227"/>
        <v>0</v>
      </c>
      <c r="CJ227" s="39">
        <f t="shared" si="228"/>
        <v>0</v>
      </c>
      <c r="CK227" s="39">
        <f t="shared" si="229"/>
        <v>0</v>
      </c>
      <c r="CL227" s="39">
        <f t="shared" si="230"/>
        <v>0</v>
      </c>
      <c r="CM227" s="39">
        <f t="shared" si="231"/>
        <v>0</v>
      </c>
      <c r="CN227" s="39">
        <f t="shared" si="232"/>
        <v>0</v>
      </c>
      <c r="CO227" s="39">
        <f t="shared" si="233"/>
        <v>0</v>
      </c>
      <c r="CP227" s="39">
        <f t="shared" si="234"/>
        <v>0</v>
      </c>
    </row>
    <row r="228" spans="2:94" ht="16" customHeight="1" x14ac:dyDescent="0.2">
      <c r="B228" s="38"/>
      <c r="L228" s="63">
        <v>30540</v>
      </c>
      <c r="M228" s="38">
        <v>0.2</v>
      </c>
      <c r="N228" s="38">
        <v>1.9</v>
      </c>
      <c r="O228" s="39">
        <v>0</v>
      </c>
      <c r="P228" s="39">
        <v>0</v>
      </c>
      <c r="Q228" s="46">
        <f t="shared" si="165"/>
        <v>0.11132449299471858</v>
      </c>
      <c r="R228" s="81">
        <f t="shared" si="166"/>
        <v>0</v>
      </c>
      <c r="S228" s="82">
        <f t="shared" si="167"/>
        <v>0.2</v>
      </c>
      <c r="T228" s="39">
        <f t="shared" si="168"/>
        <v>0</v>
      </c>
      <c r="U228" s="83">
        <f t="shared" si="169"/>
        <v>0</v>
      </c>
      <c r="V228" s="84">
        <f t="shared" si="170"/>
        <v>1.52</v>
      </c>
      <c r="W228" s="52">
        <f t="shared" si="171"/>
        <v>117.07991678927215</v>
      </c>
      <c r="X228" s="52">
        <f t="shared" si="172"/>
        <v>154.68182113700823</v>
      </c>
      <c r="Y228" s="52">
        <f t="shared" si="173"/>
        <v>271.76173792628038</v>
      </c>
      <c r="Z228" s="53">
        <f t="shared" si="174"/>
        <v>0.91468684991618865</v>
      </c>
      <c r="AA228" s="53">
        <f t="shared" si="175"/>
        <v>0.92072512581552513</v>
      </c>
      <c r="AB228" s="53">
        <f t="shared" si="176"/>
        <v>0.91811397948067697</v>
      </c>
      <c r="AC228" s="39" t="str">
        <f t="shared" si="177"/>
        <v>No</v>
      </c>
      <c r="AD228" s="85">
        <f t="shared" si="178"/>
        <v>0</v>
      </c>
      <c r="AE228" s="46">
        <f t="shared" si="179"/>
        <v>1</v>
      </c>
      <c r="AF228" s="46">
        <f t="shared" si="180"/>
        <v>0</v>
      </c>
      <c r="AG228" s="39">
        <f t="shared" si="235"/>
        <v>49.079916789272161</v>
      </c>
      <c r="AH228" s="39">
        <f t="shared" si="236"/>
        <v>66</v>
      </c>
      <c r="AI228" s="39">
        <f t="shared" si="237"/>
        <v>63.999999999999986</v>
      </c>
      <c r="AJ228" s="39">
        <f t="shared" si="238"/>
        <v>87.000000000000014</v>
      </c>
      <c r="AK228" s="39">
        <f t="shared" si="239"/>
        <v>83.281821137008222</v>
      </c>
      <c r="AL228" s="39">
        <f t="shared" si="240"/>
        <v>70.800000000000011</v>
      </c>
      <c r="AM228" s="39">
        <f t="shared" si="241"/>
        <v>70.800000000000011</v>
      </c>
      <c r="AN228" s="39">
        <f t="shared" si="242"/>
        <v>70.800000000000011</v>
      </c>
      <c r="AO228" s="39">
        <f t="shared" si="181"/>
        <v>0</v>
      </c>
      <c r="AP228" s="39">
        <f t="shared" si="182"/>
        <v>0</v>
      </c>
      <c r="AQ228" s="39">
        <f t="shared" si="183"/>
        <v>0</v>
      </c>
      <c r="AR228" s="39">
        <f t="shared" si="184"/>
        <v>0</v>
      </c>
      <c r="AS228" s="39">
        <f t="shared" si="185"/>
        <v>0</v>
      </c>
      <c r="AT228" s="39">
        <f t="shared" si="186"/>
        <v>0</v>
      </c>
      <c r="AU228" s="39">
        <f t="shared" si="187"/>
        <v>0</v>
      </c>
      <c r="AV228" s="39">
        <f t="shared" si="188"/>
        <v>0</v>
      </c>
      <c r="AW228" s="39">
        <f t="shared" si="189"/>
        <v>0</v>
      </c>
      <c r="AX228" s="39">
        <f t="shared" si="190"/>
        <v>0</v>
      </c>
      <c r="AY228" s="39">
        <f t="shared" si="191"/>
        <v>0</v>
      </c>
      <c r="AZ228" s="39">
        <f t="shared" si="192"/>
        <v>0</v>
      </c>
      <c r="BA228" s="39">
        <f t="shared" si="193"/>
        <v>0</v>
      </c>
      <c r="BB228" s="39">
        <f t="shared" si="194"/>
        <v>0</v>
      </c>
      <c r="BC228" s="39">
        <f t="shared" si="195"/>
        <v>0</v>
      </c>
      <c r="BD228" s="39">
        <f t="shared" si="196"/>
        <v>0</v>
      </c>
      <c r="BE228" s="39">
        <f t="shared" si="197"/>
        <v>0</v>
      </c>
      <c r="BF228" s="39">
        <f t="shared" si="198"/>
        <v>0</v>
      </c>
      <c r="BG228" s="39">
        <f t="shared" si="199"/>
        <v>0</v>
      </c>
      <c r="BH228" s="84">
        <f t="shared" si="200"/>
        <v>0.2</v>
      </c>
      <c r="BI228" s="84">
        <f t="shared" si="201"/>
        <v>1.32</v>
      </c>
      <c r="BJ228" s="84">
        <f t="shared" si="202"/>
        <v>1.002082083403314</v>
      </c>
      <c r="BK228" s="39">
        <f t="shared" si="203"/>
        <v>48.077834705868845</v>
      </c>
      <c r="BL228" s="39">
        <f t="shared" si="204"/>
        <v>66</v>
      </c>
      <c r="BM228" s="39">
        <f t="shared" si="205"/>
        <v>63.999999999999986</v>
      </c>
      <c r="BN228" s="39">
        <f t="shared" si="206"/>
        <v>87.000000000000014</v>
      </c>
      <c r="BO228" s="39">
        <f t="shared" si="207"/>
        <v>83.281821137008222</v>
      </c>
      <c r="BP228" s="39">
        <f t="shared" si="208"/>
        <v>70.800000000000011</v>
      </c>
      <c r="BQ228" s="39">
        <f t="shared" si="209"/>
        <v>70.800000000000011</v>
      </c>
      <c r="BR228" s="39">
        <f t="shared" si="210"/>
        <v>70.800000000000011</v>
      </c>
      <c r="BS228" s="39">
        <f t="shared" si="211"/>
        <v>0</v>
      </c>
      <c r="BT228" s="39">
        <f t="shared" si="212"/>
        <v>0</v>
      </c>
      <c r="BU228" s="39">
        <f t="shared" si="213"/>
        <v>0</v>
      </c>
      <c r="BV228" s="39">
        <f t="shared" si="214"/>
        <v>0</v>
      </c>
      <c r="BW228" s="39">
        <f t="shared" si="215"/>
        <v>0</v>
      </c>
      <c r="BX228" s="39">
        <f t="shared" si="216"/>
        <v>0</v>
      </c>
      <c r="BY228" s="39">
        <f t="shared" si="217"/>
        <v>0</v>
      </c>
      <c r="BZ228" s="39">
        <f t="shared" si="218"/>
        <v>0</v>
      </c>
      <c r="CA228" s="39">
        <f t="shared" si="219"/>
        <v>48.077834705868845</v>
      </c>
      <c r="CB228" s="39">
        <f t="shared" si="220"/>
        <v>66</v>
      </c>
      <c r="CC228" s="39">
        <f t="shared" si="221"/>
        <v>63.999999999999986</v>
      </c>
      <c r="CD228" s="39">
        <f t="shared" si="222"/>
        <v>87.000000000000014</v>
      </c>
      <c r="CE228" s="39">
        <f t="shared" si="223"/>
        <v>83.281821137008222</v>
      </c>
      <c r="CF228" s="39">
        <f t="shared" si="224"/>
        <v>70.800000000000011</v>
      </c>
      <c r="CG228" s="39">
        <f t="shared" si="225"/>
        <v>70.800000000000011</v>
      </c>
      <c r="CH228" s="39">
        <f t="shared" si="226"/>
        <v>70.800000000000011</v>
      </c>
      <c r="CI228" s="39">
        <f t="shared" si="227"/>
        <v>0</v>
      </c>
      <c r="CJ228" s="39">
        <f t="shared" si="228"/>
        <v>0</v>
      </c>
      <c r="CK228" s="39">
        <f t="shared" si="229"/>
        <v>0</v>
      </c>
      <c r="CL228" s="39">
        <f t="shared" si="230"/>
        <v>0</v>
      </c>
      <c r="CM228" s="39">
        <f t="shared" si="231"/>
        <v>0</v>
      </c>
      <c r="CN228" s="39">
        <f t="shared" si="232"/>
        <v>0</v>
      </c>
      <c r="CO228" s="39">
        <f t="shared" si="233"/>
        <v>0</v>
      </c>
      <c r="CP228" s="39">
        <f t="shared" si="234"/>
        <v>0</v>
      </c>
    </row>
    <row r="229" spans="2:94" ht="16" customHeight="1" x14ac:dyDescent="0.2">
      <c r="B229" s="38"/>
      <c r="L229" s="63">
        <v>30541</v>
      </c>
      <c r="M229" s="38">
        <v>0</v>
      </c>
      <c r="N229" s="38">
        <v>1.7</v>
      </c>
      <c r="O229" s="39">
        <v>0</v>
      </c>
      <c r="P229" s="39">
        <v>0</v>
      </c>
      <c r="Q229" s="46">
        <f t="shared" si="165"/>
        <v>0.11335574046107665</v>
      </c>
      <c r="R229" s="81">
        <f t="shared" si="166"/>
        <v>0</v>
      </c>
      <c r="S229" s="82">
        <f t="shared" si="167"/>
        <v>0</v>
      </c>
      <c r="T229" s="39">
        <f t="shared" si="168"/>
        <v>0</v>
      </c>
      <c r="U229" s="83">
        <f t="shared" si="169"/>
        <v>0</v>
      </c>
      <c r="V229" s="84">
        <f t="shared" si="170"/>
        <v>1.36</v>
      </c>
      <c r="W229" s="52">
        <f t="shared" si="171"/>
        <v>116.07783470586884</v>
      </c>
      <c r="X229" s="52">
        <f t="shared" si="172"/>
        <v>154.68182113700823</v>
      </c>
      <c r="Y229" s="52">
        <f t="shared" si="173"/>
        <v>270.75965584287707</v>
      </c>
      <c r="Z229" s="53">
        <f t="shared" si="174"/>
        <v>0.9068580836396003</v>
      </c>
      <c r="AA229" s="53">
        <f t="shared" si="175"/>
        <v>0.92072512581552513</v>
      </c>
      <c r="AB229" s="53">
        <f t="shared" si="176"/>
        <v>0.91472856703674688</v>
      </c>
      <c r="AC229" s="39" t="str">
        <f t="shared" si="177"/>
        <v>No</v>
      </c>
      <c r="AD229" s="85">
        <f t="shared" si="178"/>
        <v>0</v>
      </c>
      <c r="AE229" s="46">
        <f t="shared" si="179"/>
        <v>1</v>
      </c>
      <c r="AF229" s="46">
        <f t="shared" si="180"/>
        <v>0</v>
      </c>
      <c r="AG229" s="39">
        <f t="shared" si="235"/>
        <v>48.077834705868845</v>
      </c>
      <c r="AH229" s="39">
        <f t="shared" si="236"/>
        <v>66</v>
      </c>
      <c r="AI229" s="39">
        <f t="shared" si="237"/>
        <v>63.999999999999986</v>
      </c>
      <c r="AJ229" s="39">
        <f t="shared" si="238"/>
        <v>87.000000000000014</v>
      </c>
      <c r="AK229" s="39">
        <f t="shared" si="239"/>
        <v>83.281821137008222</v>
      </c>
      <c r="AL229" s="39">
        <f t="shared" si="240"/>
        <v>70.800000000000011</v>
      </c>
      <c r="AM229" s="39">
        <f t="shared" si="241"/>
        <v>70.800000000000011</v>
      </c>
      <c r="AN229" s="39">
        <f t="shared" si="242"/>
        <v>70.800000000000011</v>
      </c>
      <c r="AO229" s="39">
        <f t="shared" si="181"/>
        <v>0</v>
      </c>
      <c r="AP229" s="39">
        <f t="shared" si="182"/>
        <v>0</v>
      </c>
      <c r="AQ229" s="39">
        <f t="shared" si="183"/>
        <v>0</v>
      </c>
      <c r="AR229" s="39">
        <f t="shared" si="184"/>
        <v>0</v>
      </c>
      <c r="AS229" s="39">
        <f t="shared" si="185"/>
        <v>0</v>
      </c>
      <c r="AT229" s="39">
        <f t="shared" si="186"/>
        <v>0</v>
      </c>
      <c r="AU229" s="39">
        <f t="shared" si="187"/>
        <v>0</v>
      </c>
      <c r="AV229" s="39">
        <f t="shared" si="188"/>
        <v>0</v>
      </c>
      <c r="AW229" s="39">
        <f t="shared" si="189"/>
        <v>0</v>
      </c>
      <c r="AX229" s="39">
        <f t="shared" si="190"/>
        <v>0</v>
      </c>
      <c r="AY229" s="39">
        <f t="shared" si="191"/>
        <v>0</v>
      </c>
      <c r="AZ229" s="39">
        <f t="shared" si="192"/>
        <v>0</v>
      </c>
      <c r="BA229" s="39">
        <f t="shared" si="193"/>
        <v>0</v>
      </c>
      <c r="BB229" s="39">
        <f t="shared" si="194"/>
        <v>0</v>
      </c>
      <c r="BC229" s="39">
        <f t="shared" si="195"/>
        <v>0</v>
      </c>
      <c r="BD229" s="39">
        <f t="shared" si="196"/>
        <v>0</v>
      </c>
      <c r="BE229" s="39">
        <f t="shared" si="197"/>
        <v>0</v>
      </c>
      <c r="BF229" s="39">
        <f t="shared" si="198"/>
        <v>0</v>
      </c>
      <c r="BG229" s="39">
        <f t="shared" si="199"/>
        <v>0</v>
      </c>
      <c r="BH229" s="84">
        <f t="shared" si="200"/>
        <v>0</v>
      </c>
      <c r="BI229" s="84">
        <f t="shared" si="201"/>
        <v>1.36</v>
      </c>
      <c r="BJ229" s="84">
        <f t="shared" si="202"/>
        <v>0.73339505990410148</v>
      </c>
      <c r="BK229" s="39">
        <f t="shared" si="203"/>
        <v>47.344439645964741</v>
      </c>
      <c r="BL229" s="39">
        <f t="shared" si="204"/>
        <v>66</v>
      </c>
      <c r="BM229" s="39">
        <f t="shared" si="205"/>
        <v>63.999999999999986</v>
      </c>
      <c r="BN229" s="39">
        <f t="shared" si="206"/>
        <v>87.000000000000014</v>
      </c>
      <c r="BO229" s="39">
        <f t="shared" si="207"/>
        <v>83.281821137008222</v>
      </c>
      <c r="BP229" s="39">
        <f t="shared" si="208"/>
        <v>70.800000000000011</v>
      </c>
      <c r="BQ229" s="39">
        <f t="shared" si="209"/>
        <v>70.800000000000011</v>
      </c>
      <c r="BR229" s="39">
        <f t="shared" si="210"/>
        <v>70.800000000000011</v>
      </c>
      <c r="BS229" s="39">
        <f t="shared" si="211"/>
        <v>0</v>
      </c>
      <c r="BT229" s="39">
        <f t="shared" si="212"/>
        <v>0</v>
      </c>
      <c r="BU229" s="39">
        <f t="shared" si="213"/>
        <v>0</v>
      </c>
      <c r="BV229" s="39">
        <f t="shared" si="214"/>
        <v>0</v>
      </c>
      <c r="BW229" s="39">
        <f t="shared" si="215"/>
        <v>0</v>
      </c>
      <c r="BX229" s="39">
        <f t="shared" si="216"/>
        <v>0</v>
      </c>
      <c r="BY229" s="39">
        <f t="shared" si="217"/>
        <v>0</v>
      </c>
      <c r="BZ229" s="39">
        <f t="shared" si="218"/>
        <v>0</v>
      </c>
      <c r="CA229" s="39">
        <f t="shared" si="219"/>
        <v>47.344439645964741</v>
      </c>
      <c r="CB229" s="39">
        <f t="shared" si="220"/>
        <v>66</v>
      </c>
      <c r="CC229" s="39">
        <f t="shared" si="221"/>
        <v>63.999999999999986</v>
      </c>
      <c r="CD229" s="39">
        <f t="shared" si="222"/>
        <v>87.000000000000014</v>
      </c>
      <c r="CE229" s="39">
        <f t="shared" si="223"/>
        <v>83.281821137008222</v>
      </c>
      <c r="CF229" s="39">
        <f t="shared" si="224"/>
        <v>70.800000000000011</v>
      </c>
      <c r="CG229" s="39">
        <f t="shared" si="225"/>
        <v>70.800000000000011</v>
      </c>
      <c r="CH229" s="39">
        <f t="shared" si="226"/>
        <v>70.800000000000011</v>
      </c>
      <c r="CI229" s="39">
        <f t="shared" si="227"/>
        <v>0</v>
      </c>
      <c r="CJ229" s="39">
        <f t="shared" si="228"/>
        <v>0</v>
      </c>
      <c r="CK229" s="39">
        <f t="shared" si="229"/>
        <v>0</v>
      </c>
      <c r="CL229" s="39">
        <f t="shared" si="230"/>
        <v>0</v>
      </c>
      <c r="CM229" s="39">
        <f t="shared" si="231"/>
        <v>0</v>
      </c>
      <c r="CN229" s="39">
        <f t="shared" si="232"/>
        <v>0</v>
      </c>
      <c r="CO229" s="39">
        <f t="shared" si="233"/>
        <v>0</v>
      </c>
      <c r="CP229" s="39">
        <f t="shared" si="234"/>
        <v>0</v>
      </c>
    </row>
    <row r="230" spans="2:94" ht="16" customHeight="1" x14ac:dyDescent="0.2">
      <c r="B230" s="38"/>
      <c r="L230" s="63">
        <v>30542</v>
      </c>
      <c r="M230" s="38">
        <v>0</v>
      </c>
      <c r="N230" s="38">
        <v>1.8</v>
      </c>
      <c r="O230" s="39">
        <v>0</v>
      </c>
      <c r="P230" s="39">
        <v>0</v>
      </c>
      <c r="Q230" s="46">
        <f t="shared" si="165"/>
        <v>0.11484235206899039</v>
      </c>
      <c r="R230" s="81">
        <f t="shared" si="166"/>
        <v>0</v>
      </c>
      <c r="S230" s="82">
        <f t="shared" si="167"/>
        <v>0</v>
      </c>
      <c r="T230" s="39">
        <f t="shared" si="168"/>
        <v>0</v>
      </c>
      <c r="U230" s="83">
        <f t="shared" si="169"/>
        <v>0</v>
      </c>
      <c r="V230" s="84">
        <f t="shared" si="170"/>
        <v>1.4400000000000002</v>
      </c>
      <c r="W230" s="52">
        <f t="shared" si="171"/>
        <v>115.34443964596471</v>
      </c>
      <c r="X230" s="52">
        <f t="shared" si="172"/>
        <v>154.68182113700823</v>
      </c>
      <c r="Y230" s="52">
        <f t="shared" si="173"/>
        <v>270.02626078297294</v>
      </c>
      <c r="Z230" s="53">
        <f t="shared" si="174"/>
        <v>0.90112843473409932</v>
      </c>
      <c r="AA230" s="53">
        <f t="shared" si="175"/>
        <v>0.92072512581552513</v>
      </c>
      <c r="AB230" s="53">
        <f t="shared" si="176"/>
        <v>0.91225088102355723</v>
      </c>
      <c r="AC230" s="39" t="str">
        <f t="shared" si="177"/>
        <v>No</v>
      </c>
      <c r="AD230" s="85">
        <f t="shared" si="178"/>
        <v>0</v>
      </c>
      <c r="AE230" s="46">
        <f t="shared" si="179"/>
        <v>1</v>
      </c>
      <c r="AF230" s="46">
        <f t="shared" si="180"/>
        <v>0</v>
      </c>
      <c r="AG230" s="39">
        <f t="shared" si="235"/>
        <v>47.344439645964741</v>
      </c>
      <c r="AH230" s="39">
        <f t="shared" si="236"/>
        <v>66</v>
      </c>
      <c r="AI230" s="39">
        <f t="shared" si="237"/>
        <v>63.999999999999986</v>
      </c>
      <c r="AJ230" s="39">
        <f t="shared" si="238"/>
        <v>87.000000000000014</v>
      </c>
      <c r="AK230" s="39">
        <f t="shared" si="239"/>
        <v>83.281821137008222</v>
      </c>
      <c r="AL230" s="39">
        <f t="shared" si="240"/>
        <v>70.800000000000011</v>
      </c>
      <c r="AM230" s="39">
        <f t="shared" si="241"/>
        <v>70.800000000000011</v>
      </c>
      <c r="AN230" s="39">
        <f t="shared" si="242"/>
        <v>70.800000000000011</v>
      </c>
      <c r="AO230" s="39">
        <f t="shared" si="181"/>
        <v>0</v>
      </c>
      <c r="AP230" s="39">
        <f t="shared" si="182"/>
        <v>0</v>
      </c>
      <c r="AQ230" s="39">
        <f t="shared" si="183"/>
        <v>0</v>
      </c>
      <c r="AR230" s="39">
        <f t="shared" si="184"/>
        <v>0</v>
      </c>
      <c r="AS230" s="39">
        <f t="shared" si="185"/>
        <v>0</v>
      </c>
      <c r="AT230" s="39">
        <f t="shared" si="186"/>
        <v>0</v>
      </c>
      <c r="AU230" s="39">
        <f t="shared" si="187"/>
        <v>0</v>
      </c>
      <c r="AV230" s="39">
        <f t="shared" si="188"/>
        <v>0</v>
      </c>
      <c r="AW230" s="39">
        <f t="shared" si="189"/>
        <v>0</v>
      </c>
      <c r="AX230" s="39">
        <f t="shared" si="190"/>
        <v>0</v>
      </c>
      <c r="AY230" s="39">
        <f t="shared" si="191"/>
        <v>0</v>
      </c>
      <c r="AZ230" s="39">
        <f t="shared" si="192"/>
        <v>0</v>
      </c>
      <c r="BA230" s="39">
        <f t="shared" si="193"/>
        <v>0</v>
      </c>
      <c r="BB230" s="39">
        <f t="shared" si="194"/>
        <v>0</v>
      </c>
      <c r="BC230" s="39">
        <f t="shared" si="195"/>
        <v>0</v>
      </c>
      <c r="BD230" s="39">
        <f t="shared" si="196"/>
        <v>0</v>
      </c>
      <c r="BE230" s="39">
        <f t="shared" si="197"/>
        <v>0</v>
      </c>
      <c r="BF230" s="39">
        <f t="shared" si="198"/>
        <v>0</v>
      </c>
      <c r="BG230" s="39">
        <f t="shared" si="199"/>
        <v>0</v>
      </c>
      <c r="BH230" s="84">
        <f t="shared" si="200"/>
        <v>0</v>
      </c>
      <c r="BI230" s="84">
        <f t="shared" si="201"/>
        <v>1.4400000000000002</v>
      </c>
      <c r="BJ230" s="84">
        <f t="shared" si="202"/>
        <v>0.70992390407042938</v>
      </c>
      <c r="BK230" s="39">
        <f t="shared" si="203"/>
        <v>46.634515741894312</v>
      </c>
      <c r="BL230" s="39">
        <f t="shared" si="204"/>
        <v>66</v>
      </c>
      <c r="BM230" s="39">
        <f t="shared" si="205"/>
        <v>63.999999999999986</v>
      </c>
      <c r="BN230" s="39">
        <f t="shared" si="206"/>
        <v>87.000000000000014</v>
      </c>
      <c r="BO230" s="39">
        <f t="shared" si="207"/>
        <v>83.281821137008222</v>
      </c>
      <c r="BP230" s="39">
        <f t="shared" si="208"/>
        <v>70.800000000000011</v>
      </c>
      <c r="BQ230" s="39">
        <f t="shared" si="209"/>
        <v>70.800000000000011</v>
      </c>
      <c r="BR230" s="39">
        <f t="shared" si="210"/>
        <v>70.800000000000011</v>
      </c>
      <c r="BS230" s="39">
        <f t="shared" si="211"/>
        <v>0</v>
      </c>
      <c r="BT230" s="39">
        <f t="shared" si="212"/>
        <v>0</v>
      </c>
      <c r="BU230" s="39">
        <f t="shared" si="213"/>
        <v>0</v>
      </c>
      <c r="BV230" s="39">
        <f t="shared" si="214"/>
        <v>0</v>
      </c>
      <c r="BW230" s="39">
        <f t="shared" si="215"/>
        <v>0</v>
      </c>
      <c r="BX230" s="39">
        <f t="shared" si="216"/>
        <v>0</v>
      </c>
      <c r="BY230" s="39">
        <f t="shared" si="217"/>
        <v>0</v>
      </c>
      <c r="BZ230" s="39">
        <f t="shared" si="218"/>
        <v>0</v>
      </c>
      <c r="CA230" s="39">
        <f t="shared" si="219"/>
        <v>46.634515741894312</v>
      </c>
      <c r="CB230" s="39">
        <f t="shared" si="220"/>
        <v>66</v>
      </c>
      <c r="CC230" s="39">
        <f t="shared" si="221"/>
        <v>63.999999999999986</v>
      </c>
      <c r="CD230" s="39">
        <f t="shared" si="222"/>
        <v>87.000000000000014</v>
      </c>
      <c r="CE230" s="39">
        <f t="shared" si="223"/>
        <v>83.281821137008222</v>
      </c>
      <c r="CF230" s="39">
        <f t="shared" si="224"/>
        <v>70.800000000000011</v>
      </c>
      <c r="CG230" s="39">
        <f t="shared" si="225"/>
        <v>70.800000000000011</v>
      </c>
      <c r="CH230" s="39">
        <f t="shared" si="226"/>
        <v>70.800000000000011</v>
      </c>
      <c r="CI230" s="39">
        <f t="shared" si="227"/>
        <v>0</v>
      </c>
      <c r="CJ230" s="39">
        <f t="shared" si="228"/>
        <v>0</v>
      </c>
      <c r="CK230" s="39">
        <f t="shared" si="229"/>
        <v>0</v>
      </c>
      <c r="CL230" s="39">
        <f t="shared" si="230"/>
        <v>0</v>
      </c>
      <c r="CM230" s="39">
        <f t="shared" si="231"/>
        <v>0</v>
      </c>
      <c r="CN230" s="39">
        <f t="shared" si="232"/>
        <v>0</v>
      </c>
      <c r="CO230" s="39">
        <f t="shared" si="233"/>
        <v>0</v>
      </c>
      <c r="CP230" s="39">
        <f t="shared" si="234"/>
        <v>0</v>
      </c>
    </row>
    <row r="231" spans="2:94" ht="16" customHeight="1" x14ac:dyDescent="0.2">
      <c r="B231" s="38"/>
      <c r="L231" s="63">
        <v>30543</v>
      </c>
      <c r="M231" s="38">
        <v>0</v>
      </c>
      <c r="N231" s="38">
        <v>2.4</v>
      </c>
      <c r="O231" s="39">
        <v>0</v>
      </c>
      <c r="P231" s="39">
        <v>0</v>
      </c>
      <c r="Q231" s="46">
        <f t="shared" si="165"/>
        <v>0.11628138700967368</v>
      </c>
      <c r="R231" s="81">
        <f t="shared" si="166"/>
        <v>0</v>
      </c>
      <c r="S231" s="82">
        <f t="shared" si="167"/>
        <v>0</v>
      </c>
      <c r="T231" s="39">
        <f t="shared" si="168"/>
        <v>0</v>
      </c>
      <c r="U231" s="83">
        <f t="shared" si="169"/>
        <v>0</v>
      </c>
      <c r="V231" s="84">
        <f t="shared" si="170"/>
        <v>1.92</v>
      </c>
      <c r="W231" s="52">
        <f t="shared" si="171"/>
        <v>114.63451574189429</v>
      </c>
      <c r="X231" s="52">
        <f t="shared" si="172"/>
        <v>154.68182113700823</v>
      </c>
      <c r="Y231" s="52">
        <f t="shared" si="173"/>
        <v>269.31633687890252</v>
      </c>
      <c r="Z231" s="53">
        <f t="shared" si="174"/>
        <v>0.89558215423354914</v>
      </c>
      <c r="AA231" s="53">
        <f t="shared" si="175"/>
        <v>0.92072512581552513</v>
      </c>
      <c r="AB231" s="53">
        <f t="shared" si="176"/>
        <v>0.9098524894557517</v>
      </c>
      <c r="AC231" s="39" t="str">
        <f t="shared" si="177"/>
        <v>No</v>
      </c>
      <c r="AD231" s="85">
        <f t="shared" si="178"/>
        <v>0</v>
      </c>
      <c r="AE231" s="46">
        <f t="shared" si="179"/>
        <v>1</v>
      </c>
      <c r="AF231" s="46">
        <f t="shared" si="180"/>
        <v>0</v>
      </c>
      <c r="AG231" s="39">
        <f t="shared" si="235"/>
        <v>46.634515741894312</v>
      </c>
      <c r="AH231" s="39">
        <f t="shared" si="236"/>
        <v>66</v>
      </c>
      <c r="AI231" s="39">
        <f t="shared" si="237"/>
        <v>63.999999999999986</v>
      </c>
      <c r="AJ231" s="39">
        <f t="shared" si="238"/>
        <v>87.000000000000014</v>
      </c>
      <c r="AK231" s="39">
        <f t="shared" si="239"/>
        <v>83.281821137008222</v>
      </c>
      <c r="AL231" s="39">
        <f t="shared" si="240"/>
        <v>70.800000000000011</v>
      </c>
      <c r="AM231" s="39">
        <f t="shared" si="241"/>
        <v>70.800000000000011</v>
      </c>
      <c r="AN231" s="39">
        <f t="shared" si="242"/>
        <v>70.800000000000011</v>
      </c>
      <c r="AO231" s="39">
        <f t="shared" si="181"/>
        <v>0</v>
      </c>
      <c r="AP231" s="39">
        <f t="shared" si="182"/>
        <v>0</v>
      </c>
      <c r="AQ231" s="39">
        <f t="shared" si="183"/>
        <v>0</v>
      </c>
      <c r="AR231" s="39">
        <f t="shared" si="184"/>
        <v>0</v>
      </c>
      <c r="AS231" s="39">
        <f t="shared" si="185"/>
        <v>0</v>
      </c>
      <c r="AT231" s="39">
        <f t="shared" si="186"/>
        <v>0</v>
      </c>
      <c r="AU231" s="39">
        <f t="shared" si="187"/>
        <v>0</v>
      </c>
      <c r="AV231" s="39">
        <f t="shared" si="188"/>
        <v>0</v>
      </c>
      <c r="AW231" s="39">
        <f t="shared" si="189"/>
        <v>0</v>
      </c>
      <c r="AX231" s="39">
        <f t="shared" si="190"/>
        <v>0</v>
      </c>
      <c r="AY231" s="39">
        <f t="shared" si="191"/>
        <v>0</v>
      </c>
      <c r="AZ231" s="39">
        <f t="shared" si="192"/>
        <v>0</v>
      </c>
      <c r="BA231" s="39">
        <f t="shared" si="193"/>
        <v>0</v>
      </c>
      <c r="BB231" s="39">
        <f t="shared" si="194"/>
        <v>0</v>
      </c>
      <c r="BC231" s="39">
        <f t="shared" si="195"/>
        <v>0</v>
      </c>
      <c r="BD231" s="39">
        <f t="shared" si="196"/>
        <v>0</v>
      </c>
      <c r="BE231" s="39">
        <f t="shared" si="197"/>
        <v>0</v>
      </c>
      <c r="BF231" s="39">
        <f t="shared" si="198"/>
        <v>0</v>
      </c>
      <c r="BG231" s="39">
        <f t="shared" si="199"/>
        <v>0</v>
      </c>
      <c r="BH231" s="84">
        <f t="shared" si="200"/>
        <v>0</v>
      </c>
      <c r="BI231" s="84">
        <f t="shared" si="201"/>
        <v>1.92</v>
      </c>
      <c r="BJ231" s="84">
        <f t="shared" si="202"/>
        <v>0.86615730571578575</v>
      </c>
      <c r="BK231" s="39">
        <f t="shared" si="203"/>
        <v>45.768358436178524</v>
      </c>
      <c r="BL231" s="39">
        <f t="shared" si="204"/>
        <v>66</v>
      </c>
      <c r="BM231" s="39">
        <f t="shared" si="205"/>
        <v>63.999999999999986</v>
      </c>
      <c r="BN231" s="39">
        <f t="shared" si="206"/>
        <v>87.000000000000014</v>
      </c>
      <c r="BO231" s="39">
        <f t="shared" si="207"/>
        <v>83.281821137008222</v>
      </c>
      <c r="BP231" s="39">
        <f t="shared" si="208"/>
        <v>70.800000000000011</v>
      </c>
      <c r="BQ231" s="39">
        <f t="shared" si="209"/>
        <v>70.800000000000011</v>
      </c>
      <c r="BR231" s="39">
        <f t="shared" si="210"/>
        <v>70.800000000000011</v>
      </c>
      <c r="BS231" s="39">
        <f t="shared" si="211"/>
        <v>0</v>
      </c>
      <c r="BT231" s="39">
        <f t="shared" si="212"/>
        <v>0</v>
      </c>
      <c r="BU231" s="39">
        <f t="shared" si="213"/>
        <v>0</v>
      </c>
      <c r="BV231" s="39">
        <f t="shared" si="214"/>
        <v>0</v>
      </c>
      <c r="BW231" s="39">
        <f t="shared" si="215"/>
        <v>0</v>
      </c>
      <c r="BX231" s="39">
        <f t="shared" si="216"/>
        <v>0</v>
      </c>
      <c r="BY231" s="39">
        <f t="shared" si="217"/>
        <v>0</v>
      </c>
      <c r="BZ231" s="39">
        <f t="shared" si="218"/>
        <v>0</v>
      </c>
      <c r="CA231" s="39">
        <f t="shared" si="219"/>
        <v>45.768358436178524</v>
      </c>
      <c r="CB231" s="39">
        <f t="shared" si="220"/>
        <v>66</v>
      </c>
      <c r="CC231" s="39">
        <f t="shared" si="221"/>
        <v>63.999999999999986</v>
      </c>
      <c r="CD231" s="39">
        <f t="shared" si="222"/>
        <v>87.000000000000014</v>
      </c>
      <c r="CE231" s="39">
        <f t="shared" si="223"/>
        <v>83.281821137008222</v>
      </c>
      <c r="CF231" s="39">
        <f t="shared" si="224"/>
        <v>70.800000000000011</v>
      </c>
      <c r="CG231" s="39">
        <f t="shared" si="225"/>
        <v>70.800000000000011</v>
      </c>
      <c r="CH231" s="39">
        <f t="shared" si="226"/>
        <v>70.800000000000011</v>
      </c>
      <c r="CI231" s="39">
        <f t="shared" si="227"/>
        <v>0</v>
      </c>
      <c r="CJ231" s="39">
        <f t="shared" si="228"/>
        <v>0</v>
      </c>
      <c r="CK231" s="39">
        <f t="shared" si="229"/>
        <v>0</v>
      </c>
      <c r="CL231" s="39">
        <f t="shared" si="230"/>
        <v>0</v>
      </c>
      <c r="CM231" s="39">
        <f t="shared" si="231"/>
        <v>0</v>
      </c>
      <c r="CN231" s="39">
        <f t="shared" si="232"/>
        <v>0</v>
      </c>
      <c r="CO231" s="39">
        <f t="shared" si="233"/>
        <v>0</v>
      </c>
      <c r="CP231" s="39">
        <f t="shared" si="234"/>
        <v>0</v>
      </c>
    </row>
    <row r="232" spans="2:94" ht="16" customHeight="1" x14ac:dyDescent="0.2">
      <c r="B232" s="38"/>
      <c r="L232" s="63">
        <v>30544</v>
      </c>
      <c r="M232" s="38">
        <v>0</v>
      </c>
      <c r="N232" s="38">
        <v>2</v>
      </c>
      <c r="O232" s="39">
        <v>0</v>
      </c>
      <c r="P232" s="39">
        <v>0</v>
      </c>
      <c r="Q232" s="46">
        <f t="shared" si="165"/>
        <v>0.1180371112780165</v>
      </c>
      <c r="R232" s="81">
        <f t="shared" si="166"/>
        <v>0</v>
      </c>
      <c r="S232" s="82">
        <f t="shared" si="167"/>
        <v>0</v>
      </c>
      <c r="T232" s="39">
        <f t="shared" si="168"/>
        <v>0</v>
      </c>
      <c r="U232" s="83">
        <f t="shared" si="169"/>
        <v>0</v>
      </c>
      <c r="V232" s="84">
        <f t="shared" si="170"/>
        <v>1.6</v>
      </c>
      <c r="W232" s="52">
        <f t="shared" si="171"/>
        <v>113.76835843617852</v>
      </c>
      <c r="X232" s="52">
        <f t="shared" si="172"/>
        <v>154.68182113700823</v>
      </c>
      <c r="Y232" s="52">
        <f t="shared" si="173"/>
        <v>268.45017957318674</v>
      </c>
      <c r="Z232" s="53">
        <f t="shared" si="174"/>
        <v>0.88881530028264466</v>
      </c>
      <c r="AA232" s="53">
        <f t="shared" si="175"/>
        <v>0.92072512581552513</v>
      </c>
      <c r="AB232" s="53">
        <f t="shared" si="176"/>
        <v>0.90692628234184713</v>
      </c>
      <c r="AC232" s="39" t="str">
        <f t="shared" si="177"/>
        <v>No</v>
      </c>
      <c r="AD232" s="85">
        <f t="shared" si="178"/>
        <v>0</v>
      </c>
      <c r="AE232" s="46">
        <f t="shared" si="179"/>
        <v>1</v>
      </c>
      <c r="AF232" s="46">
        <f t="shared" si="180"/>
        <v>0</v>
      </c>
      <c r="AG232" s="39">
        <f t="shared" si="235"/>
        <v>45.768358436178524</v>
      </c>
      <c r="AH232" s="39">
        <f t="shared" si="236"/>
        <v>66</v>
      </c>
      <c r="AI232" s="39">
        <f t="shared" si="237"/>
        <v>63.999999999999986</v>
      </c>
      <c r="AJ232" s="39">
        <f t="shared" si="238"/>
        <v>87.000000000000014</v>
      </c>
      <c r="AK232" s="39">
        <f t="shared" si="239"/>
        <v>83.281821137008222</v>
      </c>
      <c r="AL232" s="39">
        <f t="shared" si="240"/>
        <v>70.800000000000011</v>
      </c>
      <c r="AM232" s="39">
        <f t="shared" si="241"/>
        <v>70.800000000000011</v>
      </c>
      <c r="AN232" s="39">
        <f t="shared" si="242"/>
        <v>70.800000000000011</v>
      </c>
      <c r="AO232" s="39">
        <f t="shared" si="181"/>
        <v>0</v>
      </c>
      <c r="AP232" s="39">
        <f t="shared" si="182"/>
        <v>0</v>
      </c>
      <c r="AQ232" s="39">
        <f t="shared" si="183"/>
        <v>0</v>
      </c>
      <c r="AR232" s="39">
        <f t="shared" si="184"/>
        <v>0</v>
      </c>
      <c r="AS232" s="39">
        <f t="shared" si="185"/>
        <v>0</v>
      </c>
      <c r="AT232" s="39">
        <f t="shared" si="186"/>
        <v>0</v>
      </c>
      <c r="AU232" s="39">
        <f t="shared" si="187"/>
        <v>0</v>
      </c>
      <c r="AV232" s="39">
        <f t="shared" si="188"/>
        <v>0</v>
      </c>
      <c r="AW232" s="39">
        <f t="shared" si="189"/>
        <v>0</v>
      </c>
      <c r="AX232" s="39">
        <f t="shared" si="190"/>
        <v>0</v>
      </c>
      <c r="AY232" s="39">
        <f t="shared" si="191"/>
        <v>0</v>
      </c>
      <c r="AZ232" s="39">
        <f t="shared" si="192"/>
        <v>0</v>
      </c>
      <c r="BA232" s="39">
        <f t="shared" si="193"/>
        <v>0</v>
      </c>
      <c r="BB232" s="39">
        <f t="shared" si="194"/>
        <v>0</v>
      </c>
      <c r="BC232" s="39">
        <f t="shared" si="195"/>
        <v>0</v>
      </c>
      <c r="BD232" s="39">
        <f t="shared" si="196"/>
        <v>0</v>
      </c>
      <c r="BE232" s="39">
        <f t="shared" si="197"/>
        <v>0</v>
      </c>
      <c r="BF232" s="39">
        <f t="shared" si="198"/>
        <v>0</v>
      </c>
      <c r="BG232" s="39">
        <f t="shared" si="199"/>
        <v>0</v>
      </c>
      <c r="BH232" s="84">
        <f t="shared" si="200"/>
        <v>0</v>
      </c>
      <c r="BI232" s="84">
        <f t="shared" si="201"/>
        <v>1.6</v>
      </c>
      <c r="BJ232" s="84">
        <f t="shared" si="202"/>
        <v>0.6459338867326635</v>
      </c>
      <c r="BK232" s="39">
        <f t="shared" si="203"/>
        <v>45.12242454944586</v>
      </c>
      <c r="BL232" s="39">
        <f t="shared" si="204"/>
        <v>66</v>
      </c>
      <c r="BM232" s="39">
        <f t="shared" si="205"/>
        <v>63.999999999999986</v>
      </c>
      <c r="BN232" s="39">
        <f t="shared" si="206"/>
        <v>87.000000000000014</v>
      </c>
      <c r="BO232" s="39">
        <f t="shared" si="207"/>
        <v>83.281821137008222</v>
      </c>
      <c r="BP232" s="39">
        <f t="shared" si="208"/>
        <v>70.800000000000011</v>
      </c>
      <c r="BQ232" s="39">
        <f t="shared" si="209"/>
        <v>70.800000000000011</v>
      </c>
      <c r="BR232" s="39">
        <f t="shared" si="210"/>
        <v>70.800000000000011</v>
      </c>
      <c r="BS232" s="39">
        <f t="shared" si="211"/>
        <v>0</v>
      </c>
      <c r="BT232" s="39">
        <f t="shared" si="212"/>
        <v>0</v>
      </c>
      <c r="BU232" s="39">
        <f t="shared" si="213"/>
        <v>0</v>
      </c>
      <c r="BV232" s="39">
        <f t="shared" si="214"/>
        <v>0</v>
      </c>
      <c r="BW232" s="39">
        <f t="shared" si="215"/>
        <v>0</v>
      </c>
      <c r="BX232" s="39">
        <f t="shared" si="216"/>
        <v>0</v>
      </c>
      <c r="BY232" s="39">
        <f t="shared" si="217"/>
        <v>0</v>
      </c>
      <c r="BZ232" s="39">
        <f t="shared" si="218"/>
        <v>0</v>
      </c>
      <c r="CA232" s="39">
        <f t="shared" si="219"/>
        <v>45.12242454944586</v>
      </c>
      <c r="CB232" s="39">
        <f t="shared" si="220"/>
        <v>66</v>
      </c>
      <c r="CC232" s="39">
        <f t="shared" si="221"/>
        <v>63.999999999999986</v>
      </c>
      <c r="CD232" s="39">
        <f t="shared" si="222"/>
        <v>87.000000000000014</v>
      </c>
      <c r="CE232" s="39">
        <f t="shared" si="223"/>
        <v>83.281821137008222</v>
      </c>
      <c r="CF232" s="39">
        <f t="shared" si="224"/>
        <v>70.800000000000011</v>
      </c>
      <c r="CG232" s="39">
        <f t="shared" si="225"/>
        <v>70.800000000000011</v>
      </c>
      <c r="CH232" s="39">
        <f t="shared" si="226"/>
        <v>70.800000000000011</v>
      </c>
      <c r="CI232" s="39">
        <f t="shared" si="227"/>
        <v>0</v>
      </c>
      <c r="CJ232" s="39">
        <f t="shared" si="228"/>
        <v>0</v>
      </c>
      <c r="CK232" s="39">
        <f t="shared" si="229"/>
        <v>0</v>
      </c>
      <c r="CL232" s="39">
        <f t="shared" si="230"/>
        <v>0</v>
      </c>
      <c r="CM232" s="39">
        <f t="shared" si="231"/>
        <v>0</v>
      </c>
      <c r="CN232" s="39">
        <f t="shared" si="232"/>
        <v>0</v>
      </c>
      <c r="CO232" s="39">
        <f t="shared" si="233"/>
        <v>0</v>
      </c>
      <c r="CP232" s="39">
        <f t="shared" si="234"/>
        <v>0</v>
      </c>
    </row>
    <row r="233" spans="2:94" ht="16" customHeight="1" x14ac:dyDescent="0.2">
      <c r="B233" s="38"/>
      <c r="L233" s="63">
        <v>30545</v>
      </c>
      <c r="M233" s="38">
        <v>0</v>
      </c>
      <c r="N233" s="38">
        <v>2.6</v>
      </c>
      <c r="O233" s="39">
        <v>0</v>
      </c>
      <c r="P233" s="39">
        <v>0</v>
      </c>
      <c r="Q233" s="46">
        <f t="shared" si="165"/>
        <v>0.11934643672409621</v>
      </c>
      <c r="R233" s="81">
        <f t="shared" si="166"/>
        <v>0</v>
      </c>
      <c r="S233" s="82">
        <f t="shared" si="167"/>
        <v>0</v>
      </c>
      <c r="T233" s="39">
        <f t="shared" si="168"/>
        <v>0</v>
      </c>
      <c r="U233" s="83">
        <f t="shared" si="169"/>
        <v>0</v>
      </c>
      <c r="V233" s="84">
        <f t="shared" si="170"/>
        <v>2.08</v>
      </c>
      <c r="W233" s="52">
        <f t="shared" si="171"/>
        <v>113.12242454944584</v>
      </c>
      <c r="X233" s="52">
        <f t="shared" si="172"/>
        <v>154.68182113700823</v>
      </c>
      <c r="Y233" s="52">
        <f t="shared" si="173"/>
        <v>267.80424568645407</v>
      </c>
      <c r="Z233" s="53">
        <f t="shared" si="174"/>
        <v>0.88376894179254561</v>
      </c>
      <c r="AA233" s="53">
        <f t="shared" si="175"/>
        <v>0.92072512581552513</v>
      </c>
      <c r="AB233" s="53">
        <f t="shared" si="176"/>
        <v>0.90474407326504758</v>
      </c>
      <c r="AC233" s="39" t="str">
        <f t="shared" si="177"/>
        <v>No</v>
      </c>
      <c r="AD233" s="85">
        <f t="shared" si="178"/>
        <v>0</v>
      </c>
      <c r="AE233" s="46">
        <f t="shared" si="179"/>
        <v>1</v>
      </c>
      <c r="AF233" s="46">
        <f t="shared" si="180"/>
        <v>0</v>
      </c>
      <c r="AG233" s="39">
        <f t="shared" si="235"/>
        <v>45.12242454944586</v>
      </c>
      <c r="AH233" s="39">
        <f t="shared" si="236"/>
        <v>66</v>
      </c>
      <c r="AI233" s="39">
        <f t="shared" si="237"/>
        <v>63.999999999999986</v>
      </c>
      <c r="AJ233" s="39">
        <f t="shared" si="238"/>
        <v>87.000000000000014</v>
      </c>
      <c r="AK233" s="39">
        <f t="shared" si="239"/>
        <v>83.281821137008222</v>
      </c>
      <c r="AL233" s="39">
        <f t="shared" si="240"/>
        <v>70.800000000000011</v>
      </c>
      <c r="AM233" s="39">
        <f t="shared" si="241"/>
        <v>70.800000000000011</v>
      </c>
      <c r="AN233" s="39">
        <f t="shared" si="242"/>
        <v>70.800000000000011</v>
      </c>
      <c r="AO233" s="39">
        <f t="shared" si="181"/>
        <v>0</v>
      </c>
      <c r="AP233" s="39">
        <f t="shared" si="182"/>
        <v>0</v>
      </c>
      <c r="AQ233" s="39">
        <f t="shared" si="183"/>
        <v>0</v>
      </c>
      <c r="AR233" s="39">
        <f t="shared" si="184"/>
        <v>0</v>
      </c>
      <c r="AS233" s="39">
        <f t="shared" si="185"/>
        <v>0</v>
      </c>
      <c r="AT233" s="39">
        <f t="shared" si="186"/>
        <v>0</v>
      </c>
      <c r="AU233" s="39">
        <f t="shared" si="187"/>
        <v>0</v>
      </c>
      <c r="AV233" s="39">
        <f t="shared" si="188"/>
        <v>0</v>
      </c>
      <c r="AW233" s="39">
        <f t="shared" si="189"/>
        <v>0</v>
      </c>
      <c r="AX233" s="39">
        <f t="shared" si="190"/>
        <v>0</v>
      </c>
      <c r="AY233" s="39">
        <f t="shared" si="191"/>
        <v>0</v>
      </c>
      <c r="AZ233" s="39">
        <f t="shared" si="192"/>
        <v>0</v>
      </c>
      <c r="BA233" s="39">
        <f t="shared" si="193"/>
        <v>0</v>
      </c>
      <c r="BB233" s="39">
        <f t="shared" si="194"/>
        <v>0</v>
      </c>
      <c r="BC233" s="39">
        <f t="shared" si="195"/>
        <v>0</v>
      </c>
      <c r="BD233" s="39">
        <f t="shared" si="196"/>
        <v>0</v>
      </c>
      <c r="BE233" s="39">
        <f t="shared" si="197"/>
        <v>0</v>
      </c>
      <c r="BF233" s="39">
        <f t="shared" si="198"/>
        <v>0</v>
      </c>
      <c r="BG233" s="39">
        <f t="shared" si="199"/>
        <v>0</v>
      </c>
      <c r="BH233" s="84">
        <f t="shared" si="200"/>
        <v>0</v>
      </c>
      <c r="BI233" s="84">
        <f t="shared" si="201"/>
        <v>2.08</v>
      </c>
      <c r="BJ233" s="84">
        <f t="shared" si="202"/>
        <v>0.77138966726218017</v>
      </c>
      <c r="BK233" s="39">
        <f t="shared" si="203"/>
        <v>44.351034882183683</v>
      </c>
      <c r="BL233" s="39">
        <f t="shared" si="204"/>
        <v>66</v>
      </c>
      <c r="BM233" s="39">
        <f t="shared" si="205"/>
        <v>63.999999999999986</v>
      </c>
      <c r="BN233" s="39">
        <f t="shared" si="206"/>
        <v>87.000000000000014</v>
      </c>
      <c r="BO233" s="39">
        <f t="shared" si="207"/>
        <v>83.281821137008222</v>
      </c>
      <c r="BP233" s="39">
        <f t="shared" si="208"/>
        <v>70.800000000000011</v>
      </c>
      <c r="BQ233" s="39">
        <f t="shared" si="209"/>
        <v>70.800000000000011</v>
      </c>
      <c r="BR233" s="39">
        <f t="shared" si="210"/>
        <v>70.800000000000011</v>
      </c>
      <c r="BS233" s="39">
        <f t="shared" si="211"/>
        <v>0</v>
      </c>
      <c r="BT233" s="39">
        <f t="shared" si="212"/>
        <v>0</v>
      </c>
      <c r="BU233" s="39">
        <f t="shared" si="213"/>
        <v>0</v>
      </c>
      <c r="BV233" s="39">
        <f t="shared" si="214"/>
        <v>0</v>
      </c>
      <c r="BW233" s="39">
        <f t="shared" si="215"/>
        <v>0</v>
      </c>
      <c r="BX233" s="39">
        <f t="shared" si="216"/>
        <v>0</v>
      </c>
      <c r="BY233" s="39">
        <f t="shared" si="217"/>
        <v>0</v>
      </c>
      <c r="BZ233" s="39">
        <f t="shared" si="218"/>
        <v>0</v>
      </c>
      <c r="CA233" s="39">
        <f t="shared" si="219"/>
        <v>44.351034882183683</v>
      </c>
      <c r="CB233" s="39">
        <f t="shared" si="220"/>
        <v>66</v>
      </c>
      <c r="CC233" s="39">
        <f t="shared" si="221"/>
        <v>63.999999999999986</v>
      </c>
      <c r="CD233" s="39">
        <f t="shared" si="222"/>
        <v>87.000000000000014</v>
      </c>
      <c r="CE233" s="39">
        <f t="shared" si="223"/>
        <v>83.281821137008222</v>
      </c>
      <c r="CF233" s="39">
        <f t="shared" si="224"/>
        <v>70.800000000000011</v>
      </c>
      <c r="CG233" s="39">
        <f t="shared" si="225"/>
        <v>70.800000000000011</v>
      </c>
      <c r="CH233" s="39">
        <f t="shared" si="226"/>
        <v>70.800000000000011</v>
      </c>
      <c r="CI233" s="39">
        <f t="shared" si="227"/>
        <v>0</v>
      </c>
      <c r="CJ233" s="39">
        <f t="shared" si="228"/>
        <v>0</v>
      </c>
      <c r="CK233" s="39">
        <f t="shared" si="229"/>
        <v>0</v>
      </c>
      <c r="CL233" s="39">
        <f t="shared" si="230"/>
        <v>0</v>
      </c>
      <c r="CM233" s="39">
        <f t="shared" si="231"/>
        <v>0</v>
      </c>
      <c r="CN233" s="39">
        <f t="shared" si="232"/>
        <v>0</v>
      </c>
      <c r="CO233" s="39">
        <f t="shared" si="233"/>
        <v>0</v>
      </c>
      <c r="CP233" s="39">
        <f t="shared" si="234"/>
        <v>0</v>
      </c>
    </row>
    <row r="234" spans="2:94" ht="16" customHeight="1" x14ac:dyDescent="0.2">
      <c r="B234" s="38"/>
      <c r="L234" s="63">
        <v>30546</v>
      </c>
      <c r="M234" s="38">
        <v>0</v>
      </c>
      <c r="N234" s="38">
        <v>2.9</v>
      </c>
      <c r="O234" s="39">
        <v>0</v>
      </c>
      <c r="P234" s="39">
        <v>0</v>
      </c>
      <c r="Q234" s="46">
        <f t="shared" si="165"/>
        <v>0.12091006442800604</v>
      </c>
      <c r="R234" s="81">
        <f t="shared" si="166"/>
        <v>0</v>
      </c>
      <c r="S234" s="82">
        <f t="shared" si="167"/>
        <v>0</v>
      </c>
      <c r="T234" s="39">
        <f t="shared" si="168"/>
        <v>0</v>
      </c>
      <c r="U234" s="83">
        <f t="shared" si="169"/>
        <v>0</v>
      </c>
      <c r="V234" s="84">
        <f t="shared" si="170"/>
        <v>2.3199999999999998</v>
      </c>
      <c r="W234" s="52">
        <f t="shared" si="171"/>
        <v>112.35103488218368</v>
      </c>
      <c r="X234" s="52">
        <f t="shared" si="172"/>
        <v>154.68182113700823</v>
      </c>
      <c r="Y234" s="52">
        <f t="shared" si="173"/>
        <v>267.03285601919191</v>
      </c>
      <c r="Z234" s="53">
        <f t="shared" si="174"/>
        <v>0.87774246001706002</v>
      </c>
      <c r="AA234" s="53">
        <f t="shared" si="175"/>
        <v>0.92072512581552513</v>
      </c>
      <c r="AB234" s="53">
        <f t="shared" si="176"/>
        <v>0.90213802709186452</v>
      </c>
      <c r="AC234" s="39" t="str">
        <f t="shared" si="177"/>
        <v>No</v>
      </c>
      <c r="AD234" s="85">
        <f t="shared" si="178"/>
        <v>0</v>
      </c>
      <c r="AE234" s="46">
        <f t="shared" si="179"/>
        <v>1</v>
      </c>
      <c r="AF234" s="46">
        <f t="shared" si="180"/>
        <v>0</v>
      </c>
      <c r="AG234" s="39">
        <f t="shared" si="235"/>
        <v>44.351034882183683</v>
      </c>
      <c r="AH234" s="39">
        <f t="shared" si="236"/>
        <v>66</v>
      </c>
      <c r="AI234" s="39">
        <f t="shared" si="237"/>
        <v>63.999999999999986</v>
      </c>
      <c r="AJ234" s="39">
        <f t="shared" si="238"/>
        <v>87.000000000000014</v>
      </c>
      <c r="AK234" s="39">
        <f t="shared" si="239"/>
        <v>83.281821137008222</v>
      </c>
      <c r="AL234" s="39">
        <f t="shared" si="240"/>
        <v>70.800000000000011</v>
      </c>
      <c r="AM234" s="39">
        <f t="shared" si="241"/>
        <v>70.800000000000011</v>
      </c>
      <c r="AN234" s="39">
        <f t="shared" si="242"/>
        <v>70.800000000000011</v>
      </c>
      <c r="AO234" s="39">
        <f t="shared" si="181"/>
        <v>0</v>
      </c>
      <c r="AP234" s="39">
        <f t="shared" si="182"/>
        <v>0</v>
      </c>
      <c r="AQ234" s="39">
        <f t="shared" si="183"/>
        <v>0</v>
      </c>
      <c r="AR234" s="39">
        <f t="shared" si="184"/>
        <v>0</v>
      </c>
      <c r="AS234" s="39">
        <f t="shared" si="185"/>
        <v>0</v>
      </c>
      <c r="AT234" s="39">
        <f t="shared" si="186"/>
        <v>0</v>
      </c>
      <c r="AU234" s="39">
        <f t="shared" si="187"/>
        <v>0</v>
      </c>
      <c r="AV234" s="39">
        <f t="shared" si="188"/>
        <v>0</v>
      </c>
      <c r="AW234" s="39">
        <f t="shared" si="189"/>
        <v>0</v>
      </c>
      <c r="AX234" s="39">
        <f t="shared" si="190"/>
        <v>0</v>
      </c>
      <c r="AY234" s="39">
        <f t="shared" si="191"/>
        <v>0</v>
      </c>
      <c r="AZ234" s="39">
        <f t="shared" si="192"/>
        <v>0</v>
      </c>
      <c r="BA234" s="39">
        <f t="shared" si="193"/>
        <v>0</v>
      </c>
      <c r="BB234" s="39">
        <f t="shared" si="194"/>
        <v>0</v>
      </c>
      <c r="BC234" s="39">
        <f t="shared" si="195"/>
        <v>0</v>
      </c>
      <c r="BD234" s="39">
        <f t="shared" si="196"/>
        <v>0</v>
      </c>
      <c r="BE234" s="39">
        <f t="shared" si="197"/>
        <v>0</v>
      </c>
      <c r="BF234" s="39">
        <f t="shared" si="198"/>
        <v>0</v>
      </c>
      <c r="BG234" s="39">
        <f t="shared" si="199"/>
        <v>0</v>
      </c>
      <c r="BH234" s="84">
        <f t="shared" si="200"/>
        <v>0</v>
      </c>
      <c r="BI234" s="84">
        <f t="shared" si="201"/>
        <v>2.3199999999999998</v>
      </c>
      <c r="BJ234" s="84">
        <f t="shared" si="202"/>
        <v>0.77559042774345999</v>
      </c>
      <c r="BK234" s="39">
        <f t="shared" si="203"/>
        <v>43.575444454440223</v>
      </c>
      <c r="BL234" s="39">
        <f t="shared" si="204"/>
        <v>66</v>
      </c>
      <c r="BM234" s="39">
        <f t="shared" si="205"/>
        <v>63.999999999999986</v>
      </c>
      <c r="BN234" s="39">
        <f t="shared" si="206"/>
        <v>87.000000000000014</v>
      </c>
      <c r="BO234" s="39">
        <f t="shared" si="207"/>
        <v>83.281821137008222</v>
      </c>
      <c r="BP234" s="39">
        <f t="shared" si="208"/>
        <v>70.800000000000011</v>
      </c>
      <c r="BQ234" s="39">
        <f t="shared" si="209"/>
        <v>70.800000000000011</v>
      </c>
      <c r="BR234" s="39">
        <f t="shared" si="210"/>
        <v>70.800000000000011</v>
      </c>
      <c r="BS234" s="39">
        <f t="shared" si="211"/>
        <v>0</v>
      </c>
      <c r="BT234" s="39">
        <f t="shared" si="212"/>
        <v>0</v>
      </c>
      <c r="BU234" s="39">
        <f t="shared" si="213"/>
        <v>0</v>
      </c>
      <c r="BV234" s="39">
        <f t="shared" si="214"/>
        <v>0</v>
      </c>
      <c r="BW234" s="39">
        <f t="shared" si="215"/>
        <v>0</v>
      </c>
      <c r="BX234" s="39">
        <f t="shared" si="216"/>
        <v>0</v>
      </c>
      <c r="BY234" s="39">
        <f t="shared" si="217"/>
        <v>0</v>
      </c>
      <c r="BZ234" s="39">
        <f t="shared" si="218"/>
        <v>0</v>
      </c>
      <c r="CA234" s="39">
        <f t="shared" si="219"/>
        <v>43.575444454440223</v>
      </c>
      <c r="CB234" s="39">
        <f t="shared" si="220"/>
        <v>66</v>
      </c>
      <c r="CC234" s="39">
        <f t="shared" si="221"/>
        <v>63.999999999999986</v>
      </c>
      <c r="CD234" s="39">
        <f t="shared" si="222"/>
        <v>87.000000000000014</v>
      </c>
      <c r="CE234" s="39">
        <f t="shared" si="223"/>
        <v>83.281821137008222</v>
      </c>
      <c r="CF234" s="39">
        <f t="shared" si="224"/>
        <v>70.800000000000011</v>
      </c>
      <c r="CG234" s="39">
        <f t="shared" si="225"/>
        <v>70.800000000000011</v>
      </c>
      <c r="CH234" s="39">
        <f t="shared" si="226"/>
        <v>70.800000000000011</v>
      </c>
      <c r="CI234" s="39">
        <f t="shared" si="227"/>
        <v>0</v>
      </c>
      <c r="CJ234" s="39">
        <f t="shared" si="228"/>
        <v>0</v>
      </c>
      <c r="CK234" s="39">
        <f t="shared" si="229"/>
        <v>0</v>
      </c>
      <c r="CL234" s="39">
        <f t="shared" si="230"/>
        <v>0</v>
      </c>
      <c r="CM234" s="39">
        <f t="shared" si="231"/>
        <v>0</v>
      </c>
      <c r="CN234" s="39">
        <f t="shared" si="232"/>
        <v>0</v>
      </c>
      <c r="CO234" s="39">
        <f t="shared" si="233"/>
        <v>0</v>
      </c>
      <c r="CP234" s="39">
        <f t="shared" si="234"/>
        <v>0</v>
      </c>
    </row>
    <row r="235" spans="2:94" ht="16" customHeight="1" x14ac:dyDescent="0.2">
      <c r="B235" s="38"/>
      <c r="L235" s="63">
        <v>30547</v>
      </c>
      <c r="M235" s="38">
        <v>0</v>
      </c>
      <c r="N235" s="38">
        <v>1.9</v>
      </c>
      <c r="O235" s="39">
        <v>0</v>
      </c>
      <c r="P235" s="39">
        <v>0</v>
      </c>
      <c r="Q235" s="46">
        <f t="shared" si="165"/>
        <v>0.12248220718694548</v>
      </c>
      <c r="R235" s="81">
        <f t="shared" si="166"/>
        <v>0</v>
      </c>
      <c r="S235" s="82">
        <f t="shared" si="167"/>
        <v>0</v>
      </c>
      <c r="T235" s="39">
        <f t="shared" si="168"/>
        <v>0</v>
      </c>
      <c r="U235" s="83">
        <f t="shared" si="169"/>
        <v>0</v>
      </c>
      <c r="V235" s="84">
        <f t="shared" si="170"/>
        <v>1.52</v>
      </c>
      <c r="W235" s="52">
        <f t="shared" si="171"/>
        <v>111.57544445444023</v>
      </c>
      <c r="X235" s="52">
        <f t="shared" si="172"/>
        <v>154.68182113700823</v>
      </c>
      <c r="Y235" s="52">
        <f t="shared" si="173"/>
        <v>266.25726559144846</v>
      </c>
      <c r="Z235" s="53">
        <f t="shared" si="174"/>
        <v>0.8716831598003143</v>
      </c>
      <c r="AA235" s="53">
        <f t="shared" si="175"/>
        <v>0.92072512581552513</v>
      </c>
      <c r="AB235" s="53">
        <f t="shared" si="176"/>
        <v>0.8995177891602989</v>
      </c>
      <c r="AC235" s="39" t="str">
        <f t="shared" si="177"/>
        <v>No</v>
      </c>
      <c r="AD235" s="85">
        <f t="shared" si="178"/>
        <v>0</v>
      </c>
      <c r="AE235" s="46">
        <f t="shared" si="179"/>
        <v>1</v>
      </c>
      <c r="AF235" s="46">
        <f t="shared" si="180"/>
        <v>0</v>
      </c>
      <c r="AG235" s="39">
        <f t="shared" si="235"/>
        <v>43.575444454440223</v>
      </c>
      <c r="AH235" s="39">
        <f t="shared" si="236"/>
        <v>66</v>
      </c>
      <c r="AI235" s="39">
        <f t="shared" si="237"/>
        <v>63.999999999999986</v>
      </c>
      <c r="AJ235" s="39">
        <f t="shared" si="238"/>
        <v>87.000000000000014</v>
      </c>
      <c r="AK235" s="39">
        <f t="shared" si="239"/>
        <v>83.281821137008222</v>
      </c>
      <c r="AL235" s="39">
        <f t="shared" si="240"/>
        <v>70.800000000000011</v>
      </c>
      <c r="AM235" s="39">
        <f t="shared" si="241"/>
        <v>70.800000000000011</v>
      </c>
      <c r="AN235" s="39">
        <f t="shared" si="242"/>
        <v>70.800000000000011</v>
      </c>
      <c r="AO235" s="39">
        <f t="shared" si="181"/>
        <v>0</v>
      </c>
      <c r="AP235" s="39">
        <f t="shared" si="182"/>
        <v>0</v>
      </c>
      <c r="AQ235" s="39">
        <f t="shared" si="183"/>
        <v>0</v>
      </c>
      <c r="AR235" s="39">
        <f t="shared" si="184"/>
        <v>0</v>
      </c>
      <c r="AS235" s="39">
        <f t="shared" si="185"/>
        <v>0</v>
      </c>
      <c r="AT235" s="39">
        <f t="shared" si="186"/>
        <v>0</v>
      </c>
      <c r="AU235" s="39">
        <f t="shared" si="187"/>
        <v>0</v>
      </c>
      <c r="AV235" s="39">
        <f t="shared" si="188"/>
        <v>0</v>
      </c>
      <c r="AW235" s="39">
        <f t="shared" si="189"/>
        <v>0</v>
      </c>
      <c r="AX235" s="39">
        <f t="shared" si="190"/>
        <v>0</v>
      </c>
      <c r="AY235" s="39">
        <f t="shared" si="191"/>
        <v>0</v>
      </c>
      <c r="AZ235" s="39">
        <f t="shared" si="192"/>
        <v>0</v>
      </c>
      <c r="BA235" s="39">
        <f t="shared" si="193"/>
        <v>0</v>
      </c>
      <c r="BB235" s="39">
        <f t="shared" si="194"/>
        <v>0</v>
      </c>
      <c r="BC235" s="39">
        <f t="shared" si="195"/>
        <v>0</v>
      </c>
      <c r="BD235" s="39">
        <f t="shared" si="196"/>
        <v>0</v>
      </c>
      <c r="BE235" s="39">
        <f t="shared" si="197"/>
        <v>0</v>
      </c>
      <c r="BF235" s="39">
        <f t="shared" si="198"/>
        <v>0</v>
      </c>
      <c r="BG235" s="39">
        <f t="shared" si="199"/>
        <v>0</v>
      </c>
      <c r="BH235" s="84">
        <f t="shared" si="200"/>
        <v>0</v>
      </c>
      <c r="BI235" s="84">
        <f t="shared" si="201"/>
        <v>1.52</v>
      </c>
      <c r="BJ235" s="84">
        <f t="shared" si="202"/>
        <v>0.45652687129679043</v>
      </c>
      <c r="BK235" s="39">
        <f t="shared" si="203"/>
        <v>43.118917583143435</v>
      </c>
      <c r="BL235" s="39">
        <f t="shared" si="204"/>
        <v>66</v>
      </c>
      <c r="BM235" s="39">
        <f t="shared" si="205"/>
        <v>63.999999999999986</v>
      </c>
      <c r="BN235" s="39">
        <f t="shared" si="206"/>
        <v>87.000000000000014</v>
      </c>
      <c r="BO235" s="39">
        <f t="shared" si="207"/>
        <v>83.281821137008222</v>
      </c>
      <c r="BP235" s="39">
        <f t="shared" si="208"/>
        <v>70.800000000000011</v>
      </c>
      <c r="BQ235" s="39">
        <f t="shared" si="209"/>
        <v>70.800000000000011</v>
      </c>
      <c r="BR235" s="39">
        <f t="shared" si="210"/>
        <v>70.800000000000011</v>
      </c>
      <c r="BS235" s="39">
        <f t="shared" si="211"/>
        <v>0</v>
      </c>
      <c r="BT235" s="39">
        <f t="shared" si="212"/>
        <v>0</v>
      </c>
      <c r="BU235" s="39">
        <f t="shared" si="213"/>
        <v>0</v>
      </c>
      <c r="BV235" s="39">
        <f t="shared" si="214"/>
        <v>0</v>
      </c>
      <c r="BW235" s="39">
        <f t="shared" si="215"/>
        <v>0</v>
      </c>
      <c r="BX235" s="39">
        <f t="shared" si="216"/>
        <v>0</v>
      </c>
      <c r="BY235" s="39">
        <f t="shared" si="217"/>
        <v>0</v>
      </c>
      <c r="BZ235" s="39">
        <f t="shared" si="218"/>
        <v>0</v>
      </c>
      <c r="CA235" s="39">
        <f t="shared" si="219"/>
        <v>43.118917583143435</v>
      </c>
      <c r="CB235" s="39">
        <f t="shared" si="220"/>
        <v>66</v>
      </c>
      <c r="CC235" s="39">
        <f t="shared" si="221"/>
        <v>63.999999999999986</v>
      </c>
      <c r="CD235" s="39">
        <f t="shared" si="222"/>
        <v>87.000000000000014</v>
      </c>
      <c r="CE235" s="39">
        <f t="shared" si="223"/>
        <v>83.281821137008222</v>
      </c>
      <c r="CF235" s="39">
        <f t="shared" si="224"/>
        <v>70.800000000000011</v>
      </c>
      <c r="CG235" s="39">
        <f t="shared" si="225"/>
        <v>70.800000000000011</v>
      </c>
      <c r="CH235" s="39">
        <f t="shared" si="226"/>
        <v>70.800000000000011</v>
      </c>
      <c r="CI235" s="39">
        <f t="shared" si="227"/>
        <v>0</v>
      </c>
      <c r="CJ235" s="39">
        <f t="shared" si="228"/>
        <v>0</v>
      </c>
      <c r="CK235" s="39">
        <f t="shared" si="229"/>
        <v>0</v>
      </c>
      <c r="CL235" s="39">
        <f t="shared" si="230"/>
        <v>0</v>
      </c>
      <c r="CM235" s="39">
        <f t="shared" si="231"/>
        <v>0</v>
      </c>
      <c r="CN235" s="39">
        <f t="shared" si="232"/>
        <v>0</v>
      </c>
      <c r="CO235" s="39">
        <f t="shared" si="233"/>
        <v>0</v>
      </c>
      <c r="CP235" s="39">
        <f t="shared" si="234"/>
        <v>0</v>
      </c>
    </row>
    <row r="236" spans="2:94" ht="16" customHeight="1" x14ac:dyDescent="0.2">
      <c r="B236" s="38"/>
      <c r="L236" s="63">
        <v>30548</v>
      </c>
      <c r="M236" s="38">
        <v>0</v>
      </c>
      <c r="N236" s="38">
        <v>1.8</v>
      </c>
      <c r="O236" s="39">
        <v>0</v>
      </c>
      <c r="P236" s="39">
        <v>0</v>
      </c>
      <c r="Q236" s="46">
        <f t="shared" si="165"/>
        <v>0.12340759949362817</v>
      </c>
      <c r="R236" s="81">
        <f t="shared" si="166"/>
        <v>0</v>
      </c>
      <c r="S236" s="82">
        <f t="shared" si="167"/>
        <v>0</v>
      </c>
      <c r="T236" s="39">
        <f t="shared" si="168"/>
        <v>0</v>
      </c>
      <c r="U236" s="83">
        <f t="shared" si="169"/>
        <v>0</v>
      </c>
      <c r="V236" s="84">
        <f t="shared" si="170"/>
        <v>1.4400000000000002</v>
      </c>
      <c r="W236" s="52">
        <f t="shared" si="171"/>
        <v>111.1189175831434</v>
      </c>
      <c r="X236" s="52">
        <f t="shared" si="172"/>
        <v>154.68182113700823</v>
      </c>
      <c r="Y236" s="52">
        <f t="shared" si="173"/>
        <v>265.80073872015163</v>
      </c>
      <c r="Z236" s="53">
        <f t="shared" si="174"/>
        <v>0.86811654361830781</v>
      </c>
      <c r="AA236" s="53">
        <f t="shared" si="175"/>
        <v>0.92072512581552513</v>
      </c>
      <c r="AB236" s="53">
        <f t="shared" si="176"/>
        <v>0.89797546864916089</v>
      </c>
      <c r="AC236" s="39" t="str">
        <f t="shared" si="177"/>
        <v>No</v>
      </c>
      <c r="AD236" s="85">
        <f t="shared" si="178"/>
        <v>0</v>
      </c>
      <c r="AE236" s="46">
        <f t="shared" si="179"/>
        <v>1</v>
      </c>
      <c r="AF236" s="46">
        <f t="shared" si="180"/>
        <v>0</v>
      </c>
      <c r="AG236" s="39">
        <f t="shared" si="235"/>
        <v>43.118917583143435</v>
      </c>
      <c r="AH236" s="39">
        <f t="shared" si="236"/>
        <v>66</v>
      </c>
      <c r="AI236" s="39">
        <f t="shared" si="237"/>
        <v>63.999999999999986</v>
      </c>
      <c r="AJ236" s="39">
        <f t="shared" si="238"/>
        <v>87.000000000000014</v>
      </c>
      <c r="AK236" s="39">
        <f t="shared" si="239"/>
        <v>83.281821137008222</v>
      </c>
      <c r="AL236" s="39">
        <f t="shared" si="240"/>
        <v>70.800000000000011</v>
      </c>
      <c r="AM236" s="39">
        <f t="shared" si="241"/>
        <v>70.800000000000011</v>
      </c>
      <c r="AN236" s="39">
        <f t="shared" si="242"/>
        <v>70.800000000000011</v>
      </c>
      <c r="AO236" s="39">
        <f t="shared" si="181"/>
        <v>0</v>
      </c>
      <c r="AP236" s="39">
        <f t="shared" si="182"/>
        <v>0</v>
      </c>
      <c r="AQ236" s="39">
        <f t="shared" si="183"/>
        <v>0</v>
      </c>
      <c r="AR236" s="39">
        <f t="shared" si="184"/>
        <v>0</v>
      </c>
      <c r="AS236" s="39">
        <f t="shared" si="185"/>
        <v>0</v>
      </c>
      <c r="AT236" s="39">
        <f t="shared" si="186"/>
        <v>0</v>
      </c>
      <c r="AU236" s="39">
        <f t="shared" si="187"/>
        <v>0</v>
      </c>
      <c r="AV236" s="39">
        <f t="shared" si="188"/>
        <v>0</v>
      </c>
      <c r="AW236" s="39">
        <f t="shared" si="189"/>
        <v>0</v>
      </c>
      <c r="AX236" s="39">
        <f t="shared" si="190"/>
        <v>0</v>
      </c>
      <c r="AY236" s="39">
        <f t="shared" si="191"/>
        <v>0</v>
      </c>
      <c r="AZ236" s="39">
        <f t="shared" si="192"/>
        <v>0</v>
      </c>
      <c r="BA236" s="39">
        <f t="shared" si="193"/>
        <v>0</v>
      </c>
      <c r="BB236" s="39">
        <f t="shared" si="194"/>
        <v>0</v>
      </c>
      <c r="BC236" s="39">
        <f t="shared" si="195"/>
        <v>0</v>
      </c>
      <c r="BD236" s="39">
        <f t="shared" si="196"/>
        <v>0</v>
      </c>
      <c r="BE236" s="39">
        <f t="shared" si="197"/>
        <v>0</v>
      </c>
      <c r="BF236" s="39">
        <f t="shared" si="198"/>
        <v>0</v>
      </c>
      <c r="BG236" s="39">
        <f t="shared" si="199"/>
        <v>0</v>
      </c>
      <c r="BH236" s="84">
        <f t="shared" si="200"/>
        <v>0</v>
      </c>
      <c r="BI236" s="84">
        <f t="shared" si="201"/>
        <v>1.4400000000000002</v>
      </c>
      <c r="BJ236" s="84">
        <f t="shared" si="202"/>
        <v>0.40551569592514908</v>
      </c>
      <c r="BK236" s="39">
        <f t="shared" si="203"/>
        <v>42.713401887218289</v>
      </c>
      <c r="BL236" s="39">
        <f t="shared" si="204"/>
        <v>66</v>
      </c>
      <c r="BM236" s="39">
        <f t="shared" si="205"/>
        <v>63.999999999999986</v>
      </c>
      <c r="BN236" s="39">
        <f t="shared" si="206"/>
        <v>87.000000000000014</v>
      </c>
      <c r="BO236" s="39">
        <f t="shared" si="207"/>
        <v>83.281821137008222</v>
      </c>
      <c r="BP236" s="39">
        <f t="shared" si="208"/>
        <v>70.800000000000011</v>
      </c>
      <c r="BQ236" s="39">
        <f t="shared" si="209"/>
        <v>70.800000000000011</v>
      </c>
      <c r="BR236" s="39">
        <f t="shared" si="210"/>
        <v>70.800000000000011</v>
      </c>
      <c r="BS236" s="39">
        <f t="shared" si="211"/>
        <v>0</v>
      </c>
      <c r="BT236" s="39">
        <f t="shared" si="212"/>
        <v>0</v>
      </c>
      <c r="BU236" s="39">
        <f t="shared" si="213"/>
        <v>0</v>
      </c>
      <c r="BV236" s="39">
        <f t="shared" si="214"/>
        <v>0</v>
      </c>
      <c r="BW236" s="39">
        <f t="shared" si="215"/>
        <v>0</v>
      </c>
      <c r="BX236" s="39">
        <f t="shared" si="216"/>
        <v>0</v>
      </c>
      <c r="BY236" s="39">
        <f t="shared" si="217"/>
        <v>0</v>
      </c>
      <c r="BZ236" s="39">
        <f t="shared" si="218"/>
        <v>0</v>
      </c>
      <c r="CA236" s="39">
        <f t="shared" si="219"/>
        <v>42.713401887218289</v>
      </c>
      <c r="CB236" s="39">
        <f t="shared" si="220"/>
        <v>66</v>
      </c>
      <c r="CC236" s="39">
        <f t="shared" si="221"/>
        <v>63.999999999999986</v>
      </c>
      <c r="CD236" s="39">
        <f t="shared" si="222"/>
        <v>87.000000000000014</v>
      </c>
      <c r="CE236" s="39">
        <f t="shared" si="223"/>
        <v>83.281821137008222</v>
      </c>
      <c r="CF236" s="39">
        <f t="shared" si="224"/>
        <v>70.800000000000011</v>
      </c>
      <c r="CG236" s="39">
        <f t="shared" si="225"/>
        <v>70.800000000000011</v>
      </c>
      <c r="CH236" s="39">
        <f t="shared" si="226"/>
        <v>70.800000000000011</v>
      </c>
      <c r="CI236" s="39">
        <f t="shared" si="227"/>
        <v>0</v>
      </c>
      <c r="CJ236" s="39">
        <f t="shared" si="228"/>
        <v>0</v>
      </c>
      <c r="CK236" s="39">
        <f t="shared" si="229"/>
        <v>0</v>
      </c>
      <c r="CL236" s="39">
        <f t="shared" si="230"/>
        <v>0</v>
      </c>
      <c r="CM236" s="39">
        <f t="shared" si="231"/>
        <v>0</v>
      </c>
      <c r="CN236" s="39">
        <f t="shared" si="232"/>
        <v>0</v>
      </c>
      <c r="CO236" s="39">
        <f t="shared" si="233"/>
        <v>0</v>
      </c>
      <c r="CP236" s="39">
        <f t="shared" si="234"/>
        <v>0</v>
      </c>
    </row>
    <row r="237" spans="2:94" ht="16" customHeight="1" x14ac:dyDescent="0.2">
      <c r="B237" s="38"/>
      <c r="L237" s="63">
        <v>30549</v>
      </c>
      <c r="M237" s="38">
        <v>0</v>
      </c>
      <c r="N237" s="38">
        <v>2.1</v>
      </c>
      <c r="O237" s="39">
        <v>0</v>
      </c>
      <c r="P237" s="39">
        <v>0</v>
      </c>
      <c r="Q237" s="46">
        <f t="shared" si="165"/>
        <v>0.12422959076915212</v>
      </c>
      <c r="R237" s="81">
        <f t="shared" si="166"/>
        <v>0</v>
      </c>
      <c r="S237" s="82">
        <f t="shared" si="167"/>
        <v>0</v>
      </c>
      <c r="T237" s="39">
        <f t="shared" si="168"/>
        <v>0</v>
      </c>
      <c r="U237" s="83">
        <f t="shared" si="169"/>
        <v>0</v>
      </c>
      <c r="V237" s="84">
        <f t="shared" si="170"/>
        <v>1.6800000000000002</v>
      </c>
      <c r="W237" s="52">
        <f t="shared" si="171"/>
        <v>110.71340188721825</v>
      </c>
      <c r="X237" s="52">
        <f t="shared" si="172"/>
        <v>154.68182113700823</v>
      </c>
      <c r="Y237" s="52">
        <f t="shared" si="173"/>
        <v>265.39522302422648</v>
      </c>
      <c r="Z237" s="53">
        <f t="shared" si="174"/>
        <v>0.86494845224389261</v>
      </c>
      <c r="AA237" s="53">
        <f t="shared" si="175"/>
        <v>0.92072512581552513</v>
      </c>
      <c r="AB237" s="53">
        <f t="shared" si="176"/>
        <v>0.89660548318995437</v>
      </c>
      <c r="AC237" s="39" t="str">
        <f t="shared" si="177"/>
        <v>No</v>
      </c>
      <c r="AD237" s="85">
        <f t="shared" si="178"/>
        <v>0</v>
      </c>
      <c r="AE237" s="46">
        <f t="shared" si="179"/>
        <v>1</v>
      </c>
      <c r="AF237" s="46">
        <f t="shared" si="180"/>
        <v>0</v>
      </c>
      <c r="AG237" s="39">
        <f t="shared" si="235"/>
        <v>42.713401887218289</v>
      </c>
      <c r="AH237" s="39">
        <f t="shared" si="236"/>
        <v>66</v>
      </c>
      <c r="AI237" s="39">
        <f t="shared" si="237"/>
        <v>63.999999999999986</v>
      </c>
      <c r="AJ237" s="39">
        <f t="shared" si="238"/>
        <v>87.000000000000014</v>
      </c>
      <c r="AK237" s="39">
        <f t="shared" si="239"/>
        <v>83.281821137008222</v>
      </c>
      <c r="AL237" s="39">
        <f t="shared" si="240"/>
        <v>70.800000000000011</v>
      </c>
      <c r="AM237" s="39">
        <f t="shared" si="241"/>
        <v>70.800000000000011</v>
      </c>
      <c r="AN237" s="39">
        <f t="shared" si="242"/>
        <v>70.800000000000011</v>
      </c>
      <c r="AO237" s="39">
        <f t="shared" si="181"/>
        <v>0</v>
      </c>
      <c r="AP237" s="39">
        <f t="shared" si="182"/>
        <v>0</v>
      </c>
      <c r="AQ237" s="39">
        <f t="shared" si="183"/>
        <v>0</v>
      </c>
      <c r="AR237" s="39">
        <f t="shared" si="184"/>
        <v>0</v>
      </c>
      <c r="AS237" s="39">
        <f t="shared" si="185"/>
        <v>0</v>
      </c>
      <c r="AT237" s="39">
        <f t="shared" si="186"/>
        <v>0</v>
      </c>
      <c r="AU237" s="39">
        <f t="shared" si="187"/>
        <v>0</v>
      </c>
      <c r="AV237" s="39">
        <f t="shared" si="188"/>
        <v>0</v>
      </c>
      <c r="AW237" s="39">
        <f t="shared" si="189"/>
        <v>0</v>
      </c>
      <c r="AX237" s="39">
        <f t="shared" si="190"/>
        <v>0</v>
      </c>
      <c r="AY237" s="39">
        <f t="shared" si="191"/>
        <v>0</v>
      </c>
      <c r="AZ237" s="39">
        <f t="shared" si="192"/>
        <v>0</v>
      </c>
      <c r="BA237" s="39">
        <f t="shared" si="193"/>
        <v>0</v>
      </c>
      <c r="BB237" s="39">
        <f t="shared" si="194"/>
        <v>0</v>
      </c>
      <c r="BC237" s="39">
        <f t="shared" si="195"/>
        <v>0</v>
      </c>
      <c r="BD237" s="39">
        <f t="shared" si="196"/>
        <v>0</v>
      </c>
      <c r="BE237" s="39">
        <f t="shared" si="197"/>
        <v>0</v>
      </c>
      <c r="BF237" s="39">
        <f t="shared" si="198"/>
        <v>0</v>
      </c>
      <c r="BG237" s="39">
        <f t="shared" si="199"/>
        <v>0</v>
      </c>
      <c r="BH237" s="84">
        <f t="shared" si="200"/>
        <v>0</v>
      </c>
      <c r="BI237" s="84">
        <f t="shared" si="201"/>
        <v>1.6800000000000002</v>
      </c>
      <c r="BJ237" s="84">
        <f t="shared" si="202"/>
        <v>0.44639510336505028</v>
      </c>
      <c r="BK237" s="39">
        <f t="shared" si="203"/>
        <v>42.26700678385324</v>
      </c>
      <c r="BL237" s="39">
        <f t="shared" si="204"/>
        <v>66</v>
      </c>
      <c r="BM237" s="39">
        <f t="shared" si="205"/>
        <v>63.999999999999986</v>
      </c>
      <c r="BN237" s="39">
        <f t="shared" si="206"/>
        <v>87.000000000000014</v>
      </c>
      <c r="BO237" s="39">
        <f t="shared" si="207"/>
        <v>83.281821137008222</v>
      </c>
      <c r="BP237" s="39">
        <f t="shared" si="208"/>
        <v>70.800000000000011</v>
      </c>
      <c r="BQ237" s="39">
        <f t="shared" si="209"/>
        <v>70.800000000000011</v>
      </c>
      <c r="BR237" s="39">
        <f t="shared" si="210"/>
        <v>70.800000000000011</v>
      </c>
      <c r="BS237" s="39">
        <f t="shared" si="211"/>
        <v>0</v>
      </c>
      <c r="BT237" s="39">
        <f t="shared" si="212"/>
        <v>0</v>
      </c>
      <c r="BU237" s="39">
        <f t="shared" si="213"/>
        <v>0</v>
      </c>
      <c r="BV237" s="39">
        <f t="shared" si="214"/>
        <v>0</v>
      </c>
      <c r="BW237" s="39">
        <f t="shared" si="215"/>
        <v>0</v>
      </c>
      <c r="BX237" s="39">
        <f t="shared" si="216"/>
        <v>0</v>
      </c>
      <c r="BY237" s="39">
        <f t="shared" si="217"/>
        <v>0</v>
      </c>
      <c r="BZ237" s="39">
        <f t="shared" si="218"/>
        <v>0</v>
      </c>
      <c r="CA237" s="39">
        <f t="shared" si="219"/>
        <v>42.26700678385324</v>
      </c>
      <c r="CB237" s="39">
        <f t="shared" si="220"/>
        <v>66</v>
      </c>
      <c r="CC237" s="39">
        <f t="shared" si="221"/>
        <v>63.999999999999986</v>
      </c>
      <c r="CD237" s="39">
        <f t="shared" si="222"/>
        <v>87.000000000000014</v>
      </c>
      <c r="CE237" s="39">
        <f t="shared" si="223"/>
        <v>83.281821137008222</v>
      </c>
      <c r="CF237" s="39">
        <f t="shared" si="224"/>
        <v>70.800000000000011</v>
      </c>
      <c r="CG237" s="39">
        <f t="shared" si="225"/>
        <v>70.800000000000011</v>
      </c>
      <c r="CH237" s="39">
        <f t="shared" si="226"/>
        <v>70.800000000000011</v>
      </c>
      <c r="CI237" s="39">
        <f t="shared" si="227"/>
        <v>0</v>
      </c>
      <c r="CJ237" s="39">
        <f t="shared" si="228"/>
        <v>0</v>
      </c>
      <c r="CK237" s="39">
        <f t="shared" si="229"/>
        <v>0</v>
      </c>
      <c r="CL237" s="39">
        <f t="shared" si="230"/>
        <v>0</v>
      </c>
      <c r="CM237" s="39">
        <f t="shared" si="231"/>
        <v>0</v>
      </c>
      <c r="CN237" s="39">
        <f t="shared" si="232"/>
        <v>0</v>
      </c>
      <c r="CO237" s="39">
        <f t="shared" si="233"/>
        <v>0</v>
      </c>
      <c r="CP237" s="39">
        <f t="shared" si="234"/>
        <v>0</v>
      </c>
    </row>
    <row r="238" spans="2:94" ht="16" customHeight="1" x14ac:dyDescent="0.2">
      <c r="B238" s="38"/>
      <c r="L238" s="63">
        <v>30550</v>
      </c>
      <c r="M238" s="38">
        <v>0</v>
      </c>
      <c r="N238" s="38">
        <v>2.2999999999999998</v>
      </c>
      <c r="O238" s="39">
        <v>0</v>
      </c>
      <c r="P238" s="39">
        <v>0</v>
      </c>
      <c r="Q238" s="46">
        <f t="shared" si="165"/>
        <v>0.12513444570840559</v>
      </c>
      <c r="R238" s="81">
        <f t="shared" si="166"/>
        <v>0</v>
      </c>
      <c r="S238" s="82">
        <f t="shared" si="167"/>
        <v>0</v>
      </c>
      <c r="T238" s="39">
        <f t="shared" si="168"/>
        <v>0</v>
      </c>
      <c r="U238" s="83">
        <f t="shared" si="169"/>
        <v>0</v>
      </c>
      <c r="V238" s="84">
        <f t="shared" si="170"/>
        <v>1.8399999999999999</v>
      </c>
      <c r="W238" s="52">
        <f t="shared" si="171"/>
        <v>110.26700678385322</v>
      </c>
      <c r="X238" s="52">
        <f t="shared" si="172"/>
        <v>154.68182113700823</v>
      </c>
      <c r="Y238" s="52">
        <f t="shared" si="173"/>
        <v>264.94882792086145</v>
      </c>
      <c r="Z238" s="53">
        <f t="shared" si="174"/>
        <v>0.86146099049885327</v>
      </c>
      <c r="AA238" s="53">
        <f t="shared" si="175"/>
        <v>0.92072512581552513</v>
      </c>
      <c r="AB238" s="53">
        <f t="shared" si="176"/>
        <v>0.89509739162453195</v>
      </c>
      <c r="AC238" s="39" t="str">
        <f t="shared" si="177"/>
        <v>No</v>
      </c>
      <c r="AD238" s="85">
        <f t="shared" si="178"/>
        <v>0</v>
      </c>
      <c r="AE238" s="46">
        <f t="shared" si="179"/>
        <v>1</v>
      </c>
      <c r="AF238" s="46">
        <f t="shared" si="180"/>
        <v>0</v>
      </c>
      <c r="AG238" s="39">
        <f t="shared" si="235"/>
        <v>42.26700678385324</v>
      </c>
      <c r="AH238" s="39">
        <f t="shared" si="236"/>
        <v>66</v>
      </c>
      <c r="AI238" s="39">
        <f t="shared" si="237"/>
        <v>63.999999999999986</v>
      </c>
      <c r="AJ238" s="39">
        <f t="shared" si="238"/>
        <v>87.000000000000014</v>
      </c>
      <c r="AK238" s="39">
        <f t="shared" si="239"/>
        <v>83.281821137008222</v>
      </c>
      <c r="AL238" s="39">
        <f t="shared" si="240"/>
        <v>70.800000000000011</v>
      </c>
      <c r="AM238" s="39">
        <f t="shared" si="241"/>
        <v>70.800000000000011</v>
      </c>
      <c r="AN238" s="39">
        <f t="shared" si="242"/>
        <v>70.800000000000011</v>
      </c>
      <c r="AO238" s="39">
        <f t="shared" si="181"/>
        <v>0</v>
      </c>
      <c r="AP238" s="39">
        <f t="shared" si="182"/>
        <v>0</v>
      </c>
      <c r="AQ238" s="39">
        <f t="shared" si="183"/>
        <v>0</v>
      </c>
      <c r="AR238" s="39">
        <f t="shared" si="184"/>
        <v>0</v>
      </c>
      <c r="AS238" s="39">
        <f t="shared" si="185"/>
        <v>0</v>
      </c>
      <c r="AT238" s="39">
        <f t="shared" si="186"/>
        <v>0</v>
      </c>
      <c r="AU238" s="39">
        <f t="shared" si="187"/>
        <v>0</v>
      </c>
      <c r="AV238" s="39">
        <f t="shared" si="188"/>
        <v>0</v>
      </c>
      <c r="AW238" s="39">
        <f t="shared" si="189"/>
        <v>0</v>
      </c>
      <c r="AX238" s="39">
        <f t="shared" si="190"/>
        <v>0</v>
      </c>
      <c r="AY238" s="39">
        <f t="shared" si="191"/>
        <v>0</v>
      </c>
      <c r="AZ238" s="39">
        <f t="shared" si="192"/>
        <v>0</v>
      </c>
      <c r="BA238" s="39">
        <f t="shared" si="193"/>
        <v>0</v>
      </c>
      <c r="BB238" s="39">
        <f t="shared" si="194"/>
        <v>0</v>
      </c>
      <c r="BC238" s="39">
        <f t="shared" si="195"/>
        <v>0</v>
      </c>
      <c r="BD238" s="39">
        <f t="shared" si="196"/>
        <v>0</v>
      </c>
      <c r="BE238" s="39">
        <f t="shared" si="197"/>
        <v>0</v>
      </c>
      <c r="BF238" s="39">
        <f t="shared" si="198"/>
        <v>0</v>
      </c>
      <c r="BG238" s="39">
        <f t="shared" si="199"/>
        <v>0</v>
      </c>
      <c r="BH238" s="84">
        <f t="shared" si="200"/>
        <v>0</v>
      </c>
      <c r="BI238" s="84">
        <f t="shared" si="201"/>
        <v>1.8399999999999999</v>
      </c>
      <c r="BJ238" s="84">
        <f t="shared" si="202"/>
        <v>0.45816137037110133</v>
      </c>
      <c r="BK238" s="39">
        <f t="shared" si="203"/>
        <v>41.808845413482139</v>
      </c>
      <c r="BL238" s="39">
        <f t="shared" si="204"/>
        <v>66</v>
      </c>
      <c r="BM238" s="39">
        <f t="shared" si="205"/>
        <v>63.999999999999986</v>
      </c>
      <c r="BN238" s="39">
        <f t="shared" si="206"/>
        <v>87.000000000000014</v>
      </c>
      <c r="BO238" s="39">
        <f t="shared" si="207"/>
        <v>83.281821137008222</v>
      </c>
      <c r="BP238" s="39">
        <f t="shared" si="208"/>
        <v>70.800000000000011</v>
      </c>
      <c r="BQ238" s="39">
        <f t="shared" si="209"/>
        <v>70.800000000000011</v>
      </c>
      <c r="BR238" s="39">
        <f t="shared" si="210"/>
        <v>70.800000000000011</v>
      </c>
      <c r="BS238" s="39">
        <f t="shared" si="211"/>
        <v>0</v>
      </c>
      <c r="BT238" s="39">
        <f t="shared" si="212"/>
        <v>0</v>
      </c>
      <c r="BU238" s="39">
        <f t="shared" si="213"/>
        <v>0</v>
      </c>
      <c r="BV238" s="39">
        <f t="shared" si="214"/>
        <v>0</v>
      </c>
      <c r="BW238" s="39">
        <f t="shared" si="215"/>
        <v>0</v>
      </c>
      <c r="BX238" s="39">
        <f t="shared" si="216"/>
        <v>0</v>
      </c>
      <c r="BY238" s="39">
        <f t="shared" si="217"/>
        <v>0</v>
      </c>
      <c r="BZ238" s="39">
        <f t="shared" si="218"/>
        <v>0</v>
      </c>
      <c r="CA238" s="39">
        <f t="shared" si="219"/>
        <v>41.808845413482139</v>
      </c>
      <c r="CB238" s="39">
        <f t="shared" si="220"/>
        <v>66</v>
      </c>
      <c r="CC238" s="39">
        <f t="shared" si="221"/>
        <v>63.999999999999986</v>
      </c>
      <c r="CD238" s="39">
        <f t="shared" si="222"/>
        <v>87.000000000000014</v>
      </c>
      <c r="CE238" s="39">
        <f t="shared" si="223"/>
        <v>83.281821137008222</v>
      </c>
      <c r="CF238" s="39">
        <f t="shared" si="224"/>
        <v>70.800000000000011</v>
      </c>
      <c r="CG238" s="39">
        <f t="shared" si="225"/>
        <v>70.800000000000011</v>
      </c>
      <c r="CH238" s="39">
        <f t="shared" si="226"/>
        <v>70.800000000000011</v>
      </c>
      <c r="CI238" s="39">
        <f t="shared" si="227"/>
        <v>0</v>
      </c>
      <c r="CJ238" s="39">
        <f t="shared" si="228"/>
        <v>0</v>
      </c>
      <c r="CK238" s="39">
        <f t="shared" si="229"/>
        <v>0</v>
      </c>
      <c r="CL238" s="39">
        <f t="shared" si="230"/>
        <v>0</v>
      </c>
      <c r="CM238" s="39">
        <f t="shared" si="231"/>
        <v>0</v>
      </c>
      <c r="CN238" s="39">
        <f t="shared" si="232"/>
        <v>0</v>
      </c>
      <c r="CO238" s="39">
        <f t="shared" si="233"/>
        <v>0</v>
      </c>
      <c r="CP238" s="39">
        <f t="shared" si="234"/>
        <v>0</v>
      </c>
    </row>
    <row r="239" spans="2:94" ht="16" customHeight="1" x14ac:dyDescent="0.2">
      <c r="B239" s="38"/>
      <c r="L239" s="63">
        <v>30551</v>
      </c>
      <c r="M239" s="38">
        <v>0</v>
      </c>
      <c r="N239" s="38">
        <v>2.7</v>
      </c>
      <c r="O239" s="39">
        <v>0</v>
      </c>
      <c r="P239" s="39">
        <v>0</v>
      </c>
      <c r="Q239" s="46">
        <f t="shared" si="165"/>
        <v>0.12606315118888753</v>
      </c>
      <c r="R239" s="81">
        <f t="shared" si="166"/>
        <v>0</v>
      </c>
      <c r="S239" s="82">
        <f t="shared" si="167"/>
        <v>0</v>
      </c>
      <c r="T239" s="39">
        <f t="shared" si="168"/>
        <v>0</v>
      </c>
      <c r="U239" s="83">
        <f t="shared" si="169"/>
        <v>0</v>
      </c>
      <c r="V239" s="84">
        <f t="shared" si="170"/>
        <v>2.16</v>
      </c>
      <c r="W239" s="52">
        <f t="shared" si="171"/>
        <v>109.80884541348212</v>
      </c>
      <c r="X239" s="52">
        <f t="shared" si="172"/>
        <v>154.68182113700823</v>
      </c>
      <c r="Y239" s="52">
        <f t="shared" si="173"/>
        <v>264.49066655049035</v>
      </c>
      <c r="Z239" s="53">
        <f t="shared" si="174"/>
        <v>0.85788160479282904</v>
      </c>
      <c r="AA239" s="53">
        <f t="shared" si="175"/>
        <v>0.92072512581552513</v>
      </c>
      <c r="AB239" s="53">
        <f t="shared" si="176"/>
        <v>0.89354954915706197</v>
      </c>
      <c r="AC239" s="39" t="str">
        <f t="shared" si="177"/>
        <v>No</v>
      </c>
      <c r="AD239" s="85">
        <f t="shared" si="178"/>
        <v>0</v>
      </c>
      <c r="AE239" s="46">
        <f t="shared" si="179"/>
        <v>1</v>
      </c>
      <c r="AF239" s="46">
        <f t="shared" si="180"/>
        <v>0</v>
      </c>
      <c r="AG239" s="39">
        <f t="shared" si="235"/>
        <v>41.808845413482139</v>
      </c>
      <c r="AH239" s="39">
        <f t="shared" si="236"/>
        <v>66</v>
      </c>
      <c r="AI239" s="39">
        <f t="shared" si="237"/>
        <v>63.999999999999986</v>
      </c>
      <c r="AJ239" s="39">
        <f t="shared" si="238"/>
        <v>87.000000000000014</v>
      </c>
      <c r="AK239" s="39">
        <f t="shared" si="239"/>
        <v>83.281821137008222</v>
      </c>
      <c r="AL239" s="39">
        <f t="shared" si="240"/>
        <v>70.800000000000011</v>
      </c>
      <c r="AM239" s="39">
        <f t="shared" si="241"/>
        <v>70.800000000000011</v>
      </c>
      <c r="AN239" s="39">
        <f t="shared" si="242"/>
        <v>70.800000000000011</v>
      </c>
      <c r="AO239" s="39">
        <f t="shared" si="181"/>
        <v>0</v>
      </c>
      <c r="AP239" s="39">
        <f t="shared" si="182"/>
        <v>0</v>
      </c>
      <c r="AQ239" s="39">
        <f t="shared" si="183"/>
        <v>0</v>
      </c>
      <c r="AR239" s="39">
        <f t="shared" si="184"/>
        <v>0</v>
      </c>
      <c r="AS239" s="39">
        <f t="shared" si="185"/>
        <v>0</v>
      </c>
      <c r="AT239" s="39">
        <f t="shared" si="186"/>
        <v>0</v>
      </c>
      <c r="AU239" s="39">
        <f t="shared" si="187"/>
        <v>0</v>
      </c>
      <c r="AV239" s="39">
        <f t="shared" si="188"/>
        <v>0</v>
      </c>
      <c r="AW239" s="39">
        <f t="shared" si="189"/>
        <v>0</v>
      </c>
      <c r="AX239" s="39">
        <f t="shared" si="190"/>
        <v>0</v>
      </c>
      <c r="AY239" s="39">
        <f t="shared" si="191"/>
        <v>0</v>
      </c>
      <c r="AZ239" s="39">
        <f t="shared" si="192"/>
        <v>0</v>
      </c>
      <c r="BA239" s="39">
        <f t="shared" si="193"/>
        <v>0</v>
      </c>
      <c r="BB239" s="39">
        <f t="shared" si="194"/>
        <v>0</v>
      </c>
      <c r="BC239" s="39">
        <f t="shared" si="195"/>
        <v>0</v>
      </c>
      <c r="BD239" s="39">
        <f t="shared" si="196"/>
        <v>0</v>
      </c>
      <c r="BE239" s="39">
        <f t="shared" si="197"/>
        <v>0</v>
      </c>
      <c r="BF239" s="39">
        <f t="shared" si="198"/>
        <v>0</v>
      </c>
      <c r="BG239" s="39">
        <f t="shared" si="199"/>
        <v>0</v>
      </c>
      <c r="BH239" s="84">
        <f t="shared" si="200"/>
        <v>0</v>
      </c>
      <c r="BI239" s="84">
        <f t="shared" si="201"/>
        <v>2.16</v>
      </c>
      <c r="BJ239" s="84">
        <f t="shared" si="202"/>
        <v>0.50259362350328984</v>
      </c>
      <c r="BK239" s="39">
        <f t="shared" si="203"/>
        <v>41.306251789978852</v>
      </c>
      <c r="BL239" s="39">
        <f t="shared" si="204"/>
        <v>66</v>
      </c>
      <c r="BM239" s="39">
        <f t="shared" si="205"/>
        <v>63.999999999999986</v>
      </c>
      <c r="BN239" s="39">
        <f t="shared" si="206"/>
        <v>87.000000000000014</v>
      </c>
      <c r="BO239" s="39">
        <f t="shared" si="207"/>
        <v>83.281821137008222</v>
      </c>
      <c r="BP239" s="39">
        <f t="shared" si="208"/>
        <v>70.800000000000011</v>
      </c>
      <c r="BQ239" s="39">
        <f t="shared" si="209"/>
        <v>70.800000000000011</v>
      </c>
      <c r="BR239" s="39">
        <f t="shared" si="210"/>
        <v>70.800000000000011</v>
      </c>
      <c r="BS239" s="39">
        <f t="shared" si="211"/>
        <v>0</v>
      </c>
      <c r="BT239" s="39">
        <f t="shared" si="212"/>
        <v>0</v>
      </c>
      <c r="BU239" s="39">
        <f t="shared" si="213"/>
        <v>0</v>
      </c>
      <c r="BV239" s="39">
        <f t="shared" si="214"/>
        <v>0</v>
      </c>
      <c r="BW239" s="39">
        <f t="shared" si="215"/>
        <v>0</v>
      </c>
      <c r="BX239" s="39">
        <f t="shared" si="216"/>
        <v>0</v>
      </c>
      <c r="BY239" s="39">
        <f t="shared" si="217"/>
        <v>0</v>
      </c>
      <c r="BZ239" s="39">
        <f t="shared" si="218"/>
        <v>0</v>
      </c>
      <c r="CA239" s="39">
        <f t="shared" si="219"/>
        <v>41.306251789978852</v>
      </c>
      <c r="CB239" s="39">
        <f t="shared" si="220"/>
        <v>66</v>
      </c>
      <c r="CC239" s="39">
        <f t="shared" si="221"/>
        <v>63.999999999999986</v>
      </c>
      <c r="CD239" s="39">
        <f t="shared" si="222"/>
        <v>87.000000000000014</v>
      </c>
      <c r="CE239" s="39">
        <f t="shared" si="223"/>
        <v>83.281821137008222</v>
      </c>
      <c r="CF239" s="39">
        <f t="shared" si="224"/>
        <v>70.800000000000011</v>
      </c>
      <c r="CG239" s="39">
        <f t="shared" si="225"/>
        <v>70.800000000000011</v>
      </c>
      <c r="CH239" s="39">
        <f t="shared" si="226"/>
        <v>70.800000000000011</v>
      </c>
      <c r="CI239" s="39">
        <f t="shared" si="227"/>
        <v>0</v>
      </c>
      <c r="CJ239" s="39">
        <f t="shared" si="228"/>
        <v>0</v>
      </c>
      <c r="CK239" s="39">
        <f t="shared" si="229"/>
        <v>0</v>
      </c>
      <c r="CL239" s="39">
        <f t="shared" si="230"/>
        <v>0</v>
      </c>
      <c r="CM239" s="39">
        <f t="shared" si="231"/>
        <v>0</v>
      </c>
      <c r="CN239" s="39">
        <f t="shared" si="232"/>
        <v>0</v>
      </c>
      <c r="CO239" s="39">
        <f t="shared" si="233"/>
        <v>0</v>
      </c>
      <c r="CP239" s="39">
        <f t="shared" si="234"/>
        <v>0</v>
      </c>
    </row>
    <row r="240" spans="2:94" ht="16" customHeight="1" x14ac:dyDescent="0.2">
      <c r="B240" s="38"/>
      <c r="L240" s="63">
        <v>30552</v>
      </c>
      <c r="M240" s="38">
        <v>0</v>
      </c>
      <c r="N240" s="38">
        <v>0.9</v>
      </c>
      <c r="O240" s="39">
        <v>0</v>
      </c>
      <c r="P240" s="39">
        <v>0</v>
      </c>
      <c r="Q240" s="46">
        <f t="shared" si="165"/>
        <v>0.12708192204734017</v>
      </c>
      <c r="R240" s="81">
        <f t="shared" si="166"/>
        <v>0</v>
      </c>
      <c r="S240" s="82">
        <f t="shared" si="167"/>
        <v>0</v>
      </c>
      <c r="T240" s="39">
        <f t="shared" si="168"/>
        <v>0</v>
      </c>
      <c r="U240" s="83">
        <f t="shared" si="169"/>
        <v>0</v>
      </c>
      <c r="V240" s="84">
        <f t="shared" si="170"/>
        <v>0.72000000000000008</v>
      </c>
      <c r="W240" s="52">
        <f t="shared" si="171"/>
        <v>109.30625178997883</v>
      </c>
      <c r="X240" s="52">
        <f t="shared" si="172"/>
        <v>154.68182113700823</v>
      </c>
      <c r="Y240" s="52">
        <f t="shared" si="173"/>
        <v>263.98807292698706</v>
      </c>
      <c r="Z240" s="53">
        <f t="shared" si="174"/>
        <v>0.85395509210920961</v>
      </c>
      <c r="AA240" s="53">
        <f t="shared" si="175"/>
        <v>0.92072512581552513</v>
      </c>
      <c r="AB240" s="53">
        <f t="shared" si="176"/>
        <v>0.89185159772630762</v>
      </c>
      <c r="AC240" s="39" t="str">
        <f t="shared" si="177"/>
        <v>No</v>
      </c>
      <c r="AD240" s="85">
        <f t="shared" si="178"/>
        <v>0</v>
      </c>
      <c r="AE240" s="46">
        <f t="shared" si="179"/>
        <v>1</v>
      </c>
      <c r="AF240" s="46">
        <f t="shared" si="180"/>
        <v>0</v>
      </c>
      <c r="AG240" s="39">
        <f t="shared" si="235"/>
        <v>41.306251789978852</v>
      </c>
      <c r="AH240" s="39">
        <f t="shared" si="236"/>
        <v>66</v>
      </c>
      <c r="AI240" s="39">
        <f t="shared" si="237"/>
        <v>63.999999999999986</v>
      </c>
      <c r="AJ240" s="39">
        <f t="shared" si="238"/>
        <v>87.000000000000014</v>
      </c>
      <c r="AK240" s="39">
        <f t="shared" si="239"/>
        <v>83.281821137008222</v>
      </c>
      <c r="AL240" s="39">
        <f t="shared" si="240"/>
        <v>70.800000000000011</v>
      </c>
      <c r="AM240" s="39">
        <f t="shared" si="241"/>
        <v>70.800000000000011</v>
      </c>
      <c r="AN240" s="39">
        <f t="shared" si="242"/>
        <v>70.800000000000011</v>
      </c>
      <c r="AO240" s="39">
        <f t="shared" si="181"/>
        <v>0</v>
      </c>
      <c r="AP240" s="39">
        <f t="shared" si="182"/>
        <v>0</v>
      </c>
      <c r="AQ240" s="39">
        <f t="shared" si="183"/>
        <v>0</v>
      </c>
      <c r="AR240" s="39">
        <f t="shared" si="184"/>
        <v>0</v>
      </c>
      <c r="AS240" s="39">
        <f t="shared" si="185"/>
        <v>0</v>
      </c>
      <c r="AT240" s="39">
        <f t="shared" si="186"/>
        <v>0</v>
      </c>
      <c r="AU240" s="39">
        <f t="shared" si="187"/>
        <v>0</v>
      </c>
      <c r="AV240" s="39">
        <f t="shared" si="188"/>
        <v>0</v>
      </c>
      <c r="AW240" s="39">
        <f t="shared" si="189"/>
        <v>0</v>
      </c>
      <c r="AX240" s="39">
        <f t="shared" si="190"/>
        <v>0</v>
      </c>
      <c r="AY240" s="39">
        <f t="shared" si="191"/>
        <v>0</v>
      </c>
      <c r="AZ240" s="39">
        <f t="shared" si="192"/>
        <v>0</v>
      </c>
      <c r="BA240" s="39">
        <f t="shared" si="193"/>
        <v>0</v>
      </c>
      <c r="BB240" s="39">
        <f t="shared" si="194"/>
        <v>0</v>
      </c>
      <c r="BC240" s="39">
        <f t="shared" si="195"/>
        <v>0</v>
      </c>
      <c r="BD240" s="39">
        <f t="shared" si="196"/>
        <v>0</v>
      </c>
      <c r="BE240" s="39">
        <f t="shared" si="197"/>
        <v>0</v>
      </c>
      <c r="BF240" s="39">
        <f t="shared" si="198"/>
        <v>0</v>
      </c>
      <c r="BG240" s="39">
        <f t="shared" si="199"/>
        <v>0</v>
      </c>
      <c r="BH240" s="84">
        <f t="shared" si="200"/>
        <v>0</v>
      </c>
      <c r="BI240" s="84">
        <f t="shared" si="201"/>
        <v>0.72000000000000008</v>
      </c>
      <c r="BJ240" s="84">
        <f t="shared" si="202"/>
        <v>0.15531706255162042</v>
      </c>
      <c r="BK240" s="39">
        <f t="shared" si="203"/>
        <v>41.150934727427234</v>
      </c>
      <c r="BL240" s="39">
        <f t="shared" si="204"/>
        <v>66</v>
      </c>
      <c r="BM240" s="39">
        <f t="shared" si="205"/>
        <v>63.999999999999986</v>
      </c>
      <c r="BN240" s="39">
        <f t="shared" si="206"/>
        <v>87.000000000000014</v>
      </c>
      <c r="BO240" s="39">
        <f t="shared" si="207"/>
        <v>83.281821137008222</v>
      </c>
      <c r="BP240" s="39">
        <f t="shared" si="208"/>
        <v>70.800000000000011</v>
      </c>
      <c r="BQ240" s="39">
        <f t="shared" si="209"/>
        <v>70.800000000000011</v>
      </c>
      <c r="BR240" s="39">
        <f t="shared" si="210"/>
        <v>70.800000000000011</v>
      </c>
      <c r="BS240" s="39">
        <f t="shared" si="211"/>
        <v>0</v>
      </c>
      <c r="BT240" s="39">
        <f t="shared" si="212"/>
        <v>0</v>
      </c>
      <c r="BU240" s="39">
        <f t="shared" si="213"/>
        <v>0</v>
      </c>
      <c r="BV240" s="39">
        <f t="shared" si="214"/>
        <v>0</v>
      </c>
      <c r="BW240" s="39">
        <f t="shared" si="215"/>
        <v>0</v>
      </c>
      <c r="BX240" s="39">
        <f t="shared" si="216"/>
        <v>0</v>
      </c>
      <c r="BY240" s="39">
        <f t="shared" si="217"/>
        <v>0</v>
      </c>
      <c r="BZ240" s="39">
        <f t="shared" si="218"/>
        <v>0</v>
      </c>
      <c r="CA240" s="39">
        <f t="shared" si="219"/>
        <v>41.150934727427234</v>
      </c>
      <c r="CB240" s="39">
        <f t="shared" si="220"/>
        <v>66</v>
      </c>
      <c r="CC240" s="39">
        <f t="shared" si="221"/>
        <v>63.999999999999986</v>
      </c>
      <c r="CD240" s="39">
        <f t="shared" si="222"/>
        <v>87.000000000000014</v>
      </c>
      <c r="CE240" s="39">
        <f t="shared" si="223"/>
        <v>83.281821137008222</v>
      </c>
      <c r="CF240" s="39">
        <f t="shared" si="224"/>
        <v>70.800000000000011</v>
      </c>
      <c r="CG240" s="39">
        <f t="shared" si="225"/>
        <v>70.800000000000011</v>
      </c>
      <c r="CH240" s="39">
        <f t="shared" si="226"/>
        <v>70.800000000000011</v>
      </c>
      <c r="CI240" s="39">
        <f t="shared" si="227"/>
        <v>0</v>
      </c>
      <c r="CJ240" s="39">
        <f t="shared" si="228"/>
        <v>0</v>
      </c>
      <c r="CK240" s="39">
        <f t="shared" si="229"/>
        <v>0</v>
      </c>
      <c r="CL240" s="39">
        <f t="shared" si="230"/>
        <v>0</v>
      </c>
      <c r="CM240" s="39">
        <f t="shared" si="231"/>
        <v>0</v>
      </c>
      <c r="CN240" s="39">
        <f t="shared" si="232"/>
        <v>0</v>
      </c>
      <c r="CO240" s="39">
        <f t="shared" si="233"/>
        <v>0</v>
      </c>
      <c r="CP240" s="39">
        <f t="shared" si="234"/>
        <v>0</v>
      </c>
    </row>
    <row r="241" spans="2:94" ht="16" customHeight="1" x14ac:dyDescent="0.2">
      <c r="B241" s="38"/>
      <c r="L241" s="63">
        <v>30553</v>
      </c>
      <c r="M241" s="38">
        <v>4.5999999999999996</v>
      </c>
      <c r="N241" s="38">
        <v>1.1000000000000001</v>
      </c>
      <c r="O241" s="39">
        <v>0</v>
      </c>
      <c r="P241" s="39">
        <v>0</v>
      </c>
      <c r="Q241" s="46">
        <f t="shared" si="165"/>
        <v>0.12739675393089073</v>
      </c>
      <c r="R241" s="81">
        <f t="shared" si="166"/>
        <v>0</v>
      </c>
      <c r="S241" s="82">
        <f t="shared" si="167"/>
        <v>4.5999999999999996</v>
      </c>
      <c r="T241" s="39">
        <f t="shared" si="168"/>
        <v>0</v>
      </c>
      <c r="U241" s="83">
        <f t="shared" si="169"/>
        <v>0</v>
      </c>
      <c r="V241" s="84">
        <f t="shared" si="170"/>
        <v>0.88000000000000012</v>
      </c>
      <c r="W241" s="52">
        <f t="shared" si="171"/>
        <v>109.15093472742723</v>
      </c>
      <c r="X241" s="52">
        <f t="shared" si="172"/>
        <v>154.68182113700823</v>
      </c>
      <c r="Y241" s="52">
        <f t="shared" si="173"/>
        <v>263.83275586443546</v>
      </c>
      <c r="Z241" s="53">
        <f t="shared" si="174"/>
        <v>0.85274167755802521</v>
      </c>
      <c r="AA241" s="53">
        <f t="shared" si="175"/>
        <v>0.92072512581552513</v>
      </c>
      <c r="AB241" s="53">
        <f t="shared" si="176"/>
        <v>0.89132687792039</v>
      </c>
      <c r="AC241" s="39" t="str">
        <f t="shared" si="177"/>
        <v>No</v>
      </c>
      <c r="AD241" s="85">
        <f t="shared" si="178"/>
        <v>0</v>
      </c>
      <c r="AE241" s="46">
        <f t="shared" si="179"/>
        <v>1</v>
      </c>
      <c r="AF241" s="46">
        <f t="shared" si="180"/>
        <v>0</v>
      </c>
      <c r="AG241" s="39">
        <f t="shared" si="235"/>
        <v>41.150934727427234</v>
      </c>
      <c r="AH241" s="39">
        <f t="shared" si="236"/>
        <v>66</v>
      </c>
      <c r="AI241" s="39">
        <f t="shared" si="237"/>
        <v>63.999999999999986</v>
      </c>
      <c r="AJ241" s="39">
        <f t="shared" si="238"/>
        <v>87.000000000000014</v>
      </c>
      <c r="AK241" s="39">
        <f t="shared" si="239"/>
        <v>83.281821137008222</v>
      </c>
      <c r="AL241" s="39">
        <f t="shared" si="240"/>
        <v>70.800000000000011</v>
      </c>
      <c r="AM241" s="39">
        <f t="shared" si="241"/>
        <v>70.800000000000011</v>
      </c>
      <c r="AN241" s="39">
        <f t="shared" si="242"/>
        <v>70.800000000000011</v>
      </c>
      <c r="AO241" s="39">
        <f t="shared" si="181"/>
        <v>0</v>
      </c>
      <c r="AP241" s="39">
        <f t="shared" si="182"/>
        <v>0</v>
      </c>
      <c r="AQ241" s="39">
        <f t="shared" si="183"/>
        <v>0</v>
      </c>
      <c r="AR241" s="39">
        <f t="shared" si="184"/>
        <v>0</v>
      </c>
      <c r="AS241" s="39">
        <f t="shared" si="185"/>
        <v>0</v>
      </c>
      <c r="AT241" s="39">
        <f t="shared" si="186"/>
        <v>0</v>
      </c>
      <c r="AU241" s="39">
        <f t="shared" si="187"/>
        <v>0</v>
      </c>
      <c r="AV241" s="39">
        <f t="shared" si="188"/>
        <v>0</v>
      </c>
      <c r="AW241" s="39">
        <f t="shared" si="189"/>
        <v>0</v>
      </c>
      <c r="AX241" s="39">
        <f t="shared" si="190"/>
        <v>0</v>
      </c>
      <c r="AY241" s="39">
        <f t="shared" si="191"/>
        <v>0</v>
      </c>
      <c r="AZ241" s="39">
        <f t="shared" si="192"/>
        <v>0</v>
      </c>
      <c r="BA241" s="39">
        <f t="shared" si="193"/>
        <v>0</v>
      </c>
      <c r="BB241" s="39">
        <f t="shared" si="194"/>
        <v>0</v>
      </c>
      <c r="BC241" s="39">
        <f t="shared" si="195"/>
        <v>0</v>
      </c>
      <c r="BD241" s="39">
        <f t="shared" si="196"/>
        <v>0</v>
      </c>
      <c r="BE241" s="39">
        <f t="shared" si="197"/>
        <v>0</v>
      </c>
      <c r="BF241" s="39">
        <f t="shared" si="198"/>
        <v>0</v>
      </c>
      <c r="BG241" s="39">
        <f t="shared" si="199"/>
        <v>0</v>
      </c>
      <c r="BH241" s="84">
        <f t="shared" si="200"/>
        <v>0.88000000000000012</v>
      </c>
      <c r="BI241" s="84">
        <f t="shared" si="201"/>
        <v>0</v>
      </c>
      <c r="BJ241" s="84">
        <f t="shared" si="202"/>
        <v>0.88000000000000012</v>
      </c>
      <c r="BK241" s="39">
        <f t="shared" si="203"/>
        <v>40.270934727427232</v>
      </c>
      <c r="BL241" s="39">
        <f t="shared" si="204"/>
        <v>66</v>
      </c>
      <c r="BM241" s="39">
        <f t="shared" si="205"/>
        <v>63.999999999999986</v>
      </c>
      <c r="BN241" s="39">
        <f t="shared" si="206"/>
        <v>87.000000000000014</v>
      </c>
      <c r="BO241" s="39">
        <f t="shared" si="207"/>
        <v>83.281821137008222</v>
      </c>
      <c r="BP241" s="39">
        <f t="shared" si="208"/>
        <v>70.800000000000011</v>
      </c>
      <c r="BQ241" s="39">
        <f t="shared" si="209"/>
        <v>70.800000000000011</v>
      </c>
      <c r="BR241" s="39">
        <f t="shared" si="210"/>
        <v>70.800000000000011</v>
      </c>
      <c r="BS241" s="39">
        <f t="shared" si="211"/>
        <v>0</v>
      </c>
      <c r="BT241" s="39">
        <f t="shared" si="212"/>
        <v>0</v>
      </c>
      <c r="BU241" s="39">
        <f t="shared" si="213"/>
        <v>0</v>
      </c>
      <c r="BV241" s="39">
        <f t="shared" si="214"/>
        <v>0</v>
      </c>
      <c r="BW241" s="39">
        <f t="shared" si="215"/>
        <v>0</v>
      </c>
      <c r="BX241" s="39">
        <f t="shared" si="216"/>
        <v>0</v>
      </c>
      <c r="BY241" s="39">
        <f t="shared" si="217"/>
        <v>0</v>
      </c>
      <c r="BZ241" s="39">
        <f t="shared" si="218"/>
        <v>0</v>
      </c>
      <c r="CA241" s="39">
        <f t="shared" si="219"/>
        <v>43.990934727427231</v>
      </c>
      <c r="CB241" s="39">
        <f t="shared" si="220"/>
        <v>66</v>
      </c>
      <c r="CC241" s="39">
        <f t="shared" si="221"/>
        <v>63.999999999999986</v>
      </c>
      <c r="CD241" s="39">
        <f t="shared" si="222"/>
        <v>87.000000000000014</v>
      </c>
      <c r="CE241" s="39">
        <f t="shared" si="223"/>
        <v>83.281821137008222</v>
      </c>
      <c r="CF241" s="39">
        <f t="shared" si="224"/>
        <v>70.800000000000011</v>
      </c>
      <c r="CG241" s="39">
        <f t="shared" si="225"/>
        <v>70.800000000000011</v>
      </c>
      <c r="CH241" s="39">
        <f t="shared" si="226"/>
        <v>70.800000000000011</v>
      </c>
      <c r="CI241" s="39">
        <f t="shared" si="227"/>
        <v>0</v>
      </c>
      <c r="CJ241" s="39">
        <f t="shared" si="228"/>
        <v>0</v>
      </c>
      <c r="CK241" s="39">
        <f t="shared" si="229"/>
        <v>0</v>
      </c>
      <c r="CL241" s="39">
        <f t="shared" si="230"/>
        <v>0</v>
      </c>
      <c r="CM241" s="39">
        <f t="shared" si="231"/>
        <v>0</v>
      </c>
      <c r="CN241" s="39">
        <f t="shared" si="232"/>
        <v>0</v>
      </c>
      <c r="CO241" s="39">
        <f t="shared" si="233"/>
        <v>0</v>
      </c>
      <c r="CP241" s="39">
        <f t="shared" si="234"/>
        <v>0</v>
      </c>
    </row>
    <row r="242" spans="2:94" ht="16" customHeight="1" x14ac:dyDescent="0.2">
      <c r="B242" s="38"/>
      <c r="L242" s="63">
        <v>30554</v>
      </c>
      <c r="M242" s="38">
        <v>5</v>
      </c>
      <c r="N242" s="38">
        <v>0.9</v>
      </c>
      <c r="O242" s="39">
        <v>0</v>
      </c>
      <c r="P242" s="39">
        <v>0</v>
      </c>
      <c r="Q242" s="46">
        <f t="shared" si="165"/>
        <v>0.121639997174134</v>
      </c>
      <c r="R242" s="81">
        <f t="shared" si="166"/>
        <v>0</v>
      </c>
      <c r="S242" s="82">
        <f t="shared" si="167"/>
        <v>5</v>
      </c>
      <c r="T242" s="39">
        <f t="shared" si="168"/>
        <v>0</v>
      </c>
      <c r="U242" s="83">
        <f t="shared" si="169"/>
        <v>0</v>
      </c>
      <c r="V242" s="84">
        <f t="shared" si="170"/>
        <v>0.72000000000000008</v>
      </c>
      <c r="W242" s="52">
        <f t="shared" si="171"/>
        <v>111.9909347274272</v>
      </c>
      <c r="X242" s="52">
        <f t="shared" si="172"/>
        <v>154.68182113700823</v>
      </c>
      <c r="Y242" s="52">
        <f t="shared" si="173"/>
        <v>266.67275586443543</v>
      </c>
      <c r="Z242" s="53">
        <f t="shared" si="174"/>
        <v>0.87492917755802502</v>
      </c>
      <c r="AA242" s="53">
        <f t="shared" si="175"/>
        <v>0.92072512581552513</v>
      </c>
      <c r="AB242" s="53">
        <f t="shared" si="176"/>
        <v>0.90092147251498456</v>
      </c>
      <c r="AC242" s="39" t="str">
        <f t="shared" si="177"/>
        <v>No</v>
      </c>
      <c r="AD242" s="85">
        <f t="shared" si="178"/>
        <v>0</v>
      </c>
      <c r="AE242" s="46">
        <f t="shared" si="179"/>
        <v>1</v>
      </c>
      <c r="AF242" s="46">
        <f t="shared" si="180"/>
        <v>0</v>
      </c>
      <c r="AG242" s="39">
        <f t="shared" si="235"/>
        <v>43.990934727427231</v>
      </c>
      <c r="AH242" s="39">
        <f t="shared" si="236"/>
        <v>66</v>
      </c>
      <c r="AI242" s="39">
        <f t="shared" si="237"/>
        <v>63.999999999999986</v>
      </c>
      <c r="AJ242" s="39">
        <f t="shared" si="238"/>
        <v>87.000000000000014</v>
      </c>
      <c r="AK242" s="39">
        <f t="shared" si="239"/>
        <v>83.281821137008222</v>
      </c>
      <c r="AL242" s="39">
        <f t="shared" si="240"/>
        <v>70.800000000000011</v>
      </c>
      <c r="AM242" s="39">
        <f t="shared" si="241"/>
        <v>70.800000000000011</v>
      </c>
      <c r="AN242" s="39">
        <f t="shared" si="242"/>
        <v>70.800000000000011</v>
      </c>
      <c r="AO242" s="39">
        <f t="shared" si="181"/>
        <v>0</v>
      </c>
      <c r="AP242" s="39">
        <f t="shared" si="182"/>
        <v>0</v>
      </c>
      <c r="AQ242" s="39">
        <f t="shared" si="183"/>
        <v>0</v>
      </c>
      <c r="AR242" s="39">
        <f t="shared" si="184"/>
        <v>0</v>
      </c>
      <c r="AS242" s="39">
        <f t="shared" si="185"/>
        <v>0</v>
      </c>
      <c r="AT242" s="39">
        <f t="shared" si="186"/>
        <v>0</v>
      </c>
      <c r="AU242" s="39">
        <f t="shared" si="187"/>
        <v>0</v>
      </c>
      <c r="AV242" s="39">
        <f t="shared" si="188"/>
        <v>0</v>
      </c>
      <c r="AW242" s="39">
        <f t="shared" si="189"/>
        <v>0</v>
      </c>
      <c r="AX242" s="39">
        <f t="shared" si="190"/>
        <v>0</v>
      </c>
      <c r="AY242" s="39">
        <f t="shared" si="191"/>
        <v>0</v>
      </c>
      <c r="AZ242" s="39">
        <f t="shared" si="192"/>
        <v>0</v>
      </c>
      <c r="BA242" s="39">
        <f t="shared" si="193"/>
        <v>0</v>
      </c>
      <c r="BB242" s="39">
        <f t="shared" si="194"/>
        <v>0</v>
      </c>
      <c r="BC242" s="39">
        <f t="shared" si="195"/>
        <v>0</v>
      </c>
      <c r="BD242" s="39">
        <f t="shared" si="196"/>
        <v>0</v>
      </c>
      <c r="BE242" s="39">
        <f t="shared" si="197"/>
        <v>0</v>
      </c>
      <c r="BF242" s="39">
        <f t="shared" si="198"/>
        <v>0</v>
      </c>
      <c r="BG242" s="39">
        <f t="shared" si="199"/>
        <v>0</v>
      </c>
      <c r="BH242" s="84">
        <f t="shared" si="200"/>
        <v>0.72000000000000008</v>
      </c>
      <c r="BI242" s="84">
        <f t="shared" si="201"/>
        <v>0</v>
      </c>
      <c r="BJ242" s="84">
        <f t="shared" si="202"/>
        <v>0.72000000000000008</v>
      </c>
      <c r="BK242" s="39">
        <f t="shared" si="203"/>
        <v>43.270934727427232</v>
      </c>
      <c r="BL242" s="39">
        <f t="shared" si="204"/>
        <v>66</v>
      </c>
      <c r="BM242" s="39">
        <f t="shared" si="205"/>
        <v>63.999999999999986</v>
      </c>
      <c r="BN242" s="39">
        <f t="shared" si="206"/>
        <v>87.000000000000014</v>
      </c>
      <c r="BO242" s="39">
        <f t="shared" si="207"/>
        <v>83.281821137008222</v>
      </c>
      <c r="BP242" s="39">
        <f t="shared" si="208"/>
        <v>70.800000000000011</v>
      </c>
      <c r="BQ242" s="39">
        <f t="shared" si="209"/>
        <v>70.800000000000011</v>
      </c>
      <c r="BR242" s="39">
        <f t="shared" si="210"/>
        <v>70.800000000000011</v>
      </c>
      <c r="BS242" s="39">
        <f t="shared" si="211"/>
        <v>0</v>
      </c>
      <c r="BT242" s="39">
        <f t="shared" si="212"/>
        <v>0</v>
      </c>
      <c r="BU242" s="39">
        <f t="shared" si="213"/>
        <v>0</v>
      </c>
      <c r="BV242" s="39">
        <f t="shared" si="214"/>
        <v>0</v>
      </c>
      <c r="BW242" s="39">
        <f t="shared" si="215"/>
        <v>0</v>
      </c>
      <c r="BX242" s="39">
        <f t="shared" si="216"/>
        <v>0</v>
      </c>
      <c r="BY242" s="39">
        <f t="shared" si="217"/>
        <v>0</v>
      </c>
      <c r="BZ242" s="39">
        <f t="shared" si="218"/>
        <v>0</v>
      </c>
      <c r="CA242" s="39">
        <f t="shared" si="219"/>
        <v>47.550934727427233</v>
      </c>
      <c r="CB242" s="39">
        <f t="shared" si="220"/>
        <v>66</v>
      </c>
      <c r="CC242" s="39">
        <f t="shared" si="221"/>
        <v>63.999999999999986</v>
      </c>
      <c r="CD242" s="39">
        <f t="shared" si="222"/>
        <v>87.000000000000014</v>
      </c>
      <c r="CE242" s="39">
        <f t="shared" si="223"/>
        <v>83.281821137008222</v>
      </c>
      <c r="CF242" s="39">
        <f t="shared" si="224"/>
        <v>70.800000000000011</v>
      </c>
      <c r="CG242" s="39">
        <f t="shared" si="225"/>
        <v>70.800000000000011</v>
      </c>
      <c r="CH242" s="39">
        <f t="shared" si="226"/>
        <v>70.800000000000011</v>
      </c>
      <c r="CI242" s="39">
        <f t="shared" si="227"/>
        <v>0</v>
      </c>
      <c r="CJ242" s="39">
        <f t="shared" si="228"/>
        <v>0</v>
      </c>
      <c r="CK242" s="39">
        <f t="shared" si="229"/>
        <v>0</v>
      </c>
      <c r="CL242" s="39">
        <f t="shared" si="230"/>
        <v>0</v>
      </c>
      <c r="CM242" s="39">
        <f t="shared" si="231"/>
        <v>0</v>
      </c>
      <c r="CN242" s="39">
        <f t="shared" si="232"/>
        <v>0</v>
      </c>
      <c r="CO242" s="39">
        <f t="shared" si="233"/>
        <v>0</v>
      </c>
      <c r="CP242" s="39">
        <f t="shared" si="234"/>
        <v>0</v>
      </c>
    </row>
    <row r="243" spans="2:94" ht="16" customHeight="1" x14ac:dyDescent="0.2">
      <c r="B243" s="38"/>
      <c r="L243" s="63">
        <v>30555</v>
      </c>
      <c r="M243" s="38">
        <v>29.5</v>
      </c>
      <c r="N243" s="38">
        <v>1.8</v>
      </c>
      <c r="O243" s="39">
        <v>0</v>
      </c>
      <c r="P243" s="39">
        <v>0</v>
      </c>
      <c r="Q243" s="46">
        <f t="shared" si="165"/>
        <v>0.11442378095791778</v>
      </c>
      <c r="R243" s="81">
        <f t="shared" si="166"/>
        <v>4.4825914170617862</v>
      </c>
      <c r="S243" s="82">
        <f t="shared" si="167"/>
        <v>25.017408582938213</v>
      </c>
      <c r="T243" s="39">
        <f t="shared" si="168"/>
        <v>0</v>
      </c>
      <c r="U243" s="83">
        <f t="shared" si="169"/>
        <v>0</v>
      </c>
      <c r="V243" s="84">
        <f t="shared" si="170"/>
        <v>1.4400000000000002</v>
      </c>
      <c r="W243" s="52">
        <f t="shared" si="171"/>
        <v>115.5509347274272</v>
      </c>
      <c r="X243" s="52">
        <f t="shared" si="172"/>
        <v>154.68182113700823</v>
      </c>
      <c r="Y243" s="52">
        <f t="shared" si="173"/>
        <v>270.23275586443543</v>
      </c>
      <c r="Z243" s="53">
        <f t="shared" si="174"/>
        <v>0.90274167755802504</v>
      </c>
      <c r="AA243" s="53">
        <f t="shared" si="175"/>
        <v>0.92072512581552513</v>
      </c>
      <c r="AB243" s="53">
        <f t="shared" si="176"/>
        <v>0.91294849954201163</v>
      </c>
      <c r="AC243" s="39" t="str">
        <f t="shared" si="177"/>
        <v>No</v>
      </c>
      <c r="AD243" s="85">
        <f t="shared" si="178"/>
        <v>0</v>
      </c>
      <c r="AE243" s="46">
        <f t="shared" si="179"/>
        <v>1</v>
      </c>
      <c r="AF243" s="46">
        <f t="shared" si="180"/>
        <v>0</v>
      </c>
      <c r="AG243" s="39">
        <f t="shared" si="235"/>
        <v>47.550934727427233</v>
      </c>
      <c r="AH243" s="39">
        <f t="shared" si="236"/>
        <v>66</v>
      </c>
      <c r="AI243" s="39">
        <f t="shared" si="237"/>
        <v>63.999999999999986</v>
      </c>
      <c r="AJ243" s="39">
        <f t="shared" si="238"/>
        <v>87.000000000000014</v>
      </c>
      <c r="AK243" s="39">
        <f t="shared" si="239"/>
        <v>83.281821137008222</v>
      </c>
      <c r="AL243" s="39">
        <f t="shared" si="240"/>
        <v>70.800000000000011</v>
      </c>
      <c r="AM243" s="39">
        <f t="shared" si="241"/>
        <v>70.800000000000011</v>
      </c>
      <c r="AN243" s="39">
        <f t="shared" si="242"/>
        <v>70.800000000000011</v>
      </c>
      <c r="AO243" s="39">
        <f t="shared" si="181"/>
        <v>0</v>
      </c>
      <c r="AP243" s="39">
        <f t="shared" si="182"/>
        <v>0</v>
      </c>
      <c r="AQ243" s="39">
        <f t="shared" si="183"/>
        <v>0</v>
      </c>
      <c r="AR243" s="39">
        <f t="shared" si="184"/>
        <v>0</v>
      </c>
      <c r="AS243" s="39">
        <f t="shared" si="185"/>
        <v>0</v>
      </c>
      <c r="AT243" s="39">
        <f t="shared" si="186"/>
        <v>0</v>
      </c>
      <c r="AU243" s="39">
        <f t="shared" si="187"/>
        <v>0</v>
      </c>
      <c r="AV243" s="39">
        <f t="shared" si="188"/>
        <v>0</v>
      </c>
      <c r="AW243" s="39">
        <f t="shared" si="189"/>
        <v>0</v>
      </c>
      <c r="AX243" s="39">
        <f t="shared" si="190"/>
        <v>0</v>
      </c>
      <c r="AY243" s="39">
        <f t="shared" si="191"/>
        <v>0</v>
      </c>
      <c r="AZ243" s="39">
        <f t="shared" si="192"/>
        <v>0</v>
      </c>
      <c r="BA243" s="39">
        <f t="shared" si="193"/>
        <v>0</v>
      </c>
      <c r="BB243" s="39">
        <f t="shared" si="194"/>
        <v>0</v>
      </c>
      <c r="BC243" s="39">
        <f t="shared" si="195"/>
        <v>0</v>
      </c>
      <c r="BD243" s="39">
        <f t="shared" si="196"/>
        <v>0</v>
      </c>
      <c r="BE243" s="39">
        <f t="shared" si="197"/>
        <v>0</v>
      </c>
      <c r="BF243" s="39">
        <f t="shared" si="198"/>
        <v>0</v>
      </c>
      <c r="BG243" s="39">
        <f t="shared" si="199"/>
        <v>0</v>
      </c>
      <c r="BH243" s="84">
        <f t="shared" si="200"/>
        <v>1.4400000000000002</v>
      </c>
      <c r="BI243" s="84">
        <f t="shared" si="201"/>
        <v>0</v>
      </c>
      <c r="BJ243" s="84">
        <f t="shared" si="202"/>
        <v>1.4400000000000002</v>
      </c>
      <c r="BK243" s="39">
        <f t="shared" si="203"/>
        <v>46.110934727427235</v>
      </c>
      <c r="BL243" s="39">
        <f t="shared" si="204"/>
        <v>66</v>
      </c>
      <c r="BM243" s="39">
        <f t="shared" si="205"/>
        <v>63.999999999999986</v>
      </c>
      <c r="BN243" s="39">
        <f t="shared" si="206"/>
        <v>87.000000000000014</v>
      </c>
      <c r="BO243" s="39">
        <f t="shared" si="207"/>
        <v>83.281821137008222</v>
      </c>
      <c r="BP243" s="39">
        <f t="shared" si="208"/>
        <v>70.800000000000011</v>
      </c>
      <c r="BQ243" s="39">
        <f t="shared" si="209"/>
        <v>70.800000000000011</v>
      </c>
      <c r="BR243" s="39">
        <f t="shared" si="210"/>
        <v>70.800000000000011</v>
      </c>
      <c r="BS243" s="39">
        <f t="shared" si="211"/>
        <v>0</v>
      </c>
      <c r="BT243" s="39">
        <f t="shared" si="212"/>
        <v>0</v>
      </c>
      <c r="BU243" s="39">
        <f t="shared" si="213"/>
        <v>0</v>
      </c>
      <c r="BV243" s="39">
        <f t="shared" si="214"/>
        <v>0</v>
      </c>
      <c r="BW243" s="39">
        <f t="shared" si="215"/>
        <v>0</v>
      </c>
      <c r="BX243" s="39">
        <f t="shared" si="216"/>
        <v>0</v>
      </c>
      <c r="BY243" s="39">
        <f t="shared" si="217"/>
        <v>0</v>
      </c>
      <c r="BZ243" s="39">
        <f t="shared" si="218"/>
        <v>0</v>
      </c>
      <c r="CA243" s="39">
        <f t="shared" si="219"/>
        <v>69.68834331036544</v>
      </c>
      <c r="CB243" s="39">
        <f t="shared" si="220"/>
        <v>66</v>
      </c>
      <c r="CC243" s="39">
        <f t="shared" si="221"/>
        <v>63.999999999999986</v>
      </c>
      <c r="CD243" s="39">
        <f t="shared" si="222"/>
        <v>87.000000000000014</v>
      </c>
      <c r="CE243" s="39">
        <f t="shared" si="223"/>
        <v>83.281821137008222</v>
      </c>
      <c r="CF243" s="39">
        <f t="shared" si="224"/>
        <v>70.800000000000011</v>
      </c>
      <c r="CG243" s="39">
        <f t="shared" si="225"/>
        <v>70.800000000000011</v>
      </c>
      <c r="CH243" s="39">
        <f t="shared" si="226"/>
        <v>70.800000000000011</v>
      </c>
      <c r="CI243" s="39">
        <f t="shared" si="227"/>
        <v>0</v>
      </c>
      <c r="CJ243" s="39">
        <f t="shared" si="228"/>
        <v>0</v>
      </c>
      <c r="CK243" s="39">
        <f t="shared" si="229"/>
        <v>0</v>
      </c>
      <c r="CL243" s="39">
        <f t="shared" si="230"/>
        <v>0</v>
      </c>
      <c r="CM243" s="39">
        <f t="shared" si="231"/>
        <v>0</v>
      </c>
      <c r="CN243" s="39">
        <f t="shared" si="232"/>
        <v>0</v>
      </c>
      <c r="CO243" s="39">
        <f t="shared" si="233"/>
        <v>0</v>
      </c>
      <c r="CP243" s="39">
        <f t="shared" si="234"/>
        <v>0</v>
      </c>
    </row>
    <row r="244" spans="2:94" ht="16" customHeight="1" x14ac:dyDescent="0.2">
      <c r="B244" s="38"/>
      <c r="L244" s="63">
        <v>30556</v>
      </c>
      <c r="M244" s="38">
        <v>4.4000000000000004</v>
      </c>
      <c r="N244" s="38">
        <v>2.1</v>
      </c>
      <c r="O244" s="39">
        <v>0</v>
      </c>
      <c r="P244" s="39">
        <v>0</v>
      </c>
      <c r="Q244" s="46">
        <f t="shared" si="165"/>
        <v>6.9550655451961943E-2</v>
      </c>
      <c r="R244" s="81">
        <f t="shared" si="166"/>
        <v>0</v>
      </c>
      <c r="S244" s="82">
        <f t="shared" si="167"/>
        <v>4.4000000000000004</v>
      </c>
      <c r="T244" s="39">
        <f t="shared" si="168"/>
        <v>0</v>
      </c>
      <c r="U244" s="83">
        <f t="shared" si="169"/>
        <v>0</v>
      </c>
      <c r="V244" s="84">
        <f t="shared" si="170"/>
        <v>1.6800000000000002</v>
      </c>
      <c r="W244" s="52">
        <f t="shared" si="171"/>
        <v>137.68834331036544</v>
      </c>
      <c r="X244" s="52">
        <f t="shared" si="172"/>
        <v>154.68182113700823</v>
      </c>
      <c r="Y244" s="52">
        <f t="shared" si="173"/>
        <v>292.37016444737367</v>
      </c>
      <c r="Z244" s="53">
        <f t="shared" si="174"/>
        <v>1.07569018211223</v>
      </c>
      <c r="AA244" s="53">
        <f t="shared" si="175"/>
        <v>0.92072512581552513</v>
      </c>
      <c r="AB244" s="53">
        <f t="shared" si="176"/>
        <v>0.98773704205193802</v>
      </c>
      <c r="AC244" s="39" t="str">
        <f t="shared" si="177"/>
        <v>No</v>
      </c>
      <c r="AD244" s="85">
        <f t="shared" si="178"/>
        <v>0</v>
      </c>
      <c r="AE244" s="46">
        <f t="shared" si="179"/>
        <v>1</v>
      </c>
      <c r="AF244" s="46">
        <f t="shared" si="180"/>
        <v>0</v>
      </c>
      <c r="AG244" s="39">
        <f t="shared" si="235"/>
        <v>69.68834331036544</v>
      </c>
      <c r="AH244" s="39">
        <f t="shared" si="236"/>
        <v>66</v>
      </c>
      <c r="AI244" s="39">
        <f t="shared" si="237"/>
        <v>63.999999999999986</v>
      </c>
      <c r="AJ244" s="39">
        <f t="shared" si="238"/>
        <v>87.000000000000014</v>
      </c>
      <c r="AK244" s="39">
        <f t="shared" si="239"/>
        <v>83.281821137008222</v>
      </c>
      <c r="AL244" s="39">
        <f t="shared" si="240"/>
        <v>70.800000000000011</v>
      </c>
      <c r="AM244" s="39">
        <f t="shared" si="241"/>
        <v>70.800000000000011</v>
      </c>
      <c r="AN244" s="39">
        <f t="shared" si="242"/>
        <v>70.800000000000011</v>
      </c>
      <c r="AO244" s="39">
        <f t="shared" si="181"/>
        <v>0</v>
      </c>
      <c r="AP244" s="39">
        <f t="shared" si="182"/>
        <v>0</v>
      </c>
      <c r="AQ244" s="39">
        <f t="shared" si="183"/>
        <v>0</v>
      </c>
      <c r="AR244" s="39">
        <f t="shared" si="184"/>
        <v>0</v>
      </c>
      <c r="AS244" s="39">
        <f t="shared" si="185"/>
        <v>0</v>
      </c>
      <c r="AT244" s="39">
        <f t="shared" si="186"/>
        <v>0</v>
      </c>
      <c r="AU244" s="39">
        <f t="shared" si="187"/>
        <v>0</v>
      </c>
      <c r="AV244" s="39">
        <f t="shared" si="188"/>
        <v>0</v>
      </c>
      <c r="AW244" s="39">
        <f t="shared" si="189"/>
        <v>0</v>
      </c>
      <c r="AX244" s="39">
        <f t="shared" si="190"/>
        <v>0</v>
      </c>
      <c r="AY244" s="39">
        <f t="shared" si="191"/>
        <v>0</v>
      </c>
      <c r="AZ244" s="39">
        <f t="shared" si="192"/>
        <v>0</v>
      </c>
      <c r="BA244" s="39">
        <f t="shared" si="193"/>
        <v>0</v>
      </c>
      <c r="BB244" s="39">
        <f t="shared" si="194"/>
        <v>0</v>
      </c>
      <c r="BC244" s="39">
        <f t="shared" si="195"/>
        <v>0</v>
      </c>
      <c r="BD244" s="39">
        <f t="shared" si="196"/>
        <v>0</v>
      </c>
      <c r="BE244" s="39">
        <f t="shared" si="197"/>
        <v>0</v>
      </c>
      <c r="BF244" s="39">
        <f t="shared" si="198"/>
        <v>0</v>
      </c>
      <c r="BG244" s="39">
        <f t="shared" si="199"/>
        <v>0</v>
      </c>
      <c r="BH244" s="84">
        <f t="shared" si="200"/>
        <v>1.6800000000000002</v>
      </c>
      <c r="BI244" s="84">
        <f t="shared" si="201"/>
        <v>0</v>
      </c>
      <c r="BJ244" s="84">
        <f t="shared" si="202"/>
        <v>1.6800000000000002</v>
      </c>
      <c r="BK244" s="39">
        <f t="shared" si="203"/>
        <v>68.008343310365433</v>
      </c>
      <c r="BL244" s="39">
        <f t="shared" si="204"/>
        <v>66</v>
      </c>
      <c r="BM244" s="39">
        <f t="shared" si="205"/>
        <v>63.999999999999986</v>
      </c>
      <c r="BN244" s="39">
        <f t="shared" si="206"/>
        <v>87.000000000000014</v>
      </c>
      <c r="BO244" s="39">
        <f t="shared" si="207"/>
        <v>83.281821137008222</v>
      </c>
      <c r="BP244" s="39">
        <f t="shared" si="208"/>
        <v>70.800000000000011</v>
      </c>
      <c r="BQ244" s="39">
        <f t="shared" si="209"/>
        <v>70.800000000000011</v>
      </c>
      <c r="BR244" s="39">
        <f t="shared" si="210"/>
        <v>70.800000000000011</v>
      </c>
      <c r="BS244" s="39">
        <f t="shared" si="211"/>
        <v>4.8050059862192596</v>
      </c>
      <c r="BT244" s="39">
        <f t="shared" si="212"/>
        <v>0</v>
      </c>
      <c r="BU244" s="39">
        <f t="shared" si="213"/>
        <v>0</v>
      </c>
      <c r="BV244" s="39">
        <f t="shared" si="214"/>
        <v>0</v>
      </c>
      <c r="BW244" s="39">
        <f t="shared" si="215"/>
        <v>0</v>
      </c>
      <c r="BX244" s="39">
        <f t="shared" si="216"/>
        <v>0</v>
      </c>
      <c r="BY244" s="39">
        <f t="shared" si="217"/>
        <v>0</v>
      </c>
      <c r="BZ244" s="39">
        <f t="shared" si="218"/>
        <v>0</v>
      </c>
      <c r="CA244" s="39">
        <f t="shared" si="219"/>
        <v>65.923337324146175</v>
      </c>
      <c r="CB244" s="39">
        <f t="shared" si="220"/>
        <v>70.805005986219257</v>
      </c>
      <c r="CC244" s="39">
        <f t="shared" si="221"/>
        <v>63.999999999999986</v>
      </c>
      <c r="CD244" s="39">
        <f t="shared" si="222"/>
        <v>87.000000000000014</v>
      </c>
      <c r="CE244" s="39">
        <f t="shared" si="223"/>
        <v>83.281821137008222</v>
      </c>
      <c r="CF244" s="39">
        <f t="shared" si="224"/>
        <v>70.800000000000011</v>
      </c>
      <c r="CG244" s="39">
        <f t="shared" si="225"/>
        <v>70.800000000000011</v>
      </c>
      <c r="CH244" s="39">
        <f t="shared" si="226"/>
        <v>70.800000000000011</v>
      </c>
      <c r="CI244" s="39">
        <f t="shared" si="227"/>
        <v>0</v>
      </c>
      <c r="CJ244" s="39">
        <f t="shared" si="228"/>
        <v>0</v>
      </c>
      <c r="CK244" s="39">
        <f t="shared" si="229"/>
        <v>0</v>
      </c>
      <c r="CL244" s="39">
        <f t="shared" si="230"/>
        <v>0</v>
      </c>
      <c r="CM244" s="39">
        <f t="shared" si="231"/>
        <v>0</v>
      </c>
      <c r="CN244" s="39">
        <f t="shared" si="232"/>
        <v>0</v>
      </c>
      <c r="CO244" s="39">
        <f t="shared" si="233"/>
        <v>0</v>
      </c>
      <c r="CP244" s="39">
        <f t="shared" si="234"/>
        <v>0</v>
      </c>
    </row>
    <row r="245" spans="2:94" ht="16" customHeight="1" x14ac:dyDescent="0.2">
      <c r="B245" s="38"/>
      <c r="L245" s="63">
        <v>30557</v>
      </c>
      <c r="M245" s="38">
        <v>0</v>
      </c>
      <c r="N245" s="38">
        <v>2.1</v>
      </c>
      <c r="O245" s="39">
        <v>0</v>
      </c>
      <c r="P245" s="39">
        <v>0</v>
      </c>
      <c r="Q245" s="46">
        <f t="shared" si="165"/>
        <v>7.7182424342946948E-2</v>
      </c>
      <c r="R245" s="81">
        <f t="shared" si="166"/>
        <v>0</v>
      </c>
      <c r="S245" s="82">
        <f t="shared" si="167"/>
        <v>0</v>
      </c>
      <c r="T245" s="39">
        <f t="shared" si="168"/>
        <v>0</v>
      </c>
      <c r="U245" s="83">
        <f t="shared" si="169"/>
        <v>0</v>
      </c>
      <c r="V245" s="84">
        <f t="shared" si="170"/>
        <v>1.6800000000000002</v>
      </c>
      <c r="W245" s="52">
        <f t="shared" si="171"/>
        <v>138.7283433103654</v>
      </c>
      <c r="X245" s="52">
        <f t="shared" si="172"/>
        <v>154.68182113700823</v>
      </c>
      <c r="Y245" s="52">
        <f t="shared" si="173"/>
        <v>293.41016444737363</v>
      </c>
      <c r="Z245" s="53">
        <f t="shared" si="174"/>
        <v>1.0838151821122297</v>
      </c>
      <c r="AA245" s="53">
        <f t="shared" si="175"/>
        <v>0.92072512581552513</v>
      </c>
      <c r="AB245" s="53">
        <f t="shared" si="176"/>
        <v>0.9912505555654515</v>
      </c>
      <c r="AC245" s="39" t="str">
        <f t="shared" si="177"/>
        <v>No</v>
      </c>
      <c r="AD245" s="85">
        <f t="shared" si="178"/>
        <v>0</v>
      </c>
      <c r="AE245" s="46">
        <f t="shared" si="179"/>
        <v>1</v>
      </c>
      <c r="AF245" s="46">
        <f t="shared" si="180"/>
        <v>0</v>
      </c>
      <c r="AG245" s="39">
        <f t="shared" si="235"/>
        <v>65.923337324146175</v>
      </c>
      <c r="AH245" s="39">
        <f t="shared" si="236"/>
        <v>70.805005986219257</v>
      </c>
      <c r="AI245" s="39">
        <f t="shared" si="237"/>
        <v>63.999999999999986</v>
      </c>
      <c r="AJ245" s="39">
        <f t="shared" si="238"/>
        <v>87.000000000000014</v>
      </c>
      <c r="AK245" s="39">
        <f t="shared" si="239"/>
        <v>83.281821137008222</v>
      </c>
      <c r="AL245" s="39">
        <f t="shared" si="240"/>
        <v>70.800000000000011</v>
      </c>
      <c r="AM245" s="39">
        <f t="shared" si="241"/>
        <v>70.800000000000011</v>
      </c>
      <c r="AN245" s="39">
        <f t="shared" si="242"/>
        <v>70.800000000000011</v>
      </c>
      <c r="AO245" s="39">
        <f t="shared" si="181"/>
        <v>0</v>
      </c>
      <c r="AP245" s="39">
        <f t="shared" si="182"/>
        <v>0</v>
      </c>
      <c r="AQ245" s="39">
        <f t="shared" si="183"/>
        <v>0</v>
      </c>
      <c r="AR245" s="39">
        <f t="shared" si="184"/>
        <v>0</v>
      </c>
      <c r="AS245" s="39">
        <f t="shared" si="185"/>
        <v>0</v>
      </c>
      <c r="AT245" s="39">
        <f t="shared" si="186"/>
        <v>0</v>
      </c>
      <c r="AU245" s="39">
        <f t="shared" si="187"/>
        <v>0</v>
      </c>
      <c r="AV245" s="39">
        <f t="shared" si="188"/>
        <v>0</v>
      </c>
      <c r="AW245" s="39">
        <f t="shared" si="189"/>
        <v>0</v>
      </c>
      <c r="AX245" s="39">
        <f t="shared" si="190"/>
        <v>0</v>
      </c>
      <c r="AY245" s="39">
        <f t="shared" si="191"/>
        <v>0</v>
      </c>
      <c r="AZ245" s="39">
        <f t="shared" si="192"/>
        <v>0</v>
      </c>
      <c r="BA245" s="39">
        <f t="shared" si="193"/>
        <v>0</v>
      </c>
      <c r="BB245" s="39">
        <f t="shared" si="194"/>
        <v>0</v>
      </c>
      <c r="BC245" s="39">
        <f t="shared" si="195"/>
        <v>0</v>
      </c>
      <c r="BD245" s="39">
        <f t="shared" si="196"/>
        <v>0</v>
      </c>
      <c r="BE245" s="39">
        <f t="shared" si="197"/>
        <v>0</v>
      </c>
      <c r="BF245" s="39">
        <f t="shared" si="198"/>
        <v>0</v>
      </c>
      <c r="BG245" s="39">
        <f t="shared" si="199"/>
        <v>0</v>
      </c>
      <c r="BH245" s="84">
        <f t="shared" si="200"/>
        <v>1.6800000000000002</v>
      </c>
      <c r="BI245" s="84">
        <f t="shared" si="201"/>
        <v>0</v>
      </c>
      <c r="BJ245" s="84">
        <f t="shared" si="202"/>
        <v>1.6800000000000002</v>
      </c>
      <c r="BK245" s="39">
        <f t="shared" si="203"/>
        <v>64.243337324146168</v>
      </c>
      <c r="BL245" s="39">
        <f t="shared" si="204"/>
        <v>70.805005986219257</v>
      </c>
      <c r="BM245" s="39">
        <f t="shared" si="205"/>
        <v>63.999999999999986</v>
      </c>
      <c r="BN245" s="39">
        <f t="shared" si="206"/>
        <v>87.000000000000014</v>
      </c>
      <c r="BO245" s="39">
        <f t="shared" si="207"/>
        <v>83.281821137008222</v>
      </c>
      <c r="BP245" s="39">
        <f t="shared" si="208"/>
        <v>70.800000000000011</v>
      </c>
      <c r="BQ245" s="39">
        <f t="shared" si="209"/>
        <v>70.800000000000011</v>
      </c>
      <c r="BR245" s="39">
        <f t="shared" si="210"/>
        <v>70.800000000000011</v>
      </c>
      <c r="BS245" s="39">
        <f t="shared" si="211"/>
        <v>2.5460023944877008</v>
      </c>
      <c r="BT245" s="39">
        <f t="shared" si="212"/>
        <v>2.883003591731554</v>
      </c>
      <c r="BU245" s="39">
        <f t="shared" si="213"/>
        <v>0</v>
      </c>
      <c r="BV245" s="39">
        <f t="shared" si="214"/>
        <v>0</v>
      </c>
      <c r="BW245" s="39">
        <f t="shared" si="215"/>
        <v>0</v>
      </c>
      <c r="BX245" s="39">
        <f t="shared" si="216"/>
        <v>0</v>
      </c>
      <c r="BY245" s="39">
        <f t="shared" si="217"/>
        <v>0</v>
      </c>
      <c r="BZ245" s="39">
        <f t="shared" si="218"/>
        <v>0</v>
      </c>
      <c r="CA245" s="39">
        <f t="shared" si="219"/>
        <v>61.697334929658467</v>
      </c>
      <c r="CB245" s="39">
        <f t="shared" si="220"/>
        <v>70.468004788975406</v>
      </c>
      <c r="CC245" s="39">
        <f t="shared" si="221"/>
        <v>66.883003591731537</v>
      </c>
      <c r="CD245" s="39">
        <f t="shared" si="222"/>
        <v>87.000000000000014</v>
      </c>
      <c r="CE245" s="39">
        <f t="shared" si="223"/>
        <v>83.281821137008222</v>
      </c>
      <c r="CF245" s="39">
        <f t="shared" si="224"/>
        <v>70.800000000000011</v>
      </c>
      <c r="CG245" s="39">
        <f t="shared" si="225"/>
        <v>70.800000000000011</v>
      </c>
      <c r="CH245" s="39">
        <f t="shared" si="226"/>
        <v>70.800000000000011</v>
      </c>
      <c r="CI245" s="39">
        <f t="shared" si="227"/>
        <v>0</v>
      </c>
      <c r="CJ245" s="39">
        <f t="shared" si="228"/>
        <v>0</v>
      </c>
      <c r="CK245" s="39">
        <f t="shared" si="229"/>
        <v>0</v>
      </c>
      <c r="CL245" s="39">
        <f t="shared" si="230"/>
        <v>0</v>
      </c>
      <c r="CM245" s="39">
        <f t="shared" si="231"/>
        <v>0</v>
      </c>
      <c r="CN245" s="39">
        <f t="shared" si="232"/>
        <v>0</v>
      </c>
      <c r="CO245" s="39">
        <f t="shared" si="233"/>
        <v>0</v>
      </c>
      <c r="CP245" s="39">
        <f t="shared" si="234"/>
        <v>0</v>
      </c>
    </row>
    <row r="246" spans="2:94" ht="16" customHeight="1" x14ac:dyDescent="0.2">
      <c r="B246" s="38"/>
      <c r="L246" s="63">
        <v>30558</v>
      </c>
      <c r="M246" s="38">
        <v>0</v>
      </c>
      <c r="N246" s="38">
        <v>2</v>
      </c>
      <c r="O246" s="39">
        <v>0</v>
      </c>
      <c r="P246" s="39">
        <v>0</v>
      </c>
      <c r="Q246" s="46">
        <f t="shared" si="165"/>
        <v>8.5748645412854457E-2</v>
      </c>
      <c r="R246" s="81">
        <f t="shared" si="166"/>
        <v>0</v>
      </c>
      <c r="S246" s="82">
        <f t="shared" si="167"/>
        <v>0</v>
      </c>
      <c r="T246" s="39">
        <f t="shared" si="168"/>
        <v>0</v>
      </c>
      <c r="U246" s="83">
        <f t="shared" si="169"/>
        <v>0</v>
      </c>
      <c r="V246" s="84">
        <f t="shared" si="170"/>
        <v>1.6</v>
      </c>
      <c r="W246" s="52">
        <f t="shared" si="171"/>
        <v>137.0483433103654</v>
      </c>
      <c r="X246" s="52">
        <f t="shared" si="172"/>
        <v>154.68182113700823</v>
      </c>
      <c r="Y246" s="52">
        <f t="shared" si="173"/>
        <v>291.73016444737362</v>
      </c>
      <c r="Z246" s="53">
        <f t="shared" si="174"/>
        <v>1.0706901821122297</v>
      </c>
      <c r="AA246" s="53">
        <f t="shared" si="175"/>
        <v>0.92072512581552513</v>
      </c>
      <c r="AB246" s="53">
        <f t="shared" si="176"/>
        <v>0.98557487988977577</v>
      </c>
      <c r="AC246" s="39" t="str">
        <f t="shared" si="177"/>
        <v>No</v>
      </c>
      <c r="AD246" s="85">
        <f t="shared" si="178"/>
        <v>0</v>
      </c>
      <c r="AE246" s="46">
        <f t="shared" si="179"/>
        <v>1</v>
      </c>
      <c r="AF246" s="46">
        <f t="shared" si="180"/>
        <v>0</v>
      </c>
      <c r="AG246" s="39">
        <f t="shared" si="235"/>
        <v>61.697334929658467</v>
      </c>
      <c r="AH246" s="39">
        <f t="shared" si="236"/>
        <v>70.468004788975406</v>
      </c>
      <c r="AI246" s="39">
        <f t="shared" si="237"/>
        <v>66.883003591731537</v>
      </c>
      <c r="AJ246" s="39">
        <f t="shared" si="238"/>
        <v>87.000000000000014</v>
      </c>
      <c r="AK246" s="39">
        <f t="shared" si="239"/>
        <v>83.281821137008222</v>
      </c>
      <c r="AL246" s="39">
        <f t="shared" si="240"/>
        <v>70.800000000000011</v>
      </c>
      <c r="AM246" s="39">
        <f t="shared" si="241"/>
        <v>70.800000000000011</v>
      </c>
      <c r="AN246" s="39">
        <f t="shared" si="242"/>
        <v>70.800000000000011</v>
      </c>
      <c r="AO246" s="39">
        <f t="shared" si="181"/>
        <v>0</v>
      </c>
      <c r="AP246" s="39">
        <f t="shared" si="182"/>
        <v>0</v>
      </c>
      <c r="AQ246" s="39">
        <f t="shared" si="183"/>
        <v>0</v>
      </c>
      <c r="AR246" s="39">
        <f t="shared" si="184"/>
        <v>0</v>
      </c>
      <c r="AS246" s="39">
        <f t="shared" si="185"/>
        <v>0</v>
      </c>
      <c r="AT246" s="39">
        <f t="shared" si="186"/>
        <v>0</v>
      </c>
      <c r="AU246" s="39">
        <f t="shared" si="187"/>
        <v>0</v>
      </c>
      <c r="AV246" s="39">
        <f t="shared" si="188"/>
        <v>0</v>
      </c>
      <c r="AW246" s="39">
        <f t="shared" si="189"/>
        <v>0</v>
      </c>
      <c r="AX246" s="39">
        <f t="shared" si="190"/>
        <v>0</v>
      </c>
      <c r="AY246" s="39">
        <f t="shared" si="191"/>
        <v>0</v>
      </c>
      <c r="AZ246" s="39">
        <f t="shared" si="192"/>
        <v>0</v>
      </c>
      <c r="BA246" s="39">
        <f t="shared" si="193"/>
        <v>0</v>
      </c>
      <c r="BB246" s="39">
        <f t="shared" si="194"/>
        <v>0</v>
      </c>
      <c r="BC246" s="39">
        <f t="shared" si="195"/>
        <v>0</v>
      </c>
      <c r="BD246" s="39">
        <f t="shared" si="196"/>
        <v>0</v>
      </c>
      <c r="BE246" s="39">
        <f t="shared" si="197"/>
        <v>0</v>
      </c>
      <c r="BF246" s="39">
        <f t="shared" si="198"/>
        <v>0</v>
      </c>
      <c r="BG246" s="39">
        <f t="shared" si="199"/>
        <v>0</v>
      </c>
      <c r="BH246" s="84">
        <f t="shared" si="200"/>
        <v>1.6</v>
      </c>
      <c r="BI246" s="84">
        <f t="shared" si="201"/>
        <v>0</v>
      </c>
      <c r="BJ246" s="84">
        <f t="shared" si="202"/>
        <v>1.6</v>
      </c>
      <c r="BK246" s="39">
        <f t="shared" si="203"/>
        <v>60.097334929658466</v>
      </c>
      <c r="BL246" s="39">
        <f t="shared" si="204"/>
        <v>70.468004788975406</v>
      </c>
      <c r="BM246" s="39">
        <f t="shared" si="205"/>
        <v>66.883003591731537</v>
      </c>
      <c r="BN246" s="39">
        <f t="shared" si="206"/>
        <v>87.000000000000014</v>
      </c>
      <c r="BO246" s="39">
        <f t="shared" si="207"/>
        <v>83.281821137008222</v>
      </c>
      <c r="BP246" s="39">
        <f t="shared" si="208"/>
        <v>70.800000000000011</v>
      </c>
      <c r="BQ246" s="39">
        <f t="shared" si="209"/>
        <v>70.800000000000011</v>
      </c>
      <c r="BR246" s="39">
        <f t="shared" si="210"/>
        <v>70.800000000000011</v>
      </c>
      <c r="BS246" s="39">
        <f t="shared" si="211"/>
        <v>5.8400957795079478E-2</v>
      </c>
      <c r="BT246" s="39">
        <f t="shared" si="212"/>
        <v>2.6808028733852436</v>
      </c>
      <c r="BU246" s="39">
        <f t="shared" si="213"/>
        <v>1.7298021550389306</v>
      </c>
      <c r="BV246" s="39">
        <f t="shared" si="214"/>
        <v>0</v>
      </c>
      <c r="BW246" s="39">
        <f t="shared" si="215"/>
        <v>0</v>
      </c>
      <c r="BX246" s="39">
        <f t="shared" si="216"/>
        <v>0</v>
      </c>
      <c r="BY246" s="39">
        <f t="shared" si="217"/>
        <v>0</v>
      </c>
      <c r="BZ246" s="39">
        <f t="shared" si="218"/>
        <v>0</v>
      </c>
      <c r="CA246" s="39">
        <f t="shared" si="219"/>
        <v>60.038933971863386</v>
      </c>
      <c r="CB246" s="39">
        <f t="shared" si="220"/>
        <v>67.845602873385246</v>
      </c>
      <c r="CC246" s="39">
        <f t="shared" si="221"/>
        <v>67.834004310077859</v>
      </c>
      <c r="CD246" s="39">
        <f t="shared" si="222"/>
        <v>88.729802155038939</v>
      </c>
      <c r="CE246" s="39">
        <f t="shared" si="223"/>
        <v>83.281821137008222</v>
      </c>
      <c r="CF246" s="39">
        <f t="shared" si="224"/>
        <v>70.800000000000011</v>
      </c>
      <c r="CG246" s="39">
        <f t="shared" si="225"/>
        <v>70.800000000000011</v>
      </c>
      <c r="CH246" s="39">
        <f t="shared" si="226"/>
        <v>70.800000000000011</v>
      </c>
      <c r="CI246" s="39">
        <f t="shared" si="227"/>
        <v>0</v>
      </c>
      <c r="CJ246" s="39">
        <f t="shared" si="228"/>
        <v>0</v>
      </c>
      <c r="CK246" s="39">
        <f t="shared" si="229"/>
        <v>0</v>
      </c>
      <c r="CL246" s="39">
        <f t="shared" si="230"/>
        <v>0</v>
      </c>
      <c r="CM246" s="39">
        <f t="shared" si="231"/>
        <v>0</v>
      </c>
      <c r="CN246" s="39">
        <f t="shared" si="232"/>
        <v>0</v>
      </c>
      <c r="CO246" s="39">
        <f t="shared" si="233"/>
        <v>0</v>
      </c>
      <c r="CP246" s="39">
        <f t="shared" si="234"/>
        <v>0</v>
      </c>
    </row>
    <row r="247" spans="2:94" ht="16" customHeight="1" x14ac:dyDescent="0.2">
      <c r="B247" s="38"/>
      <c r="L247" s="63">
        <v>30559</v>
      </c>
      <c r="M247" s="38">
        <v>0</v>
      </c>
      <c r="N247" s="38">
        <v>2.2999999999999998</v>
      </c>
      <c r="O247" s="39">
        <v>0</v>
      </c>
      <c r="P247" s="39">
        <v>0</v>
      </c>
      <c r="Q247" s="46">
        <f t="shared" si="165"/>
        <v>8.9110268975952589E-2</v>
      </c>
      <c r="R247" s="81">
        <f t="shared" si="166"/>
        <v>0</v>
      </c>
      <c r="S247" s="82">
        <f t="shared" si="167"/>
        <v>0</v>
      </c>
      <c r="T247" s="39">
        <f t="shared" si="168"/>
        <v>0</v>
      </c>
      <c r="U247" s="83">
        <f t="shared" si="169"/>
        <v>0</v>
      </c>
      <c r="V247" s="84">
        <f t="shared" si="170"/>
        <v>1.8399999999999999</v>
      </c>
      <c r="W247" s="52">
        <f t="shared" si="171"/>
        <v>135.44834331036543</v>
      </c>
      <c r="X247" s="52">
        <f t="shared" si="172"/>
        <v>154.68182113700823</v>
      </c>
      <c r="Y247" s="52">
        <f t="shared" si="173"/>
        <v>290.13016444737366</v>
      </c>
      <c r="Z247" s="53">
        <f t="shared" si="174"/>
        <v>1.0581901821122299</v>
      </c>
      <c r="AA247" s="53">
        <f t="shared" si="175"/>
        <v>0.92072512581552513</v>
      </c>
      <c r="AB247" s="53">
        <f t="shared" si="176"/>
        <v>0.98016947448437042</v>
      </c>
      <c r="AC247" s="39" t="str">
        <f t="shared" si="177"/>
        <v>No</v>
      </c>
      <c r="AD247" s="85">
        <f t="shared" si="178"/>
        <v>0</v>
      </c>
      <c r="AE247" s="46">
        <f t="shared" si="179"/>
        <v>1</v>
      </c>
      <c r="AF247" s="46">
        <f t="shared" si="180"/>
        <v>0</v>
      </c>
      <c r="AG247" s="39">
        <f t="shared" si="235"/>
        <v>60.038933971863386</v>
      </c>
      <c r="AH247" s="39">
        <f t="shared" si="236"/>
        <v>67.845602873385246</v>
      </c>
      <c r="AI247" s="39">
        <f t="shared" si="237"/>
        <v>67.834004310077859</v>
      </c>
      <c r="AJ247" s="39">
        <f t="shared" si="238"/>
        <v>88.729802155038939</v>
      </c>
      <c r="AK247" s="39">
        <f t="shared" si="239"/>
        <v>83.281821137008222</v>
      </c>
      <c r="AL247" s="39">
        <f t="shared" si="240"/>
        <v>70.800000000000011</v>
      </c>
      <c r="AM247" s="39">
        <f t="shared" si="241"/>
        <v>70.800000000000011</v>
      </c>
      <c r="AN247" s="39">
        <f t="shared" si="242"/>
        <v>70.800000000000011</v>
      </c>
      <c r="AO247" s="39">
        <f t="shared" si="181"/>
        <v>0</v>
      </c>
      <c r="AP247" s="39">
        <f t="shared" si="182"/>
        <v>0</v>
      </c>
      <c r="AQ247" s="39">
        <f t="shared" si="183"/>
        <v>0</v>
      </c>
      <c r="AR247" s="39">
        <f t="shared" si="184"/>
        <v>0</v>
      </c>
      <c r="AS247" s="39">
        <f t="shared" si="185"/>
        <v>0</v>
      </c>
      <c r="AT247" s="39">
        <f t="shared" si="186"/>
        <v>0</v>
      </c>
      <c r="AU247" s="39">
        <f t="shared" si="187"/>
        <v>0</v>
      </c>
      <c r="AV247" s="39">
        <f t="shared" si="188"/>
        <v>0</v>
      </c>
      <c r="AW247" s="39">
        <f t="shared" si="189"/>
        <v>0</v>
      </c>
      <c r="AX247" s="39">
        <f t="shared" si="190"/>
        <v>0</v>
      </c>
      <c r="AY247" s="39">
        <f t="shared" si="191"/>
        <v>0</v>
      </c>
      <c r="AZ247" s="39">
        <f t="shared" si="192"/>
        <v>0</v>
      </c>
      <c r="BA247" s="39">
        <f t="shared" si="193"/>
        <v>0</v>
      </c>
      <c r="BB247" s="39">
        <f t="shared" si="194"/>
        <v>0</v>
      </c>
      <c r="BC247" s="39">
        <f t="shared" si="195"/>
        <v>0</v>
      </c>
      <c r="BD247" s="39">
        <f t="shared" si="196"/>
        <v>0</v>
      </c>
      <c r="BE247" s="39">
        <f t="shared" si="197"/>
        <v>0</v>
      </c>
      <c r="BF247" s="39">
        <f t="shared" si="198"/>
        <v>0</v>
      </c>
      <c r="BG247" s="39">
        <f t="shared" si="199"/>
        <v>0</v>
      </c>
      <c r="BH247" s="84">
        <f t="shared" si="200"/>
        <v>1.8399999999999999</v>
      </c>
      <c r="BI247" s="84">
        <f t="shared" si="201"/>
        <v>0</v>
      </c>
      <c r="BJ247" s="84">
        <f t="shared" si="202"/>
        <v>1.8399999999999999</v>
      </c>
      <c r="BK247" s="39">
        <f t="shared" si="203"/>
        <v>58.198933971863383</v>
      </c>
      <c r="BL247" s="39">
        <f t="shared" si="204"/>
        <v>67.845602873385246</v>
      </c>
      <c r="BM247" s="39">
        <f t="shared" si="205"/>
        <v>67.834004310077859</v>
      </c>
      <c r="BN247" s="39">
        <f t="shared" si="206"/>
        <v>88.729802155038939</v>
      </c>
      <c r="BO247" s="39">
        <f t="shared" si="207"/>
        <v>83.281821137008222</v>
      </c>
      <c r="BP247" s="39">
        <f t="shared" si="208"/>
        <v>70.800000000000011</v>
      </c>
      <c r="BQ247" s="39">
        <f t="shared" si="209"/>
        <v>70.800000000000011</v>
      </c>
      <c r="BR247" s="39">
        <f t="shared" si="210"/>
        <v>70.800000000000011</v>
      </c>
      <c r="BS247" s="39">
        <f t="shared" si="211"/>
        <v>0</v>
      </c>
      <c r="BT247" s="39">
        <f t="shared" si="212"/>
        <v>1.1073617240311477</v>
      </c>
      <c r="BU247" s="39">
        <f t="shared" si="213"/>
        <v>2.3004025860467237</v>
      </c>
      <c r="BV247" s="39">
        <f t="shared" si="214"/>
        <v>1.037881293023355</v>
      </c>
      <c r="BW247" s="39">
        <f t="shared" si="215"/>
        <v>0</v>
      </c>
      <c r="BX247" s="39">
        <f t="shared" si="216"/>
        <v>0</v>
      </c>
      <c r="BY247" s="39">
        <f t="shared" si="217"/>
        <v>0</v>
      </c>
      <c r="BZ247" s="39">
        <f t="shared" si="218"/>
        <v>0</v>
      </c>
      <c r="CA247" s="39">
        <f t="shared" si="219"/>
        <v>58.198933971863383</v>
      </c>
      <c r="CB247" s="39">
        <f t="shared" si="220"/>
        <v>66.738241149354096</v>
      </c>
      <c r="CC247" s="39">
        <f t="shared" si="221"/>
        <v>66.64096344806228</v>
      </c>
      <c r="CD247" s="39">
        <f t="shared" si="222"/>
        <v>89.992323448062308</v>
      </c>
      <c r="CE247" s="39">
        <f t="shared" si="223"/>
        <v>84.319702430031583</v>
      </c>
      <c r="CF247" s="39">
        <f t="shared" si="224"/>
        <v>70.800000000000011</v>
      </c>
      <c r="CG247" s="39">
        <f t="shared" si="225"/>
        <v>70.800000000000011</v>
      </c>
      <c r="CH247" s="39">
        <f t="shared" si="226"/>
        <v>70.800000000000011</v>
      </c>
      <c r="CI247" s="39">
        <f t="shared" si="227"/>
        <v>0</v>
      </c>
      <c r="CJ247" s="39">
        <f t="shared" si="228"/>
        <v>0</v>
      </c>
      <c r="CK247" s="39">
        <f t="shared" si="229"/>
        <v>0</v>
      </c>
      <c r="CL247" s="39">
        <f t="shared" si="230"/>
        <v>0</v>
      </c>
      <c r="CM247" s="39">
        <f t="shared" si="231"/>
        <v>0</v>
      </c>
      <c r="CN247" s="39">
        <f t="shared" si="232"/>
        <v>0</v>
      </c>
      <c r="CO247" s="39">
        <f t="shared" si="233"/>
        <v>0</v>
      </c>
      <c r="CP247" s="39">
        <f t="shared" si="234"/>
        <v>0</v>
      </c>
    </row>
    <row r="248" spans="2:94" ht="16" customHeight="1" x14ac:dyDescent="0.2">
      <c r="B248" s="38"/>
      <c r="L248" s="63">
        <v>30560</v>
      </c>
      <c r="M248" s="38">
        <v>0</v>
      </c>
      <c r="N248" s="38">
        <v>2.8</v>
      </c>
      <c r="O248" s="39">
        <v>0</v>
      </c>
      <c r="P248" s="39">
        <v>0</v>
      </c>
      <c r="Q248" s="46">
        <f t="shared" si="165"/>
        <v>9.2839998705682325E-2</v>
      </c>
      <c r="R248" s="81">
        <f t="shared" si="166"/>
        <v>0</v>
      </c>
      <c r="S248" s="82">
        <f t="shared" si="167"/>
        <v>0</v>
      </c>
      <c r="T248" s="39">
        <f t="shared" si="168"/>
        <v>0</v>
      </c>
      <c r="U248" s="83">
        <f t="shared" si="169"/>
        <v>0</v>
      </c>
      <c r="V248" s="84">
        <f t="shared" si="170"/>
        <v>2.2399999999999998</v>
      </c>
      <c r="W248" s="52">
        <f t="shared" si="171"/>
        <v>132.57046201734204</v>
      </c>
      <c r="X248" s="52">
        <f t="shared" si="172"/>
        <v>155.71970243003159</v>
      </c>
      <c r="Y248" s="52">
        <f t="shared" si="173"/>
        <v>288.29016444737363</v>
      </c>
      <c r="Z248" s="53">
        <f t="shared" si="174"/>
        <v>1.0357067345104847</v>
      </c>
      <c r="AA248" s="53">
        <f t="shared" si="175"/>
        <v>0.92690299065494997</v>
      </c>
      <c r="AB248" s="53">
        <f t="shared" si="176"/>
        <v>0.97395325826815415</v>
      </c>
      <c r="AC248" s="39" t="str">
        <f t="shared" si="177"/>
        <v>No</v>
      </c>
      <c r="AD248" s="85">
        <f t="shared" si="178"/>
        <v>0</v>
      </c>
      <c r="AE248" s="46">
        <f t="shared" si="179"/>
        <v>1</v>
      </c>
      <c r="AF248" s="46">
        <f t="shared" si="180"/>
        <v>0</v>
      </c>
      <c r="AG248" s="39">
        <f t="shared" si="235"/>
        <v>58.198933971863383</v>
      </c>
      <c r="AH248" s="39">
        <f t="shared" si="236"/>
        <v>66.738241149354096</v>
      </c>
      <c r="AI248" s="39">
        <f t="shared" si="237"/>
        <v>66.64096344806228</v>
      </c>
      <c r="AJ248" s="39">
        <f t="shared" si="238"/>
        <v>89.992323448062308</v>
      </c>
      <c r="AK248" s="39">
        <f t="shared" si="239"/>
        <v>84.319702430031583</v>
      </c>
      <c r="AL248" s="39">
        <f t="shared" si="240"/>
        <v>70.800000000000011</v>
      </c>
      <c r="AM248" s="39">
        <f t="shared" si="241"/>
        <v>70.800000000000011</v>
      </c>
      <c r="AN248" s="39">
        <f t="shared" si="242"/>
        <v>70.800000000000011</v>
      </c>
      <c r="AO248" s="39">
        <f t="shared" si="181"/>
        <v>0</v>
      </c>
      <c r="AP248" s="39">
        <f t="shared" si="182"/>
        <v>0</v>
      </c>
      <c r="AQ248" s="39">
        <f t="shared" si="183"/>
        <v>0</v>
      </c>
      <c r="AR248" s="39">
        <f t="shared" si="184"/>
        <v>0</v>
      </c>
      <c r="AS248" s="39">
        <f t="shared" si="185"/>
        <v>0</v>
      </c>
      <c r="AT248" s="39">
        <f t="shared" si="186"/>
        <v>0</v>
      </c>
      <c r="AU248" s="39">
        <f t="shared" si="187"/>
        <v>0</v>
      </c>
      <c r="AV248" s="39">
        <f t="shared" si="188"/>
        <v>0</v>
      </c>
      <c r="AW248" s="39">
        <f t="shared" si="189"/>
        <v>0</v>
      </c>
      <c r="AX248" s="39">
        <f t="shared" si="190"/>
        <v>0</v>
      </c>
      <c r="AY248" s="39">
        <f t="shared" si="191"/>
        <v>0</v>
      </c>
      <c r="AZ248" s="39">
        <f t="shared" si="192"/>
        <v>0</v>
      </c>
      <c r="BA248" s="39">
        <f t="shared" si="193"/>
        <v>0</v>
      </c>
      <c r="BB248" s="39">
        <f t="shared" si="194"/>
        <v>0</v>
      </c>
      <c r="BC248" s="39">
        <f t="shared" si="195"/>
        <v>0</v>
      </c>
      <c r="BD248" s="39">
        <f t="shared" si="196"/>
        <v>0</v>
      </c>
      <c r="BE248" s="39">
        <f t="shared" si="197"/>
        <v>0</v>
      </c>
      <c r="BF248" s="39">
        <f t="shared" si="198"/>
        <v>0</v>
      </c>
      <c r="BG248" s="39">
        <f t="shared" si="199"/>
        <v>0</v>
      </c>
      <c r="BH248" s="84">
        <f t="shared" si="200"/>
        <v>2.2399999999999998</v>
      </c>
      <c r="BI248" s="84">
        <f t="shared" si="201"/>
        <v>0</v>
      </c>
      <c r="BJ248" s="84">
        <f t="shared" si="202"/>
        <v>2.2399999999999998</v>
      </c>
      <c r="BK248" s="39">
        <f t="shared" si="203"/>
        <v>55.958933971863381</v>
      </c>
      <c r="BL248" s="39">
        <f t="shared" si="204"/>
        <v>66.738241149354096</v>
      </c>
      <c r="BM248" s="39">
        <f t="shared" si="205"/>
        <v>66.64096344806228</v>
      </c>
      <c r="BN248" s="39">
        <f t="shared" si="206"/>
        <v>89.992323448062308</v>
      </c>
      <c r="BO248" s="39">
        <f t="shared" si="207"/>
        <v>84.319702430031583</v>
      </c>
      <c r="BP248" s="39">
        <f t="shared" si="208"/>
        <v>70.800000000000011</v>
      </c>
      <c r="BQ248" s="39">
        <f t="shared" si="209"/>
        <v>70.800000000000011</v>
      </c>
      <c r="BR248" s="39">
        <f t="shared" si="210"/>
        <v>70.800000000000011</v>
      </c>
      <c r="BS248" s="39">
        <f t="shared" si="211"/>
        <v>0</v>
      </c>
      <c r="BT248" s="39">
        <f t="shared" si="212"/>
        <v>0.44294468961245742</v>
      </c>
      <c r="BU248" s="39">
        <f t="shared" si="213"/>
        <v>1.5845780688373765</v>
      </c>
      <c r="BV248" s="39">
        <f t="shared" si="214"/>
        <v>1.7953940688373762</v>
      </c>
      <c r="BW248" s="39">
        <f t="shared" si="215"/>
        <v>0.19182145801895842</v>
      </c>
      <c r="BX248" s="39">
        <f t="shared" si="216"/>
        <v>0</v>
      </c>
      <c r="BY248" s="39">
        <f t="shared" si="217"/>
        <v>0</v>
      </c>
      <c r="BZ248" s="39">
        <f t="shared" si="218"/>
        <v>0</v>
      </c>
      <c r="CA248" s="39">
        <f t="shared" si="219"/>
        <v>55.958933971863381</v>
      </c>
      <c r="CB248" s="39">
        <f t="shared" si="220"/>
        <v>66.295296459741635</v>
      </c>
      <c r="CC248" s="39">
        <f t="shared" si="221"/>
        <v>65.499330068837367</v>
      </c>
      <c r="CD248" s="39">
        <f t="shared" si="222"/>
        <v>89.7815074480623</v>
      </c>
      <c r="CE248" s="39">
        <f t="shared" si="223"/>
        <v>85.923275040850001</v>
      </c>
      <c r="CF248" s="39">
        <f t="shared" si="224"/>
        <v>70.991821458018975</v>
      </c>
      <c r="CG248" s="39">
        <f t="shared" si="225"/>
        <v>70.800000000000011</v>
      </c>
      <c r="CH248" s="39">
        <f t="shared" si="226"/>
        <v>70.800000000000011</v>
      </c>
      <c r="CI248" s="39">
        <f t="shared" si="227"/>
        <v>0</v>
      </c>
      <c r="CJ248" s="39">
        <f t="shared" si="228"/>
        <v>0</v>
      </c>
      <c r="CK248" s="39">
        <f t="shared" si="229"/>
        <v>0</v>
      </c>
      <c r="CL248" s="39">
        <f t="shared" si="230"/>
        <v>0</v>
      </c>
      <c r="CM248" s="39">
        <f t="shared" si="231"/>
        <v>0</v>
      </c>
      <c r="CN248" s="39">
        <f t="shared" si="232"/>
        <v>0</v>
      </c>
      <c r="CO248" s="39">
        <f t="shared" si="233"/>
        <v>0</v>
      </c>
      <c r="CP248" s="39">
        <f t="shared" si="234"/>
        <v>0</v>
      </c>
    </row>
    <row r="249" spans="2:94" ht="16" customHeight="1" x14ac:dyDescent="0.2">
      <c r="B249" s="38"/>
      <c r="L249" s="63">
        <v>30561</v>
      </c>
      <c r="M249" s="38">
        <v>0</v>
      </c>
      <c r="N249" s="38">
        <v>4.3</v>
      </c>
      <c r="O249" s="39">
        <v>0</v>
      </c>
      <c r="P249" s="39">
        <v>0</v>
      </c>
      <c r="Q249" s="46">
        <f t="shared" si="165"/>
        <v>9.7380539246222877E-2</v>
      </c>
      <c r="R249" s="81">
        <f t="shared" si="166"/>
        <v>0</v>
      </c>
      <c r="S249" s="82">
        <f t="shared" si="167"/>
        <v>0</v>
      </c>
      <c r="T249" s="39">
        <f t="shared" si="168"/>
        <v>0</v>
      </c>
      <c r="U249" s="83">
        <f t="shared" si="169"/>
        <v>0</v>
      </c>
      <c r="V249" s="84">
        <f t="shared" si="170"/>
        <v>3.44</v>
      </c>
      <c r="W249" s="52">
        <f t="shared" si="171"/>
        <v>128.53506794850466</v>
      </c>
      <c r="X249" s="52">
        <f t="shared" si="172"/>
        <v>157.51509649886901</v>
      </c>
      <c r="Y249" s="52">
        <f t="shared" si="173"/>
        <v>286.05016444737367</v>
      </c>
      <c r="Z249" s="53">
        <f t="shared" si="174"/>
        <v>1.0041802183476927</v>
      </c>
      <c r="AA249" s="53">
        <f t="shared" si="175"/>
        <v>0.9375898601123156</v>
      </c>
      <c r="AB249" s="53">
        <f t="shared" si="176"/>
        <v>0.96638569070058677</v>
      </c>
      <c r="AC249" s="39" t="str">
        <f t="shared" si="177"/>
        <v>No</v>
      </c>
      <c r="AD249" s="85">
        <f t="shared" si="178"/>
        <v>0</v>
      </c>
      <c r="AE249" s="46">
        <f t="shared" si="179"/>
        <v>1</v>
      </c>
      <c r="AF249" s="46">
        <f t="shared" si="180"/>
        <v>0</v>
      </c>
      <c r="AG249" s="39">
        <f t="shared" si="235"/>
        <v>55.958933971863381</v>
      </c>
      <c r="AH249" s="39">
        <f t="shared" si="236"/>
        <v>66.295296459741635</v>
      </c>
      <c r="AI249" s="39">
        <f t="shared" si="237"/>
        <v>65.499330068837367</v>
      </c>
      <c r="AJ249" s="39">
        <f t="shared" si="238"/>
        <v>89.7815074480623</v>
      </c>
      <c r="AK249" s="39">
        <f t="shared" si="239"/>
        <v>85.923275040850001</v>
      </c>
      <c r="AL249" s="39">
        <f t="shared" si="240"/>
        <v>70.991821458018975</v>
      </c>
      <c r="AM249" s="39">
        <f t="shared" si="241"/>
        <v>70.800000000000011</v>
      </c>
      <c r="AN249" s="39">
        <f t="shared" si="242"/>
        <v>70.800000000000011</v>
      </c>
      <c r="AO249" s="39">
        <f t="shared" si="181"/>
        <v>0</v>
      </c>
      <c r="AP249" s="39">
        <f t="shared" si="182"/>
        <v>0</v>
      </c>
      <c r="AQ249" s="39">
        <f t="shared" si="183"/>
        <v>0</v>
      </c>
      <c r="AR249" s="39">
        <f t="shared" si="184"/>
        <v>0</v>
      </c>
      <c r="AS249" s="39">
        <f t="shared" si="185"/>
        <v>0</v>
      </c>
      <c r="AT249" s="39">
        <f t="shared" si="186"/>
        <v>0</v>
      </c>
      <c r="AU249" s="39">
        <f t="shared" si="187"/>
        <v>0</v>
      </c>
      <c r="AV249" s="39">
        <f t="shared" si="188"/>
        <v>0</v>
      </c>
      <c r="AW249" s="39">
        <f t="shared" si="189"/>
        <v>0</v>
      </c>
      <c r="AX249" s="39">
        <f t="shared" si="190"/>
        <v>0</v>
      </c>
      <c r="AY249" s="39">
        <f t="shared" si="191"/>
        <v>0</v>
      </c>
      <c r="AZ249" s="39">
        <f t="shared" si="192"/>
        <v>0</v>
      </c>
      <c r="BA249" s="39">
        <f t="shared" si="193"/>
        <v>0</v>
      </c>
      <c r="BB249" s="39">
        <f t="shared" si="194"/>
        <v>0</v>
      </c>
      <c r="BC249" s="39">
        <f t="shared" si="195"/>
        <v>0</v>
      </c>
      <c r="BD249" s="39">
        <f t="shared" si="196"/>
        <v>0</v>
      </c>
      <c r="BE249" s="39">
        <f t="shared" si="197"/>
        <v>0</v>
      </c>
      <c r="BF249" s="39">
        <f t="shared" si="198"/>
        <v>0</v>
      </c>
      <c r="BG249" s="39">
        <f t="shared" si="199"/>
        <v>0</v>
      </c>
      <c r="BH249" s="84">
        <f t="shared" si="200"/>
        <v>2.3589339718633795</v>
      </c>
      <c r="BI249" s="84">
        <f t="shared" si="201"/>
        <v>1.0810660281366204</v>
      </c>
      <c r="BJ249" s="84">
        <f t="shared" si="202"/>
        <v>3.44</v>
      </c>
      <c r="BK249" s="39">
        <f t="shared" si="203"/>
        <v>52.518933971863383</v>
      </c>
      <c r="BL249" s="39">
        <f t="shared" si="204"/>
        <v>66.295296459741635</v>
      </c>
      <c r="BM249" s="39">
        <f t="shared" si="205"/>
        <v>65.499330068837367</v>
      </c>
      <c r="BN249" s="39">
        <f t="shared" si="206"/>
        <v>89.7815074480623</v>
      </c>
      <c r="BO249" s="39">
        <f t="shared" si="207"/>
        <v>85.923275040850001</v>
      </c>
      <c r="BP249" s="39">
        <f t="shared" si="208"/>
        <v>70.991821458018975</v>
      </c>
      <c r="BQ249" s="39">
        <f t="shared" si="209"/>
        <v>70.800000000000011</v>
      </c>
      <c r="BR249" s="39">
        <f t="shared" si="210"/>
        <v>70.800000000000011</v>
      </c>
      <c r="BS249" s="39">
        <f t="shared" si="211"/>
        <v>0</v>
      </c>
      <c r="BT249" s="39">
        <f t="shared" si="212"/>
        <v>0.17717787584498126</v>
      </c>
      <c r="BU249" s="39">
        <f t="shared" si="213"/>
        <v>0.89959804130242838</v>
      </c>
      <c r="BV249" s="39">
        <f t="shared" si="214"/>
        <v>1.6689044688373713</v>
      </c>
      <c r="BW249" s="39">
        <f t="shared" si="215"/>
        <v>1.153965024510009</v>
      </c>
      <c r="BX249" s="39">
        <f t="shared" si="216"/>
        <v>0</v>
      </c>
      <c r="BY249" s="39">
        <f t="shared" si="217"/>
        <v>0</v>
      </c>
      <c r="BZ249" s="39">
        <f t="shared" si="218"/>
        <v>0</v>
      </c>
      <c r="CA249" s="39">
        <f t="shared" si="219"/>
        <v>52.518933971863383</v>
      </c>
      <c r="CB249" s="39">
        <f t="shared" si="220"/>
        <v>66.11811858389666</v>
      </c>
      <c r="CC249" s="39">
        <f t="shared" si="221"/>
        <v>64.776909903379916</v>
      </c>
      <c r="CD249" s="39">
        <f t="shared" si="222"/>
        <v>89.012201020527357</v>
      </c>
      <c r="CE249" s="39">
        <f t="shared" si="223"/>
        <v>86.438214485177355</v>
      </c>
      <c r="CF249" s="39">
        <f t="shared" si="224"/>
        <v>72.14578648252899</v>
      </c>
      <c r="CG249" s="39">
        <f t="shared" si="225"/>
        <v>70.800000000000011</v>
      </c>
      <c r="CH249" s="39">
        <f t="shared" si="226"/>
        <v>70.800000000000011</v>
      </c>
      <c r="CI249" s="39">
        <f t="shared" si="227"/>
        <v>0</v>
      </c>
      <c r="CJ249" s="39">
        <f t="shared" si="228"/>
        <v>0</v>
      </c>
      <c r="CK249" s="39">
        <f t="shared" si="229"/>
        <v>0</v>
      </c>
      <c r="CL249" s="39">
        <f t="shared" si="230"/>
        <v>0</v>
      </c>
      <c r="CM249" s="39">
        <f t="shared" si="231"/>
        <v>0</v>
      </c>
      <c r="CN249" s="39">
        <f t="shared" si="232"/>
        <v>0</v>
      </c>
      <c r="CO249" s="39">
        <f t="shared" si="233"/>
        <v>0</v>
      </c>
      <c r="CP249" s="39">
        <f t="shared" si="234"/>
        <v>0</v>
      </c>
    </row>
    <row r="250" spans="2:94" ht="16" customHeight="1" x14ac:dyDescent="0.2">
      <c r="B250" s="38"/>
      <c r="L250" s="63">
        <v>30562</v>
      </c>
      <c r="M250" s="38">
        <v>0</v>
      </c>
      <c r="N250" s="38">
        <v>2.7</v>
      </c>
      <c r="O250" s="39">
        <v>0</v>
      </c>
      <c r="P250" s="39">
        <v>0</v>
      </c>
      <c r="Q250" s="46">
        <f t="shared" si="165"/>
        <v>0.10435351221919584</v>
      </c>
      <c r="R250" s="81">
        <f t="shared" si="166"/>
        <v>0</v>
      </c>
      <c r="S250" s="82">
        <f t="shared" si="167"/>
        <v>0</v>
      </c>
      <c r="T250" s="39">
        <f t="shared" si="168"/>
        <v>0</v>
      </c>
      <c r="U250" s="83">
        <f t="shared" si="169"/>
        <v>0</v>
      </c>
      <c r="V250" s="84">
        <f t="shared" si="170"/>
        <v>2.16</v>
      </c>
      <c r="W250" s="52">
        <f t="shared" si="171"/>
        <v>123.42616347966731</v>
      </c>
      <c r="X250" s="52">
        <f t="shared" si="172"/>
        <v>159.18400096770637</v>
      </c>
      <c r="Y250" s="52">
        <f t="shared" si="173"/>
        <v>282.61016444737368</v>
      </c>
      <c r="Z250" s="53">
        <f t="shared" si="174"/>
        <v>0.96426690218490085</v>
      </c>
      <c r="AA250" s="53">
        <f t="shared" si="175"/>
        <v>0.94752381528396645</v>
      </c>
      <c r="AB250" s="53">
        <f t="shared" si="176"/>
        <v>0.95476406907896516</v>
      </c>
      <c r="AC250" s="39" t="str">
        <f t="shared" si="177"/>
        <v>No</v>
      </c>
      <c r="AD250" s="85">
        <f t="shared" si="178"/>
        <v>0</v>
      </c>
      <c r="AE250" s="46">
        <f t="shared" si="179"/>
        <v>1</v>
      </c>
      <c r="AF250" s="46">
        <f t="shared" si="180"/>
        <v>0</v>
      </c>
      <c r="AG250" s="39">
        <f t="shared" si="235"/>
        <v>52.518933971863383</v>
      </c>
      <c r="AH250" s="39">
        <f t="shared" si="236"/>
        <v>66.11811858389666</v>
      </c>
      <c r="AI250" s="39">
        <f t="shared" si="237"/>
        <v>64.776909903379916</v>
      </c>
      <c r="AJ250" s="39">
        <f t="shared" si="238"/>
        <v>89.012201020527357</v>
      </c>
      <c r="AK250" s="39">
        <f t="shared" si="239"/>
        <v>86.438214485177355</v>
      </c>
      <c r="AL250" s="39">
        <f t="shared" si="240"/>
        <v>72.14578648252899</v>
      </c>
      <c r="AM250" s="39">
        <f t="shared" si="241"/>
        <v>70.800000000000011</v>
      </c>
      <c r="AN250" s="39">
        <f t="shared" si="242"/>
        <v>70.800000000000011</v>
      </c>
      <c r="AO250" s="39">
        <f t="shared" si="181"/>
        <v>0</v>
      </c>
      <c r="AP250" s="39">
        <f t="shared" si="182"/>
        <v>0</v>
      </c>
      <c r="AQ250" s="39">
        <f t="shared" si="183"/>
        <v>0</v>
      </c>
      <c r="AR250" s="39">
        <f t="shared" si="184"/>
        <v>0</v>
      </c>
      <c r="AS250" s="39">
        <f t="shared" si="185"/>
        <v>0</v>
      </c>
      <c r="AT250" s="39">
        <f t="shared" si="186"/>
        <v>0</v>
      </c>
      <c r="AU250" s="39">
        <f t="shared" si="187"/>
        <v>0</v>
      </c>
      <c r="AV250" s="39">
        <f t="shared" si="188"/>
        <v>0</v>
      </c>
      <c r="AW250" s="39">
        <f t="shared" si="189"/>
        <v>0</v>
      </c>
      <c r="AX250" s="39">
        <f t="shared" si="190"/>
        <v>0</v>
      </c>
      <c r="AY250" s="39">
        <f t="shared" si="191"/>
        <v>0</v>
      </c>
      <c r="AZ250" s="39">
        <f t="shared" si="192"/>
        <v>0</v>
      </c>
      <c r="BA250" s="39">
        <f t="shared" si="193"/>
        <v>0</v>
      </c>
      <c r="BB250" s="39">
        <f t="shared" si="194"/>
        <v>0</v>
      </c>
      <c r="BC250" s="39">
        <f t="shared" si="195"/>
        <v>0</v>
      </c>
      <c r="BD250" s="39">
        <f t="shared" si="196"/>
        <v>0</v>
      </c>
      <c r="BE250" s="39">
        <f t="shared" si="197"/>
        <v>0</v>
      </c>
      <c r="BF250" s="39">
        <f t="shared" si="198"/>
        <v>0</v>
      </c>
      <c r="BG250" s="39">
        <f t="shared" si="199"/>
        <v>0</v>
      </c>
      <c r="BH250" s="84">
        <f t="shared" si="200"/>
        <v>0</v>
      </c>
      <c r="BI250" s="84">
        <f t="shared" si="201"/>
        <v>2.16</v>
      </c>
      <c r="BJ250" s="84">
        <f t="shared" si="202"/>
        <v>1.9279976198990696</v>
      </c>
      <c r="BK250" s="39">
        <f t="shared" si="203"/>
        <v>50.590936351964316</v>
      </c>
      <c r="BL250" s="39">
        <f t="shared" si="204"/>
        <v>66.11811858389666</v>
      </c>
      <c r="BM250" s="39">
        <f t="shared" si="205"/>
        <v>64.776909903379916</v>
      </c>
      <c r="BN250" s="39">
        <f t="shared" si="206"/>
        <v>89.012201020527357</v>
      </c>
      <c r="BO250" s="39">
        <f t="shared" si="207"/>
        <v>86.438214485177355</v>
      </c>
      <c r="BP250" s="39">
        <f t="shared" si="208"/>
        <v>72.14578648252899</v>
      </c>
      <c r="BQ250" s="39">
        <f t="shared" si="209"/>
        <v>70.800000000000011</v>
      </c>
      <c r="BR250" s="39">
        <f t="shared" si="210"/>
        <v>70.800000000000011</v>
      </c>
      <c r="BS250" s="39">
        <f t="shared" si="211"/>
        <v>0</v>
      </c>
      <c r="BT250" s="39">
        <f t="shared" si="212"/>
        <v>7.0871150337995917E-2</v>
      </c>
      <c r="BU250" s="39">
        <f t="shared" si="213"/>
        <v>0.46614594202795839</v>
      </c>
      <c r="BV250" s="39">
        <f t="shared" si="214"/>
        <v>1.2073206123164055</v>
      </c>
      <c r="BW250" s="39">
        <f t="shared" si="215"/>
        <v>1.4629286911064212</v>
      </c>
      <c r="BX250" s="39">
        <f t="shared" si="216"/>
        <v>0</v>
      </c>
      <c r="BY250" s="39">
        <f t="shared" si="217"/>
        <v>0</v>
      </c>
      <c r="BZ250" s="39">
        <f t="shared" si="218"/>
        <v>0</v>
      </c>
      <c r="CA250" s="39">
        <f t="shared" si="219"/>
        <v>50.590936351964316</v>
      </c>
      <c r="CB250" s="39">
        <f t="shared" si="220"/>
        <v>66.047247433558667</v>
      </c>
      <c r="CC250" s="39">
        <f t="shared" si="221"/>
        <v>64.381635111689945</v>
      </c>
      <c r="CD250" s="39">
        <f t="shared" si="222"/>
        <v>88.271026350238913</v>
      </c>
      <c r="CE250" s="39">
        <f t="shared" si="223"/>
        <v>86.182606406387336</v>
      </c>
      <c r="CF250" s="39">
        <f t="shared" si="224"/>
        <v>73.608715173635417</v>
      </c>
      <c r="CG250" s="39">
        <f t="shared" si="225"/>
        <v>70.800000000000011</v>
      </c>
      <c r="CH250" s="39">
        <f t="shared" si="226"/>
        <v>70.800000000000011</v>
      </c>
      <c r="CI250" s="39">
        <f t="shared" si="227"/>
        <v>0</v>
      </c>
      <c r="CJ250" s="39">
        <f t="shared" si="228"/>
        <v>0</v>
      </c>
      <c r="CK250" s="39">
        <f t="shared" si="229"/>
        <v>0</v>
      </c>
      <c r="CL250" s="39">
        <f t="shared" si="230"/>
        <v>0</v>
      </c>
      <c r="CM250" s="39">
        <f t="shared" si="231"/>
        <v>0</v>
      </c>
      <c r="CN250" s="39">
        <f t="shared" si="232"/>
        <v>0</v>
      </c>
      <c r="CO250" s="39">
        <f t="shared" si="233"/>
        <v>0</v>
      </c>
      <c r="CP250" s="39">
        <f t="shared" si="234"/>
        <v>0</v>
      </c>
    </row>
    <row r="251" spans="2:94" ht="16" customHeight="1" x14ac:dyDescent="0.2">
      <c r="B251" s="38"/>
      <c r="L251" s="63">
        <v>30563</v>
      </c>
      <c r="M251" s="38">
        <v>0</v>
      </c>
      <c r="N251" s="38">
        <v>4.2</v>
      </c>
      <c r="O251" s="39">
        <v>0</v>
      </c>
      <c r="P251" s="39">
        <v>0</v>
      </c>
      <c r="Q251" s="46">
        <f t="shared" si="165"/>
        <v>0.10826161550277502</v>
      </c>
      <c r="R251" s="81">
        <f t="shared" si="166"/>
        <v>0</v>
      </c>
      <c r="S251" s="82">
        <f t="shared" si="167"/>
        <v>0</v>
      </c>
      <c r="T251" s="39">
        <f t="shared" si="168"/>
        <v>0</v>
      </c>
      <c r="U251" s="83">
        <f t="shared" si="169"/>
        <v>0</v>
      </c>
      <c r="V251" s="84">
        <f t="shared" si="170"/>
        <v>3.3600000000000003</v>
      </c>
      <c r="W251" s="52">
        <f t="shared" si="171"/>
        <v>120.29084524745184</v>
      </c>
      <c r="X251" s="52">
        <f t="shared" si="172"/>
        <v>160.3913215800228</v>
      </c>
      <c r="Y251" s="52">
        <f t="shared" si="173"/>
        <v>280.68216682747465</v>
      </c>
      <c r="Z251" s="53">
        <f t="shared" si="174"/>
        <v>0.93977222849571751</v>
      </c>
      <c r="AA251" s="53">
        <f t="shared" si="175"/>
        <v>0.95471024750013578</v>
      </c>
      <c r="AB251" s="53">
        <f t="shared" si="176"/>
        <v>0.94825056360633331</v>
      </c>
      <c r="AC251" s="39" t="str">
        <f t="shared" si="177"/>
        <v>No</v>
      </c>
      <c r="AD251" s="85">
        <f t="shared" si="178"/>
        <v>0</v>
      </c>
      <c r="AE251" s="46">
        <f t="shared" si="179"/>
        <v>1</v>
      </c>
      <c r="AF251" s="46">
        <f t="shared" si="180"/>
        <v>0</v>
      </c>
      <c r="AG251" s="39">
        <f t="shared" si="235"/>
        <v>50.590936351964316</v>
      </c>
      <c r="AH251" s="39">
        <f t="shared" si="236"/>
        <v>66.047247433558667</v>
      </c>
      <c r="AI251" s="39">
        <f t="shared" si="237"/>
        <v>64.381635111689945</v>
      </c>
      <c r="AJ251" s="39">
        <f t="shared" si="238"/>
        <v>88.271026350238913</v>
      </c>
      <c r="AK251" s="39">
        <f t="shared" si="239"/>
        <v>86.182606406387336</v>
      </c>
      <c r="AL251" s="39">
        <f t="shared" si="240"/>
        <v>73.608715173635417</v>
      </c>
      <c r="AM251" s="39">
        <f t="shared" si="241"/>
        <v>70.800000000000011</v>
      </c>
      <c r="AN251" s="39">
        <f t="shared" si="242"/>
        <v>70.800000000000011</v>
      </c>
      <c r="AO251" s="39">
        <f t="shared" si="181"/>
        <v>0</v>
      </c>
      <c r="AP251" s="39">
        <f t="shared" si="182"/>
        <v>0</v>
      </c>
      <c r="AQ251" s="39">
        <f t="shared" si="183"/>
        <v>0</v>
      </c>
      <c r="AR251" s="39">
        <f t="shared" si="184"/>
        <v>0</v>
      </c>
      <c r="AS251" s="39">
        <f t="shared" si="185"/>
        <v>0</v>
      </c>
      <c r="AT251" s="39">
        <f t="shared" si="186"/>
        <v>0</v>
      </c>
      <c r="AU251" s="39">
        <f t="shared" si="187"/>
        <v>0</v>
      </c>
      <c r="AV251" s="39">
        <f t="shared" si="188"/>
        <v>0</v>
      </c>
      <c r="AW251" s="39">
        <f t="shared" si="189"/>
        <v>0</v>
      </c>
      <c r="AX251" s="39">
        <f t="shared" si="190"/>
        <v>0</v>
      </c>
      <c r="AY251" s="39">
        <f t="shared" si="191"/>
        <v>0</v>
      </c>
      <c r="AZ251" s="39">
        <f t="shared" si="192"/>
        <v>0</v>
      </c>
      <c r="BA251" s="39">
        <f t="shared" si="193"/>
        <v>0</v>
      </c>
      <c r="BB251" s="39">
        <f t="shared" si="194"/>
        <v>0</v>
      </c>
      <c r="BC251" s="39">
        <f t="shared" si="195"/>
        <v>0</v>
      </c>
      <c r="BD251" s="39">
        <f t="shared" si="196"/>
        <v>0</v>
      </c>
      <c r="BE251" s="39">
        <f t="shared" si="197"/>
        <v>0</v>
      </c>
      <c r="BF251" s="39">
        <f t="shared" si="198"/>
        <v>0</v>
      </c>
      <c r="BG251" s="39">
        <f t="shared" si="199"/>
        <v>0</v>
      </c>
      <c r="BH251" s="84">
        <f t="shared" si="200"/>
        <v>0</v>
      </c>
      <c r="BI251" s="84">
        <f t="shared" si="201"/>
        <v>3.3600000000000003</v>
      </c>
      <c r="BJ251" s="84">
        <f t="shared" si="202"/>
        <v>2.4285537181383541</v>
      </c>
      <c r="BK251" s="39">
        <f t="shared" si="203"/>
        <v>48.162382633825963</v>
      </c>
      <c r="BL251" s="39">
        <f t="shared" si="204"/>
        <v>66.047247433558667</v>
      </c>
      <c r="BM251" s="39">
        <f t="shared" si="205"/>
        <v>64.381635111689945</v>
      </c>
      <c r="BN251" s="39">
        <f t="shared" si="206"/>
        <v>88.271026350238913</v>
      </c>
      <c r="BO251" s="39">
        <f t="shared" si="207"/>
        <v>86.182606406387336</v>
      </c>
      <c r="BP251" s="39">
        <f t="shared" si="208"/>
        <v>73.608715173635417</v>
      </c>
      <c r="BQ251" s="39">
        <f t="shared" si="209"/>
        <v>70.800000000000011</v>
      </c>
      <c r="BR251" s="39">
        <f t="shared" si="210"/>
        <v>70.800000000000011</v>
      </c>
      <c r="BS251" s="39">
        <f t="shared" si="211"/>
        <v>0</v>
      </c>
      <c r="BT251" s="39">
        <f t="shared" si="212"/>
        <v>2.8348460135200069E-2</v>
      </c>
      <c r="BU251" s="39">
        <f t="shared" si="213"/>
        <v>0.2289810670139758</v>
      </c>
      <c r="BV251" s="39">
        <f t="shared" si="214"/>
        <v>0.76261581014333901</v>
      </c>
      <c r="BW251" s="39">
        <f t="shared" si="215"/>
        <v>1.3095638438324102</v>
      </c>
      <c r="BX251" s="39">
        <f t="shared" si="216"/>
        <v>0</v>
      </c>
      <c r="BY251" s="39">
        <f t="shared" si="217"/>
        <v>0</v>
      </c>
      <c r="BZ251" s="39">
        <f t="shared" si="218"/>
        <v>0</v>
      </c>
      <c r="CA251" s="39">
        <f t="shared" si="219"/>
        <v>48.162382633825963</v>
      </c>
      <c r="CB251" s="39">
        <f t="shared" si="220"/>
        <v>66.018898973423461</v>
      </c>
      <c r="CC251" s="39">
        <f t="shared" si="221"/>
        <v>64.181002504811175</v>
      </c>
      <c r="CD251" s="39">
        <f t="shared" si="222"/>
        <v>87.737391607109544</v>
      </c>
      <c r="CE251" s="39">
        <f t="shared" si="223"/>
        <v>85.635658372698273</v>
      </c>
      <c r="CF251" s="39">
        <f t="shared" si="224"/>
        <v>74.918279017467825</v>
      </c>
      <c r="CG251" s="39">
        <f t="shared" si="225"/>
        <v>70.800000000000011</v>
      </c>
      <c r="CH251" s="39">
        <f t="shared" si="226"/>
        <v>70.800000000000011</v>
      </c>
      <c r="CI251" s="39">
        <f t="shared" si="227"/>
        <v>0</v>
      </c>
      <c r="CJ251" s="39">
        <f t="shared" si="228"/>
        <v>0</v>
      </c>
      <c r="CK251" s="39">
        <f t="shared" si="229"/>
        <v>0</v>
      </c>
      <c r="CL251" s="39">
        <f t="shared" si="230"/>
        <v>0</v>
      </c>
      <c r="CM251" s="39">
        <f t="shared" si="231"/>
        <v>0</v>
      </c>
      <c r="CN251" s="39">
        <f t="shared" si="232"/>
        <v>0</v>
      </c>
      <c r="CO251" s="39">
        <f t="shared" si="233"/>
        <v>0</v>
      </c>
      <c r="CP251" s="39">
        <f t="shared" si="234"/>
        <v>0</v>
      </c>
    </row>
    <row r="252" spans="2:94" ht="16" customHeight="1" x14ac:dyDescent="0.2">
      <c r="B252" s="38"/>
      <c r="L252" s="63">
        <v>30564</v>
      </c>
      <c r="M252" s="38">
        <v>0</v>
      </c>
      <c r="N252" s="38">
        <v>3.8</v>
      </c>
      <c r="O252" s="39">
        <v>0</v>
      </c>
      <c r="P252" s="39">
        <v>0</v>
      </c>
      <c r="Q252" s="46">
        <f t="shared" si="165"/>
        <v>0.11318435952602844</v>
      </c>
      <c r="R252" s="81">
        <f t="shared" si="166"/>
        <v>0</v>
      </c>
      <c r="S252" s="82">
        <f t="shared" si="167"/>
        <v>0</v>
      </c>
      <c r="T252" s="39">
        <f t="shared" si="168"/>
        <v>0</v>
      </c>
      <c r="U252" s="83">
        <f t="shared" si="169"/>
        <v>0</v>
      </c>
      <c r="V252" s="84">
        <f t="shared" si="170"/>
        <v>3.04</v>
      </c>
      <c r="W252" s="52">
        <f t="shared" si="171"/>
        <v>117.09967571917014</v>
      </c>
      <c r="X252" s="52">
        <f t="shared" si="172"/>
        <v>161.15393739016611</v>
      </c>
      <c r="Y252" s="52">
        <f t="shared" si="173"/>
        <v>278.25361310933624</v>
      </c>
      <c r="Z252" s="53">
        <f t="shared" si="174"/>
        <v>0.91484121655601669</v>
      </c>
      <c r="AA252" s="53">
        <f t="shared" si="175"/>
        <v>0.95924962732241725</v>
      </c>
      <c r="AB252" s="53">
        <f t="shared" si="176"/>
        <v>0.94004599023424407</v>
      </c>
      <c r="AC252" s="39" t="str">
        <f t="shared" si="177"/>
        <v>No</v>
      </c>
      <c r="AD252" s="85">
        <f t="shared" si="178"/>
        <v>0</v>
      </c>
      <c r="AE252" s="46">
        <f t="shared" si="179"/>
        <v>1</v>
      </c>
      <c r="AF252" s="46">
        <f t="shared" si="180"/>
        <v>0</v>
      </c>
      <c r="AG252" s="39">
        <f t="shared" si="235"/>
        <v>48.162382633825963</v>
      </c>
      <c r="AH252" s="39">
        <f t="shared" si="236"/>
        <v>66.018898973423461</v>
      </c>
      <c r="AI252" s="39">
        <f t="shared" si="237"/>
        <v>64.181002504811175</v>
      </c>
      <c r="AJ252" s="39">
        <f t="shared" si="238"/>
        <v>87.737391607109544</v>
      </c>
      <c r="AK252" s="39">
        <f t="shared" si="239"/>
        <v>85.635658372698273</v>
      </c>
      <c r="AL252" s="39">
        <f t="shared" si="240"/>
        <v>74.918279017467825</v>
      </c>
      <c r="AM252" s="39">
        <f t="shared" si="241"/>
        <v>70.800000000000011</v>
      </c>
      <c r="AN252" s="39">
        <f t="shared" si="242"/>
        <v>70.800000000000011</v>
      </c>
      <c r="AO252" s="39">
        <f t="shared" si="181"/>
        <v>0</v>
      </c>
      <c r="AP252" s="39">
        <f t="shared" si="182"/>
        <v>0</v>
      </c>
      <c r="AQ252" s="39">
        <f t="shared" si="183"/>
        <v>0</v>
      </c>
      <c r="AR252" s="39">
        <f t="shared" si="184"/>
        <v>0</v>
      </c>
      <c r="AS252" s="39">
        <f t="shared" si="185"/>
        <v>0</v>
      </c>
      <c r="AT252" s="39">
        <f t="shared" si="186"/>
        <v>0</v>
      </c>
      <c r="AU252" s="39">
        <f t="shared" si="187"/>
        <v>0</v>
      </c>
      <c r="AV252" s="39">
        <f t="shared" si="188"/>
        <v>0</v>
      </c>
      <c r="AW252" s="39">
        <f t="shared" si="189"/>
        <v>0</v>
      </c>
      <c r="AX252" s="39">
        <f t="shared" si="190"/>
        <v>0</v>
      </c>
      <c r="AY252" s="39">
        <f t="shared" si="191"/>
        <v>0</v>
      </c>
      <c r="AZ252" s="39">
        <f t="shared" si="192"/>
        <v>0</v>
      </c>
      <c r="BA252" s="39">
        <f t="shared" si="193"/>
        <v>0</v>
      </c>
      <c r="BB252" s="39">
        <f t="shared" si="194"/>
        <v>0</v>
      </c>
      <c r="BC252" s="39">
        <f t="shared" si="195"/>
        <v>0</v>
      </c>
      <c r="BD252" s="39">
        <f t="shared" si="196"/>
        <v>0</v>
      </c>
      <c r="BE252" s="39">
        <f t="shared" si="197"/>
        <v>0</v>
      </c>
      <c r="BF252" s="39">
        <f t="shared" si="198"/>
        <v>0</v>
      </c>
      <c r="BG252" s="39">
        <f t="shared" si="199"/>
        <v>0</v>
      </c>
      <c r="BH252" s="84">
        <f t="shared" si="200"/>
        <v>0</v>
      </c>
      <c r="BI252" s="84">
        <f t="shared" si="201"/>
        <v>3.04</v>
      </c>
      <c r="BJ252" s="84">
        <f t="shared" si="202"/>
        <v>1.6561789817214962</v>
      </c>
      <c r="BK252" s="39">
        <f t="shared" si="203"/>
        <v>46.506203652104467</v>
      </c>
      <c r="BL252" s="39">
        <f t="shared" si="204"/>
        <v>66.018898973423461</v>
      </c>
      <c r="BM252" s="39">
        <f t="shared" si="205"/>
        <v>64.181002504811175</v>
      </c>
      <c r="BN252" s="39">
        <f t="shared" si="206"/>
        <v>87.737391607109544</v>
      </c>
      <c r="BO252" s="39">
        <f t="shared" si="207"/>
        <v>85.635658372698273</v>
      </c>
      <c r="BP252" s="39">
        <f t="shared" si="208"/>
        <v>74.918279017467825</v>
      </c>
      <c r="BQ252" s="39">
        <f t="shared" si="209"/>
        <v>70.800000000000011</v>
      </c>
      <c r="BR252" s="39">
        <f t="shared" si="210"/>
        <v>70.800000000000011</v>
      </c>
      <c r="BS252" s="39">
        <f t="shared" si="211"/>
        <v>0</v>
      </c>
      <c r="BT252" s="39">
        <f t="shared" si="212"/>
        <v>1.1339384054076617E-2</v>
      </c>
      <c r="BU252" s="39">
        <f t="shared" si="213"/>
        <v>0.10860150288671377</v>
      </c>
      <c r="BV252" s="39">
        <f t="shared" si="214"/>
        <v>0.44243496426571766</v>
      </c>
      <c r="BW252" s="39">
        <f t="shared" si="215"/>
        <v>0.98139502361897257</v>
      </c>
      <c r="BX252" s="39">
        <f t="shared" si="216"/>
        <v>0</v>
      </c>
      <c r="BY252" s="39">
        <f t="shared" si="217"/>
        <v>0</v>
      </c>
      <c r="BZ252" s="39">
        <f t="shared" si="218"/>
        <v>0</v>
      </c>
      <c r="CA252" s="39">
        <f t="shared" si="219"/>
        <v>46.506203652104467</v>
      </c>
      <c r="CB252" s="39">
        <f t="shared" si="220"/>
        <v>66.007559589369379</v>
      </c>
      <c r="CC252" s="39">
        <f t="shared" si="221"/>
        <v>64.083740385978544</v>
      </c>
      <c r="CD252" s="39">
        <f t="shared" si="222"/>
        <v>87.403558145730543</v>
      </c>
      <c r="CE252" s="39">
        <f t="shared" si="223"/>
        <v>85.096698313345016</v>
      </c>
      <c r="CF252" s="39">
        <f t="shared" si="224"/>
        <v>75.899674041086797</v>
      </c>
      <c r="CG252" s="39">
        <f t="shared" si="225"/>
        <v>70.800000000000011</v>
      </c>
      <c r="CH252" s="39">
        <f t="shared" si="226"/>
        <v>70.800000000000011</v>
      </c>
      <c r="CI252" s="39">
        <f t="shared" si="227"/>
        <v>0</v>
      </c>
      <c r="CJ252" s="39">
        <f t="shared" si="228"/>
        <v>0</v>
      </c>
      <c r="CK252" s="39">
        <f t="shared" si="229"/>
        <v>0</v>
      </c>
      <c r="CL252" s="39">
        <f t="shared" si="230"/>
        <v>0</v>
      </c>
      <c r="CM252" s="39">
        <f t="shared" si="231"/>
        <v>0</v>
      </c>
      <c r="CN252" s="39">
        <f t="shared" si="232"/>
        <v>0</v>
      </c>
      <c r="CO252" s="39">
        <f t="shared" si="233"/>
        <v>0</v>
      </c>
      <c r="CP252" s="39">
        <f t="shared" si="234"/>
        <v>0</v>
      </c>
    </row>
    <row r="253" spans="2:94" ht="16" customHeight="1" x14ac:dyDescent="0.2">
      <c r="B253" s="38"/>
      <c r="L253" s="63">
        <v>30565</v>
      </c>
      <c r="M253" s="38">
        <v>0</v>
      </c>
      <c r="N253" s="38">
        <v>3.7</v>
      </c>
      <c r="O253" s="39">
        <v>0</v>
      </c>
      <c r="P253" s="39">
        <v>0</v>
      </c>
      <c r="Q253" s="46">
        <f t="shared" si="165"/>
        <v>0.11654147908357201</v>
      </c>
      <c r="R253" s="81">
        <f t="shared" si="166"/>
        <v>0</v>
      </c>
      <c r="S253" s="82">
        <f t="shared" si="167"/>
        <v>0</v>
      </c>
      <c r="T253" s="39">
        <f t="shared" si="168"/>
        <v>0</v>
      </c>
      <c r="U253" s="83">
        <f t="shared" si="169"/>
        <v>0</v>
      </c>
      <c r="V253" s="84">
        <f t="shared" si="170"/>
        <v>2.9600000000000004</v>
      </c>
      <c r="W253" s="52">
        <f t="shared" si="171"/>
        <v>115.00106177318293</v>
      </c>
      <c r="X253" s="52">
        <f t="shared" si="172"/>
        <v>161.59637235443182</v>
      </c>
      <c r="Y253" s="52">
        <f t="shared" si="173"/>
        <v>276.59743412761475</v>
      </c>
      <c r="Z253" s="53">
        <f t="shared" si="174"/>
        <v>0.89844579510299161</v>
      </c>
      <c r="AA253" s="53">
        <f t="shared" si="175"/>
        <v>0.96188316877637992</v>
      </c>
      <c r="AB253" s="53">
        <f t="shared" si="176"/>
        <v>0.9344507909716715</v>
      </c>
      <c r="AC253" s="39" t="str">
        <f t="shared" si="177"/>
        <v>No</v>
      </c>
      <c r="AD253" s="85">
        <f t="shared" si="178"/>
        <v>0</v>
      </c>
      <c r="AE253" s="46">
        <f t="shared" si="179"/>
        <v>1</v>
      </c>
      <c r="AF253" s="46">
        <f t="shared" si="180"/>
        <v>0</v>
      </c>
      <c r="AG253" s="39">
        <f t="shared" si="235"/>
        <v>46.506203652104467</v>
      </c>
      <c r="AH253" s="39">
        <f t="shared" si="236"/>
        <v>66.007559589369379</v>
      </c>
      <c r="AI253" s="39">
        <f t="shared" si="237"/>
        <v>64.083740385978544</v>
      </c>
      <c r="AJ253" s="39">
        <f t="shared" si="238"/>
        <v>87.403558145730543</v>
      </c>
      <c r="AK253" s="39">
        <f t="shared" si="239"/>
        <v>85.096698313345016</v>
      </c>
      <c r="AL253" s="39">
        <f t="shared" si="240"/>
        <v>75.899674041086797</v>
      </c>
      <c r="AM253" s="39">
        <f t="shared" si="241"/>
        <v>70.800000000000011</v>
      </c>
      <c r="AN253" s="39">
        <f t="shared" si="242"/>
        <v>70.800000000000011</v>
      </c>
      <c r="AO253" s="39">
        <f t="shared" si="181"/>
        <v>0</v>
      </c>
      <c r="AP253" s="39">
        <f t="shared" si="182"/>
        <v>0</v>
      </c>
      <c r="AQ253" s="39">
        <f t="shared" si="183"/>
        <v>0</v>
      </c>
      <c r="AR253" s="39">
        <f t="shared" si="184"/>
        <v>0</v>
      </c>
      <c r="AS253" s="39">
        <f t="shared" si="185"/>
        <v>0</v>
      </c>
      <c r="AT253" s="39">
        <f t="shared" si="186"/>
        <v>0</v>
      </c>
      <c r="AU253" s="39">
        <f t="shared" si="187"/>
        <v>0</v>
      </c>
      <c r="AV253" s="39">
        <f t="shared" si="188"/>
        <v>0</v>
      </c>
      <c r="AW253" s="39">
        <f t="shared" si="189"/>
        <v>0</v>
      </c>
      <c r="AX253" s="39">
        <f t="shared" si="190"/>
        <v>0</v>
      </c>
      <c r="AY253" s="39">
        <f t="shared" si="191"/>
        <v>0</v>
      </c>
      <c r="AZ253" s="39">
        <f t="shared" si="192"/>
        <v>0</v>
      </c>
      <c r="BA253" s="39">
        <f t="shared" si="193"/>
        <v>0</v>
      </c>
      <c r="BB253" s="39">
        <f t="shared" si="194"/>
        <v>0</v>
      </c>
      <c r="BC253" s="39">
        <f t="shared" si="195"/>
        <v>0</v>
      </c>
      <c r="BD253" s="39">
        <f t="shared" si="196"/>
        <v>0</v>
      </c>
      <c r="BE253" s="39">
        <f t="shared" si="197"/>
        <v>0</v>
      </c>
      <c r="BF253" s="39">
        <f t="shared" si="198"/>
        <v>0</v>
      </c>
      <c r="BG253" s="39">
        <f t="shared" si="199"/>
        <v>0</v>
      </c>
      <c r="BH253" s="84">
        <f t="shared" si="200"/>
        <v>0</v>
      </c>
      <c r="BI253" s="84">
        <f t="shared" si="201"/>
        <v>2.9600000000000004</v>
      </c>
      <c r="BJ253" s="84">
        <f t="shared" si="202"/>
        <v>1.3137925535182442</v>
      </c>
      <c r="BK253" s="39">
        <f t="shared" si="203"/>
        <v>45.19241109858622</v>
      </c>
      <c r="BL253" s="39">
        <f t="shared" si="204"/>
        <v>66.007559589369379</v>
      </c>
      <c r="BM253" s="39">
        <f t="shared" si="205"/>
        <v>64.083740385978544</v>
      </c>
      <c r="BN253" s="39">
        <f t="shared" si="206"/>
        <v>87.403558145730543</v>
      </c>
      <c r="BO253" s="39">
        <f t="shared" si="207"/>
        <v>85.096698313345016</v>
      </c>
      <c r="BP253" s="39">
        <f t="shared" si="208"/>
        <v>75.899674041086797</v>
      </c>
      <c r="BQ253" s="39">
        <f t="shared" si="209"/>
        <v>70.800000000000011</v>
      </c>
      <c r="BR253" s="39">
        <f t="shared" si="210"/>
        <v>70.800000000000011</v>
      </c>
      <c r="BS253" s="39">
        <f t="shared" si="211"/>
        <v>0</v>
      </c>
      <c r="BT253" s="39">
        <f t="shared" si="212"/>
        <v>4.5357536216272367E-3</v>
      </c>
      <c r="BU253" s="39">
        <f t="shared" si="213"/>
        <v>5.024423158713489E-2</v>
      </c>
      <c r="BV253" s="39">
        <f t="shared" si="214"/>
        <v>0.24213488743831701</v>
      </c>
      <c r="BW253" s="39">
        <f t="shared" si="215"/>
        <v>0.65801898800701786</v>
      </c>
      <c r="BX253" s="39">
        <f t="shared" si="216"/>
        <v>0.53980442465206979</v>
      </c>
      <c r="BY253" s="39">
        <f t="shared" si="217"/>
        <v>0</v>
      </c>
      <c r="BZ253" s="39">
        <f t="shared" si="218"/>
        <v>0</v>
      </c>
      <c r="CA253" s="39">
        <f t="shared" si="219"/>
        <v>45.19241109858622</v>
      </c>
      <c r="CB253" s="39">
        <f t="shared" si="220"/>
        <v>66.003023835747754</v>
      </c>
      <c r="CC253" s="39">
        <f t="shared" si="221"/>
        <v>64.038031908013039</v>
      </c>
      <c r="CD253" s="39">
        <f t="shared" si="222"/>
        <v>87.21166748987936</v>
      </c>
      <c r="CE253" s="39">
        <f t="shared" si="223"/>
        <v>84.680814212776312</v>
      </c>
      <c r="CF253" s="39">
        <f t="shared" si="224"/>
        <v>76.017888604441737</v>
      </c>
      <c r="CG253" s="39">
        <f t="shared" si="225"/>
        <v>71.339804424652087</v>
      </c>
      <c r="CH253" s="39">
        <f t="shared" si="226"/>
        <v>70.800000000000011</v>
      </c>
      <c r="CI253" s="39">
        <f t="shared" si="227"/>
        <v>0</v>
      </c>
      <c r="CJ253" s="39">
        <f t="shared" si="228"/>
        <v>0</v>
      </c>
      <c r="CK253" s="39">
        <f t="shared" si="229"/>
        <v>0</v>
      </c>
      <c r="CL253" s="39">
        <f t="shared" si="230"/>
        <v>0</v>
      </c>
      <c r="CM253" s="39">
        <f t="shared" si="231"/>
        <v>0</v>
      </c>
      <c r="CN253" s="39">
        <f t="shared" si="232"/>
        <v>0</v>
      </c>
      <c r="CO253" s="39">
        <f t="shared" si="233"/>
        <v>0</v>
      </c>
      <c r="CP253" s="39">
        <f t="shared" si="234"/>
        <v>0</v>
      </c>
    </row>
    <row r="254" spans="2:94" ht="16" customHeight="1" x14ac:dyDescent="0.2">
      <c r="B254" s="38"/>
      <c r="L254" s="63">
        <v>30566</v>
      </c>
      <c r="M254" s="38">
        <v>0</v>
      </c>
      <c r="N254" s="38">
        <v>3.4</v>
      </c>
      <c r="O254" s="39">
        <v>0</v>
      </c>
      <c r="P254" s="39">
        <v>0</v>
      </c>
      <c r="Q254" s="46">
        <f t="shared" si="165"/>
        <v>0.11920457209746037</v>
      </c>
      <c r="R254" s="81">
        <f t="shared" si="166"/>
        <v>0</v>
      </c>
      <c r="S254" s="82">
        <f t="shared" si="167"/>
        <v>0</v>
      </c>
      <c r="T254" s="39">
        <f t="shared" si="168"/>
        <v>0</v>
      </c>
      <c r="U254" s="83">
        <f t="shared" si="169"/>
        <v>0</v>
      </c>
      <c r="V254" s="84">
        <f t="shared" si="170"/>
        <v>2.72</v>
      </c>
      <c r="W254" s="52">
        <f t="shared" si="171"/>
        <v>113.44513433222636</v>
      </c>
      <c r="X254" s="52">
        <f t="shared" si="172"/>
        <v>161.83850724187016</v>
      </c>
      <c r="Y254" s="52">
        <f t="shared" si="173"/>
        <v>275.28364157409652</v>
      </c>
      <c r="Z254" s="53">
        <f t="shared" si="174"/>
        <v>0.88629011197051843</v>
      </c>
      <c r="AA254" s="53">
        <f t="shared" si="175"/>
        <v>0.96332444786827476</v>
      </c>
      <c r="AB254" s="53">
        <f t="shared" si="176"/>
        <v>0.93001230261519097</v>
      </c>
      <c r="AC254" s="39" t="str">
        <f t="shared" si="177"/>
        <v>No</v>
      </c>
      <c r="AD254" s="85">
        <f t="shared" si="178"/>
        <v>0</v>
      </c>
      <c r="AE254" s="46">
        <f t="shared" si="179"/>
        <v>1</v>
      </c>
      <c r="AF254" s="46">
        <f t="shared" si="180"/>
        <v>0</v>
      </c>
      <c r="AG254" s="39">
        <f t="shared" si="235"/>
        <v>45.19241109858622</v>
      </c>
      <c r="AH254" s="39">
        <f t="shared" si="236"/>
        <v>66.003023835747754</v>
      </c>
      <c r="AI254" s="39">
        <f t="shared" si="237"/>
        <v>64.038031908013039</v>
      </c>
      <c r="AJ254" s="39">
        <f t="shared" si="238"/>
        <v>87.21166748987936</v>
      </c>
      <c r="AK254" s="39">
        <f t="shared" si="239"/>
        <v>84.680814212776312</v>
      </c>
      <c r="AL254" s="39">
        <f t="shared" si="240"/>
        <v>76.017888604441737</v>
      </c>
      <c r="AM254" s="39">
        <f t="shared" si="241"/>
        <v>71.339804424652087</v>
      </c>
      <c r="AN254" s="39">
        <f t="shared" si="242"/>
        <v>70.800000000000011</v>
      </c>
      <c r="AO254" s="39">
        <f t="shared" si="181"/>
        <v>0</v>
      </c>
      <c r="AP254" s="39">
        <f t="shared" si="182"/>
        <v>0</v>
      </c>
      <c r="AQ254" s="39">
        <f t="shared" si="183"/>
        <v>0</v>
      </c>
      <c r="AR254" s="39">
        <f t="shared" si="184"/>
        <v>0</v>
      </c>
      <c r="AS254" s="39">
        <f t="shared" si="185"/>
        <v>0</v>
      </c>
      <c r="AT254" s="39">
        <f t="shared" si="186"/>
        <v>0</v>
      </c>
      <c r="AU254" s="39">
        <f t="shared" si="187"/>
        <v>0</v>
      </c>
      <c r="AV254" s="39">
        <f t="shared" si="188"/>
        <v>0</v>
      </c>
      <c r="AW254" s="39">
        <f t="shared" si="189"/>
        <v>0</v>
      </c>
      <c r="AX254" s="39">
        <f t="shared" si="190"/>
        <v>0</v>
      </c>
      <c r="AY254" s="39">
        <f t="shared" si="191"/>
        <v>0</v>
      </c>
      <c r="AZ254" s="39">
        <f t="shared" si="192"/>
        <v>0</v>
      </c>
      <c r="BA254" s="39">
        <f t="shared" si="193"/>
        <v>0</v>
      </c>
      <c r="BB254" s="39">
        <f t="shared" si="194"/>
        <v>0</v>
      </c>
      <c r="BC254" s="39">
        <f t="shared" si="195"/>
        <v>0</v>
      </c>
      <c r="BD254" s="39">
        <f t="shared" si="196"/>
        <v>0</v>
      </c>
      <c r="BE254" s="39">
        <f t="shared" si="197"/>
        <v>0</v>
      </c>
      <c r="BF254" s="39">
        <f t="shared" si="198"/>
        <v>0</v>
      </c>
      <c r="BG254" s="39">
        <f t="shared" si="199"/>
        <v>0</v>
      </c>
      <c r="BH254" s="84">
        <f t="shared" si="200"/>
        <v>0</v>
      </c>
      <c r="BI254" s="84">
        <f t="shared" si="201"/>
        <v>2.72</v>
      </c>
      <c r="BJ254" s="84">
        <f t="shared" si="202"/>
        <v>1.0181479006949004</v>
      </c>
      <c r="BK254" s="39">
        <f t="shared" si="203"/>
        <v>44.174263197891321</v>
      </c>
      <c r="BL254" s="39">
        <f t="shared" si="204"/>
        <v>66.003023835747754</v>
      </c>
      <c r="BM254" s="39">
        <f t="shared" si="205"/>
        <v>64.038031908013039</v>
      </c>
      <c r="BN254" s="39">
        <f t="shared" si="206"/>
        <v>87.21166748987936</v>
      </c>
      <c r="BO254" s="39">
        <f t="shared" si="207"/>
        <v>84.680814212776312</v>
      </c>
      <c r="BP254" s="39">
        <f t="shared" si="208"/>
        <v>76.017888604441737</v>
      </c>
      <c r="BQ254" s="39">
        <f t="shared" si="209"/>
        <v>71.339804424652087</v>
      </c>
      <c r="BR254" s="39">
        <f t="shared" si="210"/>
        <v>70.800000000000011</v>
      </c>
      <c r="BS254" s="39">
        <f t="shared" si="211"/>
        <v>0</v>
      </c>
      <c r="BT254" s="39">
        <f t="shared" si="212"/>
        <v>1.8143014486525998E-3</v>
      </c>
      <c r="BU254" s="39">
        <f t="shared" si="213"/>
        <v>2.2819144807832002E-2</v>
      </c>
      <c r="BV254" s="39">
        <f t="shared" si="214"/>
        <v>0.12700049392760773</v>
      </c>
      <c r="BW254" s="39">
        <f t="shared" si="215"/>
        <v>0.40848852766579569</v>
      </c>
      <c r="BX254" s="39">
        <f t="shared" si="216"/>
        <v>0.61073316266503352</v>
      </c>
      <c r="BY254" s="39">
        <f t="shared" si="217"/>
        <v>0</v>
      </c>
      <c r="BZ254" s="39">
        <f t="shared" si="218"/>
        <v>0</v>
      </c>
      <c r="CA254" s="39">
        <f t="shared" si="219"/>
        <v>44.174263197891321</v>
      </c>
      <c r="CB254" s="39">
        <f t="shared" si="220"/>
        <v>66.001209534299107</v>
      </c>
      <c r="CC254" s="39">
        <f t="shared" si="221"/>
        <v>64.01702706465386</v>
      </c>
      <c r="CD254" s="39">
        <f t="shared" si="222"/>
        <v>87.107486140759576</v>
      </c>
      <c r="CE254" s="39">
        <f t="shared" si="223"/>
        <v>84.399326179038127</v>
      </c>
      <c r="CF254" s="39">
        <f t="shared" si="224"/>
        <v>75.815643969442505</v>
      </c>
      <c r="CG254" s="39">
        <f t="shared" si="225"/>
        <v>71.950537587317115</v>
      </c>
      <c r="CH254" s="39">
        <f t="shared" si="226"/>
        <v>70.800000000000011</v>
      </c>
      <c r="CI254" s="39">
        <f t="shared" si="227"/>
        <v>0</v>
      </c>
      <c r="CJ254" s="39">
        <f t="shared" si="228"/>
        <v>0</v>
      </c>
      <c r="CK254" s="39">
        <f t="shared" si="229"/>
        <v>0</v>
      </c>
      <c r="CL254" s="39">
        <f t="shared" si="230"/>
        <v>0</v>
      </c>
      <c r="CM254" s="39">
        <f t="shared" si="231"/>
        <v>0</v>
      </c>
      <c r="CN254" s="39">
        <f t="shared" si="232"/>
        <v>0</v>
      </c>
      <c r="CO254" s="39">
        <f t="shared" si="233"/>
        <v>0</v>
      </c>
      <c r="CP254" s="39">
        <f t="shared" si="234"/>
        <v>0</v>
      </c>
    </row>
    <row r="255" spans="2:94" ht="16" customHeight="1" x14ac:dyDescent="0.2">
      <c r="B255" s="38"/>
      <c r="L255" s="63">
        <v>30567</v>
      </c>
      <c r="M255" s="38">
        <v>0</v>
      </c>
      <c r="N255" s="38">
        <v>1.9</v>
      </c>
      <c r="O255" s="39">
        <v>0</v>
      </c>
      <c r="P255" s="39">
        <v>0</v>
      </c>
      <c r="Q255" s="46">
        <f t="shared" si="165"/>
        <v>0.12126838540967975</v>
      </c>
      <c r="R255" s="81">
        <f t="shared" si="166"/>
        <v>0</v>
      </c>
      <c r="S255" s="82">
        <f t="shared" si="167"/>
        <v>0</v>
      </c>
      <c r="T255" s="39">
        <f t="shared" si="168"/>
        <v>0</v>
      </c>
      <c r="U255" s="83">
        <f t="shared" si="169"/>
        <v>0</v>
      </c>
      <c r="V255" s="84">
        <f t="shared" si="170"/>
        <v>1.52</v>
      </c>
      <c r="W255" s="52">
        <f t="shared" si="171"/>
        <v>112.29998593760388</v>
      </c>
      <c r="X255" s="52">
        <f t="shared" si="172"/>
        <v>161.96550773579776</v>
      </c>
      <c r="Y255" s="52">
        <f t="shared" si="173"/>
        <v>274.26549367340164</v>
      </c>
      <c r="Z255" s="53">
        <f t="shared" si="174"/>
        <v>0.8773436401375303</v>
      </c>
      <c r="AA255" s="53">
        <f t="shared" si="175"/>
        <v>0.96408040318927235</v>
      </c>
      <c r="AB255" s="53">
        <f t="shared" si="176"/>
        <v>0.92657261376149203</v>
      </c>
      <c r="AC255" s="39" t="str">
        <f t="shared" si="177"/>
        <v>No</v>
      </c>
      <c r="AD255" s="85">
        <f t="shared" si="178"/>
        <v>0</v>
      </c>
      <c r="AE255" s="46">
        <f t="shared" si="179"/>
        <v>1</v>
      </c>
      <c r="AF255" s="46">
        <f t="shared" si="180"/>
        <v>0</v>
      </c>
      <c r="AG255" s="39">
        <f t="shared" si="235"/>
        <v>44.174263197891321</v>
      </c>
      <c r="AH255" s="39">
        <f t="shared" si="236"/>
        <v>66.001209534299107</v>
      </c>
      <c r="AI255" s="39">
        <f t="shared" si="237"/>
        <v>64.01702706465386</v>
      </c>
      <c r="AJ255" s="39">
        <f t="shared" si="238"/>
        <v>87.107486140759576</v>
      </c>
      <c r="AK255" s="39">
        <f t="shared" si="239"/>
        <v>84.399326179038127</v>
      </c>
      <c r="AL255" s="39">
        <f t="shared" si="240"/>
        <v>75.815643969442505</v>
      </c>
      <c r="AM255" s="39">
        <f t="shared" si="241"/>
        <v>71.950537587317115</v>
      </c>
      <c r="AN255" s="39">
        <f t="shared" si="242"/>
        <v>70.800000000000011</v>
      </c>
      <c r="AO255" s="39">
        <f t="shared" si="181"/>
        <v>0</v>
      </c>
      <c r="AP255" s="39">
        <f t="shared" si="182"/>
        <v>0</v>
      </c>
      <c r="AQ255" s="39">
        <f t="shared" si="183"/>
        <v>0</v>
      </c>
      <c r="AR255" s="39">
        <f t="shared" si="184"/>
        <v>0</v>
      </c>
      <c r="AS255" s="39">
        <f t="shared" si="185"/>
        <v>0</v>
      </c>
      <c r="AT255" s="39">
        <f t="shared" si="186"/>
        <v>0</v>
      </c>
      <c r="AU255" s="39">
        <f t="shared" si="187"/>
        <v>0</v>
      </c>
      <c r="AV255" s="39">
        <f t="shared" si="188"/>
        <v>0</v>
      </c>
      <c r="AW255" s="39">
        <f t="shared" si="189"/>
        <v>0</v>
      </c>
      <c r="AX255" s="39">
        <f t="shared" si="190"/>
        <v>0</v>
      </c>
      <c r="AY255" s="39">
        <f t="shared" si="191"/>
        <v>0</v>
      </c>
      <c r="AZ255" s="39">
        <f t="shared" si="192"/>
        <v>0</v>
      </c>
      <c r="BA255" s="39">
        <f t="shared" si="193"/>
        <v>0</v>
      </c>
      <c r="BB255" s="39">
        <f t="shared" si="194"/>
        <v>0</v>
      </c>
      <c r="BC255" s="39">
        <f t="shared" si="195"/>
        <v>0</v>
      </c>
      <c r="BD255" s="39">
        <f t="shared" si="196"/>
        <v>0</v>
      </c>
      <c r="BE255" s="39">
        <f t="shared" si="197"/>
        <v>0</v>
      </c>
      <c r="BF255" s="39">
        <f t="shared" si="198"/>
        <v>0</v>
      </c>
      <c r="BG255" s="39">
        <f t="shared" si="199"/>
        <v>0</v>
      </c>
      <c r="BH255" s="84">
        <f t="shared" si="200"/>
        <v>0</v>
      </c>
      <c r="BI255" s="84">
        <f t="shared" si="201"/>
        <v>1.52</v>
      </c>
      <c r="BJ255" s="84">
        <f t="shared" si="202"/>
        <v>0.49601402428238933</v>
      </c>
      <c r="BK255" s="39">
        <f t="shared" si="203"/>
        <v>43.678249173608933</v>
      </c>
      <c r="BL255" s="39">
        <f t="shared" si="204"/>
        <v>66.001209534299107</v>
      </c>
      <c r="BM255" s="39">
        <f t="shared" si="205"/>
        <v>64.01702706465386</v>
      </c>
      <c r="BN255" s="39">
        <f t="shared" si="206"/>
        <v>87.107486140759576</v>
      </c>
      <c r="BO255" s="39">
        <f t="shared" si="207"/>
        <v>84.399326179038127</v>
      </c>
      <c r="BP255" s="39">
        <f t="shared" si="208"/>
        <v>75.815643969442505</v>
      </c>
      <c r="BQ255" s="39">
        <f t="shared" si="209"/>
        <v>71.950537587317115</v>
      </c>
      <c r="BR255" s="39">
        <f t="shared" si="210"/>
        <v>70.800000000000011</v>
      </c>
      <c r="BS255" s="39">
        <f t="shared" si="211"/>
        <v>0</v>
      </c>
      <c r="BT255" s="39">
        <f t="shared" si="212"/>
        <v>7.257205794644505E-4</v>
      </c>
      <c r="BU255" s="39">
        <f t="shared" si="213"/>
        <v>1.0216238792324361E-2</v>
      </c>
      <c r="BV255" s="39">
        <f t="shared" si="214"/>
        <v>6.4491684455737178E-2</v>
      </c>
      <c r="BW255" s="39">
        <f t="shared" si="215"/>
        <v>0.23959570742288461</v>
      </c>
      <c r="BX255" s="39">
        <f t="shared" si="216"/>
        <v>0.4893863816654942</v>
      </c>
      <c r="BY255" s="39">
        <f t="shared" si="217"/>
        <v>0</v>
      </c>
      <c r="BZ255" s="39">
        <f t="shared" si="218"/>
        <v>0</v>
      </c>
      <c r="CA255" s="39">
        <f t="shared" si="219"/>
        <v>43.678249173608933</v>
      </c>
      <c r="CB255" s="39">
        <f t="shared" si="220"/>
        <v>66.00048381371964</v>
      </c>
      <c r="CC255" s="39">
        <f t="shared" si="221"/>
        <v>64.007536546441003</v>
      </c>
      <c r="CD255" s="39">
        <f t="shared" si="222"/>
        <v>87.053210695096169</v>
      </c>
      <c r="CE255" s="39">
        <f t="shared" si="223"/>
        <v>84.224222156070979</v>
      </c>
      <c r="CF255" s="39">
        <f t="shared" si="224"/>
        <v>75.565853295199886</v>
      </c>
      <c r="CG255" s="39">
        <f t="shared" si="225"/>
        <v>72.439923968982612</v>
      </c>
      <c r="CH255" s="39">
        <f t="shared" si="226"/>
        <v>70.800000000000011</v>
      </c>
      <c r="CI255" s="39">
        <f t="shared" si="227"/>
        <v>0</v>
      </c>
      <c r="CJ255" s="39">
        <f t="shared" si="228"/>
        <v>0</v>
      </c>
      <c r="CK255" s="39">
        <f t="shared" si="229"/>
        <v>0</v>
      </c>
      <c r="CL255" s="39">
        <f t="shared" si="230"/>
        <v>0</v>
      </c>
      <c r="CM255" s="39">
        <f t="shared" si="231"/>
        <v>0</v>
      </c>
      <c r="CN255" s="39">
        <f t="shared" si="232"/>
        <v>0</v>
      </c>
      <c r="CO255" s="39">
        <f t="shared" si="233"/>
        <v>0</v>
      </c>
      <c r="CP255" s="39">
        <f t="shared" si="234"/>
        <v>0</v>
      </c>
    </row>
    <row r="256" spans="2:94" ht="16" customHeight="1" x14ac:dyDescent="0.2">
      <c r="B256" s="38"/>
      <c r="L256" s="63">
        <v>30568</v>
      </c>
      <c r="M256" s="38">
        <v>0</v>
      </c>
      <c r="N256" s="38">
        <v>3.8</v>
      </c>
      <c r="O256" s="39">
        <v>0</v>
      </c>
      <c r="P256" s="39">
        <v>0</v>
      </c>
      <c r="Q256" s="46">
        <f t="shared" ref="Q256:Q319" si="243">0.15*($D$12-MAX(AG256,$D$10))/($D$12-$D$10)</f>
        <v>0.1222738192426846</v>
      </c>
      <c r="R256" s="81">
        <f t="shared" ref="R256:R319" si="244">MAX(0,M256-Q256*$B$10)^2/(M256+$B$10*(1-Q256))</f>
        <v>0</v>
      </c>
      <c r="S256" s="82">
        <f t="shared" ref="S256:S319" si="245">M256-R256</f>
        <v>0</v>
      </c>
      <c r="T256" s="39">
        <f t="shared" ref="T256:T319" si="246">BZ256+CP256</f>
        <v>0</v>
      </c>
      <c r="U256" s="83">
        <f t="shared" ref="U256:U319" si="247">N256*P256</f>
        <v>0</v>
      </c>
      <c r="V256" s="84">
        <f t="shared" ref="V256:V319" si="248">MAX(0,N256*MAX(0,1-P256)*$B$2)</f>
        <v>3.04</v>
      </c>
      <c r="W256" s="52">
        <f t="shared" ref="W256:W319" si="249">SUM(AG256:AJ256)-SUM(D$10:G$10)</f>
        <v>111.73948022886577</v>
      </c>
      <c r="X256" s="52">
        <f t="shared" ref="X256:X319" si="250">SUM(AK256:AN256)-SUM(H$10:K$10)</f>
        <v>162.02999942025349</v>
      </c>
      <c r="Y256" s="52">
        <f t="shared" ref="Y256:Y319" si="251">X256+W256</f>
        <v>273.76947964911926</v>
      </c>
      <c r="Z256" s="53">
        <f t="shared" ref="Z256:Z319" si="252">W256/(SUM(D$11:G$11)-SUM(D$10:G$10))</f>
        <v>0.87296468928801385</v>
      </c>
      <c r="AA256" s="53">
        <f t="shared" ref="AA256:AA319" si="253">X256/(SUM(H$11:K$11)-SUM(H$10:K$10))</f>
        <v>0.96446428226341363</v>
      </c>
      <c r="AB256" s="53">
        <f t="shared" ref="AB256:AB319" si="254">Y256/(SUM(D$11:K$11)-SUM(D$10:K$10))</f>
        <v>0.92489689070648395</v>
      </c>
      <c r="AC256" s="39" t="str">
        <f t="shared" ref="AC256:AC319" si="255">IF((AJ256-G$10)/(G$11-G$10)&lt;0.3,"Si","No")</f>
        <v>No</v>
      </c>
      <c r="AD256" s="85">
        <f t="shared" ref="AD256:AD319" si="256">IF(O256&gt;0.2,O256-O255,0)</f>
        <v>0</v>
      </c>
      <c r="AE256" s="46">
        <f t="shared" ref="AE256:AE319" si="257">IF(AF255&lt;D$6,1,IF(AF255&lt;E$6,MIN(1,(AH256-E$10)/(0.3*(E$11-E$10))),IF(AF255&lt;F$6,MIN(1,(AI256-F$10)/(0.3*(F$11-F$10))),IF(AF255&lt;G$6,MIN(1,(AJ256-G$10)/(0.3*(G$11-G$10))),IF(AF255&lt;H$6,MIN(1,(AK256-H$10)/(0.3*(H$11-H$10))),IF(AF255&lt;I$6,MIN(1,(AL256-I$10)/(0.3*(I$11-I$10))),IF(AF255&lt;J$6,MIN(1,(AM256-J$10)/(0.3*(J$11-J$10))),IF(AF255&lt;K$6,MIN(1,(AN256-K$10)/(0.3*(K$11-K$10))),0))))))))</f>
        <v>1</v>
      </c>
      <c r="AF256" s="46">
        <f t="shared" ref="AF256:AF319" si="258">IF(O256&lt;0.2,0,IF(O256=0.2,0.2,AF255+AD256*AE256))</f>
        <v>0</v>
      </c>
      <c r="AG256" s="39">
        <f t="shared" si="235"/>
        <v>43.678249173608933</v>
      </c>
      <c r="AH256" s="39">
        <f t="shared" si="236"/>
        <v>66.00048381371964</v>
      </c>
      <c r="AI256" s="39">
        <f t="shared" si="237"/>
        <v>64.007536546441003</v>
      </c>
      <c r="AJ256" s="39">
        <f t="shared" si="238"/>
        <v>87.053210695096169</v>
      </c>
      <c r="AK256" s="39">
        <f t="shared" si="239"/>
        <v>84.224222156070979</v>
      </c>
      <c r="AL256" s="39">
        <f t="shared" si="240"/>
        <v>75.565853295199886</v>
      </c>
      <c r="AM256" s="39">
        <f t="shared" si="241"/>
        <v>72.439923968982612</v>
      </c>
      <c r="AN256" s="39">
        <f t="shared" si="242"/>
        <v>70.800000000000011</v>
      </c>
      <c r="AO256" s="39">
        <f t="shared" ref="AO256:AO319" si="259">MAX(0,(AG256-D$10)*$B$8*MIN(1,(AG256-D$10)/($B$9*(D$11-D$10))))*MIN(1,$AF256/D$6)</f>
        <v>0</v>
      </c>
      <c r="AP256" s="39">
        <f t="shared" ref="AP256:AP319" si="260">MAX(0,(AH256-E$10)*$B$8*MIN(1,(AH256-E$10)/($B$9*(E$11-E$10))))*MIN(1,MAX(0,($AF256-D$6))/(E$6-D$6))</f>
        <v>0</v>
      </c>
      <c r="AQ256" s="39">
        <f t="shared" ref="AQ256:AQ319" si="261">MAX(0,(AI256-F$10)*$B$8*MIN(1,(AI256-F$10)/($B$9*(F$11-F$10))))*MIN(1,MAX(0,($AF256-E$6))/(F$6-E$6))</f>
        <v>0</v>
      </c>
      <c r="AR256" s="39">
        <f t="shared" ref="AR256:AR319" si="262">MAX(0,(AJ256-G$10)*$B$8*MIN(1,(AJ256-G$10)/($B$9*(G$11-G$10))))*MIN(1,MAX(0,($AF256-F$6))/(G$6-F$6))</f>
        <v>0</v>
      </c>
      <c r="AS256" s="39">
        <f t="shared" ref="AS256:AS319" si="263">MAX(0,(AK256-H$10)*$B$8*MIN(1,(AK256-H$10)/($B$9*(H$11-H$10))))*MIN(1,MAX(0,($AF256-G$6))/(H$6-G$6))</f>
        <v>0</v>
      </c>
      <c r="AT256" s="39">
        <f t="shared" ref="AT256:AT319" si="264">MAX(0,(AL256-I$10)*$B$8*MIN(1,(AL256-I$10)/($B$9*(I$11-I$10))))*MIN(1,MAX(0,($AF256-H$6))/(I$6-H$6))</f>
        <v>0</v>
      </c>
      <c r="AU256" s="39">
        <f t="shared" ref="AU256:AU319" si="265">MAX(0,(AM256-J$10)*$B$8*MIN(1,(AM256-J$10)/($B$9*(J$11-J$10))))*MIN(1,MAX(0,($AF256-I$6))/(J$6-I$6))</f>
        <v>0</v>
      </c>
      <c r="AV256" s="39">
        <f t="shared" ref="AV256:AV319" si="266">MAX(0,(AN256-K$10)*$B$8*MIN(1,(AN256-K$10)/($B$9*(K$11-K$10))))*MIN(1,MAX(0,($AF256-J$6))/(K$6-J$6))</f>
        <v>0</v>
      </c>
      <c r="AW256" s="39">
        <f t="shared" ref="AW256:AW319" si="267">SUM(AO256:AV256)</f>
        <v>0</v>
      </c>
      <c r="AX256" s="39">
        <f t="shared" ref="AX256:AX319" si="268">MIN(U256,AW256+S256)</f>
        <v>0</v>
      </c>
      <c r="AY256" s="39">
        <f t="shared" ref="AY256:AY319" si="269">MAX(0,AX256-S256)</f>
        <v>0</v>
      </c>
      <c r="AZ256" s="39">
        <f t="shared" ref="AZ256:AZ319" si="270">IF($AW256&gt;0,$AY256*(AO256/$AW256),0)</f>
        <v>0</v>
      </c>
      <c r="BA256" s="39">
        <f t="shared" ref="BA256:BA319" si="271">IF($AW256&gt;0,$AY256*(AP256/$AW256),0)</f>
        <v>0</v>
      </c>
      <c r="BB256" s="39">
        <f t="shared" ref="BB256:BB319" si="272">IF($AW256&gt;0,$AY256*(AQ256/$AW256),0)</f>
        <v>0</v>
      </c>
      <c r="BC256" s="39">
        <f t="shared" ref="BC256:BC319" si="273">IF($AW256&gt;0,$AY256*(AR256/$AW256),0)</f>
        <v>0</v>
      </c>
      <c r="BD256" s="39">
        <f t="shared" ref="BD256:BD319" si="274">IF($AW256&gt;0,$AY256*(AS256/$AW256),0)</f>
        <v>0</v>
      </c>
      <c r="BE256" s="39">
        <f t="shared" ref="BE256:BE319" si="275">IF($AW256&gt;0,$AY256*(AT256/$AW256),0)</f>
        <v>0</v>
      </c>
      <c r="BF256" s="39">
        <f t="shared" ref="BF256:BF319" si="276">IF($AW256&gt;0,$AY256*(AU256/$AW256),0)</f>
        <v>0</v>
      </c>
      <c r="BG256" s="39">
        <f t="shared" ref="BG256:BG319" si="277">IF($AW256&gt;0,$AY256*(AV256/$AW256),0)</f>
        <v>0</v>
      </c>
      <c r="BH256" s="84">
        <f t="shared" ref="BH256:BH319" si="278">MIN(V256,MAX(0,(AG256-(D$11-$B$5*$B$2)))+MAX(0,S256-AX256))</f>
        <v>0</v>
      </c>
      <c r="BI256" s="84">
        <f t="shared" ref="BI256:BI319" si="279">V256-BH256</f>
        <v>3.04</v>
      </c>
      <c r="BJ256" s="84">
        <f t="shared" ref="BJ256:BJ319" si="280">BH256+MIN(BI256,BI256*((S256+AG256-AZ256-BH256-D$10*0.5)/(D$11-$B$5*$B$2-D$10*0.5))^4)</f>
        <v>0.92626424546178898</v>
      </c>
      <c r="BK256" s="39">
        <f t="shared" ref="BK256:BK319" si="281">AG256-AZ256-BJ256</f>
        <v>42.751984928147145</v>
      </c>
      <c r="BL256" s="39">
        <f t="shared" ref="BL256:BL319" si="282">AH256-BA256</f>
        <v>66.00048381371964</v>
      </c>
      <c r="BM256" s="39">
        <f t="shared" ref="BM256:BM319" si="283">AI256-BB256</f>
        <v>64.007536546441003</v>
      </c>
      <c r="BN256" s="39">
        <f t="shared" ref="BN256:BN319" si="284">AJ256-BC256</f>
        <v>87.053210695096169</v>
      </c>
      <c r="BO256" s="39">
        <f t="shared" ref="BO256:BO319" si="285">AK256-BD256</f>
        <v>84.224222156070979</v>
      </c>
      <c r="BP256" s="39">
        <f t="shared" ref="BP256:BP319" si="286">AL256-BE256</f>
        <v>75.565853295199886</v>
      </c>
      <c r="BQ256" s="39">
        <f t="shared" ref="BQ256:BQ319" si="287">AM256-BF256</f>
        <v>72.439923968982612</v>
      </c>
      <c r="BR256" s="39">
        <f t="shared" ref="BR256:BR319" si="288">AN256-BG256</f>
        <v>70.800000000000011</v>
      </c>
      <c r="BS256" s="39">
        <f t="shared" ref="BS256:BS319" si="289">MAX(0,(BK256-D$11)*$B$6)</f>
        <v>0</v>
      </c>
      <c r="BT256" s="39">
        <f t="shared" ref="BT256:BT319" si="290">MAX(0,(BL256-E$11)*$B$6)</f>
        <v>2.9028823178407493E-4</v>
      </c>
      <c r="BU256" s="39">
        <f t="shared" ref="BU256:BU319" si="291">MAX(0,(BM256-F$11)*$B$6)</f>
        <v>4.5219278646101198E-3</v>
      </c>
      <c r="BV256" s="39">
        <f t="shared" ref="BV256:BV319" si="292">MAX(0,(BN256-G$11)*$B$6)</f>
        <v>3.1926417057692898E-2</v>
      </c>
      <c r="BW256" s="39">
        <f t="shared" ref="BW256:BW319" si="293">MAX(0,(BO256-H$11)*$B$6)</f>
        <v>0.13453329364259617</v>
      </c>
      <c r="BX256" s="39">
        <f t="shared" ref="BX256:BX319" si="294">MAX(0,(BP256-I$11)*$B$6)</f>
        <v>0.33951197711992337</v>
      </c>
      <c r="BY256" s="39">
        <f t="shared" ref="BY256:BY319" si="295">MAX(0,(BQ256-J$11)*$B$6)</f>
        <v>0</v>
      </c>
      <c r="BZ256" s="39">
        <f t="shared" ref="BZ256:BZ319" si="296">MAX(0,(BR256-K$11)*$B$6)</f>
        <v>0</v>
      </c>
      <c r="CA256" s="39">
        <f t="shared" ref="CA256:CA319" si="297">BK256-BS256+MAX(0,S256-AY256-BJ256)</f>
        <v>42.751984928147145</v>
      </c>
      <c r="CB256" s="39">
        <f t="shared" ref="CB256:CB319" si="298">BL256-BT256+BS256+CI256</f>
        <v>66.000193525487859</v>
      </c>
      <c r="CC256" s="39">
        <f t="shared" ref="CC256:CC319" si="299">BM256-BU256+BT256+CJ256</f>
        <v>64.003304906808168</v>
      </c>
      <c r="CD256" s="39">
        <f t="shared" ref="CD256:CD319" si="300">BN256-BV256+BU256+CK256</f>
        <v>87.025806205903095</v>
      </c>
      <c r="CE256" s="39">
        <f t="shared" ref="CE256:CE319" si="301">BO256-BW256+BV256+CL256</f>
        <v>84.121615279486079</v>
      </c>
      <c r="CF256" s="39">
        <f t="shared" ref="CF256:CF319" si="302">BP256-BX256+BW256+CM256</f>
        <v>75.360874611722551</v>
      </c>
      <c r="CG256" s="39">
        <f t="shared" ref="CG256:CG319" si="303">BQ256-BY256+BX256+CN256</f>
        <v>72.779435946102538</v>
      </c>
      <c r="CH256" s="39">
        <f t="shared" ref="CH256:CH319" si="304">BR256-BZ256+BY256+CO256</f>
        <v>70.800000000000011</v>
      </c>
      <c r="CI256" s="39">
        <f t="shared" ref="CI256:CI319" si="305">MAX(0,CA256-D$12)</f>
        <v>0</v>
      </c>
      <c r="CJ256" s="39">
        <f t="shared" ref="CJ256:CJ319" si="306">MAX(0,CB256-E$12)</f>
        <v>0</v>
      </c>
      <c r="CK256" s="39">
        <f t="shared" ref="CK256:CK319" si="307">MAX(0,CC256-F$12)</f>
        <v>0</v>
      </c>
      <c r="CL256" s="39">
        <f t="shared" ref="CL256:CL319" si="308">MAX(0,CD256-G$12)</f>
        <v>0</v>
      </c>
      <c r="CM256" s="39">
        <f t="shared" ref="CM256:CM319" si="309">MAX(0,CE256-H$12)</f>
        <v>0</v>
      </c>
      <c r="CN256" s="39">
        <f t="shared" ref="CN256:CN319" si="310">MAX(0,CF256-I$12)</f>
        <v>0</v>
      </c>
      <c r="CO256" s="39">
        <f t="shared" ref="CO256:CO319" si="311">MAX(0,CG256-J$12)</f>
        <v>0</v>
      </c>
      <c r="CP256" s="39">
        <f t="shared" ref="CP256:CP319" si="312">MAX(0,CH256-K$12)</f>
        <v>0</v>
      </c>
    </row>
    <row r="257" spans="2:94" ht="16" customHeight="1" x14ac:dyDescent="0.2">
      <c r="B257" s="38"/>
      <c r="L257" s="63">
        <v>30569</v>
      </c>
      <c r="M257" s="38">
        <v>0</v>
      </c>
      <c r="N257" s="38">
        <v>2.5</v>
      </c>
      <c r="O257" s="39">
        <v>0</v>
      </c>
      <c r="P257" s="39">
        <v>0</v>
      </c>
      <c r="Q257" s="46">
        <f t="shared" si="243"/>
        <v>0.12415138190240443</v>
      </c>
      <c r="R257" s="81">
        <f t="shared" si="244"/>
        <v>0</v>
      </c>
      <c r="S257" s="82">
        <f t="shared" si="245"/>
        <v>0</v>
      </c>
      <c r="T257" s="39">
        <f t="shared" si="246"/>
        <v>0</v>
      </c>
      <c r="U257" s="83">
        <f t="shared" si="247"/>
        <v>0</v>
      </c>
      <c r="V257" s="84">
        <f t="shared" si="248"/>
        <v>2</v>
      </c>
      <c r="W257" s="52">
        <f t="shared" si="249"/>
        <v>110.78128956634629</v>
      </c>
      <c r="X257" s="52">
        <f t="shared" si="250"/>
        <v>162.06192583731115</v>
      </c>
      <c r="Y257" s="52">
        <f t="shared" si="251"/>
        <v>272.84321540365744</v>
      </c>
      <c r="Z257" s="53">
        <f t="shared" si="252"/>
        <v>0.86547882473708038</v>
      </c>
      <c r="AA257" s="53">
        <f t="shared" si="253"/>
        <v>0.9646543204601854</v>
      </c>
      <c r="AB257" s="53">
        <f t="shared" si="254"/>
        <v>0.92176761960695086</v>
      </c>
      <c r="AC257" s="39" t="str">
        <f t="shared" si="255"/>
        <v>No</v>
      </c>
      <c r="AD257" s="85">
        <f t="shared" si="256"/>
        <v>0</v>
      </c>
      <c r="AE257" s="46">
        <f t="shared" si="257"/>
        <v>1</v>
      </c>
      <c r="AF257" s="46">
        <f t="shared" si="258"/>
        <v>0</v>
      </c>
      <c r="AG257" s="39">
        <f t="shared" ref="AG257:AG320" si="313">MIN(D$12,CA256)</f>
        <v>42.751984928147145</v>
      </c>
      <c r="AH257" s="39">
        <f t="shared" ref="AH257:AH320" si="314">MIN(E$12,CB256)</f>
        <v>66.000193525487859</v>
      </c>
      <c r="AI257" s="39">
        <f t="shared" ref="AI257:AI320" si="315">MIN(F$12,CC256)</f>
        <v>64.003304906808168</v>
      </c>
      <c r="AJ257" s="39">
        <f t="shared" ref="AJ257:AJ320" si="316">MIN(G$12,CD256)</f>
        <v>87.025806205903095</v>
      </c>
      <c r="AK257" s="39">
        <f t="shared" ref="AK257:AK320" si="317">MIN(H$12,CE256)</f>
        <v>84.121615279486079</v>
      </c>
      <c r="AL257" s="39">
        <f t="shared" ref="AL257:AL320" si="318">MIN(I$12,CF256)</f>
        <v>75.360874611722551</v>
      </c>
      <c r="AM257" s="39">
        <f t="shared" ref="AM257:AM320" si="319">MIN(J$12,CG256)</f>
        <v>72.779435946102538</v>
      </c>
      <c r="AN257" s="39">
        <f t="shared" ref="AN257:AN320" si="320">MIN(K$12,CH256)</f>
        <v>70.800000000000011</v>
      </c>
      <c r="AO257" s="39">
        <f t="shared" si="259"/>
        <v>0</v>
      </c>
      <c r="AP257" s="39">
        <f t="shared" si="260"/>
        <v>0</v>
      </c>
      <c r="AQ257" s="39">
        <f t="shared" si="261"/>
        <v>0</v>
      </c>
      <c r="AR257" s="39">
        <f t="shared" si="262"/>
        <v>0</v>
      </c>
      <c r="AS257" s="39">
        <f t="shared" si="263"/>
        <v>0</v>
      </c>
      <c r="AT257" s="39">
        <f t="shared" si="264"/>
        <v>0</v>
      </c>
      <c r="AU257" s="39">
        <f t="shared" si="265"/>
        <v>0</v>
      </c>
      <c r="AV257" s="39">
        <f t="shared" si="266"/>
        <v>0</v>
      </c>
      <c r="AW257" s="39">
        <f t="shared" si="267"/>
        <v>0</v>
      </c>
      <c r="AX257" s="39">
        <f t="shared" si="268"/>
        <v>0</v>
      </c>
      <c r="AY257" s="39">
        <f t="shared" si="269"/>
        <v>0</v>
      </c>
      <c r="AZ257" s="39">
        <f t="shared" si="270"/>
        <v>0</v>
      </c>
      <c r="BA257" s="39">
        <f t="shared" si="271"/>
        <v>0</v>
      </c>
      <c r="BB257" s="39">
        <f t="shared" si="272"/>
        <v>0</v>
      </c>
      <c r="BC257" s="39">
        <f t="shared" si="273"/>
        <v>0</v>
      </c>
      <c r="BD257" s="39">
        <f t="shared" si="274"/>
        <v>0</v>
      </c>
      <c r="BE257" s="39">
        <f t="shared" si="275"/>
        <v>0</v>
      </c>
      <c r="BF257" s="39">
        <f t="shared" si="276"/>
        <v>0</v>
      </c>
      <c r="BG257" s="39">
        <f t="shared" si="277"/>
        <v>0</v>
      </c>
      <c r="BH257" s="84">
        <f t="shared" si="278"/>
        <v>0</v>
      </c>
      <c r="BI257" s="84">
        <f t="shared" si="279"/>
        <v>2</v>
      </c>
      <c r="BJ257" s="84">
        <f t="shared" si="280"/>
        <v>0.5343883490008402</v>
      </c>
      <c r="BK257" s="39">
        <f t="shared" si="281"/>
        <v>42.217596579146303</v>
      </c>
      <c r="BL257" s="39">
        <f t="shared" si="282"/>
        <v>66.000193525487859</v>
      </c>
      <c r="BM257" s="39">
        <f t="shared" si="283"/>
        <v>64.003304906808168</v>
      </c>
      <c r="BN257" s="39">
        <f t="shared" si="284"/>
        <v>87.025806205903095</v>
      </c>
      <c r="BO257" s="39">
        <f t="shared" si="285"/>
        <v>84.121615279486079</v>
      </c>
      <c r="BP257" s="39">
        <f t="shared" si="286"/>
        <v>75.360874611722551</v>
      </c>
      <c r="BQ257" s="39">
        <f t="shared" si="287"/>
        <v>72.779435946102538</v>
      </c>
      <c r="BR257" s="39">
        <f t="shared" si="288"/>
        <v>70.800000000000011</v>
      </c>
      <c r="BS257" s="39">
        <f t="shared" si="289"/>
        <v>0</v>
      </c>
      <c r="BT257" s="39">
        <f t="shared" si="290"/>
        <v>1.1611529271533527E-4</v>
      </c>
      <c r="BU257" s="39">
        <f t="shared" si="291"/>
        <v>1.9829440849093772E-3</v>
      </c>
      <c r="BV257" s="39">
        <f t="shared" si="292"/>
        <v>1.5483723541848349E-2</v>
      </c>
      <c r="BW257" s="39">
        <f t="shared" si="293"/>
        <v>7.2969167691655915E-2</v>
      </c>
      <c r="BX257" s="39">
        <f t="shared" si="294"/>
        <v>0.21652476703352191</v>
      </c>
      <c r="BY257" s="39">
        <f t="shared" si="295"/>
        <v>0</v>
      </c>
      <c r="BZ257" s="39">
        <f t="shared" si="296"/>
        <v>0</v>
      </c>
      <c r="CA257" s="39">
        <f t="shared" si="297"/>
        <v>42.217596579146303</v>
      </c>
      <c r="CB257" s="39">
        <f t="shared" si="298"/>
        <v>66.000077410195146</v>
      </c>
      <c r="CC257" s="39">
        <f t="shared" si="299"/>
        <v>64.001438078015966</v>
      </c>
      <c r="CD257" s="39">
        <f t="shared" si="300"/>
        <v>87.012305426446162</v>
      </c>
      <c r="CE257" s="39">
        <f t="shared" si="301"/>
        <v>84.064129835336274</v>
      </c>
      <c r="CF257" s="39">
        <f t="shared" si="302"/>
        <v>75.217319012380685</v>
      </c>
      <c r="CG257" s="39">
        <f t="shared" si="303"/>
        <v>72.995960713136057</v>
      </c>
      <c r="CH257" s="39">
        <f t="shared" si="304"/>
        <v>70.800000000000011</v>
      </c>
      <c r="CI257" s="39">
        <f t="shared" si="305"/>
        <v>0</v>
      </c>
      <c r="CJ257" s="39">
        <f t="shared" si="306"/>
        <v>0</v>
      </c>
      <c r="CK257" s="39">
        <f t="shared" si="307"/>
        <v>0</v>
      </c>
      <c r="CL257" s="39">
        <f t="shared" si="308"/>
        <v>0</v>
      </c>
      <c r="CM257" s="39">
        <f t="shared" si="309"/>
        <v>0</v>
      </c>
      <c r="CN257" s="39">
        <f t="shared" si="310"/>
        <v>0</v>
      </c>
      <c r="CO257" s="39">
        <f t="shared" si="311"/>
        <v>0</v>
      </c>
      <c r="CP257" s="39">
        <f t="shared" si="312"/>
        <v>0</v>
      </c>
    </row>
    <row r="258" spans="2:94" ht="16" customHeight="1" x14ac:dyDescent="0.2">
      <c r="B258" s="38"/>
      <c r="L258" s="63">
        <v>30570</v>
      </c>
      <c r="M258" s="38">
        <v>0</v>
      </c>
      <c r="N258" s="38">
        <v>1.8</v>
      </c>
      <c r="O258" s="39">
        <v>0</v>
      </c>
      <c r="P258" s="39">
        <v>0</v>
      </c>
      <c r="Q258" s="46">
        <f t="shared" si="243"/>
        <v>0.12523460152875748</v>
      </c>
      <c r="R258" s="81">
        <f t="shared" si="244"/>
        <v>0</v>
      </c>
      <c r="S258" s="82">
        <f t="shared" si="245"/>
        <v>0</v>
      </c>
      <c r="T258" s="39">
        <f t="shared" si="246"/>
        <v>0</v>
      </c>
      <c r="U258" s="83">
        <f t="shared" si="247"/>
        <v>0</v>
      </c>
      <c r="V258" s="84">
        <f t="shared" si="248"/>
        <v>1.4400000000000002</v>
      </c>
      <c r="W258" s="52">
        <f t="shared" si="249"/>
        <v>110.23141749380358</v>
      </c>
      <c r="X258" s="52">
        <f t="shared" si="250"/>
        <v>162.07740956085303</v>
      </c>
      <c r="Y258" s="52">
        <f t="shared" si="251"/>
        <v>272.3088270546566</v>
      </c>
      <c r="Z258" s="53">
        <f t="shared" si="252"/>
        <v>0.86118294917034044</v>
      </c>
      <c r="AA258" s="53">
        <f t="shared" si="253"/>
        <v>0.96474648548126807</v>
      </c>
      <c r="AB258" s="53">
        <f t="shared" si="254"/>
        <v>0.91996225356302908</v>
      </c>
      <c r="AC258" s="39" t="str">
        <f t="shared" si="255"/>
        <v>No</v>
      </c>
      <c r="AD258" s="85">
        <f t="shared" si="256"/>
        <v>0</v>
      </c>
      <c r="AE258" s="46">
        <f t="shared" si="257"/>
        <v>1</v>
      </c>
      <c r="AF258" s="46">
        <f t="shared" si="258"/>
        <v>0</v>
      </c>
      <c r="AG258" s="39">
        <f t="shared" si="313"/>
        <v>42.217596579146303</v>
      </c>
      <c r="AH258" s="39">
        <f t="shared" si="314"/>
        <v>66.000077410195146</v>
      </c>
      <c r="AI258" s="39">
        <f t="shared" si="315"/>
        <v>64.001438078015966</v>
      </c>
      <c r="AJ258" s="39">
        <f t="shared" si="316"/>
        <v>87.012305426446162</v>
      </c>
      <c r="AK258" s="39">
        <f t="shared" si="317"/>
        <v>84.064129835336274</v>
      </c>
      <c r="AL258" s="39">
        <f t="shared" si="318"/>
        <v>75.217319012380685</v>
      </c>
      <c r="AM258" s="39">
        <f t="shared" si="319"/>
        <v>72.995960713136057</v>
      </c>
      <c r="AN258" s="39">
        <f t="shared" si="320"/>
        <v>70.800000000000011</v>
      </c>
      <c r="AO258" s="39">
        <f t="shared" si="259"/>
        <v>0</v>
      </c>
      <c r="AP258" s="39">
        <f t="shared" si="260"/>
        <v>0</v>
      </c>
      <c r="AQ258" s="39">
        <f t="shared" si="261"/>
        <v>0</v>
      </c>
      <c r="AR258" s="39">
        <f t="shared" si="262"/>
        <v>0</v>
      </c>
      <c r="AS258" s="39">
        <f t="shared" si="263"/>
        <v>0</v>
      </c>
      <c r="AT258" s="39">
        <f t="shared" si="264"/>
        <v>0</v>
      </c>
      <c r="AU258" s="39">
        <f t="shared" si="265"/>
        <v>0</v>
      </c>
      <c r="AV258" s="39">
        <f t="shared" si="266"/>
        <v>0</v>
      </c>
      <c r="AW258" s="39">
        <f t="shared" si="267"/>
        <v>0</v>
      </c>
      <c r="AX258" s="39">
        <f t="shared" si="268"/>
        <v>0</v>
      </c>
      <c r="AY258" s="39">
        <f t="shared" si="269"/>
        <v>0</v>
      </c>
      <c r="AZ258" s="39">
        <f t="shared" si="270"/>
        <v>0</v>
      </c>
      <c r="BA258" s="39">
        <f t="shared" si="271"/>
        <v>0</v>
      </c>
      <c r="BB258" s="39">
        <f t="shared" si="272"/>
        <v>0</v>
      </c>
      <c r="BC258" s="39">
        <f t="shared" si="273"/>
        <v>0</v>
      </c>
      <c r="BD258" s="39">
        <f t="shared" si="274"/>
        <v>0</v>
      </c>
      <c r="BE258" s="39">
        <f t="shared" si="275"/>
        <v>0</v>
      </c>
      <c r="BF258" s="39">
        <f t="shared" si="276"/>
        <v>0</v>
      </c>
      <c r="BG258" s="39">
        <f t="shared" si="277"/>
        <v>0</v>
      </c>
      <c r="BH258" s="84">
        <f t="shared" si="278"/>
        <v>0</v>
      </c>
      <c r="BI258" s="84">
        <f t="shared" si="279"/>
        <v>1.4400000000000002</v>
      </c>
      <c r="BJ258" s="84">
        <f t="shared" si="280"/>
        <v>0.3559691520092621</v>
      </c>
      <c r="BK258" s="39">
        <f t="shared" si="281"/>
        <v>41.861627427137037</v>
      </c>
      <c r="BL258" s="39">
        <f t="shared" si="282"/>
        <v>66.000077410195146</v>
      </c>
      <c r="BM258" s="39">
        <f t="shared" si="283"/>
        <v>64.001438078015966</v>
      </c>
      <c r="BN258" s="39">
        <f t="shared" si="284"/>
        <v>87.012305426446162</v>
      </c>
      <c r="BO258" s="39">
        <f t="shared" si="285"/>
        <v>84.064129835336274</v>
      </c>
      <c r="BP258" s="39">
        <f t="shared" si="286"/>
        <v>75.217319012380685</v>
      </c>
      <c r="BQ258" s="39">
        <f t="shared" si="287"/>
        <v>72.995960713136057</v>
      </c>
      <c r="BR258" s="39">
        <f t="shared" si="288"/>
        <v>70.800000000000011</v>
      </c>
      <c r="BS258" s="39">
        <f t="shared" si="289"/>
        <v>0</v>
      </c>
      <c r="BT258" s="39">
        <f t="shared" si="290"/>
        <v>4.6446117087839413E-5</v>
      </c>
      <c r="BU258" s="39">
        <f t="shared" si="291"/>
        <v>8.6284680958783613E-4</v>
      </c>
      <c r="BV258" s="39">
        <f t="shared" si="292"/>
        <v>7.383255867688376E-3</v>
      </c>
      <c r="BW258" s="39">
        <f t="shared" si="293"/>
        <v>3.8477901201773079E-2</v>
      </c>
      <c r="BX258" s="39">
        <f t="shared" si="294"/>
        <v>0.1303914074284023</v>
      </c>
      <c r="BY258" s="39">
        <f t="shared" si="295"/>
        <v>0</v>
      </c>
      <c r="BZ258" s="39">
        <f t="shared" si="296"/>
        <v>0</v>
      </c>
      <c r="CA258" s="39">
        <f t="shared" si="297"/>
        <v>41.861627427137037</v>
      </c>
      <c r="CB258" s="39">
        <f t="shared" si="298"/>
        <v>66.000030964078064</v>
      </c>
      <c r="CC258" s="39">
        <f t="shared" si="299"/>
        <v>64.000621677323466</v>
      </c>
      <c r="CD258" s="39">
        <f t="shared" si="300"/>
        <v>87.00578501738805</v>
      </c>
      <c r="CE258" s="39">
        <f t="shared" si="301"/>
        <v>84.033035190002195</v>
      </c>
      <c r="CF258" s="39">
        <f t="shared" si="302"/>
        <v>75.125405506154053</v>
      </c>
      <c r="CG258" s="39">
        <f t="shared" si="303"/>
        <v>73.126352120564462</v>
      </c>
      <c r="CH258" s="39">
        <f t="shared" si="304"/>
        <v>70.800000000000011</v>
      </c>
      <c r="CI258" s="39">
        <f t="shared" si="305"/>
        <v>0</v>
      </c>
      <c r="CJ258" s="39">
        <f t="shared" si="306"/>
        <v>0</v>
      </c>
      <c r="CK258" s="39">
        <f t="shared" si="307"/>
        <v>0</v>
      </c>
      <c r="CL258" s="39">
        <f t="shared" si="308"/>
        <v>0</v>
      </c>
      <c r="CM258" s="39">
        <f t="shared" si="309"/>
        <v>0</v>
      </c>
      <c r="CN258" s="39">
        <f t="shared" si="310"/>
        <v>0</v>
      </c>
      <c r="CO258" s="39">
        <f t="shared" si="311"/>
        <v>0</v>
      </c>
      <c r="CP258" s="39">
        <f t="shared" si="312"/>
        <v>0</v>
      </c>
    </row>
    <row r="259" spans="2:94" ht="16" customHeight="1" x14ac:dyDescent="0.2">
      <c r="B259" s="38"/>
      <c r="L259" s="63">
        <v>30571</v>
      </c>
      <c r="M259" s="38">
        <v>0</v>
      </c>
      <c r="N259" s="38">
        <v>2.7</v>
      </c>
      <c r="O259" s="39">
        <v>0</v>
      </c>
      <c r="P259" s="39">
        <v>0</v>
      </c>
      <c r="Q259" s="46">
        <f t="shared" si="243"/>
        <v>0.12595616062066817</v>
      </c>
      <c r="R259" s="81">
        <f t="shared" si="244"/>
        <v>0</v>
      </c>
      <c r="S259" s="82">
        <f t="shared" si="245"/>
        <v>0</v>
      </c>
      <c r="T259" s="39">
        <f t="shared" si="246"/>
        <v>0</v>
      </c>
      <c r="U259" s="83">
        <f t="shared" si="247"/>
        <v>0</v>
      </c>
      <c r="V259" s="84">
        <f t="shared" si="248"/>
        <v>2.16</v>
      </c>
      <c r="W259" s="52">
        <f t="shared" si="249"/>
        <v>109.86806508592662</v>
      </c>
      <c r="X259" s="52">
        <f t="shared" si="250"/>
        <v>162.08479281672072</v>
      </c>
      <c r="Y259" s="52">
        <f t="shared" si="251"/>
        <v>271.95285790264734</v>
      </c>
      <c r="Z259" s="53">
        <f t="shared" si="252"/>
        <v>0.85834425848380169</v>
      </c>
      <c r="AA259" s="53">
        <f t="shared" si="253"/>
        <v>0.96479043343286142</v>
      </c>
      <c r="AB259" s="53">
        <f t="shared" si="254"/>
        <v>0.91875965507651125</v>
      </c>
      <c r="AC259" s="39" t="str">
        <f t="shared" si="255"/>
        <v>No</v>
      </c>
      <c r="AD259" s="85">
        <f t="shared" si="256"/>
        <v>0</v>
      </c>
      <c r="AE259" s="46">
        <f t="shared" si="257"/>
        <v>1</v>
      </c>
      <c r="AF259" s="46">
        <f t="shared" si="258"/>
        <v>0</v>
      </c>
      <c r="AG259" s="39">
        <f t="shared" si="313"/>
        <v>41.861627427137037</v>
      </c>
      <c r="AH259" s="39">
        <f t="shared" si="314"/>
        <v>66.000030964078064</v>
      </c>
      <c r="AI259" s="39">
        <f t="shared" si="315"/>
        <v>64.000621677323466</v>
      </c>
      <c r="AJ259" s="39">
        <f t="shared" si="316"/>
        <v>87.00578501738805</v>
      </c>
      <c r="AK259" s="39">
        <f t="shared" si="317"/>
        <v>84.033035190002195</v>
      </c>
      <c r="AL259" s="39">
        <f t="shared" si="318"/>
        <v>75.125405506154053</v>
      </c>
      <c r="AM259" s="39">
        <f t="shared" si="319"/>
        <v>73.126352120564462</v>
      </c>
      <c r="AN259" s="39">
        <f t="shared" si="320"/>
        <v>70.800000000000011</v>
      </c>
      <c r="AO259" s="39">
        <f t="shared" si="259"/>
        <v>0</v>
      </c>
      <c r="AP259" s="39">
        <f t="shared" si="260"/>
        <v>0</v>
      </c>
      <c r="AQ259" s="39">
        <f t="shared" si="261"/>
        <v>0</v>
      </c>
      <c r="AR259" s="39">
        <f t="shared" si="262"/>
        <v>0</v>
      </c>
      <c r="AS259" s="39">
        <f t="shared" si="263"/>
        <v>0</v>
      </c>
      <c r="AT259" s="39">
        <f t="shared" si="264"/>
        <v>0</v>
      </c>
      <c r="AU259" s="39">
        <f t="shared" si="265"/>
        <v>0</v>
      </c>
      <c r="AV259" s="39">
        <f t="shared" si="266"/>
        <v>0</v>
      </c>
      <c r="AW259" s="39">
        <f t="shared" si="267"/>
        <v>0</v>
      </c>
      <c r="AX259" s="39">
        <f t="shared" si="268"/>
        <v>0</v>
      </c>
      <c r="AY259" s="39">
        <f t="shared" si="269"/>
        <v>0</v>
      </c>
      <c r="AZ259" s="39">
        <f t="shared" si="270"/>
        <v>0</v>
      </c>
      <c r="BA259" s="39">
        <f t="shared" si="271"/>
        <v>0</v>
      </c>
      <c r="BB259" s="39">
        <f t="shared" si="272"/>
        <v>0</v>
      </c>
      <c r="BC259" s="39">
        <f t="shared" si="273"/>
        <v>0</v>
      </c>
      <c r="BD259" s="39">
        <f t="shared" si="274"/>
        <v>0</v>
      </c>
      <c r="BE259" s="39">
        <f t="shared" si="275"/>
        <v>0</v>
      </c>
      <c r="BF259" s="39">
        <f t="shared" si="276"/>
        <v>0</v>
      </c>
      <c r="BG259" s="39">
        <f t="shared" si="277"/>
        <v>0</v>
      </c>
      <c r="BH259" s="84">
        <f t="shared" si="278"/>
        <v>0</v>
      </c>
      <c r="BI259" s="84">
        <f t="shared" si="279"/>
        <v>2.16</v>
      </c>
      <c r="BJ259" s="84">
        <f t="shared" si="280"/>
        <v>0.506563410235911</v>
      </c>
      <c r="BK259" s="39">
        <f t="shared" si="281"/>
        <v>41.355064016901125</v>
      </c>
      <c r="BL259" s="39">
        <f t="shared" si="282"/>
        <v>66.000030964078064</v>
      </c>
      <c r="BM259" s="39">
        <f t="shared" si="283"/>
        <v>64.000621677323466</v>
      </c>
      <c r="BN259" s="39">
        <f t="shared" si="284"/>
        <v>87.00578501738805</v>
      </c>
      <c r="BO259" s="39">
        <f t="shared" si="285"/>
        <v>84.033035190002195</v>
      </c>
      <c r="BP259" s="39">
        <f t="shared" si="286"/>
        <v>75.125405506154053</v>
      </c>
      <c r="BQ259" s="39">
        <f t="shared" si="287"/>
        <v>73.126352120564462</v>
      </c>
      <c r="BR259" s="39">
        <f t="shared" si="288"/>
        <v>70.800000000000011</v>
      </c>
      <c r="BS259" s="39">
        <f t="shared" si="289"/>
        <v>0</v>
      </c>
      <c r="BT259" s="39">
        <f t="shared" si="290"/>
        <v>1.8578446838546369E-5</v>
      </c>
      <c r="BU259" s="39">
        <f t="shared" si="291"/>
        <v>3.730063940878381E-4</v>
      </c>
      <c r="BV259" s="39">
        <f t="shared" si="292"/>
        <v>3.4710104328212307E-3</v>
      </c>
      <c r="BW259" s="39">
        <f t="shared" si="293"/>
        <v>1.9821114001325666E-2</v>
      </c>
      <c r="BX259" s="39">
        <f t="shared" si="294"/>
        <v>7.5243303692423061E-2</v>
      </c>
      <c r="BY259" s="39">
        <f t="shared" si="295"/>
        <v>0</v>
      </c>
      <c r="BZ259" s="39">
        <f t="shared" si="296"/>
        <v>0</v>
      </c>
      <c r="CA259" s="39">
        <f t="shared" si="297"/>
        <v>41.355064016901125</v>
      </c>
      <c r="CB259" s="39">
        <f t="shared" si="298"/>
        <v>66.000012385631223</v>
      </c>
      <c r="CC259" s="39">
        <f t="shared" si="299"/>
        <v>64.000267249376222</v>
      </c>
      <c r="CD259" s="39">
        <f t="shared" si="300"/>
        <v>87.002687013349316</v>
      </c>
      <c r="CE259" s="39">
        <f t="shared" si="301"/>
        <v>84.016685086433682</v>
      </c>
      <c r="CF259" s="39">
        <f t="shared" si="302"/>
        <v>75.069983316462967</v>
      </c>
      <c r="CG259" s="39">
        <f t="shared" si="303"/>
        <v>73.20159542425688</v>
      </c>
      <c r="CH259" s="39">
        <f t="shared" si="304"/>
        <v>70.800000000000011</v>
      </c>
      <c r="CI259" s="39">
        <f t="shared" si="305"/>
        <v>0</v>
      </c>
      <c r="CJ259" s="39">
        <f t="shared" si="306"/>
        <v>0</v>
      </c>
      <c r="CK259" s="39">
        <f t="shared" si="307"/>
        <v>0</v>
      </c>
      <c r="CL259" s="39">
        <f t="shared" si="308"/>
        <v>0</v>
      </c>
      <c r="CM259" s="39">
        <f t="shared" si="309"/>
        <v>0</v>
      </c>
      <c r="CN259" s="39">
        <f t="shared" si="310"/>
        <v>0</v>
      </c>
      <c r="CO259" s="39">
        <f t="shared" si="311"/>
        <v>0</v>
      </c>
      <c r="CP259" s="39">
        <f t="shared" si="312"/>
        <v>0</v>
      </c>
    </row>
    <row r="260" spans="2:94" ht="16" customHeight="1" x14ac:dyDescent="0.2">
      <c r="B260" s="38"/>
      <c r="L260" s="63">
        <v>30572</v>
      </c>
      <c r="M260" s="38">
        <v>0</v>
      </c>
      <c r="N260" s="38">
        <v>3.3</v>
      </c>
      <c r="O260" s="39">
        <v>0</v>
      </c>
      <c r="P260" s="39">
        <v>0</v>
      </c>
      <c r="Q260" s="46">
        <f t="shared" si="243"/>
        <v>0.12698297834411934</v>
      </c>
      <c r="R260" s="81">
        <f t="shared" si="244"/>
        <v>0</v>
      </c>
      <c r="S260" s="82">
        <f t="shared" si="245"/>
        <v>0</v>
      </c>
      <c r="T260" s="39">
        <f t="shared" si="246"/>
        <v>0</v>
      </c>
      <c r="U260" s="83">
        <f t="shared" si="247"/>
        <v>0</v>
      </c>
      <c r="V260" s="84">
        <f t="shared" si="248"/>
        <v>2.64</v>
      </c>
      <c r="W260" s="52">
        <f t="shared" si="249"/>
        <v>109.3580306652579</v>
      </c>
      <c r="X260" s="52">
        <f t="shared" si="250"/>
        <v>162.08826382715353</v>
      </c>
      <c r="Y260" s="52">
        <f t="shared" si="251"/>
        <v>271.44629449241143</v>
      </c>
      <c r="Z260" s="53">
        <f t="shared" si="252"/>
        <v>0.85435961457232734</v>
      </c>
      <c r="AA260" s="53">
        <f t="shared" si="253"/>
        <v>0.96481109420924716</v>
      </c>
      <c r="AB260" s="53">
        <f t="shared" si="254"/>
        <v>0.91704829220409267</v>
      </c>
      <c r="AC260" s="39" t="str">
        <f t="shared" si="255"/>
        <v>No</v>
      </c>
      <c r="AD260" s="85">
        <f t="shared" si="256"/>
        <v>0</v>
      </c>
      <c r="AE260" s="46">
        <f t="shared" si="257"/>
        <v>1</v>
      </c>
      <c r="AF260" s="46">
        <f t="shared" si="258"/>
        <v>0</v>
      </c>
      <c r="AG260" s="39">
        <f t="shared" si="313"/>
        <v>41.355064016901125</v>
      </c>
      <c r="AH260" s="39">
        <f t="shared" si="314"/>
        <v>66.000012385631223</v>
      </c>
      <c r="AI260" s="39">
        <f t="shared" si="315"/>
        <v>64.000267249376222</v>
      </c>
      <c r="AJ260" s="39">
        <f t="shared" si="316"/>
        <v>87.002687013349316</v>
      </c>
      <c r="AK260" s="39">
        <f t="shared" si="317"/>
        <v>84.016685086433682</v>
      </c>
      <c r="AL260" s="39">
        <f t="shared" si="318"/>
        <v>75.069983316462967</v>
      </c>
      <c r="AM260" s="39">
        <f t="shared" si="319"/>
        <v>73.20159542425688</v>
      </c>
      <c r="AN260" s="39">
        <f t="shared" si="320"/>
        <v>70.800000000000011</v>
      </c>
      <c r="AO260" s="39">
        <f t="shared" si="259"/>
        <v>0</v>
      </c>
      <c r="AP260" s="39">
        <f t="shared" si="260"/>
        <v>0</v>
      </c>
      <c r="AQ260" s="39">
        <f t="shared" si="261"/>
        <v>0</v>
      </c>
      <c r="AR260" s="39">
        <f t="shared" si="262"/>
        <v>0</v>
      </c>
      <c r="AS260" s="39">
        <f t="shared" si="263"/>
        <v>0</v>
      </c>
      <c r="AT260" s="39">
        <f t="shared" si="264"/>
        <v>0</v>
      </c>
      <c r="AU260" s="39">
        <f t="shared" si="265"/>
        <v>0</v>
      </c>
      <c r="AV260" s="39">
        <f t="shared" si="266"/>
        <v>0</v>
      </c>
      <c r="AW260" s="39">
        <f t="shared" si="267"/>
        <v>0</v>
      </c>
      <c r="AX260" s="39">
        <f t="shared" si="268"/>
        <v>0</v>
      </c>
      <c r="AY260" s="39">
        <f t="shared" si="269"/>
        <v>0</v>
      </c>
      <c r="AZ260" s="39">
        <f t="shared" si="270"/>
        <v>0</v>
      </c>
      <c r="BA260" s="39">
        <f t="shared" si="271"/>
        <v>0</v>
      </c>
      <c r="BB260" s="39">
        <f t="shared" si="272"/>
        <v>0</v>
      </c>
      <c r="BC260" s="39">
        <f t="shared" si="273"/>
        <v>0</v>
      </c>
      <c r="BD260" s="39">
        <f t="shared" si="274"/>
        <v>0</v>
      </c>
      <c r="BE260" s="39">
        <f t="shared" si="275"/>
        <v>0</v>
      </c>
      <c r="BF260" s="39">
        <f t="shared" si="276"/>
        <v>0</v>
      </c>
      <c r="BG260" s="39">
        <f t="shared" si="277"/>
        <v>0</v>
      </c>
      <c r="BH260" s="84">
        <f t="shared" si="278"/>
        <v>0</v>
      </c>
      <c r="BI260" s="84">
        <f t="shared" si="279"/>
        <v>2.64</v>
      </c>
      <c r="BJ260" s="84">
        <f t="shared" si="280"/>
        <v>0.57373455841007848</v>
      </c>
      <c r="BK260" s="39">
        <f t="shared" si="281"/>
        <v>40.781329458491044</v>
      </c>
      <c r="BL260" s="39">
        <f t="shared" si="282"/>
        <v>66.000012385631223</v>
      </c>
      <c r="BM260" s="39">
        <f t="shared" si="283"/>
        <v>64.000267249376222</v>
      </c>
      <c r="BN260" s="39">
        <f t="shared" si="284"/>
        <v>87.002687013349316</v>
      </c>
      <c r="BO260" s="39">
        <f t="shared" si="285"/>
        <v>84.016685086433682</v>
      </c>
      <c r="BP260" s="39">
        <f t="shared" si="286"/>
        <v>75.069983316462967</v>
      </c>
      <c r="BQ260" s="39">
        <f t="shared" si="287"/>
        <v>73.20159542425688</v>
      </c>
      <c r="BR260" s="39">
        <f t="shared" si="288"/>
        <v>70.800000000000011</v>
      </c>
      <c r="BS260" s="39">
        <f t="shared" si="289"/>
        <v>0</v>
      </c>
      <c r="BT260" s="39">
        <f t="shared" si="290"/>
        <v>7.4313787337132453E-6</v>
      </c>
      <c r="BU260" s="39">
        <f t="shared" si="291"/>
        <v>1.6034962574167365E-4</v>
      </c>
      <c r="BV260" s="39">
        <f t="shared" si="292"/>
        <v>1.6122080095811952E-3</v>
      </c>
      <c r="BW260" s="39">
        <f t="shared" si="293"/>
        <v>1.001105186021789E-2</v>
      </c>
      <c r="BX260" s="39">
        <f t="shared" si="294"/>
        <v>4.1989989877771451E-2</v>
      </c>
      <c r="BY260" s="39">
        <f t="shared" si="295"/>
        <v>0</v>
      </c>
      <c r="BZ260" s="39">
        <f t="shared" si="296"/>
        <v>0</v>
      </c>
      <c r="CA260" s="39">
        <f t="shared" si="297"/>
        <v>40.781329458491044</v>
      </c>
      <c r="CB260" s="39">
        <f t="shared" si="298"/>
        <v>66.000004954252489</v>
      </c>
      <c r="CC260" s="39">
        <f t="shared" si="299"/>
        <v>64.000114331129211</v>
      </c>
      <c r="CD260" s="39">
        <f t="shared" si="300"/>
        <v>87.001235154965485</v>
      </c>
      <c r="CE260" s="39">
        <f t="shared" si="301"/>
        <v>84.00828624258304</v>
      </c>
      <c r="CF260" s="39">
        <f t="shared" si="302"/>
        <v>75.038004378445407</v>
      </c>
      <c r="CG260" s="39">
        <f t="shared" si="303"/>
        <v>73.243585414134657</v>
      </c>
      <c r="CH260" s="39">
        <f t="shared" si="304"/>
        <v>70.800000000000011</v>
      </c>
      <c r="CI260" s="39">
        <f t="shared" si="305"/>
        <v>0</v>
      </c>
      <c r="CJ260" s="39">
        <f t="shared" si="306"/>
        <v>0</v>
      </c>
      <c r="CK260" s="39">
        <f t="shared" si="307"/>
        <v>0</v>
      </c>
      <c r="CL260" s="39">
        <f t="shared" si="308"/>
        <v>0</v>
      </c>
      <c r="CM260" s="39">
        <f t="shared" si="309"/>
        <v>0</v>
      </c>
      <c r="CN260" s="39">
        <f t="shared" si="310"/>
        <v>0</v>
      </c>
      <c r="CO260" s="39">
        <f t="shared" si="311"/>
        <v>0</v>
      </c>
      <c r="CP260" s="39">
        <f t="shared" si="312"/>
        <v>0</v>
      </c>
    </row>
    <row r="261" spans="2:94" ht="16" customHeight="1" x14ac:dyDescent="0.2">
      <c r="B261" s="38"/>
      <c r="L261" s="63">
        <v>30573</v>
      </c>
      <c r="M261" s="38">
        <v>0</v>
      </c>
      <c r="N261" s="38">
        <v>2</v>
      </c>
      <c r="O261" s="39">
        <v>0</v>
      </c>
      <c r="P261" s="39">
        <v>0</v>
      </c>
      <c r="Q261" s="46">
        <f t="shared" si="243"/>
        <v>0.12814595380035598</v>
      </c>
      <c r="R261" s="81">
        <f t="shared" si="244"/>
        <v>0</v>
      </c>
      <c r="S261" s="82">
        <f t="shared" si="245"/>
        <v>0</v>
      </c>
      <c r="T261" s="39">
        <f t="shared" si="246"/>
        <v>0</v>
      </c>
      <c r="U261" s="83">
        <f t="shared" si="247"/>
        <v>0</v>
      </c>
      <c r="V261" s="84">
        <f t="shared" si="248"/>
        <v>1.6</v>
      </c>
      <c r="W261" s="52">
        <f t="shared" si="249"/>
        <v>108.78268389883823</v>
      </c>
      <c r="X261" s="52">
        <f t="shared" si="250"/>
        <v>162.08987603516312</v>
      </c>
      <c r="Y261" s="52">
        <f t="shared" si="251"/>
        <v>270.87255993400134</v>
      </c>
      <c r="Z261" s="53">
        <f t="shared" si="252"/>
        <v>0.84986471795967367</v>
      </c>
      <c r="AA261" s="53">
        <f t="shared" si="253"/>
        <v>0.9648206906854947</v>
      </c>
      <c r="AB261" s="53">
        <f t="shared" si="254"/>
        <v>0.91510999977703156</v>
      </c>
      <c r="AC261" s="39" t="str">
        <f t="shared" si="255"/>
        <v>No</v>
      </c>
      <c r="AD261" s="85">
        <f t="shared" si="256"/>
        <v>0</v>
      </c>
      <c r="AE261" s="46">
        <f t="shared" si="257"/>
        <v>1</v>
      </c>
      <c r="AF261" s="46">
        <f t="shared" si="258"/>
        <v>0</v>
      </c>
      <c r="AG261" s="39">
        <f t="shared" si="313"/>
        <v>40.781329458491044</v>
      </c>
      <c r="AH261" s="39">
        <f t="shared" si="314"/>
        <v>66.000004954252489</v>
      </c>
      <c r="AI261" s="39">
        <f t="shared" si="315"/>
        <v>64.000114331129211</v>
      </c>
      <c r="AJ261" s="39">
        <f t="shared" si="316"/>
        <v>87.001235154965485</v>
      </c>
      <c r="AK261" s="39">
        <f t="shared" si="317"/>
        <v>84.00828624258304</v>
      </c>
      <c r="AL261" s="39">
        <f t="shared" si="318"/>
        <v>75.038004378445407</v>
      </c>
      <c r="AM261" s="39">
        <f t="shared" si="319"/>
        <v>73.243585414134657</v>
      </c>
      <c r="AN261" s="39">
        <f t="shared" si="320"/>
        <v>70.800000000000011</v>
      </c>
      <c r="AO261" s="39">
        <f t="shared" si="259"/>
        <v>0</v>
      </c>
      <c r="AP261" s="39">
        <f t="shared" si="260"/>
        <v>0</v>
      </c>
      <c r="AQ261" s="39">
        <f t="shared" si="261"/>
        <v>0</v>
      </c>
      <c r="AR261" s="39">
        <f t="shared" si="262"/>
        <v>0</v>
      </c>
      <c r="AS261" s="39">
        <f t="shared" si="263"/>
        <v>0</v>
      </c>
      <c r="AT261" s="39">
        <f t="shared" si="264"/>
        <v>0</v>
      </c>
      <c r="AU261" s="39">
        <f t="shared" si="265"/>
        <v>0</v>
      </c>
      <c r="AV261" s="39">
        <f t="shared" si="266"/>
        <v>0</v>
      </c>
      <c r="AW261" s="39">
        <f t="shared" si="267"/>
        <v>0</v>
      </c>
      <c r="AX261" s="39">
        <f t="shared" si="268"/>
        <v>0</v>
      </c>
      <c r="AY261" s="39">
        <f t="shared" si="269"/>
        <v>0</v>
      </c>
      <c r="AZ261" s="39">
        <f t="shared" si="270"/>
        <v>0</v>
      </c>
      <c r="BA261" s="39">
        <f t="shared" si="271"/>
        <v>0</v>
      </c>
      <c r="BB261" s="39">
        <f t="shared" si="272"/>
        <v>0</v>
      </c>
      <c r="BC261" s="39">
        <f t="shared" si="273"/>
        <v>0</v>
      </c>
      <c r="BD261" s="39">
        <f t="shared" si="274"/>
        <v>0</v>
      </c>
      <c r="BE261" s="39">
        <f t="shared" si="275"/>
        <v>0</v>
      </c>
      <c r="BF261" s="39">
        <f t="shared" si="276"/>
        <v>0</v>
      </c>
      <c r="BG261" s="39">
        <f t="shared" si="277"/>
        <v>0</v>
      </c>
      <c r="BH261" s="84">
        <f t="shared" si="278"/>
        <v>0</v>
      </c>
      <c r="BI261" s="84">
        <f t="shared" si="279"/>
        <v>1.6</v>
      </c>
      <c r="BJ261" s="84">
        <f t="shared" si="280"/>
        <v>0.31841388591801567</v>
      </c>
      <c r="BK261" s="39">
        <f t="shared" si="281"/>
        <v>40.462915572573031</v>
      </c>
      <c r="BL261" s="39">
        <f t="shared" si="282"/>
        <v>66.000004954252489</v>
      </c>
      <c r="BM261" s="39">
        <f t="shared" si="283"/>
        <v>64.000114331129211</v>
      </c>
      <c r="BN261" s="39">
        <f t="shared" si="284"/>
        <v>87.001235154965485</v>
      </c>
      <c r="BO261" s="39">
        <f t="shared" si="285"/>
        <v>84.00828624258304</v>
      </c>
      <c r="BP261" s="39">
        <f t="shared" si="286"/>
        <v>75.038004378445407</v>
      </c>
      <c r="BQ261" s="39">
        <f t="shared" si="287"/>
        <v>73.243585414134657</v>
      </c>
      <c r="BR261" s="39">
        <f t="shared" si="288"/>
        <v>70.800000000000011</v>
      </c>
      <c r="BS261" s="39">
        <f t="shared" si="289"/>
        <v>0</v>
      </c>
      <c r="BT261" s="39">
        <f t="shared" si="290"/>
        <v>2.972551493485298E-6</v>
      </c>
      <c r="BU261" s="39">
        <f t="shared" si="291"/>
        <v>6.8598677535192104E-5</v>
      </c>
      <c r="BV261" s="39">
        <f t="shared" si="292"/>
        <v>7.4109297928259821E-4</v>
      </c>
      <c r="BW261" s="39">
        <f t="shared" si="293"/>
        <v>4.9717455498324622E-3</v>
      </c>
      <c r="BX261" s="39">
        <f t="shared" si="294"/>
        <v>2.2802627067235903E-2</v>
      </c>
      <c r="BY261" s="39">
        <f t="shared" si="295"/>
        <v>0</v>
      </c>
      <c r="BZ261" s="39">
        <f t="shared" si="296"/>
        <v>0</v>
      </c>
      <c r="CA261" s="39">
        <f t="shared" si="297"/>
        <v>40.462915572573031</v>
      </c>
      <c r="CB261" s="39">
        <f t="shared" si="298"/>
        <v>66.00000198170099</v>
      </c>
      <c r="CC261" s="39">
        <f t="shared" si="299"/>
        <v>64.000048705003181</v>
      </c>
      <c r="CD261" s="39">
        <f t="shared" si="300"/>
        <v>87.000562660663732</v>
      </c>
      <c r="CE261" s="39">
        <f t="shared" si="301"/>
        <v>84.004055590012484</v>
      </c>
      <c r="CF261" s="39">
        <f t="shared" si="302"/>
        <v>75.02017349692801</v>
      </c>
      <c r="CG261" s="39">
        <f t="shared" si="303"/>
        <v>73.266388041201893</v>
      </c>
      <c r="CH261" s="39">
        <f t="shared" si="304"/>
        <v>70.800000000000011</v>
      </c>
      <c r="CI261" s="39">
        <f t="shared" si="305"/>
        <v>0</v>
      </c>
      <c r="CJ261" s="39">
        <f t="shared" si="306"/>
        <v>0</v>
      </c>
      <c r="CK261" s="39">
        <f t="shared" si="307"/>
        <v>0</v>
      </c>
      <c r="CL261" s="39">
        <f t="shared" si="308"/>
        <v>0</v>
      </c>
      <c r="CM261" s="39">
        <f t="shared" si="309"/>
        <v>0</v>
      </c>
      <c r="CN261" s="39">
        <f t="shared" si="310"/>
        <v>0</v>
      </c>
      <c r="CO261" s="39">
        <f t="shared" si="311"/>
        <v>0</v>
      </c>
      <c r="CP261" s="39">
        <f t="shared" si="312"/>
        <v>0</v>
      </c>
    </row>
    <row r="262" spans="2:94" ht="16" customHeight="1" x14ac:dyDescent="0.2">
      <c r="B262" s="38"/>
      <c r="L262" s="63">
        <v>30574</v>
      </c>
      <c r="M262" s="38">
        <v>0</v>
      </c>
      <c r="N262" s="38">
        <v>3</v>
      </c>
      <c r="O262" s="39">
        <v>0</v>
      </c>
      <c r="P262" s="39">
        <v>0</v>
      </c>
      <c r="Q262" s="46">
        <f t="shared" si="243"/>
        <v>0.1287913873528925</v>
      </c>
      <c r="R262" s="81">
        <f t="shared" si="244"/>
        <v>0</v>
      </c>
      <c r="S262" s="82">
        <f t="shared" si="245"/>
        <v>0</v>
      </c>
      <c r="T262" s="39">
        <f t="shared" si="246"/>
        <v>0</v>
      </c>
      <c r="U262" s="83">
        <f t="shared" si="247"/>
        <v>0</v>
      </c>
      <c r="V262" s="84">
        <f t="shared" si="248"/>
        <v>2.4000000000000004</v>
      </c>
      <c r="W262" s="52">
        <f t="shared" si="249"/>
        <v>108.46352891994093</v>
      </c>
      <c r="X262" s="52">
        <f t="shared" si="250"/>
        <v>162.09061712814241</v>
      </c>
      <c r="Y262" s="52">
        <f t="shared" si="251"/>
        <v>270.55414604808334</v>
      </c>
      <c r="Z262" s="53">
        <f t="shared" si="252"/>
        <v>0.84737131968703849</v>
      </c>
      <c r="AA262" s="53">
        <f t="shared" si="253"/>
        <v>0.96482510195322868</v>
      </c>
      <c r="AB262" s="53">
        <f t="shared" si="254"/>
        <v>0.91403427718947072</v>
      </c>
      <c r="AC262" s="39" t="str">
        <f t="shared" si="255"/>
        <v>No</v>
      </c>
      <c r="AD262" s="85">
        <f t="shared" si="256"/>
        <v>0</v>
      </c>
      <c r="AE262" s="46">
        <f t="shared" si="257"/>
        <v>1</v>
      </c>
      <c r="AF262" s="46">
        <f t="shared" si="258"/>
        <v>0</v>
      </c>
      <c r="AG262" s="39">
        <f t="shared" si="313"/>
        <v>40.462915572573031</v>
      </c>
      <c r="AH262" s="39">
        <f t="shared" si="314"/>
        <v>66.00000198170099</v>
      </c>
      <c r="AI262" s="39">
        <f t="shared" si="315"/>
        <v>64.000048705003181</v>
      </c>
      <c r="AJ262" s="39">
        <f t="shared" si="316"/>
        <v>87.000562660663732</v>
      </c>
      <c r="AK262" s="39">
        <f t="shared" si="317"/>
        <v>84.004055590012484</v>
      </c>
      <c r="AL262" s="39">
        <f t="shared" si="318"/>
        <v>75.02017349692801</v>
      </c>
      <c r="AM262" s="39">
        <f t="shared" si="319"/>
        <v>73.266388041201893</v>
      </c>
      <c r="AN262" s="39">
        <f t="shared" si="320"/>
        <v>70.800000000000011</v>
      </c>
      <c r="AO262" s="39">
        <f t="shared" si="259"/>
        <v>0</v>
      </c>
      <c r="AP262" s="39">
        <f t="shared" si="260"/>
        <v>0</v>
      </c>
      <c r="AQ262" s="39">
        <f t="shared" si="261"/>
        <v>0</v>
      </c>
      <c r="AR262" s="39">
        <f t="shared" si="262"/>
        <v>0</v>
      </c>
      <c r="AS262" s="39">
        <f t="shared" si="263"/>
        <v>0</v>
      </c>
      <c r="AT262" s="39">
        <f t="shared" si="264"/>
        <v>0</v>
      </c>
      <c r="AU262" s="39">
        <f t="shared" si="265"/>
        <v>0</v>
      </c>
      <c r="AV262" s="39">
        <f t="shared" si="266"/>
        <v>0</v>
      </c>
      <c r="AW262" s="39">
        <f t="shared" si="267"/>
        <v>0</v>
      </c>
      <c r="AX262" s="39">
        <f t="shared" si="268"/>
        <v>0</v>
      </c>
      <c r="AY262" s="39">
        <f t="shared" si="269"/>
        <v>0</v>
      </c>
      <c r="AZ262" s="39">
        <f t="shared" si="270"/>
        <v>0</v>
      </c>
      <c r="BA262" s="39">
        <f t="shared" si="271"/>
        <v>0</v>
      </c>
      <c r="BB262" s="39">
        <f t="shared" si="272"/>
        <v>0</v>
      </c>
      <c r="BC262" s="39">
        <f t="shared" si="273"/>
        <v>0</v>
      </c>
      <c r="BD262" s="39">
        <f t="shared" si="274"/>
        <v>0</v>
      </c>
      <c r="BE262" s="39">
        <f t="shared" si="275"/>
        <v>0</v>
      </c>
      <c r="BF262" s="39">
        <f t="shared" si="276"/>
        <v>0</v>
      </c>
      <c r="BG262" s="39">
        <f t="shared" si="277"/>
        <v>0</v>
      </c>
      <c r="BH262" s="84">
        <f t="shared" si="278"/>
        <v>0</v>
      </c>
      <c r="BI262" s="84">
        <f t="shared" si="279"/>
        <v>2.4000000000000004</v>
      </c>
      <c r="BJ262" s="84">
        <f t="shared" si="280"/>
        <v>0.45445882706228108</v>
      </c>
      <c r="BK262" s="39">
        <f t="shared" si="281"/>
        <v>40.008456745510749</v>
      </c>
      <c r="BL262" s="39">
        <f t="shared" si="282"/>
        <v>66.00000198170099</v>
      </c>
      <c r="BM262" s="39">
        <f t="shared" si="283"/>
        <v>64.000048705003181</v>
      </c>
      <c r="BN262" s="39">
        <f t="shared" si="284"/>
        <v>87.000562660663732</v>
      </c>
      <c r="BO262" s="39">
        <f t="shared" si="285"/>
        <v>84.004055590012484</v>
      </c>
      <c r="BP262" s="39">
        <f t="shared" si="286"/>
        <v>75.02017349692801</v>
      </c>
      <c r="BQ262" s="39">
        <f t="shared" si="287"/>
        <v>73.266388041201893</v>
      </c>
      <c r="BR262" s="39">
        <f t="shared" si="288"/>
        <v>70.800000000000011</v>
      </c>
      <c r="BS262" s="39">
        <f t="shared" si="289"/>
        <v>0</v>
      </c>
      <c r="BT262" s="39">
        <f t="shared" si="290"/>
        <v>1.1890205939835141E-6</v>
      </c>
      <c r="BU262" s="39">
        <f t="shared" si="291"/>
        <v>2.9223001916989233E-5</v>
      </c>
      <c r="BV262" s="39">
        <f t="shared" si="292"/>
        <v>3.3759639823074391E-4</v>
      </c>
      <c r="BW262" s="39">
        <f t="shared" si="293"/>
        <v>2.4333540074991332E-3</v>
      </c>
      <c r="BX262" s="39">
        <f t="shared" si="294"/>
        <v>1.2104098156797249E-2</v>
      </c>
      <c r="BY262" s="39">
        <f t="shared" si="295"/>
        <v>0</v>
      </c>
      <c r="BZ262" s="39">
        <f t="shared" si="296"/>
        <v>0</v>
      </c>
      <c r="CA262" s="39">
        <f t="shared" si="297"/>
        <v>40.008456745510749</v>
      </c>
      <c r="CB262" s="39">
        <f t="shared" si="298"/>
        <v>66.000000792680396</v>
      </c>
      <c r="CC262" s="39">
        <f t="shared" si="299"/>
        <v>64.000020671021858</v>
      </c>
      <c r="CD262" s="39">
        <f t="shared" si="300"/>
        <v>87.000254287267424</v>
      </c>
      <c r="CE262" s="39">
        <f t="shared" si="301"/>
        <v>84.001959832403216</v>
      </c>
      <c r="CF262" s="39">
        <f t="shared" si="302"/>
        <v>75.010502752778706</v>
      </c>
      <c r="CG262" s="39">
        <f t="shared" si="303"/>
        <v>73.27849213935869</v>
      </c>
      <c r="CH262" s="39">
        <f t="shared" si="304"/>
        <v>70.800000000000011</v>
      </c>
      <c r="CI262" s="39">
        <f t="shared" si="305"/>
        <v>0</v>
      </c>
      <c r="CJ262" s="39">
        <f t="shared" si="306"/>
        <v>0</v>
      </c>
      <c r="CK262" s="39">
        <f t="shared" si="307"/>
        <v>0</v>
      </c>
      <c r="CL262" s="39">
        <f t="shared" si="308"/>
        <v>0</v>
      </c>
      <c r="CM262" s="39">
        <f t="shared" si="309"/>
        <v>0</v>
      </c>
      <c r="CN262" s="39">
        <f t="shared" si="310"/>
        <v>0</v>
      </c>
      <c r="CO262" s="39">
        <f t="shared" si="311"/>
        <v>0</v>
      </c>
      <c r="CP262" s="39">
        <f t="shared" si="312"/>
        <v>0</v>
      </c>
    </row>
    <row r="263" spans="2:94" ht="16" customHeight="1" x14ac:dyDescent="0.2">
      <c r="B263" s="38"/>
      <c r="L263" s="63">
        <v>30575</v>
      </c>
      <c r="M263" s="38">
        <v>1.4</v>
      </c>
      <c r="N263" s="38">
        <v>3.3</v>
      </c>
      <c r="O263" s="39">
        <v>0</v>
      </c>
      <c r="P263" s="39">
        <v>0</v>
      </c>
      <c r="Q263" s="46">
        <f t="shared" si="243"/>
        <v>0.12971258767801874</v>
      </c>
      <c r="R263" s="81">
        <f t="shared" si="244"/>
        <v>0</v>
      </c>
      <c r="S263" s="82">
        <f t="shared" si="245"/>
        <v>1.4</v>
      </c>
      <c r="T263" s="39">
        <f t="shared" si="246"/>
        <v>0</v>
      </c>
      <c r="U263" s="83">
        <f t="shared" si="247"/>
        <v>0</v>
      </c>
      <c r="V263" s="84">
        <f t="shared" si="248"/>
        <v>2.64</v>
      </c>
      <c r="W263" s="52">
        <f t="shared" si="249"/>
        <v>108.00873249648043</v>
      </c>
      <c r="X263" s="52">
        <f t="shared" si="250"/>
        <v>162.09095472454067</v>
      </c>
      <c r="Y263" s="52">
        <f t="shared" si="251"/>
        <v>270.0996872210211</v>
      </c>
      <c r="Z263" s="53">
        <f t="shared" si="252"/>
        <v>0.84381822262875339</v>
      </c>
      <c r="AA263" s="53">
        <f t="shared" si="253"/>
        <v>0.96482711145559918</v>
      </c>
      <c r="AB263" s="53">
        <f t="shared" si="254"/>
        <v>0.91249894331426051</v>
      </c>
      <c r="AC263" s="39" t="str">
        <f t="shared" si="255"/>
        <v>No</v>
      </c>
      <c r="AD263" s="85">
        <f t="shared" si="256"/>
        <v>0</v>
      </c>
      <c r="AE263" s="46">
        <f t="shared" si="257"/>
        <v>1</v>
      </c>
      <c r="AF263" s="46">
        <f t="shared" si="258"/>
        <v>0</v>
      </c>
      <c r="AG263" s="39">
        <f t="shared" si="313"/>
        <v>40.008456745510749</v>
      </c>
      <c r="AH263" s="39">
        <f t="shared" si="314"/>
        <v>66.000000792680396</v>
      </c>
      <c r="AI263" s="39">
        <f t="shared" si="315"/>
        <v>64.000020671021858</v>
      </c>
      <c r="AJ263" s="39">
        <f t="shared" si="316"/>
        <v>87.000254287267424</v>
      </c>
      <c r="AK263" s="39">
        <f t="shared" si="317"/>
        <v>84.001959832403216</v>
      </c>
      <c r="AL263" s="39">
        <f t="shared" si="318"/>
        <v>75.010502752778706</v>
      </c>
      <c r="AM263" s="39">
        <f t="shared" si="319"/>
        <v>73.27849213935869</v>
      </c>
      <c r="AN263" s="39">
        <f t="shared" si="320"/>
        <v>70.800000000000011</v>
      </c>
      <c r="AO263" s="39">
        <f t="shared" si="259"/>
        <v>0</v>
      </c>
      <c r="AP263" s="39">
        <f t="shared" si="260"/>
        <v>0</v>
      </c>
      <c r="AQ263" s="39">
        <f t="shared" si="261"/>
        <v>0</v>
      </c>
      <c r="AR263" s="39">
        <f t="shared" si="262"/>
        <v>0</v>
      </c>
      <c r="AS263" s="39">
        <f t="shared" si="263"/>
        <v>0</v>
      </c>
      <c r="AT263" s="39">
        <f t="shared" si="264"/>
        <v>0</v>
      </c>
      <c r="AU263" s="39">
        <f t="shared" si="265"/>
        <v>0</v>
      </c>
      <c r="AV263" s="39">
        <f t="shared" si="266"/>
        <v>0</v>
      </c>
      <c r="AW263" s="39">
        <f t="shared" si="267"/>
        <v>0</v>
      </c>
      <c r="AX263" s="39">
        <f t="shared" si="268"/>
        <v>0</v>
      </c>
      <c r="AY263" s="39">
        <f t="shared" si="269"/>
        <v>0</v>
      </c>
      <c r="AZ263" s="39">
        <f t="shared" si="270"/>
        <v>0</v>
      </c>
      <c r="BA263" s="39">
        <f t="shared" si="271"/>
        <v>0</v>
      </c>
      <c r="BB263" s="39">
        <f t="shared" si="272"/>
        <v>0</v>
      </c>
      <c r="BC263" s="39">
        <f t="shared" si="273"/>
        <v>0</v>
      </c>
      <c r="BD263" s="39">
        <f t="shared" si="274"/>
        <v>0</v>
      </c>
      <c r="BE263" s="39">
        <f t="shared" si="275"/>
        <v>0</v>
      </c>
      <c r="BF263" s="39">
        <f t="shared" si="276"/>
        <v>0</v>
      </c>
      <c r="BG263" s="39">
        <f t="shared" si="277"/>
        <v>0</v>
      </c>
      <c r="BH263" s="84">
        <f t="shared" si="278"/>
        <v>1.4</v>
      </c>
      <c r="BI263" s="84">
        <f t="shared" si="279"/>
        <v>1.2400000000000002</v>
      </c>
      <c r="BJ263" s="84">
        <f t="shared" si="280"/>
        <v>1.6184842004284188</v>
      </c>
      <c r="BK263" s="39">
        <f t="shared" si="281"/>
        <v>38.38997254508233</v>
      </c>
      <c r="BL263" s="39">
        <f t="shared" si="282"/>
        <v>66.000000792680396</v>
      </c>
      <c r="BM263" s="39">
        <f t="shared" si="283"/>
        <v>64.000020671021858</v>
      </c>
      <c r="BN263" s="39">
        <f t="shared" si="284"/>
        <v>87.000254287267424</v>
      </c>
      <c r="BO263" s="39">
        <f t="shared" si="285"/>
        <v>84.001959832403216</v>
      </c>
      <c r="BP263" s="39">
        <f t="shared" si="286"/>
        <v>75.010502752778706</v>
      </c>
      <c r="BQ263" s="39">
        <f t="shared" si="287"/>
        <v>73.27849213935869</v>
      </c>
      <c r="BR263" s="39">
        <f t="shared" si="288"/>
        <v>70.800000000000011</v>
      </c>
      <c r="BS263" s="39">
        <f t="shared" si="289"/>
        <v>0</v>
      </c>
      <c r="BT263" s="39">
        <f t="shared" si="290"/>
        <v>4.7560823759340563E-7</v>
      </c>
      <c r="BU263" s="39">
        <f t="shared" si="291"/>
        <v>1.2402613123185802E-5</v>
      </c>
      <c r="BV263" s="39">
        <f t="shared" si="292"/>
        <v>1.5257236044590171E-4</v>
      </c>
      <c r="BW263" s="39">
        <f t="shared" si="293"/>
        <v>1.1758994419380996E-3</v>
      </c>
      <c r="BX263" s="39">
        <f t="shared" si="294"/>
        <v>6.3016516672149692E-3</v>
      </c>
      <c r="BY263" s="39">
        <f t="shared" si="295"/>
        <v>0</v>
      </c>
      <c r="BZ263" s="39">
        <f t="shared" si="296"/>
        <v>0</v>
      </c>
      <c r="CA263" s="39">
        <f t="shared" si="297"/>
        <v>38.38997254508233</v>
      </c>
      <c r="CB263" s="39">
        <f t="shared" si="298"/>
        <v>66.000000317072164</v>
      </c>
      <c r="CC263" s="39">
        <f t="shared" si="299"/>
        <v>64.000008744016966</v>
      </c>
      <c r="CD263" s="39">
        <f t="shared" si="300"/>
        <v>87.000114117520098</v>
      </c>
      <c r="CE263" s="39">
        <f t="shared" si="301"/>
        <v>84.000936505321732</v>
      </c>
      <c r="CF263" s="39">
        <f t="shared" si="302"/>
        <v>75.005377000553423</v>
      </c>
      <c r="CG263" s="39">
        <f t="shared" si="303"/>
        <v>73.284793791025905</v>
      </c>
      <c r="CH263" s="39">
        <f t="shared" si="304"/>
        <v>70.800000000000011</v>
      </c>
      <c r="CI263" s="39">
        <f t="shared" si="305"/>
        <v>0</v>
      </c>
      <c r="CJ263" s="39">
        <f t="shared" si="306"/>
        <v>0</v>
      </c>
      <c r="CK263" s="39">
        <f t="shared" si="307"/>
        <v>0</v>
      </c>
      <c r="CL263" s="39">
        <f t="shared" si="308"/>
        <v>0</v>
      </c>
      <c r="CM263" s="39">
        <f t="shared" si="309"/>
        <v>0</v>
      </c>
      <c r="CN263" s="39">
        <f t="shared" si="310"/>
        <v>0</v>
      </c>
      <c r="CO263" s="39">
        <f t="shared" si="311"/>
        <v>0</v>
      </c>
      <c r="CP263" s="39">
        <f t="shared" si="312"/>
        <v>0</v>
      </c>
    </row>
    <row r="264" spans="2:94" ht="16" customHeight="1" x14ac:dyDescent="0.2">
      <c r="B264" s="38"/>
      <c r="L264" s="63">
        <v>30576</v>
      </c>
      <c r="M264" s="38">
        <v>20</v>
      </c>
      <c r="N264" s="38">
        <v>2.6</v>
      </c>
      <c r="O264" s="39">
        <v>0</v>
      </c>
      <c r="P264" s="39">
        <v>0</v>
      </c>
      <c r="Q264" s="46">
        <f t="shared" si="243"/>
        <v>0.13299329889510336</v>
      </c>
      <c r="R264" s="81">
        <f t="shared" si="244"/>
        <v>1.1448340421948602</v>
      </c>
      <c r="S264" s="82">
        <f t="shared" si="245"/>
        <v>18.855165957805141</v>
      </c>
      <c r="T264" s="39">
        <f t="shared" si="246"/>
        <v>0</v>
      </c>
      <c r="U264" s="83">
        <f t="shared" si="247"/>
        <v>0</v>
      </c>
      <c r="V264" s="84">
        <f t="shared" si="248"/>
        <v>2.08</v>
      </c>
      <c r="W264" s="52">
        <f t="shared" si="249"/>
        <v>106.39009572369156</v>
      </c>
      <c r="X264" s="52">
        <f t="shared" si="250"/>
        <v>162.09110729690104</v>
      </c>
      <c r="Y264" s="52">
        <f t="shared" si="251"/>
        <v>268.4812030205926</v>
      </c>
      <c r="Z264" s="53">
        <f t="shared" si="252"/>
        <v>0.8311726228413403</v>
      </c>
      <c r="AA264" s="53">
        <f t="shared" si="253"/>
        <v>0.964828019624411</v>
      </c>
      <c r="AB264" s="53">
        <f t="shared" si="254"/>
        <v>0.90703109128578585</v>
      </c>
      <c r="AC264" s="39" t="str">
        <f t="shared" si="255"/>
        <v>No</v>
      </c>
      <c r="AD264" s="85">
        <f t="shared" si="256"/>
        <v>0</v>
      </c>
      <c r="AE264" s="46">
        <f t="shared" si="257"/>
        <v>1</v>
      </c>
      <c r="AF264" s="46">
        <f t="shared" si="258"/>
        <v>0</v>
      </c>
      <c r="AG264" s="39">
        <f t="shared" si="313"/>
        <v>38.38997254508233</v>
      </c>
      <c r="AH264" s="39">
        <f t="shared" si="314"/>
        <v>66.000000317072164</v>
      </c>
      <c r="AI264" s="39">
        <f t="shared" si="315"/>
        <v>64.000008744016966</v>
      </c>
      <c r="AJ264" s="39">
        <f t="shared" si="316"/>
        <v>87.000114117520098</v>
      </c>
      <c r="AK264" s="39">
        <f t="shared" si="317"/>
        <v>84.000936505321732</v>
      </c>
      <c r="AL264" s="39">
        <f t="shared" si="318"/>
        <v>75.005377000553423</v>
      </c>
      <c r="AM264" s="39">
        <f t="shared" si="319"/>
        <v>73.284793791025905</v>
      </c>
      <c r="AN264" s="39">
        <f t="shared" si="320"/>
        <v>70.800000000000011</v>
      </c>
      <c r="AO264" s="39">
        <f t="shared" si="259"/>
        <v>0</v>
      </c>
      <c r="AP264" s="39">
        <f t="shared" si="260"/>
        <v>0</v>
      </c>
      <c r="AQ264" s="39">
        <f t="shared" si="261"/>
        <v>0</v>
      </c>
      <c r="AR264" s="39">
        <f t="shared" si="262"/>
        <v>0</v>
      </c>
      <c r="AS264" s="39">
        <f t="shared" si="263"/>
        <v>0</v>
      </c>
      <c r="AT264" s="39">
        <f t="shared" si="264"/>
        <v>0</v>
      </c>
      <c r="AU264" s="39">
        <f t="shared" si="265"/>
        <v>0</v>
      </c>
      <c r="AV264" s="39">
        <f t="shared" si="266"/>
        <v>0</v>
      </c>
      <c r="AW264" s="39">
        <f t="shared" si="267"/>
        <v>0</v>
      </c>
      <c r="AX264" s="39">
        <f t="shared" si="268"/>
        <v>0</v>
      </c>
      <c r="AY264" s="39">
        <f t="shared" si="269"/>
        <v>0</v>
      </c>
      <c r="AZ264" s="39">
        <f t="shared" si="270"/>
        <v>0</v>
      </c>
      <c r="BA264" s="39">
        <f t="shared" si="271"/>
        <v>0</v>
      </c>
      <c r="BB264" s="39">
        <f t="shared" si="272"/>
        <v>0</v>
      </c>
      <c r="BC264" s="39">
        <f t="shared" si="273"/>
        <v>0</v>
      </c>
      <c r="BD264" s="39">
        <f t="shared" si="274"/>
        <v>0</v>
      </c>
      <c r="BE264" s="39">
        <f t="shared" si="275"/>
        <v>0</v>
      </c>
      <c r="BF264" s="39">
        <f t="shared" si="276"/>
        <v>0</v>
      </c>
      <c r="BG264" s="39">
        <f t="shared" si="277"/>
        <v>0</v>
      </c>
      <c r="BH264" s="84">
        <f t="shared" si="278"/>
        <v>2.08</v>
      </c>
      <c r="BI264" s="84">
        <f t="shared" si="279"/>
        <v>0</v>
      </c>
      <c r="BJ264" s="84">
        <f t="shared" si="280"/>
        <v>2.08</v>
      </c>
      <c r="BK264" s="39">
        <f t="shared" si="281"/>
        <v>36.309972545082331</v>
      </c>
      <c r="BL264" s="39">
        <f t="shared" si="282"/>
        <v>66.000000317072164</v>
      </c>
      <c r="BM264" s="39">
        <f t="shared" si="283"/>
        <v>64.000008744016966</v>
      </c>
      <c r="BN264" s="39">
        <f t="shared" si="284"/>
        <v>87.000114117520098</v>
      </c>
      <c r="BO264" s="39">
        <f t="shared" si="285"/>
        <v>84.000936505321732</v>
      </c>
      <c r="BP264" s="39">
        <f t="shared" si="286"/>
        <v>75.005377000553423</v>
      </c>
      <c r="BQ264" s="39">
        <f t="shared" si="287"/>
        <v>73.284793791025905</v>
      </c>
      <c r="BR264" s="39">
        <f t="shared" si="288"/>
        <v>70.800000000000011</v>
      </c>
      <c r="BS264" s="39">
        <f t="shared" si="289"/>
        <v>0</v>
      </c>
      <c r="BT264" s="39">
        <f t="shared" si="290"/>
        <v>1.9024329844796739E-7</v>
      </c>
      <c r="BU264" s="39">
        <f t="shared" si="291"/>
        <v>5.2464101884197586E-6</v>
      </c>
      <c r="BV264" s="39">
        <f t="shared" si="292"/>
        <v>6.8470512050566865E-5</v>
      </c>
      <c r="BW264" s="39">
        <f t="shared" si="293"/>
        <v>5.6190319304789678E-4</v>
      </c>
      <c r="BX264" s="39">
        <f t="shared" si="294"/>
        <v>3.226200332045437E-3</v>
      </c>
      <c r="BY264" s="39">
        <f t="shared" si="295"/>
        <v>0</v>
      </c>
      <c r="BZ264" s="39">
        <f t="shared" si="296"/>
        <v>0</v>
      </c>
      <c r="CA264" s="39">
        <f t="shared" si="297"/>
        <v>53.085138502887474</v>
      </c>
      <c r="CB264" s="39">
        <f t="shared" si="298"/>
        <v>66.000000126828866</v>
      </c>
      <c r="CC264" s="39">
        <f t="shared" si="299"/>
        <v>64.000003687850082</v>
      </c>
      <c r="CD264" s="39">
        <f t="shared" si="300"/>
        <v>87.000050893418233</v>
      </c>
      <c r="CE264" s="39">
        <f t="shared" si="301"/>
        <v>84.000443072640735</v>
      </c>
      <c r="CF264" s="39">
        <f t="shared" si="302"/>
        <v>75.002712703414417</v>
      </c>
      <c r="CG264" s="39">
        <f t="shared" si="303"/>
        <v>73.288019991357956</v>
      </c>
      <c r="CH264" s="39">
        <f t="shared" si="304"/>
        <v>70.800000000000011</v>
      </c>
      <c r="CI264" s="39">
        <f t="shared" si="305"/>
        <v>0</v>
      </c>
      <c r="CJ264" s="39">
        <f t="shared" si="306"/>
        <v>0</v>
      </c>
      <c r="CK264" s="39">
        <f t="shared" si="307"/>
        <v>0</v>
      </c>
      <c r="CL264" s="39">
        <f t="shared" si="308"/>
        <v>0</v>
      </c>
      <c r="CM264" s="39">
        <f t="shared" si="309"/>
        <v>0</v>
      </c>
      <c r="CN264" s="39">
        <f t="shared" si="310"/>
        <v>0</v>
      </c>
      <c r="CO264" s="39">
        <f t="shared" si="311"/>
        <v>0</v>
      </c>
      <c r="CP264" s="39">
        <f t="shared" si="312"/>
        <v>0</v>
      </c>
    </row>
    <row r="265" spans="2:94" ht="16" customHeight="1" x14ac:dyDescent="0.2">
      <c r="B265" s="38"/>
      <c r="L265" s="63">
        <v>30577</v>
      </c>
      <c r="M265" s="38">
        <v>0</v>
      </c>
      <c r="N265" s="38">
        <v>3.1</v>
      </c>
      <c r="O265" s="39">
        <v>0</v>
      </c>
      <c r="P265" s="39">
        <v>0</v>
      </c>
      <c r="Q265" s="46">
        <f t="shared" si="243"/>
        <v>0.10320580033198484</v>
      </c>
      <c r="R265" s="81">
        <f t="shared" si="244"/>
        <v>0</v>
      </c>
      <c r="S265" s="82">
        <f t="shared" si="245"/>
        <v>0</v>
      </c>
      <c r="T265" s="39">
        <f t="shared" si="246"/>
        <v>0</v>
      </c>
      <c r="U265" s="83">
        <f t="shared" si="247"/>
        <v>0</v>
      </c>
      <c r="V265" s="84">
        <f t="shared" si="248"/>
        <v>2.4800000000000004</v>
      </c>
      <c r="W265" s="52">
        <f t="shared" si="249"/>
        <v>121.08519321098464</v>
      </c>
      <c r="X265" s="52">
        <f t="shared" si="250"/>
        <v>162.09117576741312</v>
      </c>
      <c r="Y265" s="52">
        <f t="shared" si="251"/>
        <v>283.17636897839776</v>
      </c>
      <c r="Z265" s="53">
        <f t="shared" si="252"/>
        <v>0.94597807196081751</v>
      </c>
      <c r="AA265" s="53">
        <f t="shared" si="253"/>
        <v>0.96482842718698281</v>
      </c>
      <c r="AB265" s="53">
        <f t="shared" si="254"/>
        <v>0.95667692222431677</v>
      </c>
      <c r="AC265" s="39" t="str">
        <f t="shared" si="255"/>
        <v>No</v>
      </c>
      <c r="AD265" s="85">
        <f t="shared" si="256"/>
        <v>0</v>
      </c>
      <c r="AE265" s="46">
        <f t="shared" si="257"/>
        <v>1</v>
      </c>
      <c r="AF265" s="46">
        <f t="shared" si="258"/>
        <v>0</v>
      </c>
      <c r="AG265" s="39">
        <f t="shared" si="313"/>
        <v>53.085138502887474</v>
      </c>
      <c r="AH265" s="39">
        <f t="shared" si="314"/>
        <v>66.000000126828866</v>
      </c>
      <c r="AI265" s="39">
        <f t="shared" si="315"/>
        <v>64.000003687850082</v>
      </c>
      <c r="AJ265" s="39">
        <f t="shared" si="316"/>
        <v>87.000050893418233</v>
      </c>
      <c r="AK265" s="39">
        <f t="shared" si="317"/>
        <v>84.000443072640735</v>
      </c>
      <c r="AL265" s="39">
        <f t="shared" si="318"/>
        <v>75.002712703414417</v>
      </c>
      <c r="AM265" s="39">
        <f t="shared" si="319"/>
        <v>73.288019991357956</v>
      </c>
      <c r="AN265" s="39">
        <f t="shared" si="320"/>
        <v>70.800000000000011</v>
      </c>
      <c r="AO265" s="39">
        <f t="shared" si="259"/>
        <v>0</v>
      </c>
      <c r="AP265" s="39">
        <f t="shared" si="260"/>
        <v>0</v>
      </c>
      <c r="AQ265" s="39">
        <f t="shared" si="261"/>
        <v>0</v>
      </c>
      <c r="AR265" s="39">
        <f t="shared" si="262"/>
        <v>0</v>
      </c>
      <c r="AS265" s="39">
        <f t="shared" si="263"/>
        <v>0</v>
      </c>
      <c r="AT265" s="39">
        <f t="shared" si="264"/>
        <v>0</v>
      </c>
      <c r="AU265" s="39">
        <f t="shared" si="265"/>
        <v>0</v>
      </c>
      <c r="AV265" s="39">
        <f t="shared" si="266"/>
        <v>0</v>
      </c>
      <c r="AW265" s="39">
        <f t="shared" si="267"/>
        <v>0</v>
      </c>
      <c r="AX265" s="39">
        <f t="shared" si="268"/>
        <v>0</v>
      </c>
      <c r="AY265" s="39">
        <f t="shared" si="269"/>
        <v>0</v>
      </c>
      <c r="AZ265" s="39">
        <f t="shared" si="270"/>
        <v>0</v>
      </c>
      <c r="BA265" s="39">
        <f t="shared" si="271"/>
        <v>0</v>
      </c>
      <c r="BB265" s="39">
        <f t="shared" si="272"/>
        <v>0</v>
      </c>
      <c r="BC265" s="39">
        <f t="shared" si="273"/>
        <v>0</v>
      </c>
      <c r="BD265" s="39">
        <f t="shared" si="274"/>
        <v>0</v>
      </c>
      <c r="BE265" s="39">
        <f t="shared" si="275"/>
        <v>0</v>
      </c>
      <c r="BF265" s="39">
        <f t="shared" si="276"/>
        <v>0</v>
      </c>
      <c r="BG265" s="39">
        <f t="shared" si="277"/>
        <v>0</v>
      </c>
      <c r="BH265" s="84">
        <f t="shared" si="278"/>
        <v>0</v>
      </c>
      <c r="BI265" s="84">
        <f t="shared" si="279"/>
        <v>2.4800000000000004</v>
      </c>
      <c r="BJ265" s="84">
        <f t="shared" si="280"/>
        <v>2.3503071371578526</v>
      </c>
      <c r="BK265" s="39">
        <f t="shared" si="281"/>
        <v>50.734831365729619</v>
      </c>
      <c r="BL265" s="39">
        <f t="shared" si="282"/>
        <v>66.000000126828866</v>
      </c>
      <c r="BM265" s="39">
        <f t="shared" si="283"/>
        <v>64.000003687850082</v>
      </c>
      <c r="BN265" s="39">
        <f t="shared" si="284"/>
        <v>87.000050893418233</v>
      </c>
      <c r="BO265" s="39">
        <f t="shared" si="285"/>
        <v>84.000443072640735</v>
      </c>
      <c r="BP265" s="39">
        <f t="shared" si="286"/>
        <v>75.002712703414417</v>
      </c>
      <c r="BQ265" s="39">
        <f t="shared" si="287"/>
        <v>73.288019991357956</v>
      </c>
      <c r="BR265" s="39">
        <f t="shared" si="288"/>
        <v>70.800000000000011</v>
      </c>
      <c r="BS265" s="39">
        <f t="shared" si="289"/>
        <v>0</v>
      </c>
      <c r="BT265" s="39">
        <f t="shared" si="290"/>
        <v>7.6097319379186954E-8</v>
      </c>
      <c r="BU265" s="39">
        <f t="shared" si="291"/>
        <v>2.2127100578472891E-6</v>
      </c>
      <c r="BV265" s="39">
        <f t="shared" si="292"/>
        <v>3.0536050931573297E-5</v>
      </c>
      <c r="BW265" s="39">
        <f t="shared" si="293"/>
        <v>2.6584358444949882E-4</v>
      </c>
      <c r="BX265" s="39">
        <f t="shared" si="294"/>
        <v>1.627622048641797E-3</v>
      </c>
      <c r="BY265" s="39">
        <f t="shared" si="295"/>
        <v>0</v>
      </c>
      <c r="BZ265" s="39">
        <f t="shared" si="296"/>
        <v>0</v>
      </c>
      <c r="CA265" s="39">
        <f t="shared" si="297"/>
        <v>50.734831365729619</v>
      </c>
      <c r="CB265" s="39">
        <f t="shared" si="298"/>
        <v>66.000000050731543</v>
      </c>
      <c r="CC265" s="39">
        <f t="shared" si="299"/>
        <v>64.000001551237347</v>
      </c>
      <c r="CD265" s="39">
        <f t="shared" si="300"/>
        <v>87.000022570077363</v>
      </c>
      <c r="CE265" s="39">
        <f t="shared" si="301"/>
        <v>84.00020776510722</v>
      </c>
      <c r="CF265" s="39">
        <f t="shared" si="302"/>
        <v>75.001350924950216</v>
      </c>
      <c r="CG265" s="39">
        <f t="shared" si="303"/>
        <v>73.289647613406601</v>
      </c>
      <c r="CH265" s="39">
        <f t="shared" si="304"/>
        <v>70.800000000000011</v>
      </c>
      <c r="CI265" s="39">
        <f t="shared" si="305"/>
        <v>0</v>
      </c>
      <c r="CJ265" s="39">
        <f t="shared" si="306"/>
        <v>0</v>
      </c>
      <c r="CK265" s="39">
        <f t="shared" si="307"/>
        <v>0</v>
      </c>
      <c r="CL265" s="39">
        <f t="shared" si="308"/>
        <v>0</v>
      </c>
      <c r="CM265" s="39">
        <f t="shared" si="309"/>
        <v>0</v>
      </c>
      <c r="CN265" s="39">
        <f t="shared" si="310"/>
        <v>0</v>
      </c>
      <c r="CO265" s="39">
        <f t="shared" si="311"/>
        <v>0</v>
      </c>
      <c r="CP265" s="39">
        <f t="shared" si="312"/>
        <v>0</v>
      </c>
    </row>
    <row r="266" spans="2:94" ht="16" customHeight="1" x14ac:dyDescent="0.2">
      <c r="B266" s="38"/>
      <c r="L266" s="63">
        <v>30578</v>
      </c>
      <c r="M266" s="38">
        <v>0</v>
      </c>
      <c r="N266" s="38">
        <v>2.2000000000000002</v>
      </c>
      <c r="O266" s="39">
        <v>0</v>
      </c>
      <c r="P266" s="39">
        <v>0</v>
      </c>
      <c r="Q266" s="46">
        <f t="shared" si="243"/>
        <v>0.10796993642081834</v>
      </c>
      <c r="R266" s="81">
        <f t="shared" si="244"/>
        <v>0</v>
      </c>
      <c r="S266" s="82">
        <f t="shared" si="245"/>
        <v>0</v>
      </c>
      <c r="T266" s="39">
        <f t="shared" si="246"/>
        <v>0</v>
      </c>
      <c r="U266" s="83">
        <f t="shared" si="247"/>
        <v>0</v>
      </c>
      <c r="V266" s="84">
        <f t="shared" si="248"/>
        <v>1.7600000000000002</v>
      </c>
      <c r="W266" s="52">
        <f t="shared" si="249"/>
        <v>118.73485553777584</v>
      </c>
      <c r="X266" s="52">
        <f t="shared" si="250"/>
        <v>162.09120630346405</v>
      </c>
      <c r="Y266" s="52">
        <f t="shared" si="251"/>
        <v>280.82606184123989</v>
      </c>
      <c r="Z266" s="53">
        <f t="shared" si="252"/>
        <v>0.92761605888887377</v>
      </c>
      <c r="AA266" s="53">
        <f t="shared" si="253"/>
        <v>0.96482860894919076</v>
      </c>
      <c r="AB266" s="53">
        <f t="shared" si="254"/>
        <v>0.94873669540959427</v>
      </c>
      <c r="AC266" s="39" t="str">
        <f t="shared" si="255"/>
        <v>No</v>
      </c>
      <c r="AD266" s="85">
        <f t="shared" si="256"/>
        <v>0</v>
      </c>
      <c r="AE266" s="46">
        <f t="shared" si="257"/>
        <v>1</v>
      </c>
      <c r="AF266" s="46">
        <f t="shared" si="258"/>
        <v>0</v>
      </c>
      <c r="AG266" s="39">
        <f t="shared" si="313"/>
        <v>50.734831365729619</v>
      </c>
      <c r="AH266" s="39">
        <f t="shared" si="314"/>
        <v>66.000000050731543</v>
      </c>
      <c r="AI266" s="39">
        <f t="shared" si="315"/>
        <v>64.000001551237347</v>
      </c>
      <c r="AJ266" s="39">
        <f t="shared" si="316"/>
        <v>87.000022570077363</v>
      </c>
      <c r="AK266" s="39">
        <f t="shared" si="317"/>
        <v>84.00020776510722</v>
      </c>
      <c r="AL266" s="39">
        <f t="shared" si="318"/>
        <v>75.001350924950216</v>
      </c>
      <c r="AM266" s="39">
        <f t="shared" si="319"/>
        <v>73.289647613406601</v>
      </c>
      <c r="AN266" s="39">
        <f t="shared" si="320"/>
        <v>70.800000000000011</v>
      </c>
      <c r="AO266" s="39">
        <f t="shared" si="259"/>
        <v>0</v>
      </c>
      <c r="AP266" s="39">
        <f t="shared" si="260"/>
        <v>0</v>
      </c>
      <c r="AQ266" s="39">
        <f t="shared" si="261"/>
        <v>0</v>
      </c>
      <c r="AR266" s="39">
        <f t="shared" si="262"/>
        <v>0</v>
      </c>
      <c r="AS266" s="39">
        <f t="shared" si="263"/>
        <v>0</v>
      </c>
      <c r="AT266" s="39">
        <f t="shared" si="264"/>
        <v>0</v>
      </c>
      <c r="AU266" s="39">
        <f t="shared" si="265"/>
        <v>0</v>
      </c>
      <c r="AV266" s="39">
        <f t="shared" si="266"/>
        <v>0</v>
      </c>
      <c r="AW266" s="39">
        <f t="shared" si="267"/>
        <v>0</v>
      </c>
      <c r="AX266" s="39">
        <f t="shared" si="268"/>
        <v>0</v>
      </c>
      <c r="AY266" s="39">
        <f t="shared" si="269"/>
        <v>0</v>
      </c>
      <c r="AZ266" s="39">
        <f t="shared" si="270"/>
        <v>0</v>
      </c>
      <c r="BA266" s="39">
        <f t="shared" si="271"/>
        <v>0</v>
      </c>
      <c r="BB266" s="39">
        <f t="shared" si="272"/>
        <v>0</v>
      </c>
      <c r="BC266" s="39">
        <f t="shared" si="273"/>
        <v>0</v>
      </c>
      <c r="BD266" s="39">
        <f t="shared" si="274"/>
        <v>0</v>
      </c>
      <c r="BE266" s="39">
        <f t="shared" si="275"/>
        <v>0</v>
      </c>
      <c r="BF266" s="39">
        <f t="shared" si="276"/>
        <v>0</v>
      </c>
      <c r="BG266" s="39">
        <f t="shared" si="277"/>
        <v>0</v>
      </c>
      <c r="BH266" s="84">
        <f t="shared" si="278"/>
        <v>0</v>
      </c>
      <c r="BI266" s="84">
        <f t="shared" si="279"/>
        <v>1.7600000000000002</v>
      </c>
      <c r="BJ266" s="84">
        <f t="shared" si="280"/>
        <v>1.2927971829082328</v>
      </c>
      <c r="BK266" s="39">
        <f t="shared" si="281"/>
        <v>49.442034182821388</v>
      </c>
      <c r="BL266" s="39">
        <f t="shared" si="282"/>
        <v>66.000000050731543</v>
      </c>
      <c r="BM266" s="39">
        <f t="shared" si="283"/>
        <v>64.000001551237347</v>
      </c>
      <c r="BN266" s="39">
        <f t="shared" si="284"/>
        <v>87.000022570077363</v>
      </c>
      <c r="BO266" s="39">
        <f t="shared" si="285"/>
        <v>84.00020776510722</v>
      </c>
      <c r="BP266" s="39">
        <f t="shared" si="286"/>
        <v>75.001350924950216</v>
      </c>
      <c r="BQ266" s="39">
        <f t="shared" si="287"/>
        <v>73.289647613406601</v>
      </c>
      <c r="BR266" s="39">
        <f t="shared" si="288"/>
        <v>70.800000000000011</v>
      </c>
      <c r="BS266" s="39">
        <f t="shared" si="289"/>
        <v>0</v>
      </c>
      <c r="BT266" s="39">
        <f t="shared" si="290"/>
        <v>3.0438926046372217E-8</v>
      </c>
      <c r="BU266" s="39">
        <f t="shared" si="291"/>
        <v>9.3074241647173039E-7</v>
      </c>
      <c r="BV266" s="39">
        <f t="shared" si="292"/>
        <v>1.3542046409042996E-5</v>
      </c>
      <c r="BW266" s="39">
        <f t="shared" si="293"/>
        <v>1.2465906434044882E-4</v>
      </c>
      <c r="BX266" s="39">
        <f t="shared" si="294"/>
        <v>8.105549701213022E-4</v>
      </c>
      <c r="BY266" s="39">
        <f t="shared" si="295"/>
        <v>0</v>
      </c>
      <c r="BZ266" s="39">
        <f t="shared" si="296"/>
        <v>0</v>
      </c>
      <c r="CA266" s="39">
        <f t="shared" si="297"/>
        <v>49.442034182821388</v>
      </c>
      <c r="CB266" s="39">
        <f t="shared" si="298"/>
        <v>66.000000020292617</v>
      </c>
      <c r="CC266" s="39">
        <f t="shared" si="299"/>
        <v>64.000000650933856</v>
      </c>
      <c r="CD266" s="39">
        <f t="shared" si="300"/>
        <v>87.000009958773376</v>
      </c>
      <c r="CE266" s="39">
        <f t="shared" si="301"/>
        <v>84.000096648089283</v>
      </c>
      <c r="CF266" s="39">
        <f t="shared" si="302"/>
        <v>75.000665029044441</v>
      </c>
      <c r="CG266" s="39">
        <f t="shared" si="303"/>
        <v>73.290458168376716</v>
      </c>
      <c r="CH266" s="39">
        <f t="shared" si="304"/>
        <v>70.800000000000011</v>
      </c>
      <c r="CI266" s="39">
        <f t="shared" si="305"/>
        <v>0</v>
      </c>
      <c r="CJ266" s="39">
        <f t="shared" si="306"/>
        <v>0</v>
      </c>
      <c r="CK266" s="39">
        <f t="shared" si="307"/>
        <v>0</v>
      </c>
      <c r="CL266" s="39">
        <f t="shared" si="308"/>
        <v>0</v>
      </c>
      <c r="CM266" s="39">
        <f t="shared" si="309"/>
        <v>0</v>
      </c>
      <c r="CN266" s="39">
        <f t="shared" si="310"/>
        <v>0</v>
      </c>
      <c r="CO266" s="39">
        <f t="shared" si="311"/>
        <v>0</v>
      </c>
      <c r="CP266" s="39">
        <f t="shared" si="312"/>
        <v>0</v>
      </c>
    </row>
    <row r="267" spans="2:94" ht="16" customHeight="1" x14ac:dyDescent="0.2">
      <c r="B267" s="38"/>
      <c r="L267" s="63">
        <v>30579</v>
      </c>
      <c r="M267" s="38">
        <v>0</v>
      </c>
      <c r="N267" s="38">
        <v>4.0999999999999996</v>
      </c>
      <c r="O267" s="39">
        <v>0</v>
      </c>
      <c r="P267" s="39">
        <v>0</v>
      </c>
      <c r="Q267" s="46">
        <f t="shared" si="243"/>
        <v>0.11059047125103773</v>
      </c>
      <c r="R267" s="81">
        <f t="shared" si="244"/>
        <v>0</v>
      </c>
      <c r="S267" s="82">
        <f t="shared" si="245"/>
        <v>0</v>
      </c>
      <c r="T267" s="39">
        <f t="shared" si="246"/>
        <v>0</v>
      </c>
      <c r="U267" s="83">
        <f t="shared" si="247"/>
        <v>0</v>
      </c>
      <c r="V267" s="84">
        <f t="shared" si="248"/>
        <v>3.28</v>
      </c>
      <c r="W267" s="52">
        <f t="shared" si="249"/>
        <v>117.44204481282122</v>
      </c>
      <c r="X267" s="52">
        <f t="shared" si="250"/>
        <v>162.09121984551041</v>
      </c>
      <c r="Y267" s="52">
        <f t="shared" si="251"/>
        <v>279.53326465833163</v>
      </c>
      <c r="Z267" s="53">
        <f t="shared" si="252"/>
        <v>0.9175159751001658</v>
      </c>
      <c r="AA267" s="53">
        <f t="shared" si="253"/>
        <v>0.96482868955660961</v>
      </c>
      <c r="AB267" s="53">
        <f t="shared" si="254"/>
        <v>0.94436913735922845</v>
      </c>
      <c r="AC267" s="39" t="str">
        <f t="shared" si="255"/>
        <v>No</v>
      </c>
      <c r="AD267" s="85">
        <f t="shared" si="256"/>
        <v>0</v>
      </c>
      <c r="AE267" s="46">
        <f t="shared" si="257"/>
        <v>1</v>
      </c>
      <c r="AF267" s="46">
        <f t="shared" si="258"/>
        <v>0</v>
      </c>
      <c r="AG267" s="39">
        <f t="shared" si="313"/>
        <v>49.442034182821388</v>
      </c>
      <c r="AH267" s="39">
        <f t="shared" si="314"/>
        <v>66.000000020292617</v>
      </c>
      <c r="AI267" s="39">
        <f t="shared" si="315"/>
        <v>64.000000650933856</v>
      </c>
      <c r="AJ267" s="39">
        <f t="shared" si="316"/>
        <v>87.000009958773376</v>
      </c>
      <c r="AK267" s="39">
        <f t="shared" si="317"/>
        <v>84.000096648089283</v>
      </c>
      <c r="AL267" s="39">
        <f t="shared" si="318"/>
        <v>75.000665029044441</v>
      </c>
      <c r="AM267" s="39">
        <f t="shared" si="319"/>
        <v>73.290458168376716</v>
      </c>
      <c r="AN267" s="39">
        <f t="shared" si="320"/>
        <v>70.800000000000011</v>
      </c>
      <c r="AO267" s="39">
        <f t="shared" si="259"/>
        <v>0</v>
      </c>
      <c r="AP267" s="39">
        <f t="shared" si="260"/>
        <v>0</v>
      </c>
      <c r="AQ267" s="39">
        <f t="shared" si="261"/>
        <v>0</v>
      </c>
      <c r="AR267" s="39">
        <f t="shared" si="262"/>
        <v>0</v>
      </c>
      <c r="AS267" s="39">
        <f t="shared" si="263"/>
        <v>0</v>
      </c>
      <c r="AT267" s="39">
        <f t="shared" si="264"/>
        <v>0</v>
      </c>
      <c r="AU267" s="39">
        <f t="shared" si="265"/>
        <v>0</v>
      </c>
      <c r="AV267" s="39">
        <f t="shared" si="266"/>
        <v>0</v>
      </c>
      <c r="AW267" s="39">
        <f t="shared" si="267"/>
        <v>0</v>
      </c>
      <c r="AX267" s="39">
        <f t="shared" si="268"/>
        <v>0</v>
      </c>
      <c r="AY267" s="39">
        <f t="shared" si="269"/>
        <v>0</v>
      </c>
      <c r="AZ267" s="39">
        <f t="shared" si="270"/>
        <v>0</v>
      </c>
      <c r="BA267" s="39">
        <f t="shared" si="271"/>
        <v>0</v>
      </c>
      <c r="BB267" s="39">
        <f t="shared" si="272"/>
        <v>0</v>
      </c>
      <c r="BC267" s="39">
        <f t="shared" si="273"/>
        <v>0</v>
      </c>
      <c r="BD267" s="39">
        <f t="shared" si="274"/>
        <v>0</v>
      </c>
      <c r="BE267" s="39">
        <f t="shared" si="275"/>
        <v>0</v>
      </c>
      <c r="BF267" s="39">
        <f t="shared" si="276"/>
        <v>0</v>
      </c>
      <c r="BG267" s="39">
        <f t="shared" si="277"/>
        <v>0</v>
      </c>
      <c r="BH267" s="84">
        <f t="shared" si="278"/>
        <v>0</v>
      </c>
      <c r="BI267" s="84">
        <f t="shared" si="279"/>
        <v>3.28</v>
      </c>
      <c r="BJ267" s="84">
        <f t="shared" si="280"/>
        <v>2.0791211615498151</v>
      </c>
      <c r="BK267" s="39">
        <f t="shared" si="281"/>
        <v>47.362913021271574</v>
      </c>
      <c r="BL267" s="39">
        <f t="shared" si="282"/>
        <v>66.000000020292617</v>
      </c>
      <c r="BM267" s="39">
        <f t="shared" si="283"/>
        <v>64.000000650933856</v>
      </c>
      <c r="BN267" s="39">
        <f t="shared" si="284"/>
        <v>87.000009958773376</v>
      </c>
      <c r="BO267" s="39">
        <f t="shared" si="285"/>
        <v>84.000096648089283</v>
      </c>
      <c r="BP267" s="39">
        <f t="shared" si="286"/>
        <v>75.000665029044441</v>
      </c>
      <c r="BQ267" s="39">
        <f t="shared" si="287"/>
        <v>73.290458168376716</v>
      </c>
      <c r="BR267" s="39">
        <f t="shared" si="288"/>
        <v>70.800000000000011</v>
      </c>
      <c r="BS267" s="39">
        <f t="shared" si="289"/>
        <v>0</v>
      </c>
      <c r="BT267" s="39">
        <f t="shared" si="290"/>
        <v>1.2175570418548886E-8</v>
      </c>
      <c r="BU267" s="39">
        <f t="shared" si="291"/>
        <v>3.9056032221651547E-7</v>
      </c>
      <c r="BV267" s="39">
        <f t="shared" si="292"/>
        <v>5.9752640169108417E-6</v>
      </c>
      <c r="BW267" s="39">
        <f t="shared" si="293"/>
        <v>5.798885357819472E-5</v>
      </c>
      <c r="BX267" s="39">
        <f t="shared" si="294"/>
        <v>3.9901742665620076E-4</v>
      </c>
      <c r="BY267" s="39">
        <f t="shared" si="295"/>
        <v>0</v>
      </c>
      <c r="BZ267" s="39">
        <f t="shared" si="296"/>
        <v>0</v>
      </c>
      <c r="CA267" s="39">
        <f t="shared" si="297"/>
        <v>47.362913021271574</v>
      </c>
      <c r="CB267" s="39">
        <f t="shared" si="298"/>
        <v>66.000000008117041</v>
      </c>
      <c r="CC267" s="39">
        <f t="shared" si="299"/>
        <v>64.000000272549116</v>
      </c>
      <c r="CD267" s="39">
        <f t="shared" si="300"/>
        <v>87.000004374069675</v>
      </c>
      <c r="CE267" s="39">
        <f t="shared" si="301"/>
        <v>84.000044634499716</v>
      </c>
      <c r="CF267" s="39">
        <f t="shared" si="302"/>
        <v>75.000324000471366</v>
      </c>
      <c r="CG267" s="39">
        <f t="shared" si="303"/>
        <v>73.290857185803375</v>
      </c>
      <c r="CH267" s="39">
        <f t="shared" si="304"/>
        <v>70.800000000000011</v>
      </c>
      <c r="CI267" s="39">
        <f t="shared" si="305"/>
        <v>0</v>
      </c>
      <c r="CJ267" s="39">
        <f t="shared" si="306"/>
        <v>0</v>
      </c>
      <c r="CK267" s="39">
        <f t="shared" si="307"/>
        <v>0</v>
      </c>
      <c r="CL267" s="39">
        <f t="shared" si="308"/>
        <v>0</v>
      </c>
      <c r="CM267" s="39">
        <f t="shared" si="309"/>
        <v>0</v>
      </c>
      <c r="CN267" s="39">
        <f t="shared" si="310"/>
        <v>0</v>
      </c>
      <c r="CO267" s="39">
        <f t="shared" si="311"/>
        <v>0</v>
      </c>
      <c r="CP267" s="39">
        <f t="shared" si="312"/>
        <v>0</v>
      </c>
    </row>
    <row r="268" spans="2:94" ht="16" customHeight="1" x14ac:dyDescent="0.2">
      <c r="B268" s="38"/>
      <c r="L268" s="63">
        <v>30580</v>
      </c>
      <c r="M268" s="38">
        <v>0</v>
      </c>
      <c r="N268" s="38">
        <v>4</v>
      </c>
      <c r="O268" s="39">
        <v>0</v>
      </c>
      <c r="P268" s="39">
        <v>0</v>
      </c>
      <c r="Q268" s="46">
        <f t="shared" si="243"/>
        <v>0.11480490603796301</v>
      </c>
      <c r="R268" s="81">
        <f t="shared" si="244"/>
        <v>0</v>
      </c>
      <c r="S268" s="82">
        <f t="shared" si="245"/>
        <v>0</v>
      </c>
      <c r="T268" s="39">
        <f t="shared" si="246"/>
        <v>0</v>
      </c>
      <c r="U268" s="83">
        <f t="shared" si="247"/>
        <v>0</v>
      </c>
      <c r="V268" s="84">
        <f t="shared" si="248"/>
        <v>3.2</v>
      </c>
      <c r="W268" s="52">
        <f t="shared" si="249"/>
        <v>115.36291767600744</v>
      </c>
      <c r="X268" s="52">
        <f t="shared" si="250"/>
        <v>162.09122582077447</v>
      </c>
      <c r="Y268" s="52">
        <f t="shared" si="251"/>
        <v>277.45414349678191</v>
      </c>
      <c r="Z268" s="53">
        <f t="shared" si="252"/>
        <v>0.90127279434380814</v>
      </c>
      <c r="AA268" s="53">
        <f t="shared" si="253"/>
        <v>0.96482872512365758</v>
      </c>
      <c r="AB268" s="53">
        <f t="shared" si="254"/>
        <v>0.93734507938101996</v>
      </c>
      <c r="AC268" s="39" t="str">
        <f t="shared" si="255"/>
        <v>No</v>
      </c>
      <c r="AD268" s="85">
        <f t="shared" si="256"/>
        <v>0</v>
      </c>
      <c r="AE268" s="46">
        <f t="shared" si="257"/>
        <v>1</v>
      </c>
      <c r="AF268" s="46">
        <f t="shared" si="258"/>
        <v>0</v>
      </c>
      <c r="AG268" s="39">
        <f t="shared" si="313"/>
        <v>47.362913021271574</v>
      </c>
      <c r="AH268" s="39">
        <f t="shared" si="314"/>
        <v>66.000000008117041</v>
      </c>
      <c r="AI268" s="39">
        <f t="shared" si="315"/>
        <v>64.000000272549116</v>
      </c>
      <c r="AJ268" s="39">
        <f t="shared" si="316"/>
        <v>87.000004374069675</v>
      </c>
      <c r="AK268" s="39">
        <f t="shared" si="317"/>
        <v>84.000044634499716</v>
      </c>
      <c r="AL268" s="39">
        <f t="shared" si="318"/>
        <v>75.000324000471366</v>
      </c>
      <c r="AM268" s="39">
        <f t="shared" si="319"/>
        <v>73.290857185803375</v>
      </c>
      <c r="AN268" s="39">
        <f t="shared" si="320"/>
        <v>70.800000000000011</v>
      </c>
      <c r="AO268" s="39">
        <f t="shared" si="259"/>
        <v>0</v>
      </c>
      <c r="AP268" s="39">
        <f t="shared" si="260"/>
        <v>0</v>
      </c>
      <c r="AQ268" s="39">
        <f t="shared" si="261"/>
        <v>0</v>
      </c>
      <c r="AR268" s="39">
        <f t="shared" si="262"/>
        <v>0</v>
      </c>
      <c r="AS268" s="39">
        <f t="shared" si="263"/>
        <v>0</v>
      </c>
      <c r="AT268" s="39">
        <f t="shared" si="264"/>
        <v>0</v>
      </c>
      <c r="AU268" s="39">
        <f t="shared" si="265"/>
        <v>0</v>
      </c>
      <c r="AV268" s="39">
        <f t="shared" si="266"/>
        <v>0</v>
      </c>
      <c r="AW268" s="39">
        <f t="shared" si="267"/>
        <v>0</v>
      </c>
      <c r="AX268" s="39">
        <f t="shared" si="268"/>
        <v>0</v>
      </c>
      <c r="AY268" s="39">
        <f t="shared" si="269"/>
        <v>0</v>
      </c>
      <c r="AZ268" s="39">
        <f t="shared" si="270"/>
        <v>0</v>
      </c>
      <c r="BA268" s="39">
        <f t="shared" si="271"/>
        <v>0</v>
      </c>
      <c r="BB268" s="39">
        <f t="shared" si="272"/>
        <v>0</v>
      </c>
      <c r="BC268" s="39">
        <f t="shared" si="273"/>
        <v>0</v>
      </c>
      <c r="BD268" s="39">
        <f t="shared" si="274"/>
        <v>0</v>
      </c>
      <c r="BE268" s="39">
        <f t="shared" si="275"/>
        <v>0</v>
      </c>
      <c r="BF268" s="39">
        <f t="shared" si="276"/>
        <v>0</v>
      </c>
      <c r="BG268" s="39">
        <f t="shared" si="277"/>
        <v>0</v>
      </c>
      <c r="BH268" s="84">
        <f t="shared" si="278"/>
        <v>0</v>
      </c>
      <c r="BI268" s="84">
        <f t="shared" si="279"/>
        <v>3.2</v>
      </c>
      <c r="BJ268" s="84">
        <f t="shared" si="280"/>
        <v>1.5812159398924932</v>
      </c>
      <c r="BK268" s="39">
        <f t="shared" si="281"/>
        <v>45.781697081379079</v>
      </c>
      <c r="BL268" s="39">
        <f t="shared" si="282"/>
        <v>66.000000008117041</v>
      </c>
      <c r="BM268" s="39">
        <f t="shared" si="283"/>
        <v>64.000000272549116</v>
      </c>
      <c r="BN268" s="39">
        <f t="shared" si="284"/>
        <v>87.000004374069675</v>
      </c>
      <c r="BO268" s="39">
        <f t="shared" si="285"/>
        <v>84.000044634499716</v>
      </c>
      <c r="BP268" s="39">
        <f t="shared" si="286"/>
        <v>75.000324000471366</v>
      </c>
      <c r="BQ268" s="39">
        <f t="shared" si="287"/>
        <v>73.290857185803375</v>
      </c>
      <c r="BR268" s="39">
        <f t="shared" si="288"/>
        <v>70.800000000000011</v>
      </c>
      <c r="BS268" s="39">
        <f t="shared" si="289"/>
        <v>0</v>
      </c>
      <c r="BT268" s="39">
        <f t="shared" si="290"/>
        <v>4.8702247568144227E-9</v>
      </c>
      <c r="BU268" s="39">
        <f t="shared" si="291"/>
        <v>1.6352947795894579E-7</v>
      </c>
      <c r="BV268" s="39">
        <f t="shared" si="292"/>
        <v>2.6244417966836409E-6</v>
      </c>
      <c r="BW268" s="39">
        <f t="shared" si="293"/>
        <v>2.6780699838013788E-5</v>
      </c>
      <c r="BX268" s="39">
        <f t="shared" si="294"/>
        <v>1.9440028281110243E-4</v>
      </c>
      <c r="BY268" s="39">
        <f t="shared" si="295"/>
        <v>0</v>
      </c>
      <c r="BZ268" s="39">
        <f t="shared" si="296"/>
        <v>0</v>
      </c>
      <c r="CA268" s="39">
        <f t="shared" si="297"/>
        <v>45.781697081379079</v>
      </c>
      <c r="CB268" s="39">
        <f t="shared" si="298"/>
        <v>66.000000003246811</v>
      </c>
      <c r="CC268" s="39">
        <f t="shared" si="299"/>
        <v>64.000000113889868</v>
      </c>
      <c r="CD268" s="39">
        <f t="shared" si="300"/>
        <v>87.000001913157362</v>
      </c>
      <c r="CE268" s="39">
        <f t="shared" si="301"/>
        <v>84.000020478241666</v>
      </c>
      <c r="CF268" s="39">
        <f t="shared" si="302"/>
        <v>75.000156380888399</v>
      </c>
      <c r="CG268" s="39">
        <f t="shared" si="303"/>
        <v>73.291051586086184</v>
      </c>
      <c r="CH268" s="39">
        <f t="shared" si="304"/>
        <v>70.800000000000011</v>
      </c>
      <c r="CI268" s="39">
        <f t="shared" si="305"/>
        <v>0</v>
      </c>
      <c r="CJ268" s="39">
        <f t="shared" si="306"/>
        <v>0</v>
      </c>
      <c r="CK268" s="39">
        <f t="shared" si="307"/>
        <v>0</v>
      </c>
      <c r="CL268" s="39">
        <f t="shared" si="308"/>
        <v>0</v>
      </c>
      <c r="CM268" s="39">
        <f t="shared" si="309"/>
        <v>0</v>
      </c>
      <c r="CN268" s="39">
        <f t="shared" si="310"/>
        <v>0</v>
      </c>
      <c r="CO268" s="39">
        <f t="shared" si="311"/>
        <v>0</v>
      </c>
      <c r="CP268" s="39">
        <f t="shared" si="312"/>
        <v>0</v>
      </c>
    </row>
    <row r="269" spans="2:94" ht="16" customHeight="1" x14ac:dyDescent="0.2">
      <c r="B269" s="38"/>
      <c r="L269" s="63">
        <v>30581</v>
      </c>
      <c r="M269" s="38">
        <v>0</v>
      </c>
      <c r="N269" s="38">
        <v>3.3</v>
      </c>
      <c r="O269" s="39">
        <v>0</v>
      </c>
      <c r="P269" s="39">
        <v>0</v>
      </c>
      <c r="Q269" s="46">
        <f t="shared" si="243"/>
        <v>0.11801007348369105</v>
      </c>
      <c r="R269" s="81">
        <f t="shared" si="244"/>
        <v>0</v>
      </c>
      <c r="S269" s="82">
        <f t="shared" si="245"/>
        <v>0</v>
      </c>
      <c r="T269" s="39">
        <f t="shared" si="246"/>
        <v>0</v>
      </c>
      <c r="U269" s="83">
        <f t="shared" si="247"/>
        <v>0</v>
      </c>
      <c r="V269" s="84">
        <f t="shared" si="248"/>
        <v>2.64</v>
      </c>
      <c r="W269" s="52">
        <f t="shared" si="249"/>
        <v>113.78169911167311</v>
      </c>
      <c r="X269" s="52">
        <f t="shared" si="250"/>
        <v>162.0912284452163</v>
      </c>
      <c r="Y269" s="52">
        <f t="shared" si="251"/>
        <v>275.87292755688941</v>
      </c>
      <c r="Z269" s="53">
        <f t="shared" si="252"/>
        <v>0.88891952430994614</v>
      </c>
      <c r="AA269" s="53">
        <f t="shared" si="253"/>
        <v>0.96482874074533509</v>
      </c>
      <c r="AB269" s="53">
        <f t="shared" si="254"/>
        <v>0.93200313363813991</v>
      </c>
      <c r="AC269" s="39" t="str">
        <f t="shared" si="255"/>
        <v>No</v>
      </c>
      <c r="AD269" s="85">
        <f t="shared" si="256"/>
        <v>0</v>
      </c>
      <c r="AE269" s="46">
        <f t="shared" si="257"/>
        <v>1</v>
      </c>
      <c r="AF269" s="46">
        <f t="shared" si="258"/>
        <v>0</v>
      </c>
      <c r="AG269" s="39">
        <f t="shared" si="313"/>
        <v>45.781697081379079</v>
      </c>
      <c r="AH269" s="39">
        <f t="shared" si="314"/>
        <v>66.000000003246811</v>
      </c>
      <c r="AI269" s="39">
        <f t="shared" si="315"/>
        <v>64.000000113889868</v>
      </c>
      <c r="AJ269" s="39">
        <f t="shared" si="316"/>
        <v>87.000001913157362</v>
      </c>
      <c r="AK269" s="39">
        <f t="shared" si="317"/>
        <v>84.000020478241666</v>
      </c>
      <c r="AL269" s="39">
        <f t="shared" si="318"/>
        <v>75.000156380888399</v>
      </c>
      <c r="AM269" s="39">
        <f t="shared" si="319"/>
        <v>73.291051586086184</v>
      </c>
      <c r="AN269" s="39">
        <f t="shared" si="320"/>
        <v>70.800000000000011</v>
      </c>
      <c r="AO269" s="39">
        <f t="shared" si="259"/>
        <v>0</v>
      </c>
      <c r="AP269" s="39">
        <f t="shared" si="260"/>
        <v>0</v>
      </c>
      <c r="AQ269" s="39">
        <f t="shared" si="261"/>
        <v>0</v>
      </c>
      <c r="AR269" s="39">
        <f t="shared" si="262"/>
        <v>0</v>
      </c>
      <c r="AS269" s="39">
        <f t="shared" si="263"/>
        <v>0</v>
      </c>
      <c r="AT269" s="39">
        <f t="shared" si="264"/>
        <v>0</v>
      </c>
      <c r="AU269" s="39">
        <f t="shared" si="265"/>
        <v>0</v>
      </c>
      <c r="AV269" s="39">
        <f t="shared" si="266"/>
        <v>0</v>
      </c>
      <c r="AW269" s="39">
        <f t="shared" si="267"/>
        <v>0</v>
      </c>
      <c r="AX269" s="39">
        <f t="shared" si="268"/>
        <v>0</v>
      </c>
      <c r="AY269" s="39">
        <f t="shared" si="269"/>
        <v>0</v>
      </c>
      <c r="AZ269" s="39">
        <f t="shared" si="270"/>
        <v>0</v>
      </c>
      <c r="BA269" s="39">
        <f t="shared" si="271"/>
        <v>0</v>
      </c>
      <c r="BB269" s="39">
        <f t="shared" si="272"/>
        <v>0</v>
      </c>
      <c r="BC269" s="39">
        <f t="shared" si="273"/>
        <v>0</v>
      </c>
      <c r="BD269" s="39">
        <f t="shared" si="274"/>
        <v>0</v>
      </c>
      <c r="BE269" s="39">
        <f t="shared" si="275"/>
        <v>0</v>
      </c>
      <c r="BF269" s="39">
        <f t="shared" si="276"/>
        <v>0</v>
      </c>
      <c r="BG269" s="39">
        <f t="shared" si="277"/>
        <v>0</v>
      </c>
      <c r="BH269" s="84">
        <f t="shared" si="278"/>
        <v>0</v>
      </c>
      <c r="BI269" s="84">
        <f t="shared" si="279"/>
        <v>2.64</v>
      </c>
      <c r="BJ269" s="84">
        <f t="shared" si="280"/>
        <v>1.0676402745595386</v>
      </c>
      <c r="BK269" s="39">
        <f t="shared" si="281"/>
        <v>44.714056806819542</v>
      </c>
      <c r="BL269" s="39">
        <f t="shared" si="282"/>
        <v>66.000000003246811</v>
      </c>
      <c r="BM269" s="39">
        <f t="shared" si="283"/>
        <v>64.000000113889868</v>
      </c>
      <c r="BN269" s="39">
        <f t="shared" si="284"/>
        <v>87.000001913157362</v>
      </c>
      <c r="BO269" s="39">
        <f t="shared" si="285"/>
        <v>84.000020478241666</v>
      </c>
      <c r="BP269" s="39">
        <f t="shared" si="286"/>
        <v>75.000156380888399</v>
      </c>
      <c r="BQ269" s="39">
        <f t="shared" si="287"/>
        <v>73.291051586086184</v>
      </c>
      <c r="BR269" s="39">
        <f t="shared" si="288"/>
        <v>70.800000000000011</v>
      </c>
      <c r="BS269" s="39">
        <f t="shared" si="289"/>
        <v>0</v>
      </c>
      <c r="BT269" s="39">
        <f t="shared" si="290"/>
        <v>1.9480864921206375E-9</v>
      </c>
      <c r="BU269" s="39">
        <f t="shared" si="291"/>
        <v>6.8333929448272099E-8</v>
      </c>
      <c r="BV269" s="39">
        <f t="shared" si="292"/>
        <v>1.1478944088594289E-6</v>
      </c>
      <c r="BW269" s="39">
        <f t="shared" si="293"/>
        <v>1.2286945008099792E-5</v>
      </c>
      <c r="BX269" s="39">
        <f t="shared" si="294"/>
        <v>9.382853303065985E-5</v>
      </c>
      <c r="BY269" s="39">
        <f t="shared" si="295"/>
        <v>0</v>
      </c>
      <c r="BZ269" s="39">
        <f t="shared" si="296"/>
        <v>0</v>
      </c>
      <c r="CA269" s="39">
        <f t="shared" si="297"/>
        <v>44.714056806819542</v>
      </c>
      <c r="CB269" s="39">
        <f t="shared" si="298"/>
        <v>66.00000000129873</v>
      </c>
      <c r="CC269" s="39">
        <f t="shared" si="299"/>
        <v>64.000000047504017</v>
      </c>
      <c r="CD269" s="39">
        <f t="shared" si="300"/>
        <v>87.000000833596886</v>
      </c>
      <c r="CE269" s="39">
        <f t="shared" si="301"/>
        <v>84.000009339191067</v>
      </c>
      <c r="CF269" s="39">
        <f t="shared" si="302"/>
        <v>75.000074839300382</v>
      </c>
      <c r="CG269" s="39">
        <f t="shared" si="303"/>
        <v>73.291145414619209</v>
      </c>
      <c r="CH269" s="39">
        <f t="shared" si="304"/>
        <v>70.800000000000011</v>
      </c>
      <c r="CI269" s="39">
        <f t="shared" si="305"/>
        <v>0</v>
      </c>
      <c r="CJ269" s="39">
        <f t="shared" si="306"/>
        <v>0</v>
      </c>
      <c r="CK269" s="39">
        <f t="shared" si="307"/>
        <v>0</v>
      </c>
      <c r="CL269" s="39">
        <f t="shared" si="308"/>
        <v>0</v>
      </c>
      <c r="CM269" s="39">
        <f t="shared" si="309"/>
        <v>0</v>
      </c>
      <c r="CN269" s="39">
        <f t="shared" si="310"/>
        <v>0</v>
      </c>
      <c r="CO269" s="39">
        <f t="shared" si="311"/>
        <v>0</v>
      </c>
      <c r="CP269" s="39">
        <f t="shared" si="312"/>
        <v>0</v>
      </c>
    </row>
    <row r="270" spans="2:94" ht="16" customHeight="1" x14ac:dyDescent="0.2">
      <c r="B270" s="38"/>
      <c r="L270" s="63">
        <v>30582</v>
      </c>
      <c r="M270" s="38">
        <v>0</v>
      </c>
      <c r="N270" s="38">
        <v>2.7</v>
      </c>
      <c r="O270" s="39">
        <v>0</v>
      </c>
      <c r="P270" s="39">
        <v>0</v>
      </c>
      <c r="Q270" s="46">
        <f t="shared" si="243"/>
        <v>0.12017420917536578</v>
      </c>
      <c r="R270" s="81">
        <f t="shared" si="244"/>
        <v>0</v>
      </c>
      <c r="S270" s="82">
        <f t="shared" si="245"/>
        <v>0</v>
      </c>
      <c r="T270" s="39">
        <f t="shared" si="246"/>
        <v>0</v>
      </c>
      <c r="U270" s="83">
        <f t="shared" si="247"/>
        <v>0</v>
      </c>
      <c r="V270" s="84">
        <f t="shared" si="248"/>
        <v>2.16</v>
      </c>
      <c r="W270" s="52">
        <f t="shared" si="249"/>
        <v>112.7140576892192</v>
      </c>
      <c r="X270" s="52">
        <f t="shared" si="250"/>
        <v>162.09122959311065</v>
      </c>
      <c r="Y270" s="52">
        <f t="shared" si="251"/>
        <v>274.80528728232986</v>
      </c>
      <c r="Z270" s="53">
        <f t="shared" si="252"/>
        <v>0.88057857569702502</v>
      </c>
      <c r="AA270" s="53">
        <f t="shared" si="253"/>
        <v>0.9648287475780396</v>
      </c>
      <c r="AB270" s="53">
        <f t="shared" si="254"/>
        <v>0.92839624081868199</v>
      </c>
      <c r="AC270" s="39" t="str">
        <f t="shared" si="255"/>
        <v>No</v>
      </c>
      <c r="AD270" s="85">
        <f t="shared" si="256"/>
        <v>0</v>
      </c>
      <c r="AE270" s="46">
        <f t="shared" si="257"/>
        <v>1</v>
      </c>
      <c r="AF270" s="46">
        <f t="shared" si="258"/>
        <v>0</v>
      </c>
      <c r="AG270" s="39">
        <f t="shared" si="313"/>
        <v>44.714056806819542</v>
      </c>
      <c r="AH270" s="39">
        <f t="shared" si="314"/>
        <v>66.00000000129873</v>
      </c>
      <c r="AI270" s="39">
        <f t="shared" si="315"/>
        <v>64.000000047504017</v>
      </c>
      <c r="AJ270" s="39">
        <f t="shared" si="316"/>
        <v>87.000000833596886</v>
      </c>
      <c r="AK270" s="39">
        <f t="shared" si="317"/>
        <v>84.000009339191067</v>
      </c>
      <c r="AL270" s="39">
        <f t="shared" si="318"/>
        <v>75.000074839300382</v>
      </c>
      <c r="AM270" s="39">
        <f t="shared" si="319"/>
        <v>73.291145414619209</v>
      </c>
      <c r="AN270" s="39">
        <f t="shared" si="320"/>
        <v>70.800000000000011</v>
      </c>
      <c r="AO270" s="39">
        <f t="shared" si="259"/>
        <v>0</v>
      </c>
      <c r="AP270" s="39">
        <f t="shared" si="260"/>
        <v>0</v>
      </c>
      <c r="AQ270" s="39">
        <f t="shared" si="261"/>
        <v>0</v>
      </c>
      <c r="AR270" s="39">
        <f t="shared" si="262"/>
        <v>0</v>
      </c>
      <c r="AS270" s="39">
        <f t="shared" si="263"/>
        <v>0</v>
      </c>
      <c r="AT270" s="39">
        <f t="shared" si="264"/>
        <v>0</v>
      </c>
      <c r="AU270" s="39">
        <f t="shared" si="265"/>
        <v>0</v>
      </c>
      <c r="AV270" s="39">
        <f t="shared" si="266"/>
        <v>0</v>
      </c>
      <c r="AW270" s="39">
        <f t="shared" si="267"/>
        <v>0</v>
      </c>
      <c r="AX270" s="39">
        <f t="shared" si="268"/>
        <v>0</v>
      </c>
      <c r="AY270" s="39">
        <f t="shared" si="269"/>
        <v>0</v>
      </c>
      <c r="AZ270" s="39">
        <f t="shared" si="270"/>
        <v>0</v>
      </c>
      <c r="BA270" s="39">
        <f t="shared" si="271"/>
        <v>0</v>
      </c>
      <c r="BB270" s="39">
        <f t="shared" si="272"/>
        <v>0</v>
      </c>
      <c r="BC270" s="39">
        <f t="shared" si="273"/>
        <v>0</v>
      </c>
      <c r="BD270" s="39">
        <f t="shared" si="274"/>
        <v>0</v>
      </c>
      <c r="BE270" s="39">
        <f t="shared" si="275"/>
        <v>0</v>
      </c>
      <c r="BF270" s="39">
        <f t="shared" si="276"/>
        <v>0</v>
      </c>
      <c r="BG270" s="39">
        <f t="shared" si="277"/>
        <v>0</v>
      </c>
      <c r="BH270" s="84">
        <f t="shared" si="278"/>
        <v>0</v>
      </c>
      <c r="BI270" s="84">
        <f t="shared" si="279"/>
        <v>2.16</v>
      </c>
      <c r="BJ270" s="84">
        <f t="shared" si="280"/>
        <v>0.75849431430926162</v>
      </c>
      <c r="BK270" s="39">
        <f t="shared" si="281"/>
        <v>43.955562492510282</v>
      </c>
      <c r="BL270" s="39">
        <f t="shared" si="282"/>
        <v>66.00000000129873</v>
      </c>
      <c r="BM270" s="39">
        <f t="shared" si="283"/>
        <v>64.000000047504017</v>
      </c>
      <c r="BN270" s="39">
        <f t="shared" si="284"/>
        <v>87.000000833596886</v>
      </c>
      <c r="BO270" s="39">
        <f t="shared" si="285"/>
        <v>84.000009339191067</v>
      </c>
      <c r="BP270" s="39">
        <f t="shared" si="286"/>
        <v>75.000074839300382</v>
      </c>
      <c r="BQ270" s="39">
        <f t="shared" si="287"/>
        <v>73.291145414619209</v>
      </c>
      <c r="BR270" s="39">
        <f t="shared" si="288"/>
        <v>70.800000000000011</v>
      </c>
      <c r="BS270" s="39">
        <f t="shared" si="289"/>
        <v>0</v>
      </c>
      <c r="BT270" s="39">
        <f t="shared" si="290"/>
        <v>7.7923800745338667E-10</v>
      </c>
      <c r="BU270" s="39">
        <f t="shared" si="291"/>
        <v>2.8502418558673524E-8</v>
      </c>
      <c r="BV270" s="39">
        <f t="shared" si="292"/>
        <v>5.0015812291803741E-7</v>
      </c>
      <c r="BW270" s="39">
        <f t="shared" si="293"/>
        <v>5.6035146485555744E-6</v>
      </c>
      <c r="BX270" s="39">
        <f t="shared" si="294"/>
        <v>4.490358022053442E-5</v>
      </c>
      <c r="BY270" s="39">
        <f t="shared" si="295"/>
        <v>0</v>
      </c>
      <c r="BZ270" s="39">
        <f t="shared" si="296"/>
        <v>0</v>
      </c>
      <c r="CA270" s="39">
        <f t="shared" si="297"/>
        <v>43.955562492510282</v>
      </c>
      <c r="CB270" s="39">
        <f t="shared" si="298"/>
        <v>66.000000000519492</v>
      </c>
      <c r="CC270" s="39">
        <f t="shared" si="299"/>
        <v>64.000000019780842</v>
      </c>
      <c r="CD270" s="39">
        <f t="shared" si="300"/>
        <v>87.000000361941176</v>
      </c>
      <c r="CE270" s="39">
        <f t="shared" si="301"/>
        <v>84.000004235834538</v>
      </c>
      <c r="CF270" s="39">
        <f t="shared" si="302"/>
        <v>75.000035539234815</v>
      </c>
      <c r="CG270" s="39">
        <f t="shared" si="303"/>
        <v>73.291190318199426</v>
      </c>
      <c r="CH270" s="39">
        <f t="shared" si="304"/>
        <v>70.800000000000011</v>
      </c>
      <c r="CI270" s="39">
        <f t="shared" si="305"/>
        <v>0</v>
      </c>
      <c r="CJ270" s="39">
        <f t="shared" si="306"/>
        <v>0</v>
      </c>
      <c r="CK270" s="39">
        <f t="shared" si="307"/>
        <v>0</v>
      </c>
      <c r="CL270" s="39">
        <f t="shared" si="308"/>
        <v>0</v>
      </c>
      <c r="CM270" s="39">
        <f t="shared" si="309"/>
        <v>0</v>
      </c>
      <c r="CN270" s="39">
        <f t="shared" si="310"/>
        <v>0</v>
      </c>
      <c r="CO270" s="39">
        <f t="shared" si="311"/>
        <v>0</v>
      </c>
      <c r="CP270" s="39">
        <f t="shared" si="312"/>
        <v>0</v>
      </c>
    </row>
    <row r="271" spans="2:94" ht="16" customHeight="1" x14ac:dyDescent="0.2">
      <c r="B271" s="38"/>
      <c r="L271" s="63">
        <v>30583</v>
      </c>
      <c r="M271" s="38">
        <v>0</v>
      </c>
      <c r="N271" s="38">
        <v>4.9000000000000004</v>
      </c>
      <c r="O271" s="39">
        <v>0</v>
      </c>
      <c r="P271" s="39">
        <v>0</v>
      </c>
      <c r="Q271" s="46">
        <f t="shared" si="243"/>
        <v>0.12171169765031699</v>
      </c>
      <c r="R271" s="81">
        <f t="shared" si="244"/>
        <v>0</v>
      </c>
      <c r="S271" s="82">
        <f t="shared" si="245"/>
        <v>0</v>
      </c>
      <c r="T271" s="39">
        <f t="shared" si="246"/>
        <v>0</v>
      </c>
      <c r="U271" s="83">
        <f t="shared" si="247"/>
        <v>0</v>
      </c>
      <c r="V271" s="84">
        <f t="shared" si="248"/>
        <v>3.9200000000000004</v>
      </c>
      <c r="W271" s="52">
        <f t="shared" si="249"/>
        <v>111.95556287475176</v>
      </c>
      <c r="X271" s="52">
        <f t="shared" si="250"/>
        <v>162.09123009326879</v>
      </c>
      <c r="Y271" s="52">
        <f t="shared" si="251"/>
        <v>274.04679296802055</v>
      </c>
      <c r="Z271" s="53">
        <f t="shared" si="252"/>
        <v>0.87465283495899815</v>
      </c>
      <c r="AA271" s="53">
        <f t="shared" si="253"/>
        <v>0.96482875055517137</v>
      </c>
      <c r="AB271" s="53">
        <f t="shared" si="254"/>
        <v>0.9258337600270965</v>
      </c>
      <c r="AC271" s="39" t="str">
        <f t="shared" si="255"/>
        <v>No</v>
      </c>
      <c r="AD271" s="85">
        <f t="shared" si="256"/>
        <v>0</v>
      </c>
      <c r="AE271" s="46">
        <f t="shared" si="257"/>
        <v>1</v>
      </c>
      <c r="AF271" s="46">
        <f t="shared" si="258"/>
        <v>0</v>
      </c>
      <c r="AG271" s="39">
        <f t="shared" si="313"/>
        <v>43.955562492510282</v>
      </c>
      <c r="AH271" s="39">
        <f t="shared" si="314"/>
        <v>66.000000000519492</v>
      </c>
      <c r="AI271" s="39">
        <f t="shared" si="315"/>
        <v>64.000000019780842</v>
      </c>
      <c r="AJ271" s="39">
        <f t="shared" si="316"/>
        <v>87.000000361941176</v>
      </c>
      <c r="AK271" s="39">
        <f t="shared" si="317"/>
        <v>84.000004235834538</v>
      </c>
      <c r="AL271" s="39">
        <f t="shared" si="318"/>
        <v>75.000035539234815</v>
      </c>
      <c r="AM271" s="39">
        <f t="shared" si="319"/>
        <v>73.291190318199426</v>
      </c>
      <c r="AN271" s="39">
        <f t="shared" si="320"/>
        <v>70.800000000000011</v>
      </c>
      <c r="AO271" s="39">
        <f t="shared" si="259"/>
        <v>0</v>
      </c>
      <c r="AP271" s="39">
        <f t="shared" si="260"/>
        <v>0</v>
      </c>
      <c r="AQ271" s="39">
        <f t="shared" si="261"/>
        <v>0</v>
      </c>
      <c r="AR271" s="39">
        <f t="shared" si="262"/>
        <v>0</v>
      </c>
      <c r="AS271" s="39">
        <f t="shared" si="263"/>
        <v>0</v>
      </c>
      <c r="AT271" s="39">
        <f t="shared" si="264"/>
        <v>0</v>
      </c>
      <c r="AU271" s="39">
        <f t="shared" si="265"/>
        <v>0</v>
      </c>
      <c r="AV271" s="39">
        <f t="shared" si="266"/>
        <v>0</v>
      </c>
      <c r="AW271" s="39">
        <f t="shared" si="267"/>
        <v>0</v>
      </c>
      <c r="AX271" s="39">
        <f t="shared" si="268"/>
        <v>0</v>
      </c>
      <c r="AY271" s="39">
        <f t="shared" si="269"/>
        <v>0</v>
      </c>
      <c r="AZ271" s="39">
        <f t="shared" si="270"/>
        <v>0</v>
      </c>
      <c r="BA271" s="39">
        <f t="shared" si="271"/>
        <v>0</v>
      </c>
      <c r="BB271" s="39">
        <f t="shared" si="272"/>
        <v>0</v>
      </c>
      <c r="BC271" s="39">
        <f t="shared" si="273"/>
        <v>0</v>
      </c>
      <c r="BD271" s="39">
        <f t="shared" si="274"/>
        <v>0</v>
      </c>
      <c r="BE271" s="39">
        <f t="shared" si="275"/>
        <v>0</v>
      </c>
      <c r="BF271" s="39">
        <f t="shared" si="276"/>
        <v>0</v>
      </c>
      <c r="BG271" s="39">
        <f t="shared" si="277"/>
        <v>0</v>
      </c>
      <c r="BH271" s="84">
        <f t="shared" si="278"/>
        <v>0</v>
      </c>
      <c r="BI271" s="84">
        <f t="shared" si="279"/>
        <v>3.9200000000000004</v>
      </c>
      <c r="BJ271" s="84">
        <f t="shared" si="280"/>
        <v>1.2412660361225958</v>
      </c>
      <c r="BK271" s="39">
        <f t="shared" si="281"/>
        <v>42.714296456387686</v>
      </c>
      <c r="BL271" s="39">
        <f t="shared" si="282"/>
        <v>66.000000000519492</v>
      </c>
      <c r="BM271" s="39">
        <f t="shared" si="283"/>
        <v>64.000000019780842</v>
      </c>
      <c r="BN271" s="39">
        <f t="shared" si="284"/>
        <v>87.000000361941176</v>
      </c>
      <c r="BO271" s="39">
        <f t="shared" si="285"/>
        <v>84.000004235834538</v>
      </c>
      <c r="BP271" s="39">
        <f t="shared" si="286"/>
        <v>75.000035539234815</v>
      </c>
      <c r="BQ271" s="39">
        <f t="shared" si="287"/>
        <v>73.291190318199426</v>
      </c>
      <c r="BR271" s="39">
        <f t="shared" si="288"/>
        <v>70.800000000000011</v>
      </c>
      <c r="BS271" s="39">
        <f t="shared" si="289"/>
        <v>0</v>
      </c>
      <c r="BT271" s="39">
        <f t="shared" si="290"/>
        <v>3.1169520298135465E-10</v>
      </c>
      <c r="BU271" s="39">
        <f t="shared" si="291"/>
        <v>1.1868513638546574E-8</v>
      </c>
      <c r="BV271" s="39">
        <f t="shared" si="292"/>
        <v>2.1716469689181395E-7</v>
      </c>
      <c r="BW271" s="39">
        <f t="shared" si="293"/>
        <v>2.5415007314677493E-6</v>
      </c>
      <c r="BX271" s="39">
        <f t="shared" si="294"/>
        <v>2.1323540880757719E-5</v>
      </c>
      <c r="BY271" s="39">
        <f t="shared" si="295"/>
        <v>0</v>
      </c>
      <c r="BZ271" s="39">
        <f t="shared" si="296"/>
        <v>0</v>
      </c>
      <c r="CA271" s="39">
        <f t="shared" si="297"/>
        <v>42.714296456387686</v>
      </c>
      <c r="CB271" s="39">
        <f t="shared" si="298"/>
        <v>66.000000000207791</v>
      </c>
      <c r="CC271" s="39">
        <f t="shared" si="299"/>
        <v>64.000000008224035</v>
      </c>
      <c r="CD271" s="39">
        <f t="shared" si="300"/>
        <v>87.000000156644987</v>
      </c>
      <c r="CE271" s="39">
        <f t="shared" si="301"/>
        <v>84.000001911498501</v>
      </c>
      <c r="CF271" s="39">
        <f t="shared" si="302"/>
        <v>75.000016757194672</v>
      </c>
      <c r="CG271" s="39">
        <f t="shared" si="303"/>
        <v>73.291211641740304</v>
      </c>
      <c r="CH271" s="39">
        <f t="shared" si="304"/>
        <v>70.800000000000011</v>
      </c>
      <c r="CI271" s="39">
        <f t="shared" si="305"/>
        <v>0</v>
      </c>
      <c r="CJ271" s="39">
        <f t="shared" si="306"/>
        <v>0</v>
      </c>
      <c r="CK271" s="39">
        <f t="shared" si="307"/>
        <v>0</v>
      </c>
      <c r="CL271" s="39">
        <f t="shared" si="308"/>
        <v>0</v>
      </c>
      <c r="CM271" s="39">
        <f t="shared" si="309"/>
        <v>0</v>
      </c>
      <c r="CN271" s="39">
        <f t="shared" si="310"/>
        <v>0</v>
      </c>
      <c r="CO271" s="39">
        <f t="shared" si="311"/>
        <v>0</v>
      </c>
      <c r="CP271" s="39">
        <f t="shared" si="312"/>
        <v>0</v>
      </c>
    </row>
    <row r="272" spans="2:94" ht="16" customHeight="1" x14ac:dyDescent="0.2">
      <c r="B272" s="38"/>
      <c r="L272" s="63">
        <v>30584</v>
      </c>
      <c r="M272" s="38">
        <v>0</v>
      </c>
      <c r="N272" s="38">
        <v>2.4</v>
      </c>
      <c r="O272" s="39">
        <v>0</v>
      </c>
      <c r="P272" s="39">
        <v>0</v>
      </c>
      <c r="Q272" s="46">
        <f t="shared" si="243"/>
        <v>0.1242277774532682</v>
      </c>
      <c r="R272" s="81">
        <f t="shared" si="244"/>
        <v>0</v>
      </c>
      <c r="S272" s="82">
        <f t="shared" si="245"/>
        <v>0</v>
      </c>
      <c r="T272" s="39">
        <f t="shared" si="246"/>
        <v>0</v>
      </c>
      <c r="U272" s="83">
        <f t="shared" si="247"/>
        <v>0</v>
      </c>
      <c r="V272" s="84">
        <f t="shared" si="248"/>
        <v>1.92</v>
      </c>
      <c r="W272" s="52">
        <f t="shared" si="249"/>
        <v>110.71429662146448</v>
      </c>
      <c r="X272" s="52">
        <f t="shared" si="250"/>
        <v>162.0912303104335</v>
      </c>
      <c r="Y272" s="52">
        <f t="shared" si="251"/>
        <v>272.80552693189799</v>
      </c>
      <c r="Z272" s="53">
        <f t="shared" si="252"/>
        <v>0.86495544235519128</v>
      </c>
      <c r="AA272" s="53">
        <f t="shared" si="253"/>
        <v>0.96482875184781847</v>
      </c>
      <c r="AB272" s="53">
        <f t="shared" si="254"/>
        <v>0.92164029368884459</v>
      </c>
      <c r="AC272" s="39" t="str">
        <f t="shared" si="255"/>
        <v>No</v>
      </c>
      <c r="AD272" s="85">
        <f t="shared" si="256"/>
        <v>0</v>
      </c>
      <c r="AE272" s="46">
        <f t="shared" si="257"/>
        <v>1</v>
      </c>
      <c r="AF272" s="46">
        <f t="shared" si="258"/>
        <v>0</v>
      </c>
      <c r="AG272" s="39">
        <f t="shared" si="313"/>
        <v>42.714296456387686</v>
      </c>
      <c r="AH272" s="39">
        <f t="shared" si="314"/>
        <v>66.000000000207791</v>
      </c>
      <c r="AI272" s="39">
        <f t="shared" si="315"/>
        <v>64.000000008224035</v>
      </c>
      <c r="AJ272" s="39">
        <f t="shared" si="316"/>
        <v>87.000000156644987</v>
      </c>
      <c r="AK272" s="39">
        <f t="shared" si="317"/>
        <v>84.000001911498501</v>
      </c>
      <c r="AL272" s="39">
        <f t="shared" si="318"/>
        <v>75.000016757194672</v>
      </c>
      <c r="AM272" s="39">
        <f t="shared" si="319"/>
        <v>73.291211641740304</v>
      </c>
      <c r="AN272" s="39">
        <f t="shared" si="320"/>
        <v>70.800000000000011</v>
      </c>
      <c r="AO272" s="39">
        <f t="shared" si="259"/>
        <v>0</v>
      </c>
      <c r="AP272" s="39">
        <f t="shared" si="260"/>
        <v>0</v>
      </c>
      <c r="AQ272" s="39">
        <f t="shared" si="261"/>
        <v>0</v>
      </c>
      <c r="AR272" s="39">
        <f t="shared" si="262"/>
        <v>0</v>
      </c>
      <c r="AS272" s="39">
        <f t="shared" si="263"/>
        <v>0</v>
      </c>
      <c r="AT272" s="39">
        <f t="shared" si="264"/>
        <v>0</v>
      </c>
      <c r="AU272" s="39">
        <f t="shared" si="265"/>
        <v>0</v>
      </c>
      <c r="AV272" s="39">
        <f t="shared" si="266"/>
        <v>0</v>
      </c>
      <c r="AW272" s="39">
        <f t="shared" si="267"/>
        <v>0</v>
      </c>
      <c r="AX272" s="39">
        <f t="shared" si="268"/>
        <v>0</v>
      </c>
      <c r="AY272" s="39">
        <f t="shared" si="269"/>
        <v>0</v>
      </c>
      <c r="AZ272" s="39">
        <f t="shared" si="270"/>
        <v>0</v>
      </c>
      <c r="BA272" s="39">
        <f t="shared" si="271"/>
        <v>0</v>
      </c>
      <c r="BB272" s="39">
        <f t="shared" si="272"/>
        <v>0</v>
      </c>
      <c r="BC272" s="39">
        <f t="shared" si="273"/>
        <v>0</v>
      </c>
      <c r="BD272" s="39">
        <f t="shared" si="274"/>
        <v>0</v>
      </c>
      <c r="BE272" s="39">
        <f t="shared" si="275"/>
        <v>0</v>
      </c>
      <c r="BF272" s="39">
        <f t="shared" si="276"/>
        <v>0</v>
      </c>
      <c r="BG272" s="39">
        <f t="shared" si="277"/>
        <v>0</v>
      </c>
      <c r="BH272" s="84">
        <f t="shared" si="278"/>
        <v>0</v>
      </c>
      <c r="BI272" s="84">
        <f t="shared" si="279"/>
        <v>1.92</v>
      </c>
      <c r="BJ272" s="84">
        <f t="shared" si="280"/>
        <v>0.51023170678724883</v>
      </c>
      <c r="BK272" s="39">
        <f t="shared" si="281"/>
        <v>42.204064749600434</v>
      </c>
      <c r="BL272" s="39">
        <f t="shared" si="282"/>
        <v>66.000000000207791</v>
      </c>
      <c r="BM272" s="39">
        <f t="shared" si="283"/>
        <v>64.000000008224035</v>
      </c>
      <c r="BN272" s="39">
        <f t="shared" si="284"/>
        <v>87.000000156644987</v>
      </c>
      <c r="BO272" s="39">
        <f t="shared" si="285"/>
        <v>84.000001911498501</v>
      </c>
      <c r="BP272" s="39">
        <f t="shared" si="286"/>
        <v>75.000016757194672</v>
      </c>
      <c r="BQ272" s="39">
        <f t="shared" si="287"/>
        <v>73.291211641740304</v>
      </c>
      <c r="BR272" s="39">
        <f t="shared" si="288"/>
        <v>70.800000000000011</v>
      </c>
      <c r="BS272" s="39">
        <f t="shared" si="289"/>
        <v>0</v>
      </c>
      <c r="BT272" s="39">
        <f t="shared" si="290"/>
        <v>1.246746705874102E-10</v>
      </c>
      <c r="BU272" s="39">
        <f t="shared" si="291"/>
        <v>4.9344293984177053E-9</v>
      </c>
      <c r="BV272" s="39">
        <f t="shared" si="292"/>
        <v>9.3986983529248391E-8</v>
      </c>
      <c r="BW272" s="39">
        <f t="shared" si="293"/>
        <v>1.1468991090168856E-6</v>
      </c>
      <c r="BX272" s="39">
        <f t="shared" si="294"/>
        <v>1.0054316794594342E-5</v>
      </c>
      <c r="BY272" s="39">
        <f t="shared" si="295"/>
        <v>0</v>
      </c>
      <c r="BZ272" s="39">
        <f t="shared" si="296"/>
        <v>0</v>
      </c>
      <c r="CA272" s="39">
        <f t="shared" si="297"/>
        <v>42.204064749600434</v>
      </c>
      <c r="CB272" s="39">
        <f t="shared" si="298"/>
        <v>66.000000000083119</v>
      </c>
      <c r="CC272" s="39">
        <f t="shared" si="299"/>
        <v>64.000000003414272</v>
      </c>
      <c r="CD272" s="39">
        <f t="shared" si="300"/>
        <v>87.000000067592438</v>
      </c>
      <c r="CE272" s="39">
        <f t="shared" si="301"/>
        <v>84.000000858586375</v>
      </c>
      <c r="CF272" s="39">
        <f t="shared" si="302"/>
        <v>75.000007849776992</v>
      </c>
      <c r="CG272" s="39">
        <f t="shared" si="303"/>
        <v>73.291221696057093</v>
      </c>
      <c r="CH272" s="39">
        <f t="shared" si="304"/>
        <v>70.800000000000011</v>
      </c>
      <c r="CI272" s="39">
        <f t="shared" si="305"/>
        <v>0</v>
      </c>
      <c r="CJ272" s="39">
        <f t="shared" si="306"/>
        <v>0</v>
      </c>
      <c r="CK272" s="39">
        <f t="shared" si="307"/>
        <v>0</v>
      </c>
      <c r="CL272" s="39">
        <f t="shared" si="308"/>
        <v>0</v>
      </c>
      <c r="CM272" s="39">
        <f t="shared" si="309"/>
        <v>0</v>
      </c>
      <c r="CN272" s="39">
        <f t="shared" si="310"/>
        <v>0</v>
      </c>
      <c r="CO272" s="39">
        <f t="shared" si="311"/>
        <v>0</v>
      </c>
      <c r="CP272" s="39">
        <f t="shared" si="312"/>
        <v>0</v>
      </c>
    </row>
    <row r="273" spans="2:94" ht="16" customHeight="1" x14ac:dyDescent="0.2">
      <c r="B273" s="38"/>
      <c r="L273" s="63">
        <v>30585</v>
      </c>
      <c r="M273" s="38">
        <v>8.6999999999999993</v>
      </c>
      <c r="N273" s="38">
        <v>6</v>
      </c>
      <c r="O273" s="39">
        <v>0</v>
      </c>
      <c r="P273" s="39">
        <v>0</v>
      </c>
      <c r="Q273" s="46">
        <f t="shared" si="243"/>
        <v>0.12526203091297208</v>
      </c>
      <c r="R273" s="81">
        <f t="shared" si="244"/>
        <v>0</v>
      </c>
      <c r="S273" s="82">
        <f t="shared" si="245"/>
        <v>8.6999999999999993</v>
      </c>
      <c r="T273" s="39">
        <f t="shared" si="246"/>
        <v>0</v>
      </c>
      <c r="U273" s="83">
        <f t="shared" si="247"/>
        <v>0</v>
      </c>
      <c r="V273" s="84">
        <f t="shared" si="248"/>
        <v>4.8000000000000007</v>
      </c>
      <c r="W273" s="52">
        <f t="shared" si="249"/>
        <v>110.20406482069029</v>
      </c>
      <c r="X273" s="52">
        <f t="shared" si="250"/>
        <v>162.09123040442046</v>
      </c>
      <c r="Y273" s="52">
        <f t="shared" si="251"/>
        <v>272.29529522511075</v>
      </c>
      <c r="Z273" s="53">
        <f t="shared" si="252"/>
        <v>0.8609692564116429</v>
      </c>
      <c r="AA273" s="53">
        <f t="shared" si="253"/>
        <v>0.96482875240726462</v>
      </c>
      <c r="AB273" s="53">
        <f t="shared" si="254"/>
        <v>0.91991653792267147</v>
      </c>
      <c r="AC273" s="39" t="str">
        <f t="shared" si="255"/>
        <v>No</v>
      </c>
      <c r="AD273" s="85">
        <f t="shared" si="256"/>
        <v>0</v>
      </c>
      <c r="AE273" s="46">
        <f t="shared" si="257"/>
        <v>1</v>
      </c>
      <c r="AF273" s="46">
        <f t="shared" si="258"/>
        <v>0</v>
      </c>
      <c r="AG273" s="39">
        <f t="shared" si="313"/>
        <v>42.204064749600434</v>
      </c>
      <c r="AH273" s="39">
        <f t="shared" si="314"/>
        <v>66.000000000083119</v>
      </c>
      <c r="AI273" s="39">
        <f t="shared" si="315"/>
        <v>64.000000003414272</v>
      </c>
      <c r="AJ273" s="39">
        <f t="shared" si="316"/>
        <v>87.000000067592438</v>
      </c>
      <c r="AK273" s="39">
        <f t="shared" si="317"/>
        <v>84.000000858586375</v>
      </c>
      <c r="AL273" s="39">
        <f t="shared" si="318"/>
        <v>75.000007849776992</v>
      </c>
      <c r="AM273" s="39">
        <f t="shared" si="319"/>
        <v>73.291221696057093</v>
      </c>
      <c r="AN273" s="39">
        <f t="shared" si="320"/>
        <v>70.800000000000011</v>
      </c>
      <c r="AO273" s="39">
        <f t="shared" si="259"/>
        <v>0</v>
      </c>
      <c r="AP273" s="39">
        <f t="shared" si="260"/>
        <v>0</v>
      </c>
      <c r="AQ273" s="39">
        <f t="shared" si="261"/>
        <v>0</v>
      </c>
      <c r="AR273" s="39">
        <f t="shared" si="262"/>
        <v>0</v>
      </c>
      <c r="AS273" s="39">
        <f t="shared" si="263"/>
        <v>0</v>
      </c>
      <c r="AT273" s="39">
        <f t="shared" si="264"/>
        <v>0</v>
      </c>
      <c r="AU273" s="39">
        <f t="shared" si="265"/>
        <v>0</v>
      </c>
      <c r="AV273" s="39">
        <f t="shared" si="266"/>
        <v>0</v>
      </c>
      <c r="AW273" s="39">
        <f t="shared" si="267"/>
        <v>0</v>
      </c>
      <c r="AX273" s="39">
        <f t="shared" si="268"/>
        <v>0</v>
      </c>
      <c r="AY273" s="39">
        <f t="shared" si="269"/>
        <v>0</v>
      </c>
      <c r="AZ273" s="39">
        <f t="shared" si="270"/>
        <v>0</v>
      </c>
      <c r="BA273" s="39">
        <f t="shared" si="271"/>
        <v>0</v>
      </c>
      <c r="BB273" s="39">
        <f t="shared" si="272"/>
        <v>0</v>
      </c>
      <c r="BC273" s="39">
        <f t="shared" si="273"/>
        <v>0</v>
      </c>
      <c r="BD273" s="39">
        <f t="shared" si="274"/>
        <v>0</v>
      </c>
      <c r="BE273" s="39">
        <f t="shared" si="275"/>
        <v>0</v>
      </c>
      <c r="BF273" s="39">
        <f t="shared" si="276"/>
        <v>0</v>
      </c>
      <c r="BG273" s="39">
        <f t="shared" si="277"/>
        <v>0</v>
      </c>
      <c r="BH273" s="84">
        <f t="shared" si="278"/>
        <v>4.8000000000000007</v>
      </c>
      <c r="BI273" s="84">
        <f t="shared" si="279"/>
        <v>0</v>
      </c>
      <c r="BJ273" s="84">
        <f t="shared" si="280"/>
        <v>4.8000000000000007</v>
      </c>
      <c r="BK273" s="39">
        <f t="shared" si="281"/>
        <v>37.404064749600437</v>
      </c>
      <c r="BL273" s="39">
        <f t="shared" si="282"/>
        <v>66.000000000083119</v>
      </c>
      <c r="BM273" s="39">
        <f t="shared" si="283"/>
        <v>64.000000003414272</v>
      </c>
      <c r="BN273" s="39">
        <f t="shared" si="284"/>
        <v>87.000000067592438</v>
      </c>
      <c r="BO273" s="39">
        <f t="shared" si="285"/>
        <v>84.000000858586375</v>
      </c>
      <c r="BP273" s="39">
        <f t="shared" si="286"/>
        <v>75.000007849776992</v>
      </c>
      <c r="BQ273" s="39">
        <f t="shared" si="287"/>
        <v>73.291221696057093</v>
      </c>
      <c r="BR273" s="39">
        <f t="shared" si="288"/>
        <v>70.800000000000011</v>
      </c>
      <c r="BS273" s="39">
        <f t="shared" si="289"/>
        <v>0</v>
      </c>
      <c r="BT273" s="39">
        <f t="shared" si="290"/>
        <v>4.9871573537529913E-11</v>
      </c>
      <c r="BU273" s="39">
        <f t="shared" si="291"/>
        <v>2.0485714458118308E-9</v>
      </c>
      <c r="BV273" s="39">
        <f t="shared" si="292"/>
        <v>4.055545446135511E-8</v>
      </c>
      <c r="BW273" s="39">
        <f t="shared" si="293"/>
        <v>5.1515183372430331E-7</v>
      </c>
      <c r="BX273" s="39">
        <f t="shared" si="294"/>
        <v>4.7098661866584736E-6</v>
      </c>
      <c r="BY273" s="39">
        <f t="shared" si="295"/>
        <v>0</v>
      </c>
      <c r="BZ273" s="39">
        <f t="shared" si="296"/>
        <v>0</v>
      </c>
      <c r="CA273" s="39">
        <f t="shared" si="297"/>
        <v>41.304064749600435</v>
      </c>
      <c r="CB273" s="39">
        <f t="shared" si="298"/>
        <v>66.000000000033253</v>
      </c>
      <c r="CC273" s="39">
        <f t="shared" si="299"/>
        <v>64.000000001415572</v>
      </c>
      <c r="CD273" s="39">
        <f t="shared" si="300"/>
        <v>87.000000029085555</v>
      </c>
      <c r="CE273" s="39">
        <f t="shared" si="301"/>
        <v>84.000000383989985</v>
      </c>
      <c r="CF273" s="39">
        <f t="shared" si="302"/>
        <v>75.000003655062642</v>
      </c>
      <c r="CG273" s="39">
        <f t="shared" si="303"/>
        <v>73.291226405923283</v>
      </c>
      <c r="CH273" s="39">
        <f t="shared" si="304"/>
        <v>70.800000000000011</v>
      </c>
      <c r="CI273" s="39">
        <f t="shared" si="305"/>
        <v>0</v>
      </c>
      <c r="CJ273" s="39">
        <f t="shared" si="306"/>
        <v>0</v>
      </c>
      <c r="CK273" s="39">
        <f t="shared" si="307"/>
        <v>0</v>
      </c>
      <c r="CL273" s="39">
        <f t="shared" si="308"/>
        <v>0</v>
      </c>
      <c r="CM273" s="39">
        <f t="shared" si="309"/>
        <v>0</v>
      </c>
      <c r="CN273" s="39">
        <f t="shared" si="310"/>
        <v>0</v>
      </c>
      <c r="CO273" s="39">
        <f t="shared" si="311"/>
        <v>0</v>
      </c>
      <c r="CP273" s="39">
        <f t="shared" si="312"/>
        <v>0</v>
      </c>
    </row>
    <row r="274" spans="2:94" ht="16" customHeight="1" x14ac:dyDescent="0.2">
      <c r="B274" s="38"/>
      <c r="L274" s="63">
        <v>30586</v>
      </c>
      <c r="M274" s="38">
        <v>1.3</v>
      </c>
      <c r="N274" s="38">
        <v>5.7</v>
      </c>
      <c r="O274" s="39">
        <v>0</v>
      </c>
      <c r="P274" s="39">
        <v>0</v>
      </c>
      <c r="Q274" s="46">
        <f t="shared" si="243"/>
        <v>0.12708635523729642</v>
      </c>
      <c r="R274" s="81">
        <f t="shared" si="244"/>
        <v>0</v>
      </c>
      <c r="S274" s="82">
        <f t="shared" si="245"/>
        <v>1.3</v>
      </c>
      <c r="T274" s="39">
        <f t="shared" si="246"/>
        <v>0</v>
      </c>
      <c r="U274" s="83">
        <f t="shared" si="247"/>
        <v>0</v>
      </c>
      <c r="V274" s="84">
        <f t="shared" si="248"/>
        <v>4.5600000000000005</v>
      </c>
      <c r="W274" s="52">
        <f t="shared" si="249"/>
        <v>109.30406478013481</v>
      </c>
      <c r="X274" s="52">
        <f t="shared" si="250"/>
        <v>162.09123044497591</v>
      </c>
      <c r="Y274" s="52">
        <f t="shared" si="251"/>
        <v>271.39529522511071</v>
      </c>
      <c r="Z274" s="53">
        <f t="shared" si="252"/>
        <v>0.85393800609480319</v>
      </c>
      <c r="AA274" s="53">
        <f t="shared" si="253"/>
        <v>0.96482875264866608</v>
      </c>
      <c r="AB274" s="53">
        <f t="shared" si="254"/>
        <v>0.91687599738213077</v>
      </c>
      <c r="AC274" s="39" t="str">
        <f t="shared" si="255"/>
        <v>No</v>
      </c>
      <c r="AD274" s="85">
        <f t="shared" si="256"/>
        <v>0</v>
      </c>
      <c r="AE274" s="46">
        <f t="shared" si="257"/>
        <v>1</v>
      </c>
      <c r="AF274" s="46">
        <f t="shared" si="258"/>
        <v>0</v>
      </c>
      <c r="AG274" s="39">
        <f t="shared" si="313"/>
        <v>41.304064749600435</v>
      </c>
      <c r="AH274" s="39">
        <f t="shared" si="314"/>
        <v>66.000000000033253</v>
      </c>
      <c r="AI274" s="39">
        <f t="shared" si="315"/>
        <v>64.000000001415572</v>
      </c>
      <c r="AJ274" s="39">
        <f t="shared" si="316"/>
        <v>87.000000029085555</v>
      </c>
      <c r="AK274" s="39">
        <f t="shared" si="317"/>
        <v>84.000000383989985</v>
      </c>
      <c r="AL274" s="39">
        <f t="shared" si="318"/>
        <v>75.000003655062642</v>
      </c>
      <c r="AM274" s="39">
        <f t="shared" si="319"/>
        <v>73.291226405923283</v>
      </c>
      <c r="AN274" s="39">
        <f t="shared" si="320"/>
        <v>70.800000000000011</v>
      </c>
      <c r="AO274" s="39">
        <f t="shared" si="259"/>
        <v>0</v>
      </c>
      <c r="AP274" s="39">
        <f t="shared" si="260"/>
        <v>0</v>
      </c>
      <c r="AQ274" s="39">
        <f t="shared" si="261"/>
        <v>0</v>
      </c>
      <c r="AR274" s="39">
        <f t="shared" si="262"/>
        <v>0</v>
      </c>
      <c r="AS274" s="39">
        <f t="shared" si="263"/>
        <v>0</v>
      </c>
      <c r="AT274" s="39">
        <f t="shared" si="264"/>
        <v>0</v>
      </c>
      <c r="AU274" s="39">
        <f t="shared" si="265"/>
        <v>0</v>
      </c>
      <c r="AV274" s="39">
        <f t="shared" si="266"/>
        <v>0</v>
      </c>
      <c r="AW274" s="39">
        <f t="shared" si="267"/>
        <v>0</v>
      </c>
      <c r="AX274" s="39">
        <f t="shared" si="268"/>
        <v>0</v>
      </c>
      <c r="AY274" s="39">
        <f t="shared" si="269"/>
        <v>0</v>
      </c>
      <c r="AZ274" s="39">
        <f t="shared" si="270"/>
        <v>0</v>
      </c>
      <c r="BA274" s="39">
        <f t="shared" si="271"/>
        <v>0</v>
      </c>
      <c r="BB274" s="39">
        <f t="shared" si="272"/>
        <v>0</v>
      </c>
      <c r="BC274" s="39">
        <f t="shared" si="273"/>
        <v>0</v>
      </c>
      <c r="BD274" s="39">
        <f t="shared" si="274"/>
        <v>0</v>
      </c>
      <c r="BE274" s="39">
        <f t="shared" si="275"/>
        <v>0</v>
      </c>
      <c r="BF274" s="39">
        <f t="shared" si="276"/>
        <v>0</v>
      </c>
      <c r="BG274" s="39">
        <f t="shared" si="277"/>
        <v>0</v>
      </c>
      <c r="BH274" s="84">
        <f t="shared" si="278"/>
        <v>1.3</v>
      </c>
      <c r="BI274" s="84">
        <f t="shared" si="279"/>
        <v>3.2600000000000007</v>
      </c>
      <c r="BJ274" s="84">
        <f t="shared" si="280"/>
        <v>2.0030073101837447</v>
      </c>
      <c r="BK274" s="39">
        <f t="shared" si="281"/>
        <v>39.301057439416688</v>
      </c>
      <c r="BL274" s="39">
        <f t="shared" si="282"/>
        <v>66.000000000033253</v>
      </c>
      <c r="BM274" s="39">
        <f t="shared" si="283"/>
        <v>64.000000001415572</v>
      </c>
      <c r="BN274" s="39">
        <f t="shared" si="284"/>
        <v>87.000000029085555</v>
      </c>
      <c r="BO274" s="39">
        <f t="shared" si="285"/>
        <v>84.000000383989985</v>
      </c>
      <c r="BP274" s="39">
        <f t="shared" si="286"/>
        <v>75.000003655062642</v>
      </c>
      <c r="BQ274" s="39">
        <f t="shared" si="287"/>
        <v>73.291226405923283</v>
      </c>
      <c r="BR274" s="39">
        <f t="shared" si="288"/>
        <v>70.800000000000011</v>
      </c>
      <c r="BS274" s="39">
        <f t="shared" si="289"/>
        <v>0</v>
      </c>
      <c r="BT274" s="39">
        <f t="shared" si="290"/>
        <v>1.9952040020143613E-11</v>
      </c>
      <c r="BU274" s="39">
        <f t="shared" si="291"/>
        <v>8.4935152244725026E-10</v>
      </c>
      <c r="BV274" s="39">
        <f t="shared" si="292"/>
        <v>1.7451324652029144E-8</v>
      </c>
      <c r="BW274" s="39">
        <f t="shared" si="293"/>
        <v>2.303939993453241E-7</v>
      </c>
      <c r="BX274" s="39">
        <f t="shared" si="294"/>
        <v>2.1930375766032737E-6</v>
      </c>
      <c r="BY274" s="39">
        <f t="shared" si="295"/>
        <v>0</v>
      </c>
      <c r="BZ274" s="39">
        <f t="shared" si="296"/>
        <v>0</v>
      </c>
      <c r="CA274" s="39">
        <f t="shared" si="297"/>
        <v>39.301057439416688</v>
      </c>
      <c r="CB274" s="39">
        <f t="shared" si="298"/>
        <v>66.000000000013301</v>
      </c>
      <c r="CC274" s="39">
        <f t="shared" si="299"/>
        <v>64.000000000586169</v>
      </c>
      <c r="CD274" s="39">
        <f t="shared" si="300"/>
        <v>87.000000012483582</v>
      </c>
      <c r="CE274" s="39">
        <f t="shared" si="301"/>
        <v>84.000000171047319</v>
      </c>
      <c r="CF274" s="39">
        <f t="shared" si="302"/>
        <v>75.000001692419062</v>
      </c>
      <c r="CG274" s="39">
        <f t="shared" si="303"/>
        <v>73.291228598960856</v>
      </c>
      <c r="CH274" s="39">
        <f t="shared" si="304"/>
        <v>70.800000000000011</v>
      </c>
      <c r="CI274" s="39">
        <f t="shared" si="305"/>
        <v>0</v>
      </c>
      <c r="CJ274" s="39">
        <f t="shared" si="306"/>
        <v>0</v>
      </c>
      <c r="CK274" s="39">
        <f t="shared" si="307"/>
        <v>0</v>
      </c>
      <c r="CL274" s="39">
        <f t="shared" si="308"/>
        <v>0</v>
      </c>
      <c r="CM274" s="39">
        <f t="shared" si="309"/>
        <v>0</v>
      </c>
      <c r="CN274" s="39">
        <f t="shared" si="310"/>
        <v>0</v>
      </c>
      <c r="CO274" s="39">
        <f t="shared" si="311"/>
        <v>0</v>
      </c>
      <c r="CP274" s="39">
        <f t="shared" si="312"/>
        <v>0</v>
      </c>
    </row>
    <row r="275" spans="2:94" ht="16" customHeight="1" x14ac:dyDescent="0.2">
      <c r="B275" s="38"/>
      <c r="L275" s="63">
        <v>30587</v>
      </c>
      <c r="M275" s="38">
        <v>1.1000000000000001</v>
      </c>
      <c r="N275" s="38">
        <v>3.4</v>
      </c>
      <c r="O275" s="39">
        <v>0</v>
      </c>
      <c r="P275" s="39">
        <v>0</v>
      </c>
      <c r="Q275" s="46">
        <f t="shared" si="243"/>
        <v>0.13114650519037158</v>
      </c>
      <c r="R275" s="81">
        <f t="shared" si="244"/>
        <v>0</v>
      </c>
      <c r="S275" s="82">
        <f t="shared" si="245"/>
        <v>1.1000000000000001</v>
      </c>
      <c r="T275" s="39">
        <f t="shared" si="246"/>
        <v>0</v>
      </c>
      <c r="U275" s="83">
        <f t="shared" si="247"/>
        <v>0</v>
      </c>
      <c r="V275" s="84">
        <f t="shared" si="248"/>
        <v>2.72</v>
      </c>
      <c r="W275" s="52">
        <f t="shared" si="249"/>
        <v>107.30105745249978</v>
      </c>
      <c r="X275" s="52">
        <f t="shared" si="250"/>
        <v>162.09123046242723</v>
      </c>
      <c r="Y275" s="52">
        <f t="shared" si="251"/>
        <v>269.39228791492701</v>
      </c>
      <c r="Z275" s="53">
        <f t="shared" si="252"/>
        <v>0.8382895113476545</v>
      </c>
      <c r="AA275" s="53">
        <f t="shared" si="253"/>
        <v>0.9648287527525431</v>
      </c>
      <c r="AB275" s="53">
        <f t="shared" si="254"/>
        <v>0.91010908079367236</v>
      </c>
      <c r="AC275" s="39" t="str">
        <f t="shared" si="255"/>
        <v>No</v>
      </c>
      <c r="AD275" s="85">
        <f t="shared" si="256"/>
        <v>0</v>
      </c>
      <c r="AE275" s="46">
        <f t="shared" si="257"/>
        <v>1</v>
      </c>
      <c r="AF275" s="46">
        <f t="shared" si="258"/>
        <v>0</v>
      </c>
      <c r="AG275" s="39">
        <f t="shared" si="313"/>
        <v>39.301057439416688</v>
      </c>
      <c r="AH275" s="39">
        <f t="shared" si="314"/>
        <v>66.000000000013301</v>
      </c>
      <c r="AI275" s="39">
        <f t="shared" si="315"/>
        <v>64.000000000586169</v>
      </c>
      <c r="AJ275" s="39">
        <f t="shared" si="316"/>
        <v>87.000000012483582</v>
      </c>
      <c r="AK275" s="39">
        <f t="shared" si="317"/>
        <v>84.000000171047319</v>
      </c>
      <c r="AL275" s="39">
        <f t="shared" si="318"/>
        <v>75.000001692419062</v>
      </c>
      <c r="AM275" s="39">
        <f t="shared" si="319"/>
        <v>73.291228598960856</v>
      </c>
      <c r="AN275" s="39">
        <f t="shared" si="320"/>
        <v>70.800000000000011</v>
      </c>
      <c r="AO275" s="39">
        <f t="shared" si="259"/>
        <v>0</v>
      </c>
      <c r="AP275" s="39">
        <f t="shared" si="260"/>
        <v>0</v>
      </c>
      <c r="AQ275" s="39">
        <f t="shared" si="261"/>
        <v>0</v>
      </c>
      <c r="AR275" s="39">
        <f t="shared" si="262"/>
        <v>0</v>
      </c>
      <c r="AS275" s="39">
        <f t="shared" si="263"/>
        <v>0</v>
      </c>
      <c r="AT275" s="39">
        <f t="shared" si="264"/>
        <v>0</v>
      </c>
      <c r="AU275" s="39">
        <f t="shared" si="265"/>
        <v>0</v>
      </c>
      <c r="AV275" s="39">
        <f t="shared" si="266"/>
        <v>0</v>
      </c>
      <c r="AW275" s="39">
        <f t="shared" si="267"/>
        <v>0</v>
      </c>
      <c r="AX275" s="39">
        <f t="shared" si="268"/>
        <v>0</v>
      </c>
      <c r="AY275" s="39">
        <f t="shared" si="269"/>
        <v>0</v>
      </c>
      <c r="AZ275" s="39">
        <f t="shared" si="270"/>
        <v>0</v>
      </c>
      <c r="BA275" s="39">
        <f t="shared" si="271"/>
        <v>0</v>
      </c>
      <c r="BB275" s="39">
        <f t="shared" si="272"/>
        <v>0</v>
      </c>
      <c r="BC275" s="39">
        <f t="shared" si="273"/>
        <v>0</v>
      </c>
      <c r="BD275" s="39">
        <f t="shared" si="274"/>
        <v>0</v>
      </c>
      <c r="BE275" s="39">
        <f t="shared" si="275"/>
        <v>0</v>
      </c>
      <c r="BF275" s="39">
        <f t="shared" si="276"/>
        <v>0</v>
      </c>
      <c r="BG275" s="39">
        <f t="shared" si="277"/>
        <v>0</v>
      </c>
      <c r="BH275" s="84">
        <f t="shared" si="278"/>
        <v>1.1000000000000001</v>
      </c>
      <c r="BI275" s="84">
        <f t="shared" si="279"/>
        <v>1.62</v>
      </c>
      <c r="BJ275" s="84">
        <f t="shared" si="280"/>
        <v>1.3544875165856731</v>
      </c>
      <c r="BK275" s="39">
        <f t="shared" si="281"/>
        <v>37.946569922831017</v>
      </c>
      <c r="BL275" s="39">
        <f t="shared" si="282"/>
        <v>66.000000000013301</v>
      </c>
      <c r="BM275" s="39">
        <f t="shared" si="283"/>
        <v>64.000000000586169</v>
      </c>
      <c r="BN275" s="39">
        <f t="shared" si="284"/>
        <v>87.000000012483582</v>
      </c>
      <c r="BO275" s="39">
        <f t="shared" si="285"/>
        <v>84.000000171047319</v>
      </c>
      <c r="BP275" s="39">
        <f t="shared" si="286"/>
        <v>75.000001692419062</v>
      </c>
      <c r="BQ275" s="39">
        <f t="shared" si="287"/>
        <v>73.291228598960856</v>
      </c>
      <c r="BR275" s="39">
        <f t="shared" si="288"/>
        <v>70.800000000000011</v>
      </c>
      <c r="BS275" s="39">
        <f t="shared" si="289"/>
        <v>0</v>
      </c>
      <c r="BT275" s="39">
        <f t="shared" si="290"/>
        <v>7.9808160080574456E-12</v>
      </c>
      <c r="BU275" s="39">
        <f t="shared" si="291"/>
        <v>3.5171012768842044E-10</v>
      </c>
      <c r="BV275" s="39">
        <f t="shared" si="292"/>
        <v>7.4901407742800065E-9</v>
      </c>
      <c r="BW275" s="39">
        <f t="shared" si="293"/>
        <v>1.0262839964525483E-7</v>
      </c>
      <c r="BX275" s="39">
        <f t="shared" si="294"/>
        <v>1.0154514285432014E-6</v>
      </c>
      <c r="BY275" s="39">
        <f t="shared" si="295"/>
        <v>0</v>
      </c>
      <c r="BZ275" s="39">
        <f t="shared" si="296"/>
        <v>0</v>
      </c>
      <c r="CA275" s="39">
        <f t="shared" si="297"/>
        <v>37.946569922831017</v>
      </c>
      <c r="CB275" s="39">
        <f t="shared" si="298"/>
        <v>66.000000000005315</v>
      </c>
      <c r="CC275" s="39">
        <f t="shared" si="299"/>
        <v>64.000000000242451</v>
      </c>
      <c r="CD275" s="39">
        <f t="shared" si="300"/>
        <v>87.000000005345143</v>
      </c>
      <c r="CE275" s="39">
        <f t="shared" si="301"/>
        <v>84.000000075909057</v>
      </c>
      <c r="CF275" s="39">
        <f t="shared" si="302"/>
        <v>75.000000779596036</v>
      </c>
      <c r="CG275" s="39">
        <f t="shared" si="303"/>
        <v>73.291229614412288</v>
      </c>
      <c r="CH275" s="39">
        <f t="shared" si="304"/>
        <v>70.800000000000011</v>
      </c>
      <c r="CI275" s="39">
        <f t="shared" si="305"/>
        <v>0</v>
      </c>
      <c r="CJ275" s="39">
        <f t="shared" si="306"/>
        <v>0</v>
      </c>
      <c r="CK275" s="39">
        <f t="shared" si="307"/>
        <v>0</v>
      </c>
      <c r="CL275" s="39">
        <f t="shared" si="308"/>
        <v>0</v>
      </c>
      <c r="CM275" s="39">
        <f t="shared" si="309"/>
        <v>0</v>
      </c>
      <c r="CN275" s="39">
        <f t="shared" si="310"/>
        <v>0</v>
      </c>
      <c r="CO275" s="39">
        <f t="shared" si="311"/>
        <v>0</v>
      </c>
      <c r="CP275" s="39">
        <f t="shared" si="312"/>
        <v>0</v>
      </c>
    </row>
    <row r="276" spans="2:94" ht="16" customHeight="1" x14ac:dyDescent="0.2">
      <c r="B276" s="38"/>
      <c r="L276" s="63">
        <v>30588</v>
      </c>
      <c r="M276" s="38">
        <v>0</v>
      </c>
      <c r="N276" s="38">
        <v>2.9</v>
      </c>
      <c r="O276" s="39">
        <v>0</v>
      </c>
      <c r="P276" s="39">
        <v>0</v>
      </c>
      <c r="Q276" s="46">
        <f t="shared" si="243"/>
        <v>0.13389208799426144</v>
      </c>
      <c r="R276" s="81">
        <f t="shared" si="244"/>
        <v>0</v>
      </c>
      <c r="S276" s="82">
        <f t="shared" si="245"/>
        <v>0</v>
      </c>
      <c r="T276" s="39">
        <f t="shared" si="246"/>
        <v>0</v>
      </c>
      <c r="U276" s="83">
        <f t="shared" si="247"/>
        <v>0</v>
      </c>
      <c r="V276" s="84">
        <f t="shared" si="248"/>
        <v>2.3199999999999998</v>
      </c>
      <c r="W276" s="52">
        <f t="shared" si="249"/>
        <v>105.94656992842391</v>
      </c>
      <c r="X276" s="52">
        <f t="shared" si="250"/>
        <v>162.09123046991738</v>
      </c>
      <c r="Y276" s="52">
        <f t="shared" si="251"/>
        <v>268.03780039834129</v>
      </c>
      <c r="Z276" s="53">
        <f t="shared" si="252"/>
        <v>0.82770757756581181</v>
      </c>
      <c r="AA276" s="53">
        <f t="shared" si="253"/>
        <v>0.96482875279712721</v>
      </c>
      <c r="AB276" s="53">
        <f t="shared" si="254"/>
        <v>0.90553310945385568</v>
      </c>
      <c r="AC276" s="39" t="str">
        <f t="shared" si="255"/>
        <v>No</v>
      </c>
      <c r="AD276" s="85">
        <f t="shared" si="256"/>
        <v>0</v>
      </c>
      <c r="AE276" s="46">
        <f t="shared" si="257"/>
        <v>1</v>
      </c>
      <c r="AF276" s="46">
        <f t="shared" si="258"/>
        <v>0</v>
      </c>
      <c r="AG276" s="39">
        <f t="shared" si="313"/>
        <v>37.946569922831017</v>
      </c>
      <c r="AH276" s="39">
        <f t="shared" si="314"/>
        <v>66.000000000005315</v>
      </c>
      <c r="AI276" s="39">
        <f t="shared" si="315"/>
        <v>64.000000000242451</v>
      </c>
      <c r="AJ276" s="39">
        <f t="shared" si="316"/>
        <v>87.000000005345143</v>
      </c>
      <c r="AK276" s="39">
        <f t="shared" si="317"/>
        <v>84.000000075909057</v>
      </c>
      <c r="AL276" s="39">
        <f t="shared" si="318"/>
        <v>75.000000779596036</v>
      </c>
      <c r="AM276" s="39">
        <f t="shared" si="319"/>
        <v>73.291229614412288</v>
      </c>
      <c r="AN276" s="39">
        <f t="shared" si="320"/>
        <v>70.800000000000011</v>
      </c>
      <c r="AO276" s="39">
        <f t="shared" si="259"/>
        <v>0</v>
      </c>
      <c r="AP276" s="39">
        <f t="shared" si="260"/>
        <v>0</v>
      </c>
      <c r="AQ276" s="39">
        <f t="shared" si="261"/>
        <v>0</v>
      </c>
      <c r="AR276" s="39">
        <f t="shared" si="262"/>
        <v>0</v>
      </c>
      <c r="AS276" s="39">
        <f t="shared" si="263"/>
        <v>0</v>
      </c>
      <c r="AT276" s="39">
        <f t="shared" si="264"/>
        <v>0</v>
      </c>
      <c r="AU276" s="39">
        <f t="shared" si="265"/>
        <v>0</v>
      </c>
      <c r="AV276" s="39">
        <f t="shared" si="266"/>
        <v>0</v>
      </c>
      <c r="AW276" s="39">
        <f t="shared" si="267"/>
        <v>0</v>
      </c>
      <c r="AX276" s="39">
        <f t="shared" si="268"/>
        <v>0</v>
      </c>
      <c r="AY276" s="39">
        <f t="shared" si="269"/>
        <v>0</v>
      </c>
      <c r="AZ276" s="39">
        <f t="shared" si="270"/>
        <v>0</v>
      </c>
      <c r="BA276" s="39">
        <f t="shared" si="271"/>
        <v>0</v>
      </c>
      <c r="BB276" s="39">
        <f t="shared" si="272"/>
        <v>0</v>
      </c>
      <c r="BC276" s="39">
        <f t="shared" si="273"/>
        <v>0</v>
      </c>
      <c r="BD276" s="39">
        <f t="shared" si="274"/>
        <v>0</v>
      </c>
      <c r="BE276" s="39">
        <f t="shared" si="275"/>
        <v>0</v>
      </c>
      <c r="BF276" s="39">
        <f t="shared" si="276"/>
        <v>0</v>
      </c>
      <c r="BG276" s="39">
        <f t="shared" si="277"/>
        <v>0</v>
      </c>
      <c r="BH276" s="84">
        <f t="shared" si="278"/>
        <v>0</v>
      </c>
      <c r="BI276" s="84">
        <f t="shared" si="279"/>
        <v>2.3199999999999998</v>
      </c>
      <c r="BJ276" s="84">
        <f t="shared" si="280"/>
        <v>0.28974094345552404</v>
      </c>
      <c r="BK276" s="39">
        <f t="shared" si="281"/>
        <v>37.65682897937549</v>
      </c>
      <c r="BL276" s="39">
        <f t="shared" si="282"/>
        <v>66.000000000005315</v>
      </c>
      <c r="BM276" s="39">
        <f t="shared" si="283"/>
        <v>64.000000000242451</v>
      </c>
      <c r="BN276" s="39">
        <f t="shared" si="284"/>
        <v>87.000000005345143</v>
      </c>
      <c r="BO276" s="39">
        <f t="shared" si="285"/>
        <v>84.000000075909057</v>
      </c>
      <c r="BP276" s="39">
        <f t="shared" si="286"/>
        <v>75.000000779596036</v>
      </c>
      <c r="BQ276" s="39">
        <f t="shared" si="287"/>
        <v>73.291229614412288</v>
      </c>
      <c r="BR276" s="39">
        <f t="shared" si="288"/>
        <v>70.800000000000011</v>
      </c>
      <c r="BS276" s="39">
        <f t="shared" si="289"/>
        <v>0</v>
      </c>
      <c r="BT276" s="39">
        <f t="shared" si="290"/>
        <v>3.1889157980913297E-12</v>
      </c>
      <c r="BU276" s="39">
        <f t="shared" si="291"/>
        <v>1.4547936189046594E-10</v>
      </c>
      <c r="BV276" s="39">
        <f t="shared" si="292"/>
        <v>3.2070772704173578E-9</v>
      </c>
      <c r="BW276" s="39">
        <f t="shared" si="293"/>
        <v>4.5545442617367372E-8</v>
      </c>
      <c r="BX276" s="39">
        <f t="shared" si="294"/>
        <v>4.6775761290973601E-7</v>
      </c>
      <c r="BY276" s="39">
        <f t="shared" si="295"/>
        <v>0</v>
      </c>
      <c r="BZ276" s="39">
        <f t="shared" si="296"/>
        <v>0</v>
      </c>
      <c r="CA276" s="39">
        <f t="shared" si="297"/>
        <v>37.65682897937549</v>
      </c>
      <c r="CB276" s="39">
        <f t="shared" si="298"/>
        <v>66.000000000002132</v>
      </c>
      <c r="CC276" s="39">
        <f t="shared" si="299"/>
        <v>64.000000000100158</v>
      </c>
      <c r="CD276" s="39">
        <f t="shared" si="300"/>
        <v>87.000000002283542</v>
      </c>
      <c r="CE276" s="39">
        <f t="shared" si="301"/>
        <v>84.000000033570686</v>
      </c>
      <c r="CF276" s="39">
        <f t="shared" si="302"/>
        <v>75.000000357383868</v>
      </c>
      <c r="CG276" s="39">
        <f t="shared" si="303"/>
        <v>73.291230082169903</v>
      </c>
      <c r="CH276" s="39">
        <f t="shared" si="304"/>
        <v>70.800000000000011</v>
      </c>
      <c r="CI276" s="39">
        <f t="shared" si="305"/>
        <v>0</v>
      </c>
      <c r="CJ276" s="39">
        <f t="shared" si="306"/>
        <v>0</v>
      </c>
      <c r="CK276" s="39">
        <f t="shared" si="307"/>
        <v>0</v>
      </c>
      <c r="CL276" s="39">
        <f t="shared" si="308"/>
        <v>0</v>
      </c>
      <c r="CM276" s="39">
        <f t="shared" si="309"/>
        <v>0</v>
      </c>
      <c r="CN276" s="39">
        <f t="shared" si="310"/>
        <v>0</v>
      </c>
      <c r="CO276" s="39">
        <f t="shared" si="311"/>
        <v>0</v>
      </c>
      <c r="CP276" s="39">
        <f t="shared" si="312"/>
        <v>0</v>
      </c>
    </row>
    <row r="277" spans="2:94" ht="16" customHeight="1" x14ac:dyDescent="0.2">
      <c r="B277" s="38"/>
      <c r="L277" s="63">
        <v>30589</v>
      </c>
      <c r="M277" s="38">
        <v>0</v>
      </c>
      <c r="N277" s="38">
        <v>3.4</v>
      </c>
      <c r="O277" s="39">
        <v>0</v>
      </c>
      <c r="P277" s="39">
        <v>0</v>
      </c>
      <c r="Q277" s="46">
        <f t="shared" si="243"/>
        <v>0.1344794007174821</v>
      </c>
      <c r="R277" s="81">
        <f t="shared" si="244"/>
        <v>0</v>
      </c>
      <c r="S277" s="82">
        <f t="shared" si="245"/>
        <v>0</v>
      </c>
      <c r="T277" s="39">
        <f t="shared" si="246"/>
        <v>0</v>
      </c>
      <c r="U277" s="83">
        <f t="shared" si="247"/>
        <v>0</v>
      </c>
      <c r="V277" s="84">
        <f t="shared" si="248"/>
        <v>2.72</v>
      </c>
      <c r="W277" s="52">
        <f t="shared" si="249"/>
        <v>105.65682898176132</v>
      </c>
      <c r="X277" s="52">
        <f t="shared" si="250"/>
        <v>162.09123047312448</v>
      </c>
      <c r="Y277" s="52">
        <f t="shared" si="251"/>
        <v>267.74805945488583</v>
      </c>
      <c r="Z277" s="53">
        <f t="shared" si="252"/>
        <v>0.82544397642001033</v>
      </c>
      <c r="AA277" s="53">
        <f t="shared" si="253"/>
        <v>0.96482875281621716</v>
      </c>
      <c r="AB277" s="53">
        <f t="shared" si="254"/>
        <v>0.90455425491515484</v>
      </c>
      <c r="AC277" s="39" t="str">
        <f t="shared" si="255"/>
        <v>No</v>
      </c>
      <c r="AD277" s="85">
        <f t="shared" si="256"/>
        <v>0</v>
      </c>
      <c r="AE277" s="46">
        <f t="shared" si="257"/>
        <v>1</v>
      </c>
      <c r="AF277" s="46">
        <f t="shared" si="258"/>
        <v>0</v>
      </c>
      <c r="AG277" s="39">
        <f t="shared" si="313"/>
        <v>37.65682897937549</v>
      </c>
      <c r="AH277" s="39">
        <f t="shared" si="314"/>
        <v>66.000000000002132</v>
      </c>
      <c r="AI277" s="39">
        <f t="shared" si="315"/>
        <v>64.000000000100158</v>
      </c>
      <c r="AJ277" s="39">
        <f t="shared" si="316"/>
        <v>87.000000002283542</v>
      </c>
      <c r="AK277" s="39">
        <f t="shared" si="317"/>
        <v>84.000000033570686</v>
      </c>
      <c r="AL277" s="39">
        <f t="shared" si="318"/>
        <v>75.000000357383868</v>
      </c>
      <c r="AM277" s="39">
        <f t="shared" si="319"/>
        <v>73.291230082169903</v>
      </c>
      <c r="AN277" s="39">
        <f t="shared" si="320"/>
        <v>70.800000000000011</v>
      </c>
      <c r="AO277" s="39">
        <f t="shared" si="259"/>
        <v>0</v>
      </c>
      <c r="AP277" s="39">
        <f t="shared" si="260"/>
        <v>0</v>
      </c>
      <c r="AQ277" s="39">
        <f t="shared" si="261"/>
        <v>0</v>
      </c>
      <c r="AR277" s="39">
        <f t="shared" si="262"/>
        <v>0</v>
      </c>
      <c r="AS277" s="39">
        <f t="shared" si="263"/>
        <v>0</v>
      </c>
      <c r="AT277" s="39">
        <f t="shared" si="264"/>
        <v>0</v>
      </c>
      <c r="AU277" s="39">
        <f t="shared" si="265"/>
        <v>0</v>
      </c>
      <c r="AV277" s="39">
        <f t="shared" si="266"/>
        <v>0</v>
      </c>
      <c r="AW277" s="39">
        <f t="shared" si="267"/>
        <v>0</v>
      </c>
      <c r="AX277" s="39">
        <f t="shared" si="268"/>
        <v>0</v>
      </c>
      <c r="AY277" s="39">
        <f t="shared" si="269"/>
        <v>0</v>
      </c>
      <c r="AZ277" s="39">
        <f t="shared" si="270"/>
        <v>0</v>
      </c>
      <c r="BA277" s="39">
        <f t="shared" si="271"/>
        <v>0</v>
      </c>
      <c r="BB277" s="39">
        <f t="shared" si="272"/>
        <v>0</v>
      </c>
      <c r="BC277" s="39">
        <f t="shared" si="273"/>
        <v>0</v>
      </c>
      <c r="BD277" s="39">
        <f t="shared" si="274"/>
        <v>0</v>
      </c>
      <c r="BE277" s="39">
        <f t="shared" si="275"/>
        <v>0</v>
      </c>
      <c r="BF277" s="39">
        <f t="shared" si="276"/>
        <v>0</v>
      </c>
      <c r="BG277" s="39">
        <f t="shared" si="277"/>
        <v>0</v>
      </c>
      <c r="BH277" s="84">
        <f t="shared" si="278"/>
        <v>0</v>
      </c>
      <c r="BI277" s="84">
        <f t="shared" si="279"/>
        <v>2.72</v>
      </c>
      <c r="BJ277" s="84">
        <f t="shared" si="280"/>
        <v>0.32286144880463552</v>
      </c>
      <c r="BK277" s="39">
        <f t="shared" si="281"/>
        <v>37.333967530570852</v>
      </c>
      <c r="BL277" s="39">
        <f t="shared" si="282"/>
        <v>66.000000000002132</v>
      </c>
      <c r="BM277" s="39">
        <f t="shared" si="283"/>
        <v>64.000000000100158</v>
      </c>
      <c r="BN277" s="39">
        <f t="shared" si="284"/>
        <v>87.000000002283542</v>
      </c>
      <c r="BO277" s="39">
        <f t="shared" si="285"/>
        <v>84.000000033570686</v>
      </c>
      <c r="BP277" s="39">
        <f t="shared" si="286"/>
        <v>75.000000357383868</v>
      </c>
      <c r="BQ277" s="39">
        <f t="shared" si="287"/>
        <v>73.291230082169903</v>
      </c>
      <c r="BR277" s="39">
        <f t="shared" si="288"/>
        <v>70.800000000000011</v>
      </c>
      <c r="BS277" s="39">
        <f t="shared" si="289"/>
        <v>0</v>
      </c>
      <c r="BT277" s="39">
        <f t="shared" si="290"/>
        <v>1.2789769243681803E-12</v>
      </c>
      <c r="BU277" s="39">
        <f t="shared" si="291"/>
        <v>6.0103388932475349E-11</v>
      </c>
      <c r="BV277" s="39">
        <f t="shared" si="292"/>
        <v>1.3701168199986568E-9</v>
      </c>
      <c r="BW277" s="39">
        <f t="shared" si="293"/>
        <v>2.0142419998592232E-8</v>
      </c>
      <c r="BX277" s="39">
        <f t="shared" si="294"/>
        <v>2.1443031243961739E-7</v>
      </c>
      <c r="BY277" s="39">
        <f t="shared" si="295"/>
        <v>0</v>
      </c>
      <c r="BZ277" s="39">
        <f t="shared" si="296"/>
        <v>0</v>
      </c>
      <c r="CA277" s="39">
        <f t="shared" si="297"/>
        <v>37.333967530570852</v>
      </c>
      <c r="CB277" s="39">
        <f t="shared" si="298"/>
        <v>66.000000000000853</v>
      </c>
      <c r="CC277" s="39">
        <f t="shared" si="299"/>
        <v>64.000000000041339</v>
      </c>
      <c r="CD277" s="39">
        <f t="shared" si="300"/>
        <v>87.000000000973529</v>
      </c>
      <c r="CE277" s="39">
        <f t="shared" si="301"/>
        <v>84.000000014798374</v>
      </c>
      <c r="CF277" s="39">
        <f t="shared" si="302"/>
        <v>75.000000163095976</v>
      </c>
      <c r="CG277" s="39">
        <f t="shared" si="303"/>
        <v>73.291230296600219</v>
      </c>
      <c r="CH277" s="39">
        <f t="shared" si="304"/>
        <v>70.800000000000011</v>
      </c>
      <c r="CI277" s="39">
        <f t="shared" si="305"/>
        <v>0</v>
      </c>
      <c r="CJ277" s="39">
        <f t="shared" si="306"/>
        <v>0</v>
      </c>
      <c r="CK277" s="39">
        <f t="shared" si="307"/>
        <v>0</v>
      </c>
      <c r="CL277" s="39">
        <f t="shared" si="308"/>
        <v>0</v>
      </c>
      <c r="CM277" s="39">
        <f t="shared" si="309"/>
        <v>0</v>
      </c>
      <c r="CN277" s="39">
        <f t="shared" si="310"/>
        <v>0</v>
      </c>
      <c r="CO277" s="39">
        <f t="shared" si="311"/>
        <v>0</v>
      </c>
      <c r="CP277" s="39">
        <f t="shared" si="312"/>
        <v>0</v>
      </c>
    </row>
    <row r="278" spans="2:94" ht="16" customHeight="1" x14ac:dyDescent="0.2">
      <c r="B278" s="38"/>
      <c r="L278" s="63">
        <v>30590</v>
      </c>
      <c r="M278" s="38">
        <v>0</v>
      </c>
      <c r="N278" s="38">
        <v>5</v>
      </c>
      <c r="O278" s="39">
        <v>0</v>
      </c>
      <c r="P278" s="39">
        <v>0</v>
      </c>
      <c r="Q278" s="46">
        <f t="shared" si="243"/>
        <v>0.13513384960019423</v>
      </c>
      <c r="R278" s="81">
        <f t="shared" si="244"/>
        <v>0</v>
      </c>
      <c r="S278" s="82">
        <f t="shared" si="245"/>
        <v>0</v>
      </c>
      <c r="T278" s="39">
        <f t="shared" si="246"/>
        <v>0</v>
      </c>
      <c r="U278" s="83">
        <f t="shared" si="247"/>
        <v>0</v>
      </c>
      <c r="V278" s="84">
        <f t="shared" si="248"/>
        <v>4</v>
      </c>
      <c r="W278" s="52">
        <f t="shared" si="249"/>
        <v>105.33396753158658</v>
      </c>
      <c r="X278" s="52">
        <f t="shared" si="250"/>
        <v>162.09123047449458</v>
      </c>
      <c r="Y278" s="52">
        <f t="shared" si="251"/>
        <v>267.42519800608113</v>
      </c>
      <c r="Z278" s="53">
        <f t="shared" si="252"/>
        <v>0.82292162134052016</v>
      </c>
      <c r="AA278" s="53">
        <f t="shared" si="253"/>
        <v>0.96482875282437253</v>
      </c>
      <c r="AB278" s="53">
        <f t="shared" si="254"/>
        <v>0.90346350677730114</v>
      </c>
      <c r="AC278" s="39" t="str">
        <f t="shared" si="255"/>
        <v>No</v>
      </c>
      <c r="AD278" s="85">
        <f t="shared" si="256"/>
        <v>0</v>
      </c>
      <c r="AE278" s="46">
        <f t="shared" si="257"/>
        <v>1</v>
      </c>
      <c r="AF278" s="46">
        <f t="shared" si="258"/>
        <v>0</v>
      </c>
      <c r="AG278" s="39">
        <f t="shared" si="313"/>
        <v>37.333967530570852</v>
      </c>
      <c r="AH278" s="39">
        <f t="shared" si="314"/>
        <v>66.000000000000853</v>
      </c>
      <c r="AI278" s="39">
        <f t="shared" si="315"/>
        <v>64.000000000041339</v>
      </c>
      <c r="AJ278" s="39">
        <f t="shared" si="316"/>
        <v>87.000000000973529</v>
      </c>
      <c r="AK278" s="39">
        <f t="shared" si="317"/>
        <v>84.000000014798374</v>
      </c>
      <c r="AL278" s="39">
        <f t="shared" si="318"/>
        <v>75.000000163095976</v>
      </c>
      <c r="AM278" s="39">
        <f t="shared" si="319"/>
        <v>73.291230296600219</v>
      </c>
      <c r="AN278" s="39">
        <f t="shared" si="320"/>
        <v>70.800000000000011</v>
      </c>
      <c r="AO278" s="39">
        <f t="shared" si="259"/>
        <v>0</v>
      </c>
      <c r="AP278" s="39">
        <f t="shared" si="260"/>
        <v>0</v>
      </c>
      <c r="AQ278" s="39">
        <f t="shared" si="261"/>
        <v>0</v>
      </c>
      <c r="AR278" s="39">
        <f t="shared" si="262"/>
        <v>0</v>
      </c>
      <c r="AS278" s="39">
        <f t="shared" si="263"/>
        <v>0</v>
      </c>
      <c r="AT278" s="39">
        <f t="shared" si="264"/>
        <v>0</v>
      </c>
      <c r="AU278" s="39">
        <f t="shared" si="265"/>
        <v>0</v>
      </c>
      <c r="AV278" s="39">
        <f t="shared" si="266"/>
        <v>0</v>
      </c>
      <c r="AW278" s="39">
        <f t="shared" si="267"/>
        <v>0</v>
      </c>
      <c r="AX278" s="39">
        <f t="shared" si="268"/>
        <v>0</v>
      </c>
      <c r="AY278" s="39">
        <f t="shared" si="269"/>
        <v>0</v>
      </c>
      <c r="AZ278" s="39">
        <f t="shared" si="270"/>
        <v>0</v>
      </c>
      <c r="BA278" s="39">
        <f t="shared" si="271"/>
        <v>0</v>
      </c>
      <c r="BB278" s="39">
        <f t="shared" si="272"/>
        <v>0</v>
      </c>
      <c r="BC278" s="39">
        <f t="shared" si="273"/>
        <v>0</v>
      </c>
      <c r="BD278" s="39">
        <f t="shared" si="274"/>
        <v>0</v>
      </c>
      <c r="BE278" s="39">
        <f t="shared" si="275"/>
        <v>0</v>
      </c>
      <c r="BF278" s="39">
        <f t="shared" si="276"/>
        <v>0</v>
      </c>
      <c r="BG278" s="39">
        <f t="shared" si="277"/>
        <v>0</v>
      </c>
      <c r="BH278" s="84">
        <f t="shared" si="278"/>
        <v>0</v>
      </c>
      <c r="BI278" s="84">
        <f t="shared" si="279"/>
        <v>4</v>
      </c>
      <c r="BJ278" s="84">
        <f t="shared" si="280"/>
        <v>0.44830573464594659</v>
      </c>
      <c r="BK278" s="39">
        <f t="shared" si="281"/>
        <v>36.885661795924904</v>
      </c>
      <c r="BL278" s="39">
        <f t="shared" si="282"/>
        <v>66.000000000000853</v>
      </c>
      <c r="BM278" s="39">
        <f t="shared" si="283"/>
        <v>64.000000000041339</v>
      </c>
      <c r="BN278" s="39">
        <f t="shared" si="284"/>
        <v>87.000000000973529</v>
      </c>
      <c r="BO278" s="39">
        <f t="shared" si="285"/>
        <v>84.000000014798374</v>
      </c>
      <c r="BP278" s="39">
        <f t="shared" si="286"/>
        <v>75.000000163095976</v>
      </c>
      <c r="BQ278" s="39">
        <f t="shared" si="287"/>
        <v>73.291230296600219</v>
      </c>
      <c r="BR278" s="39">
        <f t="shared" si="288"/>
        <v>70.800000000000011</v>
      </c>
      <c r="BS278" s="39">
        <f t="shared" si="289"/>
        <v>0</v>
      </c>
      <c r="BT278" s="39">
        <f t="shared" si="290"/>
        <v>5.1159076974727213E-13</v>
      </c>
      <c r="BU278" s="39">
        <f t="shared" si="291"/>
        <v>2.4812152332742698E-11</v>
      </c>
      <c r="BV278" s="39">
        <f t="shared" si="292"/>
        <v>5.8410876135894796E-10</v>
      </c>
      <c r="BW278" s="39">
        <f t="shared" si="293"/>
        <v>8.8790329755283895E-9</v>
      </c>
      <c r="BX278" s="39">
        <f t="shared" si="294"/>
        <v>9.78575769750023E-8</v>
      </c>
      <c r="BY278" s="39">
        <f t="shared" si="295"/>
        <v>0</v>
      </c>
      <c r="BZ278" s="39">
        <f t="shared" si="296"/>
        <v>0</v>
      </c>
      <c r="CA278" s="39">
        <f t="shared" si="297"/>
        <v>36.885661795924904</v>
      </c>
      <c r="CB278" s="39">
        <f t="shared" si="298"/>
        <v>66.000000000000341</v>
      </c>
      <c r="CC278" s="39">
        <f t="shared" si="299"/>
        <v>64.000000000017039</v>
      </c>
      <c r="CD278" s="39">
        <f t="shared" si="300"/>
        <v>87.000000000414232</v>
      </c>
      <c r="CE278" s="39">
        <f t="shared" si="301"/>
        <v>84.000000006503456</v>
      </c>
      <c r="CF278" s="39">
        <f t="shared" si="302"/>
        <v>75.000000074117423</v>
      </c>
      <c r="CG278" s="39">
        <f t="shared" si="303"/>
        <v>73.291230394457799</v>
      </c>
      <c r="CH278" s="39">
        <f t="shared" si="304"/>
        <v>70.800000000000011</v>
      </c>
      <c r="CI278" s="39">
        <f t="shared" si="305"/>
        <v>0</v>
      </c>
      <c r="CJ278" s="39">
        <f t="shared" si="306"/>
        <v>0</v>
      </c>
      <c r="CK278" s="39">
        <f t="shared" si="307"/>
        <v>0</v>
      </c>
      <c r="CL278" s="39">
        <f t="shared" si="308"/>
        <v>0</v>
      </c>
      <c r="CM278" s="39">
        <f t="shared" si="309"/>
        <v>0</v>
      </c>
      <c r="CN278" s="39">
        <f t="shared" si="310"/>
        <v>0</v>
      </c>
      <c r="CO278" s="39">
        <f t="shared" si="311"/>
        <v>0</v>
      </c>
      <c r="CP278" s="39">
        <f t="shared" si="312"/>
        <v>0</v>
      </c>
    </row>
    <row r="279" spans="2:94" ht="16" customHeight="1" x14ac:dyDescent="0.2">
      <c r="B279" s="38"/>
      <c r="L279" s="63">
        <v>30591</v>
      </c>
      <c r="M279" s="38">
        <v>0</v>
      </c>
      <c r="N279" s="38">
        <v>5.8</v>
      </c>
      <c r="O279" s="39">
        <v>0</v>
      </c>
      <c r="P279" s="39">
        <v>0</v>
      </c>
      <c r="Q279" s="46">
        <f t="shared" si="243"/>
        <v>0.13604257744069276</v>
      </c>
      <c r="R279" s="81">
        <f t="shared" si="244"/>
        <v>0</v>
      </c>
      <c r="S279" s="82">
        <f t="shared" si="245"/>
        <v>0</v>
      </c>
      <c r="T279" s="39">
        <f t="shared" si="246"/>
        <v>0</v>
      </c>
      <c r="U279" s="83">
        <f t="shared" si="247"/>
        <v>0</v>
      </c>
      <c r="V279" s="84">
        <f t="shared" si="248"/>
        <v>4.6399999999999997</v>
      </c>
      <c r="W279" s="52">
        <f t="shared" si="249"/>
        <v>104.88566179635649</v>
      </c>
      <c r="X279" s="52">
        <f t="shared" si="250"/>
        <v>162.0912304750787</v>
      </c>
      <c r="Y279" s="52">
        <f t="shared" si="251"/>
        <v>266.97689227143519</v>
      </c>
      <c r="Z279" s="53">
        <f t="shared" si="252"/>
        <v>0.81941923278403506</v>
      </c>
      <c r="AA279" s="53">
        <f t="shared" si="253"/>
        <v>0.96482875282784941</v>
      </c>
      <c r="AB279" s="53">
        <f t="shared" si="254"/>
        <v>0.90194896037647021</v>
      </c>
      <c r="AC279" s="39" t="str">
        <f t="shared" si="255"/>
        <v>No</v>
      </c>
      <c r="AD279" s="85">
        <f t="shared" si="256"/>
        <v>0</v>
      </c>
      <c r="AE279" s="46">
        <f t="shared" si="257"/>
        <v>1</v>
      </c>
      <c r="AF279" s="46">
        <f t="shared" si="258"/>
        <v>0</v>
      </c>
      <c r="AG279" s="39">
        <f t="shared" si="313"/>
        <v>36.885661795924904</v>
      </c>
      <c r="AH279" s="39">
        <f t="shared" si="314"/>
        <v>66.000000000000341</v>
      </c>
      <c r="AI279" s="39">
        <f t="shared" si="315"/>
        <v>64.000000000017039</v>
      </c>
      <c r="AJ279" s="39">
        <f t="shared" si="316"/>
        <v>87.000000000414232</v>
      </c>
      <c r="AK279" s="39">
        <f t="shared" si="317"/>
        <v>84.000000006503456</v>
      </c>
      <c r="AL279" s="39">
        <f t="shared" si="318"/>
        <v>75.000000074117423</v>
      </c>
      <c r="AM279" s="39">
        <f t="shared" si="319"/>
        <v>73.291230394457799</v>
      </c>
      <c r="AN279" s="39">
        <f t="shared" si="320"/>
        <v>70.800000000000011</v>
      </c>
      <c r="AO279" s="39">
        <f t="shared" si="259"/>
        <v>0</v>
      </c>
      <c r="AP279" s="39">
        <f t="shared" si="260"/>
        <v>0</v>
      </c>
      <c r="AQ279" s="39">
        <f t="shared" si="261"/>
        <v>0</v>
      </c>
      <c r="AR279" s="39">
        <f t="shared" si="262"/>
        <v>0</v>
      </c>
      <c r="AS279" s="39">
        <f t="shared" si="263"/>
        <v>0</v>
      </c>
      <c r="AT279" s="39">
        <f t="shared" si="264"/>
        <v>0</v>
      </c>
      <c r="AU279" s="39">
        <f t="shared" si="265"/>
        <v>0</v>
      </c>
      <c r="AV279" s="39">
        <f t="shared" si="266"/>
        <v>0</v>
      </c>
      <c r="AW279" s="39">
        <f t="shared" si="267"/>
        <v>0</v>
      </c>
      <c r="AX279" s="39">
        <f t="shared" si="268"/>
        <v>0</v>
      </c>
      <c r="AY279" s="39">
        <f t="shared" si="269"/>
        <v>0</v>
      </c>
      <c r="AZ279" s="39">
        <f t="shared" si="270"/>
        <v>0</v>
      </c>
      <c r="BA279" s="39">
        <f t="shared" si="271"/>
        <v>0</v>
      </c>
      <c r="BB279" s="39">
        <f t="shared" si="272"/>
        <v>0</v>
      </c>
      <c r="BC279" s="39">
        <f t="shared" si="273"/>
        <v>0</v>
      </c>
      <c r="BD279" s="39">
        <f t="shared" si="274"/>
        <v>0</v>
      </c>
      <c r="BE279" s="39">
        <f t="shared" si="275"/>
        <v>0</v>
      </c>
      <c r="BF279" s="39">
        <f t="shared" si="276"/>
        <v>0</v>
      </c>
      <c r="BG279" s="39">
        <f t="shared" si="277"/>
        <v>0</v>
      </c>
      <c r="BH279" s="84">
        <f t="shared" si="278"/>
        <v>0</v>
      </c>
      <c r="BI279" s="84">
        <f t="shared" si="279"/>
        <v>4.6399999999999997</v>
      </c>
      <c r="BJ279" s="84">
        <f t="shared" si="280"/>
        <v>0.47952085130600108</v>
      </c>
      <c r="BK279" s="39">
        <f t="shared" si="281"/>
        <v>36.406140944618905</v>
      </c>
      <c r="BL279" s="39">
        <f t="shared" si="282"/>
        <v>66.000000000000341</v>
      </c>
      <c r="BM279" s="39">
        <f t="shared" si="283"/>
        <v>64.000000000017039</v>
      </c>
      <c r="BN279" s="39">
        <f t="shared" si="284"/>
        <v>87.000000000414232</v>
      </c>
      <c r="BO279" s="39">
        <f t="shared" si="285"/>
        <v>84.000000006503456</v>
      </c>
      <c r="BP279" s="39">
        <f t="shared" si="286"/>
        <v>75.000000074117423</v>
      </c>
      <c r="BQ279" s="39">
        <f t="shared" si="287"/>
        <v>73.291230394457799</v>
      </c>
      <c r="BR279" s="39">
        <f t="shared" si="288"/>
        <v>70.800000000000011</v>
      </c>
      <c r="BS279" s="39">
        <f t="shared" si="289"/>
        <v>0</v>
      </c>
      <c r="BT279" s="39">
        <f t="shared" si="290"/>
        <v>2.0463630789890883E-13</v>
      </c>
      <c r="BU279" s="39">
        <f t="shared" si="291"/>
        <v>1.0231815394945443E-11</v>
      </c>
      <c r="BV279" s="39">
        <f t="shared" si="292"/>
        <v>2.4853079594322479E-10</v>
      </c>
      <c r="BW279" s="39">
        <f t="shared" si="293"/>
        <v>3.9020818576318558E-9</v>
      </c>
      <c r="BX279" s="39">
        <f t="shared" si="294"/>
        <v>4.4470445459410256E-8</v>
      </c>
      <c r="BY279" s="39">
        <f t="shared" si="295"/>
        <v>0</v>
      </c>
      <c r="BZ279" s="39">
        <f t="shared" si="296"/>
        <v>0</v>
      </c>
      <c r="CA279" s="39">
        <f t="shared" si="297"/>
        <v>36.406140944618905</v>
      </c>
      <c r="CB279" s="39">
        <f t="shared" si="298"/>
        <v>66.000000000000142</v>
      </c>
      <c r="CC279" s="39">
        <f t="shared" si="299"/>
        <v>64.000000000007006</v>
      </c>
      <c r="CD279" s="39">
        <f t="shared" si="300"/>
        <v>87.00000000017593</v>
      </c>
      <c r="CE279" s="39">
        <f t="shared" si="301"/>
        <v>84.000000002849902</v>
      </c>
      <c r="CF279" s="39">
        <f t="shared" si="302"/>
        <v>75.000000033549071</v>
      </c>
      <c r="CG279" s="39">
        <f t="shared" si="303"/>
        <v>73.291230438928238</v>
      </c>
      <c r="CH279" s="39">
        <f t="shared" si="304"/>
        <v>70.800000000000011</v>
      </c>
      <c r="CI279" s="39">
        <f t="shared" si="305"/>
        <v>0</v>
      </c>
      <c r="CJ279" s="39">
        <f t="shared" si="306"/>
        <v>0</v>
      </c>
      <c r="CK279" s="39">
        <f t="shared" si="307"/>
        <v>0</v>
      </c>
      <c r="CL279" s="39">
        <f t="shared" si="308"/>
        <v>0</v>
      </c>
      <c r="CM279" s="39">
        <f t="shared" si="309"/>
        <v>0</v>
      </c>
      <c r="CN279" s="39">
        <f t="shared" si="310"/>
        <v>0</v>
      </c>
      <c r="CO279" s="39">
        <f t="shared" si="311"/>
        <v>0</v>
      </c>
      <c r="CP279" s="39">
        <f t="shared" si="312"/>
        <v>0</v>
      </c>
    </row>
    <row r="280" spans="2:94" ht="16" customHeight="1" x14ac:dyDescent="0.2">
      <c r="B280" s="38"/>
      <c r="L280" s="63">
        <v>30592</v>
      </c>
      <c r="M280" s="38">
        <v>0</v>
      </c>
      <c r="N280" s="38">
        <v>6.2</v>
      </c>
      <c r="O280" s="39">
        <v>0</v>
      </c>
      <c r="P280" s="39">
        <v>0</v>
      </c>
      <c r="Q280" s="46">
        <f t="shared" si="243"/>
        <v>0.13701457916631304</v>
      </c>
      <c r="R280" s="81">
        <f t="shared" si="244"/>
        <v>0</v>
      </c>
      <c r="S280" s="82">
        <f t="shared" si="245"/>
        <v>0</v>
      </c>
      <c r="T280" s="39">
        <f t="shared" si="246"/>
        <v>0</v>
      </c>
      <c r="U280" s="83">
        <f t="shared" si="247"/>
        <v>0</v>
      </c>
      <c r="V280" s="84">
        <f t="shared" si="248"/>
        <v>4.9600000000000009</v>
      </c>
      <c r="W280" s="52">
        <f t="shared" si="249"/>
        <v>104.40614094480196</v>
      </c>
      <c r="X280" s="52">
        <f t="shared" si="250"/>
        <v>162.09123047532722</v>
      </c>
      <c r="Y280" s="52">
        <f t="shared" si="251"/>
        <v>266.49737142012918</v>
      </c>
      <c r="Z280" s="53">
        <f t="shared" si="252"/>
        <v>0.81567297613126533</v>
      </c>
      <c r="AA280" s="53">
        <f t="shared" si="253"/>
        <v>0.96482875282932867</v>
      </c>
      <c r="AB280" s="53">
        <f t="shared" si="254"/>
        <v>0.9003289575004364</v>
      </c>
      <c r="AC280" s="39" t="str">
        <f t="shared" si="255"/>
        <v>No</v>
      </c>
      <c r="AD280" s="85">
        <f t="shared" si="256"/>
        <v>0</v>
      </c>
      <c r="AE280" s="46">
        <f t="shared" si="257"/>
        <v>1</v>
      </c>
      <c r="AF280" s="46">
        <f t="shared" si="258"/>
        <v>0</v>
      </c>
      <c r="AG280" s="39">
        <f t="shared" si="313"/>
        <v>36.406140944618905</v>
      </c>
      <c r="AH280" s="39">
        <f t="shared" si="314"/>
        <v>66.000000000000142</v>
      </c>
      <c r="AI280" s="39">
        <f t="shared" si="315"/>
        <v>64.000000000007006</v>
      </c>
      <c r="AJ280" s="39">
        <f t="shared" si="316"/>
        <v>87.00000000017593</v>
      </c>
      <c r="AK280" s="39">
        <f t="shared" si="317"/>
        <v>84.000000002849902</v>
      </c>
      <c r="AL280" s="39">
        <f t="shared" si="318"/>
        <v>75.000000033549071</v>
      </c>
      <c r="AM280" s="39">
        <f t="shared" si="319"/>
        <v>73.291230438928238</v>
      </c>
      <c r="AN280" s="39">
        <f t="shared" si="320"/>
        <v>70.800000000000011</v>
      </c>
      <c r="AO280" s="39">
        <f t="shared" si="259"/>
        <v>0</v>
      </c>
      <c r="AP280" s="39">
        <f t="shared" si="260"/>
        <v>0</v>
      </c>
      <c r="AQ280" s="39">
        <f t="shared" si="261"/>
        <v>0</v>
      </c>
      <c r="AR280" s="39">
        <f t="shared" si="262"/>
        <v>0</v>
      </c>
      <c r="AS280" s="39">
        <f t="shared" si="263"/>
        <v>0</v>
      </c>
      <c r="AT280" s="39">
        <f t="shared" si="264"/>
        <v>0</v>
      </c>
      <c r="AU280" s="39">
        <f t="shared" si="265"/>
        <v>0</v>
      </c>
      <c r="AV280" s="39">
        <f t="shared" si="266"/>
        <v>0</v>
      </c>
      <c r="AW280" s="39">
        <f t="shared" si="267"/>
        <v>0</v>
      </c>
      <c r="AX280" s="39">
        <f t="shared" si="268"/>
        <v>0</v>
      </c>
      <c r="AY280" s="39">
        <f t="shared" si="269"/>
        <v>0</v>
      </c>
      <c r="AZ280" s="39">
        <f t="shared" si="270"/>
        <v>0</v>
      </c>
      <c r="BA280" s="39">
        <f t="shared" si="271"/>
        <v>0</v>
      </c>
      <c r="BB280" s="39">
        <f t="shared" si="272"/>
        <v>0</v>
      </c>
      <c r="BC280" s="39">
        <f t="shared" si="273"/>
        <v>0</v>
      </c>
      <c r="BD280" s="39">
        <f t="shared" si="274"/>
        <v>0</v>
      </c>
      <c r="BE280" s="39">
        <f t="shared" si="275"/>
        <v>0</v>
      </c>
      <c r="BF280" s="39">
        <f t="shared" si="276"/>
        <v>0</v>
      </c>
      <c r="BG280" s="39">
        <f t="shared" si="277"/>
        <v>0</v>
      </c>
      <c r="BH280" s="84">
        <f t="shared" si="278"/>
        <v>0</v>
      </c>
      <c r="BI280" s="84">
        <f t="shared" si="279"/>
        <v>4.9600000000000009</v>
      </c>
      <c r="BJ280" s="84">
        <f t="shared" si="280"/>
        <v>0.4691221946159953</v>
      </c>
      <c r="BK280" s="39">
        <f t="shared" si="281"/>
        <v>35.937018750002906</v>
      </c>
      <c r="BL280" s="39">
        <f t="shared" si="282"/>
        <v>66.000000000000142</v>
      </c>
      <c r="BM280" s="39">
        <f t="shared" si="283"/>
        <v>64.000000000007006</v>
      </c>
      <c r="BN280" s="39">
        <f t="shared" si="284"/>
        <v>87.00000000017593</v>
      </c>
      <c r="BO280" s="39">
        <f t="shared" si="285"/>
        <v>84.000000002849902</v>
      </c>
      <c r="BP280" s="39">
        <f t="shared" si="286"/>
        <v>75.000000033549071</v>
      </c>
      <c r="BQ280" s="39">
        <f t="shared" si="287"/>
        <v>73.291230438928238</v>
      </c>
      <c r="BR280" s="39">
        <f t="shared" si="288"/>
        <v>70.800000000000011</v>
      </c>
      <c r="BS280" s="39">
        <f t="shared" si="289"/>
        <v>0</v>
      </c>
      <c r="BT280" s="39">
        <f t="shared" si="290"/>
        <v>8.5265128291212022E-14</v>
      </c>
      <c r="BU280" s="39">
        <f t="shared" si="291"/>
        <v>4.2120973375858736E-12</v>
      </c>
      <c r="BV280" s="39">
        <f t="shared" si="292"/>
        <v>1.0554970231169136E-10</v>
      </c>
      <c r="BW280" s="39">
        <f t="shared" si="293"/>
        <v>1.7099495153161115E-9</v>
      </c>
      <c r="BX280" s="39">
        <f t="shared" si="294"/>
        <v>2.012943411955348E-8</v>
      </c>
      <c r="BY280" s="39">
        <f t="shared" si="295"/>
        <v>0</v>
      </c>
      <c r="BZ280" s="39">
        <f t="shared" si="296"/>
        <v>0</v>
      </c>
      <c r="CA280" s="39">
        <f t="shared" si="297"/>
        <v>35.937018750002906</v>
      </c>
      <c r="CB280" s="39">
        <f t="shared" si="298"/>
        <v>66.000000000000057</v>
      </c>
      <c r="CC280" s="39">
        <f t="shared" si="299"/>
        <v>64.000000000002885</v>
      </c>
      <c r="CD280" s="39">
        <f t="shared" si="300"/>
        <v>87.000000000074593</v>
      </c>
      <c r="CE280" s="39">
        <f t="shared" si="301"/>
        <v>84.000000001245496</v>
      </c>
      <c r="CF280" s="39">
        <f t="shared" si="302"/>
        <v>75.000000015129586</v>
      </c>
      <c r="CG280" s="39">
        <f t="shared" si="303"/>
        <v>73.291230459057672</v>
      </c>
      <c r="CH280" s="39">
        <f t="shared" si="304"/>
        <v>70.800000000000011</v>
      </c>
      <c r="CI280" s="39">
        <f t="shared" si="305"/>
        <v>0</v>
      </c>
      <c r="CJ280" s="39">
        <f t="shared" si="306"/>
        <v>0</v>
      </c>
      <c r="CK280" s="39">
        <f t="shared" si="307"/>
        <v>0</v>
      </c>
      <c r="CL280" s="39">
        <f t="shared" si="308"/>
        <v>0</v>
      </c>
      <c r="CM280" s="39">
        <f t="shared" si="309"/>
        <v>0</v>
      </c>
      <c r="CN280" s="39">
        <f t="shared" si="310"/>
        <v>0</v>
      </c>
      <c r="CO280" s="39">
        <f t="shared" si="311"/>
        <v>0</v>
      </c>
      <c r="CP280" s="39">
        <f t="shared" si="312"/>
        <v>0</v>
      </c>
    </row>
    <row r="281" spans="2:94" ht="16" customHeight="1" x14ac:dyDescent="0.2">
      <c r="B281" s="38"/>
      <c r="L281" s="63">
        <v>30593</v>
      </c>
      <c r="M281" s="38">
        <v>0</v>
      </c>
      <c r="N281" s="38">
        <v>4.4000000000000004</v>
      </c>
      <c r="O281" s="39">
        <v>0</v>
      </c>
      <c r="P281" s="39">
        <v>0</v>
      </c>
      <c r="Q281" s="46">
        <f t="shared" si="243"/>
        <v>0.13796550253377787</v>
      </c>
      <c r="R281" s="81">
        <f t="shared" si="244"/>
        <v>0</v>
      </c>
      <c r="S281" s="82">
        <f t="shared" si="245"/>
        <v>0</v>
      </c>
      <c r="T281" s="39">
        <f t="shared" si="246"/>
        <v>0</v>
      </c>
      <c r="U281" s="83">
        <f t="shared" si="247"/>
        <v>0</v>
      </c>
      <c r="V281" s="84">
        <f t="shared" si="248"/>
        <v>3.5200000000000005</v>
      </c>
      <c r="W281" s="52">
        <f t="shared" si="249"/>
        <v>103.93701875008043</v>
      </c>
      <c r="X281" s="52">
        <f t="shared" si="250"/>
        <v>162.09123047543278</v>
      </c>
      <c r="Y281" s="52">
        <f t="shared" si="251"/>
        <v>266.02824922551321</v>
      </c>
      <c r="Z281" s="53">
        <f t="shared" si="252"/>
        <v>0.81200795898500333</v>
      </c>
      <c r="AA281" s="53">
        <f t="shared" si="253"/>
        <v>0.96482875282995706</v>
      </c>
      <c r="AB281" s="53">
        <f t="shared" si="254"/>
        <v>0.89874408522132843</v>
      </c>
      <c r="AC281" s="39" t="str">
        <f t="shared" si="255"/>
        <v>No</v>
      </c>
      <c r="AD281" s="85">
        <f t="shared" si="256"/>
        <v>0</v>
      </c>
      <c r="AE281" s="46">
        <f t="shared" si="257"/>
        <v>1</v>
      </c>
      <c r="AF281" s="46">
        <f t="shared" si="258"/>
        <v>0</v>
      </c>
      <c r="AG281" s="39">
        <f t="shared" si="313"/>
        <v>35.937018750002906</v>
      </c>
      <c r="AH281" s="39">
        <f t="shared" si="314"/>
        <v>66.000000000000057</v>
      </c>
      <c r="AI281" s="39">
        <f t="shared" si="315"/>
        <v>64.000000000002885</v>
      </c>
      <c r="AJ281" s="39">
        <f t="shared" si="316"/>
        <v>87.000000000074593</v>
      </c>
      <c r="AK281" s="39">
        <f t="shared" si="317"/>
        <v>84.000000001245496</v>
      </c>
      <c r="AL281" s="39">
        <f t="shared" si="318"/>
        <v>75.000000015129586</v>
      </c>
      <c r="AM281" s="39">
        <f t="shared" si="319"/>
        <v>73.291230459057672</v>
      </c>
      <c r="AN281" s="39">
        <f t="shared" si="320"/>
        <v>70.800000000000011</v>
      </c>
      <c r="AO281" s="39">
        <f t="shared" si="259"/>
        <v>0</v>
      </c>
      <c r="AP281" s="39">
        <f t="shared" si="260"/>
        <v>0</v>
      </c>
      <c r="AQ281" s="39">
        <f t="shared" si="261"/>
        <v>0</v>
      </c>
      <c r="AR281" s="39">
        <f t="shared" si="262"/>
        <v>0</v>
      </c>
      <c r="AS281" s="39">
        <f t="shared" si="263"/>
        <v>0</v>
      </c>
      <c r="AT281" s="39">
        <f t="shared" si="264"/>
        <v>0</v>
      </c>
      <c r="AU281" s="39">
        <f t="shared" si="265"/>
        <v>0</v>
      </c>
      <c r="AV281" s="39">
        <f t="shared" si="266"/>
        <v>0</v>
      </c>
      <c r="AW281" s="39">
        <f t="shared" si="267"/>
        <v>0</v>
      </c>
      <c r="AX281" s="39">
        <f t="shared" si="268"/>
        <v>0</v>
      </c>
      <c r="AY281" s="39">
        <f t="shared" si="269"/>
        <v>0</v>
      </c>
      <c r="AZ281" s="39">
        <f t="shared" si="270"/>
        <v>0</v>
      </c>
      <c r="BA281" s="39">
        <f t="shared" si="271"/>
        <v>0</v>
      </c>
      <c r="BB281" s="39">
        <f t="shared" si="272"/>
        <v>0</v>
      </c>
      <c r="BC281" s="39">
        <f t="shared" si="273"/>
        <v>0</v>
      </c>
      <c r="BD281" s="39">
        <f t="shared" si="274"/>
        <v>0</v>
      </c>
      <c r="BE281" s="39">
        <f t="shared" si="275"/>
        <v>0</v>
      </c>
      <c r="BF281" s="39">
        <f t="shared" si="276"/>
        <v>0</v>
      </c>
      <c r="BG281" s="39">
        <f t="shared" si="277"/>
        <v>0</v>
      </c>
      <c r="BH281" s="84">
        <f t="shared" si="278"/>
        <v>0</v>
      </c>
      <c r="BI281" s="84">
        <f t="shared" si="279"/>
        <v>3.5200000000000005</v>
      </c>
      <c r="BJ281" s="84">
        <f t="shared" si="280"/>
        <v>0.30468621985918809</v>
      </c>
      <c r="BK281" s="39">
        <f t="shared" si="281"/>
        <v>35.632332530143721</v>
      </c>
      <c r="BL281" s="39">
        <f t="shared" si="282"/>
        <v>66.000000000000057</v>
      </c>
      <c r="BM281" s="39">
        <f t="shared" si="283"/>
        <v>64.000000000002885</v>
      </c>
      <c r="BN281" s="39">
        <f t="shared" si="284"/>
        <v>87.000000000074593</v>
      </c>
      <c r="BO281" s="39">
        <f t="shared" si="285"/>
        <v>84.000000001245496</v>
      </c>
      <c r="BP281" s="39">
        <f t="shared" si="286"/>
        <v>75.000000015129586</v>
      </c>
      <c r="BQ281" s="39">
        <f t="shared" si="287"/>
        <v>73.291230459057672</v>
      </c>
      <c r="BR281" s="39">
        <f t="shared" si="288"/>
        <v>70.800000000000011</v>
      </c>
      <c r="BS281" s="39">
        <f t="shared" si="289"/>
        <v>0</v>
      </c>
      <c r="BT281" s="39">
        <f t="shared" si="290"/>
        <v>3.4106051316484808E-14</v>
      </c>
      <c r="BU281" s="39">
        <f t="shared" si="291"/>
        <v>1.7394086171407251E-12</v>
      </c>
      <c r="BV281" s="39">
        <f t="shared" si="292"/>
        <v>4.4747139327228065E-11</v>
      </c>
      <c r="BW281" s="39">
        <f t="shared" si="293"/>
        <v>7.4730621690832777E-10</v>
      </c>
      <c r="BX281" s="39">
        <f t="shared" si="294"/>
        <v>9.0777433570110592E-9</v>
      </c>
      <c r="BY281" s="39">
        <f t="shared" si="295"/>
        <v>0</v>
      </c>
      <c r="BZ281" s="39">
        <f t="shared" si="296"/>
        <v>0</v>
      </c>
      <c r="CA281" s="39">
        <f t="shared" si="297"/>
        <v>35.632332530143721</v>
      </c>
      <c r="CB281" s="39">
        <f t="shared" si="298"/>
        <v>66.000000000000028</v>
      </c>
      <c r="CC281" s="39">
        <f t="shared" si="299"/>
        <v>64.00000000000118</v>
      </c>
      <c r="CD281" s="39">
        <f t="shared" si="300"/>
        <v>87.000000000031577</v>
      </c>
      <c r="CE281" s="39">
        <f t="shared" si="301"/>
        <v>84.00000000054294</v>
      </c>
      <c r="CF281" s="39">
        <f t="shared" si="302"/>
        <v>75.000000006799155</v>
      </c>
      <c r="CG281" s="39">
        <f t="shared" si="303"/>
        <v>73.29123046813541</v>
      </c>
      <c r="CH281" s="39">
        <f t="shared" si="304"/>
        <v>70.800000000000011</v>
      </c>
      <c r="CI281" s="39">
        <f t="shared" si="305"/>
        <v>0</v>
      </c>
      <c r="CJ281" s="39">
        <f t="shared" si="306"/>
        <v>0</v>
      </c>
      <c r="CK281" s="39">
        <f t="shared" si="307"/>
        <v>0</v>
      </c>
      <c r="CL281" s="39">
        <f t="shared" si="308"/>
        <v>0</v>
      </c>
      <c r="CM281" s="39">
        <f t="shared" si="309"/>
        <v>0</v>
      </c>
      <c r="CN281" s="39">
        <f t="shared" si="310"/>
        <v>0</v>
      </c>
      <c r="CO281" s="39">
        <f t="shared" si="311"/>
        <v>0</v>
      </c>
      <c r="CP281" s="39">
        <f t="shared" si="312"/>
        <v>0</v>
      </c>
    </row>
    <row r="282" spans="2:94" ht="16" customHeight="1" x14ac:dyDescent="0.2">
      <c r="B282" s="38"/>
      <c r="L282" s="63">
        <v>30594</v>
      </c>
      <c r="M282" s="38">
        <v>0</v>
      </c>
      <c r="N282" s="38">
        <v>4.3</v>
      </c>
      <c r="O282" s="39">
        <v>0</v>
      </c>
      <c r="P282" s="39">
        <v>0</v>
      </c>
      <c r="Q282" s="46">
        <f t="shared" si="243"/>
        <v>0.13858310973619517</v>
      </c>
      <c r="R282" s="81">
        <f t="shared" si="244"/>
        <v>0</v>
      </c>
      <c r="S282" s="82">
        <f t="shared" si="245"/>
        <v>0</v>
      </c>
      <c r="T282" s="39">
        <f t="shared" si="246"/>
        <v>0</v>
      </c>
      <c r="U282" s="83">
        <f t="shared" si="247"/>
        <v>0</v>
      </c>
      <c r="V282" s="84">
        <f t="shared" si="248"/>
        <v>3.44</v>
      </c>
      <c r="W282" s="52">
        <f t="shared" si="249"/>
        <v>103.63233253017651</v>
      </c>
      <c r="X282" s="52">
        <f t="shared" si="250"/>
        <v>162.09123047547752</v>
      </c>
      <c r="Y282" s="52">
        <f t="shared" si="251"/>
        <v>265.723563005654</v>
      </c>
      <c r="Z282" s="53">
        <f t="shared" si="252"/>
        <v>0.809627597892004</v>
      </c>
      <c r="AA282" s="53">
        <f t="shared" si="253"/>
        <v>0.96482875283022329</v>
      </c>
      <c r="AB282" s="53">
        <f t="shared" si="254"/>
        <v>0.89771473988396622</v>
      </c>
      <c r="AC282" s="39" t="str">
        <f t="shared" si="255"/>
        <v>No</v>
      </c>
      <c r="AD282" s="85">
        <f t="shared" si="256"/>
        <v>0</v>
      </c>
      <c r="AE282" s="46">
        <f t="shared" si="257"/>
        <v>1</v>
      </c>
      <c r="AF282" s="46">
        <f t="shared" si="258"/>
        <v>0</v>
      </c>
      <c r="AG282" s="39">
        <f t="shared" si="313"/>
        <v>35.632332530143721</v>
      </c>
      <c r="AH282" s="39">
        <f t="shared" si="314"/>
        <v>66.000000000000028</v>
      </c>
      <c r="AI282" s="39">
        <f t="shared" si="315"/>
        <v>64.00000000000118</v>
      </c>
      <c r="AJ282" s="39">
        <f t="shared" si="316"/>
        <v>87.000000000031577</v>
      </c>
      <c r="AK282" s="39">
        <f t="shared" si="317"/>
        <v>84.00000000054294</v>
      </c>
      <c r="AL282" s="39">
        <f t="shared" si="318"/>
        <v>75.000000006799155</v>
      </c>
      <c r="AM282" s="39">
        <f t="shared" si="319"/>
        <v>73.29123046813541</v>
      </c>
      <c r="AN282" s="39">
        <f t="shared" si="320"/>
        <v>70.800000000000011</v>
      </c>
      <c r="AO282" s="39">
        <f t="shared" si="259"/>
        <v>0</v>
      </c>
      <c r="AP282" s="39">
        <f t="shared" si="260"/>
        <v>0</v>
      </c>
      <c r="AQ282" s="39">
        <f t="shared" si="261"/>
        <v>0</v>
      </c>
      <c r="AR282" s="39">
        <f t="shared" si="262"/>
        <v>0</v>
      </c>
      <c r="AS282" s="39">
        <f t="shared" si="263"/>
        <v>0</v>
      </c>
      <c r="AT282" s="39">
        <f t="shared" si="264"/>
        <v>0</v>
      </c>
      <c r="AU282" s="39">
        <f t="shared" si="265"/>
        <v>0</v>
      </c>
      <c r="AV282" s="39">
        <f t="shared" si="266"/>
        <v>0</v>
      </c>
      <c r="AW282" s="39">
        <f t="shared" si="267"/>
        <v>0</v>
      </c>
      <c r="AX282" s="39">
        <f t="shared" si="268"/>
        <v>0</v>
      </c>
      <c r="AY282" s="39">
        <f t="shared" si="269"/>
        <v>0</v>
      </c>
      <c r="AZ282" s="39">
        <f t="shared" si="270"/>
        <v>0</v>
      </c>
      <c r="BA282" s="39">
        <f t="shared" si="271"/>
        <v>0</v>
      </c>
      <c r="BB282" s="39">
        <f t="shared" si="272"/>
        <v>0</v>
      </c>
      <c r="BC282" s="39">
        <f t="shared" si="273"/>
        <v>0</v>
      </c>
      <c r="BD282" s="39">
        <f t="shared" si="274"/>
        <v>0</v>
      </c>
      <c r="BE282" s="39">
        <f t="shared" si="275"/>
        <v>0</v>
      </c>
      <c r="BF282" s="39">
        <f t="shared" si="276"/>
        <v>0</v>
      </c>
      <c r="BG282" s="39">
        <f t="shared" si="277"/>
        <v>0</v>
      </c>
      <c r="BH282" s="84">
        <f t="shared" si="278"/>
        <v>0</v>
      </c>
      <c r="BI282" s="84">
        <f t="shared" si="279"/>
        <v>3.44</v>
      </c>
      <c r="BJ282" s="84">
        <f t="shared" si="280"/>
        <v>0.28080351421812871</v>
      </c>
      <c r="BK282" s="39">
        <f t="shared" si="281"/>
        <v>35.351529015925593</v>
      </c>
      <c r="BL282" s="39">
        <f t="shared" si="282"/>
        <v>66.000000000000028</v>
      </c>
      <c r="BM282" s="39">
        <f t="shared" si="283"/>
        <v>64.00000000000118</v>
      </c>
      <c r="BN282" s="39">
        <f t="shared" si="284"/>
        <v>87.000000000031577</v>
      </c>
      <c r="BO282" s="39">
        <f t="shared" si="285"/>
        <v>84.00000000054294</v>
      </c>
      <c r="BP282" s="39">
        <f t="shared" si="286"/>
        <v>75.000000006799155</v>
      </c>
      <c r="BQ282" s="39">
        <f t="shared" si="287"/>
        <v>73.29123046813541</v>
      </c>
      <c r="BR282" s="39">
        <f t="shared" si="288"/>
        <v>70.800000000000011</v>
      </c>
      <c r="BS282" s="39">
        <f t="shared" si="289"/>
        <v>0</v>
      </c>
      <c r="BT282" s="39">
        <f t="shared" si="290"/>
        <v>1.7053025658242404E-14</v>
      </c>
      <c r="BU282" s="39">
        <f t="shared" si="291"/>
        <v>7.1622707764618097E-13</v>
      </c>
      <c r="BV282" s="39">
        <f t="shared" si="292"/>
        <v>1.8937384993478189E-11</v>
      </c>
      <c r="BW282" s="39">
        <f t="shared" si="293"/>
        <v>3.2577247566223378E-10</v>
      </c>
      <c r="BX282" s="39">
        <f t="shared" si="294"/>
        <v>4.079484483554552E-9</v>
      </c>
      <c r="BY282" s="39">
        <f t="shared" si="295"/>
        <v>0</v>
      </c>
      <c r="BZ282" s="39">
        <f t="shared" si="296"/>
        <v>0</v>
      </c>
      <c r="CA282" s="39">
        <f t="shared" si="297"/>
        <v>35.351529015925593</v>
      </c>
      <c r="CB282" s="39">
        <f t="shared" si="298"/>
        <v>66.000000000000014</v>
      </c>
      <c r="CC282" s="39">
        <f t="shared" si="299"/>
        <v>64.000000000000483</v>
      </c>
      <c r="CD282" s="39">
        <f t="shared" si="300"/>
        <v>87.000000000013344</v>
      </c>
      <c r="CE282" s="39">
        <f t="shared" si="301"/>
        <v>84.000000000236113</v>
      </c>
      <c r="CF282" s="39">
        <f t="shared" si="302"/>
        <v>75.000000003045443</v>
      </c>
      <c r="CG282" s="39">
        <f t="shared" si="303"/>
        <v>73.291230472214892</v>
      </c>
      <c r="CH282" s="39">
        <f t="shared" si="304"/>
        <v>70.800000000000011</v>
      </c>
      <c r="CI282" s="39">
        <f t="shared" si="305"/>
        <v>0</v>
      </c>
      <c r="CJ282" s="39">
        <f t="shared" si="306"/>
        <v>0</v>
      </c>
      <c r="CK282" s="39">
        <f t="shared" si="307"/>
        <v>0</v>
      </c>
      <c r="CL282" s="39">
        <f t="shared" si="308"/>
        <v>0</v>
      </c>
      <c r="CM282" s="39">
        <f t="shared" si="309"/>
        <v>0</v>
      </c>
      <c r="CN282" s="39">
        <f t="shared" si="310"/>
        <v>0</v>
      </c>
      <c r="CO282" s="39">
        <f t="shared" si="311"/>
        <v>0</v>
      </c>
      <c r="CP282" s="39">
        <f t="shared" si="312"/>
        <v>0</v>
      </c>
    </row>
    <row r="283" spans="2:94" ht="16" customHeight="1" x14ac:dyDescent="0.2">
      <c r="B283" s="38"/>
      <c r="L283" s="63">
        <v>30595</v>
      </c>
      <c r="M283" s="38">
        <v>0</v>
      </c>
      <c r="N283" s="38">
        <v>7.3</v>
      </c>
      <c r="O283" s="39">
        <v>0</v>
      </c>
      <c r="P283" s="39">
        <v>0</v>
      </c>
      <c r="Q283" s="46">
        <f t="shared" si="243"/>
        <v>0.13915230604879947</v>
      </c>
      <c r="R283" s="81">
        <f t="shared" si="244"/>
        <v>0</v>
      </c>
      <c r="S283" s="82">
        <f t="shared" si="245"/>
        <v>0</v>
      </c>
      <c r="T283" s="39">
        <f t="shared" si="246"/>
        <v>0</v>
      </c>
      <c r="U283" s="83">
        <f t="shared" si="247"/>
        <v>0</v>
      </c>
      <c r="V283" s="84">
        <f t="shared" si="248"/>
        <v>5.84</v>
      </c>
      <c r="W283" s="52">
        <f t="shared" si="249"/>
        <v>103.35152901593943</v>
      </c>
      <c r="X283" s="52">
        <f t="shared" si="250"/>
        <v>162.09123047549645</v>
      </c>
      <c r="Y283" s="52">
        <f t="shared" si="251"/>
        <v>265.44275949143588</v>
      </c>
      <c r="Z283" s="53">
        <f t="shared" si="252"/>
        <v>0.80743382043702683</v>
      </c>
      <c r="AA283" s="53">
        <f t="shared" si="253"/>
        <v>0.96482875283033598</v>
      </c>
      <c r="AB283" s="53">
        <f t="shared" si="254"/>
        <v>0.89676607936295905</v>
      </c>
      <c r="AC283" s="39" t="str">
        <f t="shared" si="255"/>
        <v>No</v>
      </c>
      <c r="AD283" s="85">
        <f t="shared" si="256"/>
        <v>0</v>
      </c>
      <c r="AE283" s="46">
        <f t="shared" si="257"/>
        <v>1</v>
      </c>
      <c r="AF283" s="46">
        <f t="shared" si="258"/>
        <v>0</v>
      </c>
      <c r="AG283" s="39">
        <f t="shared" si="313"/>
        <v>35.351529015925593</v>
      </c>
      <c r="AH283" s="39">
        <f t="shared" si="314"/>
        <v>66.000000000000014</v>
      </c>
      <c r="AI283" s="39">
        <f t="shared" si="315"/>
        <v>64.000000000000483</v>
      </c>
      <c r="AJ283" s="39">
        <f t="shared" si="316"/>
        <v>87.000000000013344</v>
      </c>
      <c r="AK283" s="39">
        <f t="shared" si="317"/>
        <v>84.000000000236113</v>
      </c>
      <c r="AL283" s="39">
        <f t="shared" si="318"/>
        <v>75.000000003045443</v>
      </c>
      <c r="AM283" s="39">
        <f t="shared" si="319"/>
        <v>73.291230472214892</v>
      </c>
      <c r="AN283" s="39">
        <f t="shared" si="320"/>
        <v>70.800000000000011</v>
      </c>
      <c r="AO283" s="39">
        <f t="shared" si="259"/>
        <v>0</v>
      </c>
      <c r="AP283" s="39">
        <f t="shared" si="260"/>
        <v>0</v>
      </c>
      <c r="AQ283" s="39">
        <f t="shared" si="261"/>
        <v>0</v>
      </c>
      <c r="AR283" s="39">
        <f t="shared" si="262"/>
        <v>0</v>
      </c>
      <c r="AS283" s="39">
        <f t="shared" si="263"/>
        <v>0</v>
      </c>
      <c r="AT283" s="39">
        <f t="shared" si="264"/>
        <v>0</v>
      </c>
      <c r="AU283" s="39">
        <f t="shared" si="265"/>
        <v>0</v>
      </c>
      <c r="AV283" s="39">
        <f t="shared" si="266"/>
        <v>0</v>
      </c>
      <c r="AW283" s="39">
        <f t="shared" si="267"/>
        <v>0</v>
      </c>
      <c r="AX283" s="39">
        <f t="shared" si="268"/>
        <v>0</v>
      </c>
      <c r="AY283" s="39">
        <f t="shared" si="269"/>
        <v>0</v>
      </c>
      <c r="AZ283" s="39">
        <f t="shared" si="270"/>
        <v>0</v>
      </c>
      <c r="BA283" s="39">
        <f t="shared" si="271"/>
        <v>0</v>
      </c>
      <c r="BB283" s="39">
        <f t="shared" si="272"/>
        <v>0</v>
      </c>
      <c r="BC283" s="39">
        <f t="shared" si="273"/>
        <v>0</v>
      </c>
      <c r="BD283" s="39">
        <f t="shared" si="274"/>
        <v>0</v>
      </c>
      <c r="BE283" s="39">
        <f t="shared" si="275"/>
        <v>0</v>
      </c>
      <c r="BF283" s="39">
        <f t="shared" si="276"/>
        <v>0</v>
      </c>
      <c r="BG283" s="39">
        <f t="shared" si="277"/>
        <v>0</v>
      </c>
      <c r="BH283" s="84">
        <f t="shared" si="278"/>
        <v>0</v>
      </c>
      <c r="BI283" s="84">
        <f t="shared" si="279"/>
        <v>5.84</v>
      </c>
      <c r="BJ283" s="84">
        <f t="shared" si="280"/>
        <v>0.45128593908355319</v>
      </c>
      <c r="BK283" s="39">
        <f t="shared" si="281"/>
        <v>34.900243076842038</v>
      </c>
      <c r="BL283" s="39">
        <f t="shared" si="282"/>
        <v>66.000000000000014</v>
      </c>
      <c r="BM283" s="39">
        <f t="shared" si="283"/>
        <v>64.000000000000483</v>
      </c>
      <c r="BN283" s="39">
        <f t="shared" si="284"/>
        <v>87.000000000013344</v>
      </c>
      <c r="BO283" s="39">
        <f t="shared" si="285"/>
        <v>84.000000000236113</v>
      </c>
      <c r="BP283" s="39">
        <f t="shared" si="286"/>
        <v>75.000000003045443</v>
      </c>
      <c r="BQ283" s="39">
        <f t="shared" si="287"/>
        <v>73.291230472214892</v>
      </c>
      <c r="BR283" s="39">
        <f t="shared" si="288"/>
        <v>70.800000000000011</v>
      </c>
      <c r="BS283" s="39">
        <f t="shared" si="289"/>
        <v>0</v>
      </c>
      <c r="BT283" s="39">
        <f t="shared" si="290"/>
        <v>8.5265128291212019E-15</v>
      </c>
      <c r="BU283" s="39">
        <f t="shared" si="291"/>
        <v>2.9842794901924208E-13</v>
      </c>
      <c r="BV283" s="39">
        <f t="shared" si="292"/>
        <v>7.997869033715687E-12</v>
      </c>
      <c r="BW283" s="39">
        <f t="shared" si="293"/>
        <v>1.416765371686779E-10</v>
      </c>
      <c r="BX283" s="39">
        <f t="shared" si="294"/>
        <v>1.8272572788191608E-9</v>
      </c>
      <c r="BY283" s="39">
        <f t="shared" si="295"/>
        <v>0</v>
      </c>
      <c r="BZ283" s="39">
        <f t="shared" si="296"/>
        <v>0</v>
      </c>
      <c r="CA283" s="39">
        <f t="shared" si="297"/>
        <v>34.900243076842038</v>
      </c>
      <c r="CB283" s="39">
        <f t="shared" si="298"/>
        <v>66</v>
      </c>
      <c r="CC283" s="39">
        <f t="shared" si="299"/>
        <v>64.000000000000199</v>
      </c>
      <c r="CD283" s="39">
        <f t="shared" si="300"/>
        <v>87.000000000005642</v>
      </c>
      <c r="CE283" s="39">
        <f t="shared" si="301"/>
        <v>84.000000000102432</v>
      </c>
      <c r="CF283" s="39">
        <f t="shared" si="302"/>
        <v>75.000000001359865</v>
      </c>
      <c r="CG283" s="39">
        <f t="shared" si="303"/>
        <v>73.291230474042152</v>
      </c>
      <c r="CH283" s="39">
        <f t="shared" si="304"/>
        <v>70.800000000000011</v>
      </c>
      <c r="CI283" s="39">
        <f t="shared" si="305"/>
        <v>0</v>
      </c>
      <c r="CJ283" s="39">
        <f t="shared" si="306"/>
        <v>0</v>
      </c>
      <c r="CK283" s="39">
        <f t="shared" si="307"/>
        <v>0</v>
      </c>
      <c r="CL283" s="39">
        <f t="shared" si="308"/>
        <v>0</v>
      </c>
      <c r="CM283" s="39">
        <f t="shared" si="309"/>
        <v>0</v>
      </c>
      <c r="CN283" s="39">
        <f t="shared" si="310"/>
        <v>0</v>
      </c>
      <c r="CO283" s="39">
        <f t="shared" si="311"/>
        <v>0</v>
      </c>
      <c r="CP283" s="39">
        <f t="shared" si="312"/>
        <v>0</v>
      </c>
    </row>
    <row r="284" spans="2:94" ht="16" customHeight="1" x14ac:dyDescent="0.2">
      <c r="B284" s="38"/>
      <c r="L284" s="63">
        <v>30596</v>
      </c>
      <c r="M284" s="38">
        <v>0</v>
      </c>
      <c r="N284" s="38">
        <v>5.3</v>
      </c>
      <c r="O284" s="39">
        <v>0</v>
      </c>
      <c r="P284" s="39">
        <v>0</v>
      </c>
      <c r="Q284" s="46">
        <f t="shared" si="243"/>
        <v>0.14006707484423914</v>
      </c>
      <c r="R284" s="81">
        <f t="shared" si="244"/>
        <v>0</v>
      </c>
      <c r="S284" s="82">
        <f t="shared" si="245"/>
        <v>0</v>
      </c>
      <c r="T284" s="39">
        <f t="shared" si="246"/>
        <v>0</v>
      </c>
      <c r="U284" s="83">
        <f t="shared" si="247"/>
        <v>0</v>
      </c>
      <c r="V284" s="84">
        <f t="shared" si="248"/>
        <v>4.24</v>
      </c>
      <c r="W284" s="52">
        <f t="shared" si="249"/>
        <v>102.90024307684786</v>
      </c>
      <c r="X284" s="52">
        <f t="shared" si="250"/>
        <v>162.09123047550446</v>
      </c>
      <c r="Y284" s="52">
        <f t="shared" si="251"/>
        <v>264.99147355235232</v>
      </c>
      <c r="Z284" s="53">
        <f t="shared" si="252"/>
        <v>0.80390814903787389</v>
      </c>
      <c r="AA284" s="53">
        <f t="shared" si="253"/>
        <v>0.96482875283038372</v>
      </c>
      <c r="AB284" s="53">
        <f t="shared" si="254"/>
        <v>0.89524146470389299</v>
      </c>
      <c r="AC284" s="39" t="str">
        <f t="shared" si="255"/>
        <v>No</v>
      </c>
      <c r="AD284" s="85">
        <f t="shared" si="256"/>
        <v>0</v>
      </c>
      <c r="AE284" s="46">
        <f t="shared" si="257"/>
        <v>1</v>
      </c>
      <c r="AF284" s="46">
        <f t="shared" si="258"/>
        <v>0</v>
      </c>
      <c r="AG284" s="39">
        <f t="shared" si="313"/>
        <v>34.900243076842038</v>
      </c>
      <c r="AH284" s="39">
        <f t="shared" si="314"/>
        <v>66</v>
      </c>
      <c r="AI284" s="39">
        <f t="shared" si="315"/>
        <v>64.000000000000199</v>
      </c>
      <c r="AJ284" s="39">
        <f t="shared" si="316"/>
        <v>87.000000000005642</v>
      </c>
      <c r="AK284" s="39">
        <f t="shared" si="317"/>
        <v>84.000000000102432</v>
      </c>
      <c r="AL284" s="39">
        <f t="shared" si="318"/>
        <v>75.000000001359865</v>
      </c>
      <c r="AM284" s="39">
        <f t="shared" si="319"/>
        <v>73.291230474042152</v>
      </c>
      <c r="AN284" s="39">
        <f t="shared" si="320"/>
        <v>70.800000000000011</v>
      </c>
      <c r="AO284" s="39">
        <f t="shared" si="259"/>
        <v>0</v>
      </c>
      <c r="AP284" s="39">
        <f t="shared" si="260"/>
        <v>0</v>
      </c>
      <c r="AQ284" s="39">
        <f t="shared" si="261"/>
        <v>0</v>
      </c>
      <c r="AR284" s="39">
        <f t="shared" si="262"/>
        <v>0</v>
      </c>
      <c r="AS284" s="39">
        <f t="shared" si="263"/>
        <v>0</v>
      </c>
      <c r="AT284" s="39">
        <f t="shared" si="264"/>
        <v>0</v>
      </c>
      <c r="AU284" s="39">
        <f t="shared" si="265"/>
        <v>0</v>
      </c>
      <c r="AV284" s="39">
        <f t="shared" si="266"/>
        <v>0</v>
      </c>
      <c r="AW284" s="39">
        <f t="shared" si="267"/>
        <v>0</v>
      </c>
      <c r="AX284" s="39">
        <f t="shared" si="268"/>
        <v>0</v>
      </c>
      <c r="AY284" s="39">
        <f t="shared" si="269"/>
        <v>0</v>
      </c>
      <c r="AZ284" s="39">
        <f t="shared" si="270"/>
        <v>0</v>
      </c>
      <c r="BA284" s="39">
        <f t="shared" si="271"/>
        <v>0</v>
      </c>
      <c r="BB284" s="39">
        <f t="shared" si="272"/>
        <v>0</v>
      </c>
      <c r="BC284" s="39">
        <f t="shared" si="273"/>
        <v>0</v>
      </c>
      <c r="BD284" s="39">
        <f t="shared" si="274"/>
        <v>0</v>
      </c>
      <c r="BE284" s="39">
        <f t="shared" si="275"/>
        <v>0</v>
      </c>
      <c r="BF284" s="39">
        <f t="shared" si="276"/>
        <v>0</v>
      </c>
      <c r="BG284" s="39">
        <f t="shared" si="277"/>
        <v>0</v>
      </c>
      <c r="BH284" s="84">
        <f t="shared" si="278"/>
        <v>0</v>
      </c>
      <c r="BI284" s="84">
        <f t="shared" si="279"/>
        <v>4.24</v>
      </c>
      <c r="BJ284" s="84">
        <f t="shared" si="280"/>
        <v>0.29953678417641155</v>
      </c>
      <c r="BK284" s="39">
        <f t="shared" si="281"/>
        <v>34.600706292665627</v>
      </c>
      <c r="BL284" s="39">
        <f t="shared" si="282"/>
        <v>66</v>
      </c>
      <c r="BM284" s="39">
        <f t="shared" si="283"/>
        <v>64.000000000000199</v>
      </c>
      <c r="BN284" s="39">
        <f t="shared" si="284"/>
        <v>87.000000000005642</v>
      </c>
      <c r="BO284" s="39">
        <f t="shared" si="285"/>
        <v>84.000000000102432</v>
      </c>
      <c r="BP284" s="39">
        <f t="shared" si="286"/>
        <v>75.000000001359865</v>
      </c>
      <c r="BQ284" s="39">
        <f t="shared" si="287"/>
        <v>73.291230474042152</v>
      </c>
      <c r="BR284" s="39">
        <f t="shared" si="288"/>
        <v>70.800000000000011</v>
      </c>
      <c r="BS284" s="39">
        <f t="shared" si="289"/>
        <v>0</v>
      </c>
      <c r="BT284" s="39">
        <f t="shared" si="290"/>
        <v>0</v>
      </c>
      <c r="BU284" s="39">
        <f t="shared" si="291"/>
        <v>1.2789769243681803E-13</v>
      </c>
      <c r="BV284" s="39">
        <f t="shared" si="292"/>
        <v>3.376499080331996E-12</v>
      </c>
      <c r="BW284" s="39">
        <f t="shared" si="293"/>
        <v>6.1467630985134742E-11</v>
      </c>
      <c r="BX284" s="39">
        <f t="shared" si="294"/>
        <v>8.1591053913143694E-10</v>
      </c>
      <c r="BY284" s="39">
        <f t="shared" si="295"/>
        <v>0</v>
      </c>
      <c r="BZ284" s="39">
        <f t="shared" si="296"/>
        <v>0</v>
      </c>
      <c r="CA284" s="39">
        <f t="shared" si="297"/>
        <v>34.600706292665627</v>
      </c>
      <c r="CB284" s="39">
        <f t="shared" si="298"/>
        <v>66</v>
      </c>
      <c r="CC284" s="39">
        <f t="shared" si="299"/>
        <v>64.000000000000071</v>
      </c>
      <c r="CD284" s="39">
        <f t="shared" si="300"/>
        <v>87.000000000002387</v>
      </c>
      <c r="CE284" s="39">
        <f t="shared" si="301"/>
        <v>84.000000000044352</v>
      </c>
      <c r="CF284" s="39">
        <f t="shared" si="302"/>
        <v>75.000000000605411</v>
      </c>
      <c r="CG284" s="39">
        <f t="shared" si="303"/>
        <v>73.291230474858068</v>
      </c>
      <c r="CH284" s="39">
        <f t="shared" si="304"/>
        <v>70.800000000000011</v>
      </c>
      <c r="CI284" s="39">
        <f t="shared" si="305"/>
        <v>0</v>
      </c>
      <c r="CJ284" s="39">
        <f t="shared" si="306"/>
        <v>0</v>
      </c>
      <c r="CK284" s="39">
        <f t="shared" si="307"/>
        <v>0</v>
      </c>
      <c r="CL284" s="39">
        <f t="shared" si="308"/>
        <v>0</v>
      </c>
      <c r="CM284" s="39">
        <f t="shared" si="309"/>
        <v>0</v>
      </c>
      <c r="CN284" s="39">
        <f t="shared" si="310"/>
        <v>0</v>
      </c>
      <c r="CO284" s="39">
        <f t="shared" si="311"/>
        <v>0</v>
      </c>
      <c r="CP284" s="39">
        <f t="shared" si="312"/>
        <v>0</v>
      </c>
    </row>
    <row r="285" spans="2:94" ht="16" customHeight="1" x14ac:dyDescent="0.2">
      <c r="B285" s="38"/>
      <c r="L285" s="63">
        <v>30597</v>
      </c>
      <c r="M285" s="38">
        <v>0</v>
      </c>
      <c r="N285" s="38">
        <v>5.3</v>
      </c>
      <c r="O285" s="39">
        <v>0</v>
      </c>
      <c r="P285" s="39">
        <v>0</v>
      </c>
      <c r="Q285" s="46">
        <f t="shared" si="243"/>
        <v>0.14067424400135348</v>
      </c>
      <c r="R285" s="81">
        <f t="shared" si="244"/>
        <v>0</v>
      </c>
      <c r="S285" s="82">
        <f t="shared" si="245"/>
        <v>0</v>
      </c>
      <c r="T285" s="39">
        <f t="shared" si="246"/>
        <v>0</v>
      </c>
      <c r="U285" s="83">
        <f t="shared" si="247"/>
        <v>0</v>
      </c>
      <c r="V285" s="84">
        <f t="shared" si="248"/>
        <v>4.24</v>
      </c>
      <c r="W285" s="52">
        <f t="shared" si="249"/>
        <v>102.60070629266806</v>
      </c>
      <c r="X285" s="52">
        <f t="shared" si="250"/>
        <v>162.09123047550787</v>
      </c>
      <c r="Y285" s="52">
        <f t="shared" si="251"/>
        <v>264.69193676817594</v>
      </c>
      <c r="Z285" s="53">
        <f t="shared" si="252"/>
        <v>0.80156801791146925</v>
      </c>
      <c r="AA285" s="53">
        <f t="shared" si="253"/>
        <v>0.96482875283040404</v>
      </c>
      <c r="AB285" s="53">
        <f t="shared" si="254"/>
        <v>0.89422951610870249</v>
      </c>
      <c r="AC285" s="39" t="str">
        <f t="shared" si="255"/>
        <v>No</v>
      </c>
      <c r="AD285" s="85">
        <f t="shared" si="256"/>
        <v>0</v>
      </c>
      <c r="AE285" s="46">
        <f t="shared" si="257"/>
        <v>1</v>
      </c>
      <c r="AF285" s="46">
        <f t="shared" si="258"/>
        <v>0</v>
      </c>
      <c r="AG285" s="39">
        <f t="shared" si="313"/>
        <v>34.600706292665627</v>
      </c>
      <c r="AH285" s="39">
        <f t="shared" si="314"/>
        <v>66</v>
      </c>
      <c r="AI285" s="39">
        <f t="shared" si="315"/>
        <v>64.000000000000071</v>
      </c>
      <c r="AJ285" s="39">
        <f t="shared" si="316"/>
        <v>87.000000000002387</v>
      </c>
      <c r="AK285" s="39">
        <f t="shared" si="317"/>
        <v>84.000000000044352</v>
      </c>
      <c r="AL285" s="39">
        <f t="shared" si="318"/>
        <v>75.000000000605411</v>
      </c>
      <c r="AM285" s="39">
        <f t="shared" si="319"/>
        <v>73.291230474858068</v>
      </c>
      <c r="AN285" s="39">
        <f t="shared" si="320"/>
        <v>70.800000000000011</v>
      </c>
      <c r="AO285" s="39">
        <f t="shared" si="259"/>
        <v>0</v>
      </c>
      <c r="AP285" s="39">
        <f t="shared" si="260"/>
        <v>0</v>
      </c>
      <c r="AQ285" s="39">
        <f t="shared" si="261"/>
        <v>0</v>
      </c>
      <c r="AR285" s="39">
        <f t="shared" si="262"/>
        <v>0</v>
      </c>
      <c r="AS285" s="39">
        <f t="shared" si="263"/>
        <v>0</v>
      </c>
      <c r="AT285" s="39">
        <f t="shared" si="264"/>
        <v>0</v>
      </c>
      <c r="AU285" s="39">
        <f t="shared" si="265"/>
        <v>0</v>
      </c>
      <c r="AV285" s="39">
        <f t="shared" si="266"/>
        <v>0</v>
      </c>
      <c r="AW285" s="39">
        <f t="shared" si="267"/>
        <v>0</v>
      </c>
      <c r="AX285" s="39">
        <f t="shared" si="268"/>
        <v>0</v>
      </c>
      <c r="AY285" s="39">
        <f t="shared" si="269"/>
        <v>0</v>
      </c>
      <c r="AZ285" s="39">
        <f t="shared" si="270"/>
        <v>0</v>
      </c>
      <c r="BA285" s="39">
        <f t="shared" si="271"/>
        <v>0</v>
      </c>
      <c r="BB285" s="39">
        <f t="shared" si="272"/>
        <v>0</v>
      </c>
      <c r="BC285" s="39">
        <f t="shared" si="273"/>
        <v>0</v>
      </c>
      <c r="BD285" s="39">
        <f t="shared" si="274"/>
        <v>0</v>
      </c>
      <c r="BE285" s="39">
        <f t="shared" si="275"/>
        <v>0</v>
      </c>
      <c r="BF285" s="39">
        <f t="shared" si="276"/>
        <v>0</v>
      </c>
      <c r="BG285" s="39">
        <f t="shared" si="277"/>
        <v>0</v>
      </c>
      <c r="BH285" s="84">
        <f t="shared" si="278"/>
        <v>0</v>
      </c>
      <c r="BI285" s="84">
        <f t="shared" si="279"/>
        <v>4.24</v>
      </c>
      <c r="BJ285" s="84">
        <f t="shared" si="280"/>
        <v>0.28190548242533725</v>
      </c>
      <c r="BK285" s="39">
        <f t="shared" si="281"/>
        <v>34.31880081024029</v>
      </c>
      <c r="BL285" s="39">
        <f t="shared" si="282"/>
        <v>66</v>
      </c>
      <c r="BM285" s="39">
        <f t="shared" si="283"/>
        <v>64.000000000000071</v>
      </c>
      <c r="BN285" s="39">
        <f t="shared" si="284"/>
        <v>87.000000000002387</v>
      </c>
      <c r="BO285" s="39">
        <f t="shared" si="285"/>
        <v>84.000000000044352</v>
      </c>
      <c r="BP285" s="39">
        <f t="shared" si="286"/>
        <v>75.000000000605411</v>
      </c>
      <c r="BQ285" s="39">
        <f t="shared" si="287"/>
        <v>73.291230474858068</v>
      </c>
      <c r="BR285" s="39">
        <f t="shared" si="288"/>
        <v>70.800000000000011</v>
      </c>
      <c r="BS285" s="39">
        <f t="shared" si="289"/>
        <v>0</v>
      </c>
      <c r="BT285" s="39">
        <f t="shared" si="290"/>
        <v>0</v>
      </c>
      <c r="BU285" s="39">
        <f t="shared" si="291"/>
        <v>5.1159076974727208E-14</v>
      </c>
      <c r="BV285" s="39">
        <f t="shared" si="292"/>
        <v>1.4239276424632408E-12</v>
      </c>
      <c r="BW285" s="39">
        <f t="shared" si="293"/>
        <v>2.6619773052516391E-11</v>
      </c>
      <c r="BX285" s="39">
        <f t="shared" si="294"/>
        <v>3.6323797303339232E-10</v>
      </c>
      <c r="BY285" s="39">
        <f t="shared" si="295"/>
        <v>0</v>
      </c>
      <c r="BZ285" s="39">
        <f t="shared" si="296"/>
        <v>0</v>
      </c>
      <c r="CA285" s="39">
        <f t="shared" si="297"/>
        <v>34.31880081024029</v>
      </c>
      <c r="CB285" s="39">
        <f t="shared" si="298"/>
        <v>66</v>
      </c>
      <c r="CC285" s="39">
        <f t="shared" si="299"/>
        <v>64.000000000000014</v>
      </c>
      <c r="CD285" s="39">
        <f t="shared" si="300"/>
        <v>87.000000000001023</v>
      </c>
      <c r="CE285" s="39">
        <f t="shared" si="301"/>
        <v>84.000000000019156</v>
      </c>
      <c r="CF285" s="39">
        <f t="shared" si="302"/>
        <v>75.000000000268784</v>
      </c>
      <c r="CG285" s="39">
        <f t="shared" si="303"/>
        <v>73.291230475221312</v>
      </c>
      <c r="CH285" s="39">
        <f t="shared" si="304"/>
        <v>70.800000000000011</v>
      </c>
      <c r="CI285" s="39">
        <f t="shared" si="305"/>
        <v>0</v>
      </c>
      <c r="CJ285" s="39">
        <f t="shared" si="306"/>
        <v>0</v>
      </c>
      <c r="CK285" s="39">
        <f t="shared" si="307"/>
        <v>0</v>
      </c>
      <c r="CL285" s="39">
        <f t="shared" si="308"/>
        <v>0</v>
      </c>
      <c r="CM285" s="39">
        <f t="shared" si="309"/>
        <v>0</v>
      </c>
      <c r="CN285" s="39">
        <f t="shared" si="310"/>
        <v>0</v>
      </c>
      <c r="CO285" s="39">
        <f t="shared" si="311"/>
        <v>0</v>
      </c>
      <c r="CP285" s="39">
        <f t="shared" si="312"/>
        <v>0</v>
      </c>
    </row>
    <row r="286" spans="2:94" ht="16" customHeight="1" x14ac:dyDescent="0.2">
      <c r="B286" s="38"/>
      <c r="L286" s="63">
        <v>30598</v>
      </c>
      <c r="M286" s="38">
        <v>0</v>
      </c>
      <c r="N286" s="38">
        <v>4.2</v>
      </c>
      <c r="O286" s="39">
        <v>0</v>
      </c>
      <c r="P286" s="39">
        <v>0</v>
      </c>
      <c r="Q286" s="46">
        <f t="shared" si="243"/>
        <v>0.14124567403329671</v>
      </c>
      <c r="R286" s="81">
        <f t="shared" si="244"/>
        <v>0</v>
      </c>
      <c r="S286" s="82">
        <f t="shared" si="245"/>
        <v>0</v>
      </c>
      <c r="T286" s="39">
        <f t="shared" si="246"/>
        <v>0</v>
      </c>
      <c r="U286" s="83">
        <f t="shared" si="247"/>
        <v>0</v>
      </c>
      <c r="V286" s="84">
        <f t="shared" si="248"/>
        <v>3.3600000000000003</v>
      </c>
      <c r="W286" s="52">
        <f t="shared" si="249"/>
        <v>102.31880081024133</v>
      </c>
      <c r="X286" s="52">
        <f t="shared" si="250"/>
        <v>162.09123047550929</v>
      </c>
      <c r="Y286" s="52">
        <f t="shared" si="251"/>
        <v>264.41003128575062</v>
      </c>
      <c r="Z286" s="53">
        <f t="shared" si="252"/>
        <v>0.79936563133001037</v>
      </c>
      <c r="AA286" s="53">
        <f t="shared" si="253"/>
        <v>0.96482875283041247</v>
      </c>
      <c r="AB286" s="53">
        <f t="shared" si="254"/>
        <v>0.8932771327221305</v>
      </c>
      <c r="AC286" s="39" t="str">
        <f t="shared" si="255"/>
        <v>No</v>
      </c>
      <c r="AD286" s="85">
        <f t="shared" si="256"/>
        <v>0</v>
      </c>
      <c r="AE286" s="46">
        <f t="shared" si="257"/>
        <v>1</v>
      </c>
      <c r="AF286" s="46">
        <f t="shared" si="258"/>
        <v>0</v>
      </c>
      <c r="AG286" s="39">
        <f t="shared" si="313"/>
        <v>34.31880081024029</v>
      </c>
      <c r="AH286" s="39">
        <f t="shared" si="314"/>
        <v>66</v>
      </c>
      <c r="AI286" s="39">
        <f t="shared" si="315"/>
        <v>64.000000000000014</v>
      </c>
      <c r="AJ286" s="39">
        <f t="shared" si="316"/>
        <v>87.000000000001023</v>
      </c>
      <c r="AK286" s="39">
        <f t="shared" si="317"/>
        <v>84.000000000019156</v>
      </c>
      <c r="AL286" s="39">
        <f t="shared" si="318"/>
        <v>75.000000000268784</v>
      </c>
      <c r="AM286" s="39">
        <f t="shared" si="319"/>
        <v>73.291230475221312</v>
      </c>
      <c r="AN286" s="39">
        <f t="shared" si="320"/>
        <v>70.800000000000011</v>
      </c>
      <c r="AO286" s="39">
        <f t="shared" si="259"/>
        <v>0</v>
      </c>
      <c r="AP286" s="39">
        <f t="shared" si="260"/>
        <v>0</v>
      </c>
      <c r="AQ286" s="39">
        <f t="shared" si="261"/>
        <v>0</v>
      </c>
      <c r="AR286" s="39">
        <f t="shared" si="262"/>
        <v>0</v>
      </c>
      <c r="AS286" s="39">
        <f t="shared" si="263"/>
        <v>0</v>
      </c>
      <c r="AT286" s="39">
        <f t="shared" si="264"/>
        <v>0</v>
      </c>
      <c r="AU286" s="39">
        <f t="shared" si="265"/>
        <v>0</v>
      </c>
      <c r="AV286" s="39">
        <f t="shared" si="266"/>
        <v>0</v>
      </c>
      <c r="AW286" s="39">
        <f t="shared" si="267"/>
        <v>0</v>
      </c>
      <c r="AX286" s="39">
        <f t="shared" si="268"/>
        <v>0</v>
      </c>
      <c r="AY286" s="39">
        <f t="shared" si="269"/>
        <v>0</v>
      </c>
      <c r="AZ286" s="39">
        <f t="shared" si="270"/>
        <v>0</v>
      </c>
      <c r="BA286" s="39">
        <f t="shared" si="271"/>
        <v>0</v>
      </c>
      <c r="BB286" s="39">
        <f t="shared" si="272"/>
        <v>0</v>
      </c>
      <c r="BC286" s="39">
        <f t="shared" si="273"/>
        <v>0</v>
      </c>
      <c r="BD286" s="39">
        <f t="shared" si="274"/>
        <v>0</v>
      </c>
      <c r="BE286" s="39">
        <f t="shared" si="275"/>
        <v>0</v>
      </c>
      <c r="BF286" s="39">
        <f t="shared" si="276"/>
        <v>0</v>
      </c>
      <c r="BG286" s="39">
        <f t="shared" si="277"/>
        <v>0</v>
      </c>
      <c r="BH286" s="84">
        <f t="shared" si="278"/>
        <v>0</v>
      </c>
      <c r="BI286" s="84">
        <f t="shared" si="279"/>
        <v>3.3600000000000003</v>
      </c>
      <c r="BJ286" s="84">
        <f t="shared" si="280"/>
        <v>0.21081947004673518</v>
      </c>
      <c r="BK286" s="39">
        <f t="shared" si="281"/>
        <v>34.107981340193554</v>
      </c>
      <c r="BL286" s="39">
        <f t="shared" si="282"/>
        <v>66</v>
      </c>
      <c r="BM286" s="39">
        <f t="shared" si="283"/>
        <v>64.000000000000014</v>
      </c>
      <c r="BN286" s="39">
        <f t="shared" si="284"/>
        <v>87.000000000001023</v>
      </c>
      <c r="BO286" s="39">
        <f t="shared" si="285"/>
        <v>84.000000000019156</v>
      </c>
      <c r="BP286" s="39">
        <f t="shared" si="286"/>
        <v>75.000000000268784</v>
      </c>
      <c r="BQ286" s="39">
        <f t="shared" si="287"/>
        <v>73.291230475221312</v>
      </c>
      <c r="BR286" s="39">
        <f t="shared" si="288"/>
        <v>70.800000000000011</v>
      </c>
      <c r="BS286" s="39">
        <f t="shared" si="289"/>
        <v>0</v>
      </c>
      <c r="BT286" s="39">
        <f t="shared" si="290"/>
        <v>0</v>
      </c>
      <c r="BU286" s="39">
        <f t="shared" si="291"/>
        <v>1.7053025658242404E-14</v>
      </c>
      <c r="BV286" s="39">
        <f t="shared" si="292"/>
        <v>6.0538241086760538E-13</v>
      </c>
      <c r="BW286" s="39">
        <f t="shared" si="293"/>
        <v>1.1502265806484501E-11</v>
      </c>
      <c r="BX286" s="39">
        <f t="shared" si="294"/>
        <v>1.6126193713716929E-10</v>
      </c>
      <c r="BY286" s="39">
        <f t="shared" si="295"/>
        <v>0</v>
      </c>
      <c r="BZ286" s="39">
        <f t="shared" si="296"/>
        <v>0</v>
      </c>
      <c r="CA286" s="39">
        <f t="shared" si="297"/>
        <v>34.107981340193554</v>
      </c>
      <c r="CB286" s="39">
        <f t="shared" si="298"/>
        <v>66</v>
      </c>
      <c r="CC286" s="39">
        <f t="shared" si="299"/>
        <v>64</v>
      </c>
      <c r="CD286" s="39">
        <f t="shared" si="300"/>
        <v>87.000000000000426</v>
      </c>
      <c r="CE286" s="39">
        <f t="shared" si="301"/>
        <v>84.000000000008271</v>
      </c>
      <c r="CF286" s="39">
        <f t="shared" si="302"/>
        <v>75.000000000119016</v>
      </c>
      <c r="CG286" s="39">
        <f t="shared" si="303"/>
        <v>73.291230475382577</v>
      </c>
      <c r="CH286" s="39">
        <f t="shared" si="304"/>
        <v>70.800000000000011</v>
      </c>
      <c r="CI286" s="39">
        <f t="shared" si="305"/>
        <v>0</v>
      </c>
      <c r="CJ286" s="39">
        <f t="shared" si="306"/>
        <v>0</v>
      </c>
      <c r="CK286" s="39">
        <f t="shared" si="307"/>
        <v>0</v>
      </c>
      <c r="CL286" s="39">
        <f t="shared" si="308"/>
        <v>0</v>
      </c>
      <c r="CM286" s="39">
        <f t="shared" si="309"/>
        <v>0</v>
      </c>
      <c r="CN286" s="39">
        <f t="shared" si="310"/>
        <v>0</v>
      </c>
      <c r="CO286" s="39">
        <f t="shared" si="311"/>
        <v>0</v>
      </c>
      <c r="CP286" s="39">
        <f t="shared" si="312"/>
        <v>0</v>
      </c>
    </row>
    <row r="287" spans="2:94" ht="16" customHeight="1" x14ac:dyDescent="0.2">
      <c r="B287" s="38"/>
      <c r="L287" s="63">
        <v>30599</v>
      </c>
      <c r="M287" s="38">
        <v>0</v>
      </c>
      <c r="N287" s="38">
        <v>4.5</v>
      </c>
      <c r="O287" s="39">
        <v>0</v>
      </c>
      <c r="P287" s="39">
        <v>0</v>
      </c>
      <c r="Q287" s="46">
        <f t="shared" si="243"/>
        <v>0.14167301079690492</v>
      </c>
      <c r="R287" s="81">
        <f t="shared" si="244"/>
        <v>0</v>
      </c>
      <c r="S287" s="82">
        <f t="shared" si="245"/>
        <v>0</v>
      </c>
      <c r="T287" s="39">
        <f t="shared" si="246"/>
        <v>0</v>
      </c>
      <c r="U287" s="83">
        <f t="shared" si="247"/>
        <v>0</v>
      </c>
      <c r="V287" s="84">
        <f t="shared" si="248"/>
        <v>3.6</v>
      </c>
      <c r="W287" s="52">
        <f t="shared" si="249"/>
        <v>102.10798134019399</v>
      </c>
      <c r="X287" s="52">
        <f t="shared" si="250"/>
        <v>162.09123047550986</v>
      </c>
      <c r="Y287" s="52">
        <f t="shared" si="251"/>
        <v>264.19921181570385</v>
      </c>
      <c r="Z287" s="53">
        <f t="shared" si="252"/>
        <v>0.79771860422026553</v>
      </c>
      <c r="AA287" s="53">
        <f t="shared" si="253"/>
        <v>0.9648287528304158</v>
      </c>
      <c r="AB287" s="53">
        <f t="shared" si="254"/>
        <v>0.89256490478278327</v>
      </c>
      <c r="AC287" s="39" t="str">
        <f t="shared" si="255"/>
        <v>No</v>
      </c>
      <c r="AD287" s="85">
        <f t="shared" si="256"/>
        <v>0</v>
      </c>
      <c r="AE287" s="46">
        <f t="shared" si="257"/>
        <v>1</v>
      </c>
      <c r="AF287" s="46">
        <f t="shared" si="258"/>
        <v>0</v>
      </c>
      <c r="AG287" s="39">
        <f t="shared" si="313"/>
        <v>34.107981340193554</v>
      </c>
      <c r="AH287" s="39">
        <f t="shared" si="314"/>
        <v>66</v>
      </c>
      <c r="AI287" s="39">
        <f t="shared" si="315"/>
        <v>64</v>
      </c>
      <c r="AJ287" s="39">
        <f t="shared" si="316"/>
        <v>87.000000000000426</v>
      </c>
      <c r="AK287" s="39">
        <f t="shared" si="317"/>
        <v>84.000000000008271</v>
      </c>
      <c r="AL287" s="39">
        <f t="shared" si="318"/>
        <v>75.000000000119016</v>
      </c>
      <c r="AM287" s="39">
        <f t="shared" si="319"/>
        <v>73.291230475382577</v>
      </c>
      <c r="AN287" s="39">
        <f t="shared" si="320"/>
        <v>70.800000000000011</v>
      </c>
      <c r="AO287" s="39">
        <f t="shared" si="259"/>
        <v>0</v>
      </c>
      <c r="AP287" s="39">
        <f t="shared" si="260"/>
        <v>0</v>
      </c>
      <c r="AQ287" s="39">
        <f t="shared" si="261"/>
        <v>0</v>
      </c>
      <c r="AR287" s="39">
        <f t="shared" si="262"/>
        <v>0</v>
      </c>
      <c r="AS287" s="39">
        <f t="shared" si="263"/>
        <v>0</v>
      </c>
      <c r="AT287" s="39">
        <f t="shared" si="264"/>
        <v>0</v>
      </c>
      <c r="AU287" s="39">
        <f t="shared" si="265"/>
        <v>0</v>
      </c>
      <c r="AV287" s="39">
        <f t="shared" si="266"/>
        <v>0</v>
      </c>
      <c r="AW287" s="39">
        <f t="shared" si="267"/>
        <v>0</v>
      </c>
      <c r="AX287" s="39">
        <f t="shared" si="268"/>
        <v>0</v>
      </c>
      <c r="AY287" s="39">
        <f t="shared" si="269"/>
        <v>0</v>
      </c>
      <c r="AZ287" s="39">
        <f t="shared" si="270"/>
        <v>0</v>
      </c>
      <c r="BA287" s="39">
        <f t="shared" si="271"/>
        <v>0</v>
      </c>
      <c r="BB287" s="39">
        <f t="shared" si="272"/>
        <v>0</v>
      </c>
      <c r="BC287" s="39">
        <f t="shared" si="273"/>
        <v>0</v>
      </c>
      <c r="BD287" s="39">
        <f t="shared" si="274"/>
        <v>0</v>
      </c>
      <c r="BE287" s="39">
        <f t="shared" si="275"/>
        <v>0</v>
      </c>
      <c r="BF287" s="39">
        <f t="shared" si="276"/>
        <v>0</v>
      </c>
      <c r="BG287" s="39">
        <f t="shared" si="277"/>
        <v>0</v>
      </c>
      <c r="BH287" s="84">
        <f t="shared" si="278"/>
        <v>0</v>
      </c>
      <c r="BI287" s="84">
        <f t="shared" si="279"/>
        <v>3.6</v>
      </c>
      <c r="BJ287" s="84">
        <f t="shared" si="280"/>
        <v>0.21617850847235626</v>
      </c>
      <c r="BK287" s="39">
        <f t="shared" si="281"/>
        <v>33.891802831721201</v>
      </c>
      <c r="BL287" s="39">
        <f t="shared" si="282"/>
        <v>66</v>
      </c>
      <c r="BM287" s="39">
        <f t="shared" si="283"/>
        <v>64</v>
      </c>
      <c r="BN287" s="39">
        <f t="shared" si="284"/>
        <v>87.000000000000426</v>
      </c>
      <c r="BO287" s="39">
        <f t="shared" si="285"/>
        <v>84.000000000008271</v>
      </c>
      <c r="BP287" s="39">
        <f t="shared" si="286"/>
        <v>75.000000000119016</v>
      </c>
      <c r="BQ287" s="39">
        <f t="shared" si="287"/>
        <v>73.291230475382577</v>
      </c>
      <c r="BR287" s="39">
        <f t="shared" si="288"/>
        <v>70.800000000000011</v>
      </c>
      <c r="BS287" s="39">
        <f t="shared" si="289"/>
        <v>0</v>
      </c>
      <c r="BT287" s="39">
        <f t="shared" si="290"/>
        <v>0</v>
      </c>
      <c r="BU287" s="39">
        <f t="shared" si="291"/>
        <v>8.5265128291212019E-15</v>
      </c>
      <c r="BV287" s="39">
        <f t="shared" si="292"/>
        <v>2.4726887204451484E-13</v>
      </c>
      <c r="BW287" s="39">
        <f t="shared" si="293"/>
        <v>4.9709569793776611E-12</v>
      </c>
      <c r="BX287" s="39">
        <f t="shared" si="294"/>
        <v>7.1401018431060942E-11</v>
      </c>
      <c r="BY287" s="39">
        <f t="shared" si="295"/>
        <v>0</v>
      </c>
      <c r="BZ287" s="39">
        <f t="shared" si="296"/>
        <v>0</v>
      </c>
      <c r="CA287" s="39">
        <f t="shared" si="297"/>
        <v>33.891802831721201</v>
      </c>
      <c r="CB287" s="39">
        <f t="shared" si="298"/>
        <v>66</v>
      </c>
      <c r="CC287" s="39">
        <f t="shared" si="299"/>
        <v>63.999999999999993</v>
      </c>
      <c r="CD287" s="39">
        <f t="shared" si="300"/>
        <v>87.000000000000199</v>
      </c>
      <c r="CE287" s="39">
        <f t="shared" si="301"/>
        <v>84.000000000003539</v>
      </c>
      <c r="CF287" s="39">
        <f t="shared" si="302"/>
        <v>75.000000000052594</v>
      </c>
      <c r="CG287" s="39">
        <f t="shared" si="303"/>
        <v>73.291230475453972</v>
      </c>
      <c r="CH287" s="39">
        <f t="shared" si="304"/>
        <v>70.800000000000011</v>
      </c>
      <c r="CI287" s="39">
        <f t="shared" si="305"/>
        <v>0</v>
      </c>
      <c r="CJ287" s="39">
        <f t="shared" si="306"/>
        <v>0</v>
      </c>
      <c r="CK287" s="39">
        <f t="shared" si="307"/>
        <v>0</v>
      </c>
      <c r="CL287" s="39">
        <f t="shared" si="308"/>
        <v>0</v>
      </c>
      <c r="CM287" s="39">
        <f t="shared" si="309"/>
        <v>0</v>
      </c>
      <c r="CN287" s="39">
        <f t="shared" si="310"/>
        <v>0</v>
      </c>
      <c r="CO287" s="39">
        <f t="shared" si="311"/>
        <v>0</v>
      </c>
      <c r="CP287" s="39">
        <f t="shared" si="312"/>
        <v>0</v>
      </c>
    </row>
    <row r="288" spans="2:94" ht="16" customHeight="1" x14ac:dyDescent="0.2">
      <c r="B288" s="38"/>
      <c r="L288" s="63">
        <v>30600</v>
      </c>
      <c r="M288" s="38">
        <v>0</v>
      </c>
      <c r="N288" s="38">
        <v>3.4</v>
      </c>
      <c r="O288" s="39">
        <v>0</v>
      </c>
      <c r="P288" s="39">
        <v>0</v>
      </c>
      <c r="Q288" s="46">
        <f t="shared" si="243"/>
        <v>0.14211121047624078</v>
      </c>
      <c r="R288" s="81">
        <f t="shared" si="244"/>
        <v>0</v>
      </c>
      <c r="S288" s="82">
        <f t="shared" si="245"/>
        <v>0</v>
      </c>
      <c r="T288" s="39">
        <f t="shared" si="246"/>
        <v>0</v>
      </c>
      <c r="U288" s="83">
        <f t="shared" si="247"/>
        <v>0</v>
      </c>
      <c r="V288" s="84">
        <f t="shared" si="248"/>
        <v>2.72</v>
      </c>
      <c r="W288" s="52">
        <f t="shared" si="249"/>
        <v>101.89180283172141</v>
      </c>
      <c r="X288" s="52">
        <f t="shared" si="250"/>
        <v>162.09123047551009</v>
      </c>
      <c r="Y288" s="52">
        <f t="shared" si="251"/>
        <v>263.98303330723149</v>
      </c>
      <c r="Z288" s="53">
        <f t="shared" si="252"/>
        <v>0.79602970962282349</v>
      </c>
      <c r="AA288" s="53">
        <f t="shared" si="253"/>
        <v>0.96482875283041714</v>
      </c>
      <c r="AB288" s="53">
        <f t="shared" si="254"/>
        <v>0.89183457198389016</v>
      </c>
      <c r="AC288" s="39" t="str">
        <f t="shared" si="255"/>
        <v>No</v>
      </c>
      <c r="AD288" s="85">
        <f t="shared" si="256"/>
        <v>0</v>
      </c>
      <c r="AE288" s="46">
        <f t="shared" si="257"/>
        <v>1</v>
      </c>
      <c r="AF288" s="46">
        <f t="shared" si="258"/>
        <v>0</v>
      </c>
      <c r="AG288" s="39">
        <f t="shared" si="313"/>
        <v>33.891802831721201</v>
      </c>
      <c r="AH288" s="39">
        <f t="shared" si="314"/>
        <v>66</v>
      </c>
      <c r="AI288" s="39">
        <f t="shared" si="315"/>
        <v>63.999999999999993</v>
      </c>
      <c r="AJ288" s="39">
        <f t="shared" si="316"/>
        <v>87.000000000000199</v>
      </c>
      <c r="AK288" s="39">
        <f t="shared" si="317"/>
        <v>84.000000000003539</v>
      </c>
      <c r="AL288" s="39">
        <f t="shared" si="318"/>
        <v>75.000000000052594</v>
      </c>
      <c r="AM288" s="39">
        <f t="shared" si="319"/>
        <v>73.291230475453972</v>
      </c>
      <c r="AN288" s="39">
        <f t="shared" si="320"/>
        <v>70.800000000000011</v>
      </c>
      <c r="AO288" s="39">
        <f t="shared" si="259"/>
        <v>0</v>
      </c>
      <c r="AP288" s="39">
        <f t="shared" si="260"/>
        <v>0</v>
      </c>
      <c r="AQ288" s="39">
        <f t="shared" si="261"/>
        <v>0</v>
      </c>
      <c r="AR288" s="39">
        <f t="shared" si="262"/>
        <v>0</v>
      </c>
      <c r="AS288" s="39">
        <f t="shared" si="263"/>
        <v>0</v>
      </c>
      <c r="AT288" s="39">
        <f t="shared" si="264"/>
        <v>0</v>
      </c>
      <c r="AU288" s="39">
        <f t="shared" si="265"/>
        <v>0</v>
      </c>
      <c r="AV288" s="39">
        <f t="shared" si="266"/>
        <v>0</v>
      </c>
      <c r="AW288" s="39">
        <f t="shared" si="267"/>
        <v>0</v>
      </c>
      <c r="AX288" s="39">
        <f t="shared" si="268"/>
        <v>0</v>
      </c>
      <c r="AY288" s="39">
        <f t="shared" si="269"/>
        <v>0</v>
      </c>
      <c r="AZ288" s="39">
        <f t="shared" si="270"/>
        <v>0</v>
      </c>
      <c r="BA288" s="39">
        <f t="shared" si="271"/>
        <v>0</v>
      </c>
      <c r="BB288" s="39">
        <f t="shared" si="272"/>
        <v>0</v>
      </c>
      <c r="BC288" s="39">
        <f t="shared" si="273"/>
        <v>0</v>
      </c>
      <c r="BD288" s="39">
        <f t="shared" si="274"/>
        <v>0</v>
      </c>
      <c r="BE288" s="39">
        <f t="shared" si="275"/>
        <v>0</v>
      </c>
      <c r="BF288" s="39">
        <f t="shared" si="276"/>
        <v>0</v>
      </c>
      <c r="BG288" s="39">
        <f t="shared" si="277"/>
        <v>0</v>
      </c>
      <c r="BH288" s="84">
        <f t="shared" si="278"/>
        <v>0</v>
      </c>
      <c r="BI288" s="84">
        <f t="shared" si="279"/>
        <v>2.72</v>
      </c>
      <c r="BJ288" s="84">
        <f t="shared" si="280"/>
        <v>0.15606779792454883</v>
      </c>
      <c r="BK288" s="39">
        <f t="shared" si="281"/>
        <v>33.735735033796651</v>
      </c>
      <c r="BL288" s="39">
        <f t="shared" si="282"/>
        <v>66</v>
      </c>
      <c r="BM288" s="39">
        <f t="shared" si="283"/>
        <v>63.999999999999993</v>
      </c>
      <c r="BN288" s="39">
        <f t="shared" si="284"/>
        <v>87.000000000000199</v>
      </c>
      <c r="BO288" s="39">
        <f t="shared" si="285"/>
        <v>84.000000000003539</v>
      </c>
      <c r="BP288" s="39">
        <f t="shared" si="286"/>
        <v>75.000000000052594</v>
      </c>
      <c r="BQ288" s="39">
        <f t="shared" si="287"/>
        <v>73.291230475453972</v>
      </c>
      <c r="BR288" s="39">
        <f t="shared" si="288"/>
        <v>70.800000000000011</v>
      </c>
      <c r="BS288" s="39">
        <f t="shared" si="289"/>
        <v>0</v>
      </c>
      <c r="BT288" s="39">
        <f t="shared" si="290"/>
        <v>0</v>
      </c>
      <c r="BU288" s="39">
        <f t="shared" si="291"/>
        <v>4.263256414560601E-15</v>
      </c>
      <c r="BV288" s="39">
        <f t="shared" si="292"/>
        <v>1.1084466677857563E-13</v>
      </c>
      <c r="BW288" s="39">
        <f t="shared" si="293"/>
        <v>2.1316282072803006E-12</v>
      </c>
      <c r="BX288" s="39">
        <f t="shared" si="294"/>
        <v>3.1548097467748448E-11</v>
      </c>
      <c r="BY288" s="39">
        <f t="shared" si="295"/>
        <v>0</v>
      </c>
      <c r="BZ288" s="39">
        <f t="shared" si="296"/>
        <v>0</v>
      </c>
      <c r="CA288" s="39">
        <f t="shared" si="297"/>
        <v>33.735735033796651</v>
      </c>
      <c r="CB288" s="39">
        <f t="shared" si="298"/>
        <v>66</v>
      </c>
      <c r="CC288" s="39">
        <f t="shared" si="299"/>
        <v>63.999999999999986</v>
      </c>
      <c r="CD288" s="39">
        <f t="shared" si="300"/>
        <v>87.000000000000085</v>
      </c>
      <c r="CE288" s="39">
        <f t="shared" si="301"/>
        <v>84.000000000001521</v>
      </c>
      <c r="CF288" s="39">
        <f t="shared" si="302"/>
        <v>75.000000000023178</v>
      </c>
      <c r="CG288" s="39">
        <f t="shared" si="303"/>
        <v>73.29123047548552</v>
      </c>
      <c r="CH288" s="39">
        <f t="shared" si="304"/>
        <v>70.800000000000011</v>
      </c>
      <c r="CI288" s="39">
        <f t="shared" si="305"/>
        <v>0</v>
      </c>
      <c r="CJ288" s="39">
        <f t="shared" si="306"/>
        <v>0</v>
      </c>
      <c r="CK288" s="39">
        <f t="shared" si="307"/>
        <v>0</v>
      </c>
      <c r="CL288" s="39">
        <f t="shared" si="308"/>
        <v>0</v>
      </c>
      <c r="CM288" s="39">
        <f t="shared" si="309"/>
        <v>0</v>
      </c>
      <c r="CN288" s="39">
        <f t="shared" si="310"/>
        <v>0</v>
      </c>
      <c r="CO288" s="39">
        <f t="shared" si="311"/>
        <v>0</v>
      </c>
      <c r="CP288" s="39">
        <f t="shared" si="312"/>
        <v>0</v>
      </c>
    </row>
    <row r="289" spans="2:94" ht="16" customHeight="1" x14ac:dyDescent="0.2">
      <c r="B289" s="38"/>
      <c r="L289" s="63">
        <v>30601</v>
      </c>
      <c r="M289" s="38">
        <v>0</v>
      </c>
      <c r="N289" s="38">
        <v>2.2999999999999998</v>
      </c>
      <c r="O289" s="39">
        <v>0</v>
      </c>
      <c r="P289" s="39">
        <v>0</v>
      </c>
      <c r="Q289" s="46">
        <f t="shared" si="243"/>
        <v>0.14242756412068244</v>
      </c>
      <c r="R289" s="81">
        <f t="shared" si="244"/>
        <v>0</v>
      </c>
      <c r="S289" s="82">
        <f t="shared" si="245"/>
        <v>0</v>
      </c>
      <c r="T289" s="39">
        <f t="shared" si="246"/>
        <v>0</v>
      </c>
      <c r="U289" s="83">
        <f t="shared" si="247"/>
        <v>0</v>
      </c>
      <c r="V289" s="84">
        <f t="shared" si="248"/>
        <v>1.8399999999999999</v>
      </c>
      <c r="W289" s="52">
        <f t="shared" si="249"/>
        <v>101.73573503379671</v>
      </c>
      <c r="X289" s="52">
        <f t="shared" si="250"/>
        <v>162.0912304755102</v>
      </c>
      <c r="Y289" s="52">
        <f t="shared" si="251"/>
        <v>263.82696550930689</v>
      </c>
      <c r="Z289" s="53">
        <f t="shared" si="252"/>
        <v>0.79481042995153683</v>
      </c>
      <c r="AA289" s="53">
        <f t="shared" si="253"/>
        <v>0.96482875283041791</v>
      </c>
      <c r="AB289" s="53">
        <f t="shared" si="254"/>
        <v>0.8913073159098206</v>
      </c>
      <c r="AC289" s="39" t="str">
        <f t="shared" si="255"/>
        <v>No</v>
      </c>
      <c r="AD289" s="85">
        <f t="shared" si="256"/>
        <v>0</v>
      </c>
      <c r="AE289" s="46">
        <f t="shared" si="257"/>
        <v>1</v>
      </c>
      <c r="AF289" s="46">
        <f t="shared" si="258"/>
        <v>0</v>
      </c>
      <c r="AG289" s="39">
        <f t="shared" si="313"/>
        <v>33.735735033796651</v>
      </c>
      <c r="AH289" s="39">
        <f t="shared" si="314"/>
        <v>66</v>
      </c>
      <c r="AI289" s="39">
        <f t="shared" si="315"/>
        <v>63.999999999999986</v>
      </c>
      <c r="AJ289" s="39">
        <f t="shared" si="316"/>
        <v>87.000000000000085</v>
      </c>
      <c r="AK289" s="39">
        <f t="shared" si="317"/>
        <v>84.000000000001521</v>
      </c>
      <c r="AL289" s="39">
        <f t="shared" si="318"/>
        <v>75.000000000023178</v>
      </c>
      <c r="AM289" s="39">
        <f t="shared" si="319"/>
        <v>73.29123047548552</v>
      </c>
      <c r="AN289" s="39">
        <f t="shared" si="320"/>
        <v>70.800000000000011</v>
      </c>
      <c r="AO289" s="39">
        <f t="shared" si="259"/>
        <v>0</v>
      </c>
      <c r="AP289" s="39">
        <f t="shared" si="260"/>
        <v>0</v>
      </c>
      <c r="AQ289" s="39">
        <f t="shared" si="261"/>
        <v>0</v>
      </c>
      <c r="AR289" s="39">
        <f t="shared" si="262"/>
        <v>0</v>
      </c>
      <c r="AS289" s="39">
        <f t="shared" si="263"/>
        <v>0</v>
      </c>
      <c r="AT289" s="39">
        <f t="shared" si="264"/>
        <v>0</v>
      </c>
      <c r="AU289" s="39">
        <f t="shared" si="265"/>
        <v>0</v>
      </c>
      <c r="AV289" s="39">
        <f t="shared" si="266"/>
        <v>0</v>
      </c>
      <c r="AW289" s="39">
        <f t="shared" si="267"/>
        <v>0</v>
      </c>
      <c r="AX289" s="39">
        <f t="shared" si="268"/>
        <v>0</v>
      </c>
      <c r="AY289" s="39">
        <f t="shared" si="269"/>
        <v>0</v>
      </c>
      <c r="AZ289" s="39">
        <f t="shared" si="270"/>
        <v>0</v>
      </c>
      <c r="BA289" s="39">
        <f t="shared" si="271"/>
        <v>0</v>
      </c>
      <c r="BB289" s="39">
        <f t="shared" si="272"/>
        <v>0</v>
      </c>
      <c r="BC289" s="39">
        <f t="shared" si="273"/>
        <v>0</v>
      </c>
      <c r="BD289" s="39">
        <f t="shared" si="274"/>
        <v>0</v>
      </c>
      <c r="BE289" s="39">
        <f t="shared" si="275"/>
        <v>0</v>
      </c>
      <c r="BF289" s="39">
        <f t="shared" si="276"/>
        <v>0</v>
      </c>
      <c r="BG289" s="39">
        <f t="shared" si="277"/>
        <v>0</v>
      </c>
      <c r="BH289" s="84">
        <f t="shared" si="278"/>
        <v>0</v>
      </c>
      <c r="BI289" s="84">
        <f t="shared" si="279"/>
        <v>1.8399999999999999</v>
      </c>
      <c r="BJ289" s="84">
        <f t="shared" si="280"/>
        <v>0.10212958042939876</v>
      </c>
      <c r="BK289" s="39">
        <f t="shared" si="281"/>
        <v>33.633605453367252</v>
      </c>
      <c r="BL289" s="39">
        <f t="shared" si="282"/>
        <v>66</v>
      </c>
      <c r="BM289" s="39">
        <f t="shared" si="283"/>
        <v>63.999999999999986</v>
      </c>
      <c r="BN289" s="39">
        <f t="shared" si="284"/>
        <v>87.000000000000085</v>
      </c>
      <c r="BO289" s="39">
        <f t="shared" si="285"/>
        <v>84.000000000001521</v>
      </c>
      <c r="BP289" s="39">
        <f t="shared" si="286"/>
        <v>75.000000000023178</v>
      </c>
      <c r="BQ289" s="39">
        <f t="shared" si="287"/>
        <v>73.29123047548552</v>
      </c>
      <c r="BR289" s="39">
        <f t="shared" si="288"/>
        <v>70.800000000000011</v>
      </c>
      <c r="BS289" s="39">
        <f t="shared" si="289"/>
        <v>0</v>
      </c>
      <c r="BT289" s="39">
        <f t="shared" si="290"/>
        <v>0</v>
      </c>
      <c r="BU289" s="39">
        <f t="shared" si="291"/>
        <v>0</v>
      </c>
      <c r="BV289" s="39">
        <f t="shared" si="292"/>
        <v>4.2632564145606011E-14</v>
      </c>
      <c r="BW289" s="39">
        <f t="shared" si="293"/>
        <v>9.208633855450898E-13</v>
      </c>
      <c r="BX289" s="39">
        <f t="shared" si="294"/>
        <v>1.389821591146756E-11</v>
      </c>
      <c r="BY289" s="39">
        <f t="shared" si="295"/>
        <v>0</v>
      </c>
      <c r="BZ289" s="39">
        <f t="shared" si="296"/>
        <v>0</v>
      </c>
      <c r="CA289" s="39">
        <f t="shared" si="297"/>
        <v>33.633605453367252</v>
      </c>
      <c r="CB289" s="39">
        <f t="shared" si="298"/>
        <v>66</v>
      </c>
      <c r="CC289" s="39">
        <f t="shared" si="299"/>
        <v>63.999999999999986</v>
      </c>
      <c r="CD289" s="39">
        <f t="shared" si="300"/>
        <v>87.000000000000043</v>
      </c>
      <c r="CE289" s="39">
        <f t="shared" si="301"/>
        <v>84.000000000000639</v>
      </c>
      <c r="CF289" s="39">
        <f t="shared" si="302"/>
        <v>75.000000000010203</v>
      </c>
      <c r="CG289" s="39">
        <f t="shared" si="303"/>
        <v>73.291230475499418</v>
      </c>
      <c r="CH289" s="39">
        <f t="shared" si="304"/>
        <v>70.800000000000011</v>
      </c>
      <c r="CI289" s="39">
        <f t="shared" si="305"/>
        <v>0</v>
      </c>
      <c r="CJ289" s="39">
        <f t="shared" si="306"/>
        <v>0</v>
      </c>
      <c r="CK289" s="39">
        <f t="shared" si="307"/>
        <v>0</v>
      </c>
      <c r="CL289" s="39">
        <f t="shared" si="308"/>
        <v>0</v>
      </c>
      <c r="CM289" s="39">
        <f t="shared" si="309"/>
        <v>0</v>
      </c>
      <c r="CN289" s="39">
        <f t="shared" si="310"/>
        <v>0</v>
      </c>
      <c r="CO289" s="39">
        <f t="shared" si="311"/>
        <v>0</v>
      </c>
      <c r="CP289" s="39">
        <f t="shared" si="312"/>
        <v>0</v>
      </c>
    </row>
    <row r="290" spans="2:94" ht="16" customHeight="1" x14ac:dyDescent="0.2">
      <c r="B290" s="38"/>
      <c r="L290" s="63">
        <v>30602</v>
      </c>
      <c r="M290" s="38">
        <v>49</v>
      </c>
      <c r="N290" s="38">
        <v>6.4</v>
      </c>
      <c r="O290" s="39">
        <v>0</v>
      </c>
      <c r="P290" s="39">
        <v>0</v>
      </c>
      <c r="Q290" s="46">
        <f t="shared" si="243"/>
        <v>0.14263458354047179</v>
      </c>
      <c r="R290" s="81">
        <f t="shared" si="244"/>
        <v>12.780380354773632</v>
      </c>
      <c r="S290" s="82">
        <f t="shared" si="245"/>
        <v>36.219619645226366</v>
      </c>
      <c r="T290" s="39">
        <f t="shared" si="246"/>
        <v>0</v>
      </c>
      <c r="U290" s="83">
        <f t="shared" si="247"/>
        <v>0</v>
      </c>
      <c r="V290" s="84">
        <f t="shared" si="248"/>
        <v>5.120000000000001</v>
      </c>
      <c r="W290" s="52">
        <f t="shared" si="249"/>
        <v>101.6336054533673</v>
      </c>
      <c r="X290" s="52">
        <f t="shared" si="250"/>
        <v>162.09123047551032</v>
      </c>
      <c r="Y290" s="52">
        <f t="shared" si="251"/>
        <v>263.72483592887761</v>
      </c>
      <c r="Z290" s="53">
        <f t="shared" si="252"/>
        <v>0.79401254260443199</v>
      </c>
      <c r="AA290" s="53">
        <f t="shared" si="253"/>
        <v>0.96482875283041858</v>
      </c>
      <c r="AB290" s="53">
        <f t="shared" si="254"/>
        <v>0.89096228354350548</v>
      </c>
      <c r="AC290" s="39" t="str">
        <f t="shared" si="255"/>
        <v>No</v>
      </c>
      <c r="AD290" s="85">
        <f t="shared" si="256"/>
        <v>0</v>
      </c>
      <c r="AE290" s="46">
        <f t="shared" si="257"/>
        <v>1</v>
      </c>
      <c r="AF290" s="46">
        <f t="shared" si="258"/>
        <v>0</v>
      </c>
      <c r="AG290" s="39">
        <f t="shared" si="313"/>
        <v>33.633605453367252</v>
      </c>
      <c r="AH290" s="39">
        <f t="shared" si="314"/>
        <v>66</v>
      </c>
      <c r="AI290" s="39">
        <f t="shared" si="315"/>
        <v>63.999999999999986</v>
      </c>
      <c r="AJ290" s="39">
        <f t="shared" si="316"/>
        <v>87.000000000000043</v>
      </c>
      <c r="AK290" s="39">
        <f t="shared" si="317"/>
        <v>84.000000000000639</v>
      </c>
      <c r="AL290" s="39">
        <f t="shared" si="318"/>
        <v>75.000000000010203</v>
      </c>
      <c r="AM290" s="39">
        <f t="shared" si="319"/>
        <v>73.291230475499418</v>
      </c>
      <c r="AN290" s="39">
        <f t="shared" si="320"/>
        <v>70.800000000000011</v>
      </c>
      <c r="AO290" s="39">
        <f t="shared" si="259"/>
        <v>0</v>
      </c>
      <c r="AP290" s="39">
        <f t="shared" si="260"/>
        <v>0</v>
      </c>
      <c r="AQ290" s="39">
        <f t="shared" si="261"/>
        <v>0</v>
      </c>
      <c r="AR290" s="39">
        <f t="shared" si="262"/>
        <v>0</v>
      </c>
      <c r="AS290" s="39">
        <f t="shared" si="263"/>
        <v>0</v>
      </c>
      <c r="AT290" s="39">
        <f t="shared" si="264"/>
        <v>0</v>
      </c>
      <c r="AU290" s="39">
        <f t="shared" si="265"/>
        <v>0</v>
      </c>
      <c r="AV290" s="39">
        <f t="shared" si="266"/>
        <v>0</v>
      </c>
      <c r="AW290" s="39">
        <f t="shared" si="267"/>
        <v>0</v>
      </c>
      <c r="AX290" s="39">
        <f t="shared" si="268"/>
        <v>0</v>
      </c>
      <c r="AY290" s="39">
        <f t="shared" si="269"/>
        <v>0</v>
      </c>
      <c r="AZ290" s="39">
        <f t="shared" si="270"/>
        <v>0</v>
      </c>
      <c r="BA290" s="39">
        <f t="shared" si="271"/>
        <v>0</v>
      </c>
      <c r="BB290" s="39">
        <f t="shared" si="272"/>
        <v>0</v>
      </c>
      <c r="BC290" s="39">
        <f t="shared" si="273"/>
        <v>0</v>
      </c>
      <c r="BD290" s="39">
        <f t="shared" si="274"/>
        <v>0</v>
      </c>
      <c r="BE290" s="39">
        <f t="shared" si="275"/>
        <v>0</v>
      </c>
      <c r="BF290" s="39">
        <f t="shared" si="276"/>
        <v>0</v>
      </c>
      <c r="BG290" s="39">
        <f t="shared" si="277"/>
        <v>0</v>
      </c>
      <c r="BH290" s="84">
        <f t="shared" si="278"/>
        <v>5.120000000000001</v>
      </c>
      <c r="BI290" s="84">
        <f t="shared" si="279"/>
        <v>0</v>
      </c>
      <c r="BJ290" s="84">
        <f t="shared" si="280"/>
        <v>5.120000000000001</v>
      </c>
      <c r="BK290" s="39">
        <f t="shared" si="281"/>
        <v>28.513605453367251</v>
      </c>
      <c r="BL290" s="39">
        <f t="shared" si="282"/>
        <v>66</v>
      </c>
      <c r="BM290" s="39">
        <f t="shared" si="283"/>
        <v>63.999999999999986</v>
      </c>
      <c r="BN290" s="39">
        <f t="shared" si="284"/>
        <v>87.000000000000043</v>
      </c>
      <c r="BO290" s="39">
        <f t="shared" si="285"/>
        <v>84.000000000000639</v>
      </c>
      <c r="BP290" s="39">
        <f t="shared" si="286"/>
        <v>75.000000000010203</v>
      </c>
      <c r="BQ290" s="39">
        <f t="shared" si="287"/>
        <v>73.291230475499418</v>
      </c>
      <c r="BR290" s="39">
        <f t="shared" si="288"/>
        <v>70.800000000000011</v>
      </c>
      <c r="BS290" s="39">
        <f t="shared" si="289"/>
        <v>0</v>
      </c>
      <c r="BT290" s="39">
        <f t="shared" si="290"/>
        <v>0</v>
      </c>
      <c r="BU290" s="39">
        <f t="shared" si="291"/>
        <v>0</v>
      </c>
      <c r="BV290" s="39">
        <f t="shared" si="292"/>
        <v>1.7053025658242404E-14</v>
      </c>
      <c r="BW290" s="39">
        <f t="shared" si="293"/>
        <v>3.9221959013957527E-13</v>
      </c>
      <c r="BX290" s="39">
        <f t="shared" si="294"/>
        <v>6.1135096984799018E-12</v>
      </c>
      <c r="BY290" s="39">
        <f t="shared" si="295"/>
        <v>0</v>
      </c>
      <c r="BZ290" s="39">
        <f t="shared" si="296"/>
        <v>0</v>
      </c>
      <c r="CA290" s="39">
        <f t="shared" si="297"/>
        <v>59.613225098593617</v>
      </c>
      <c r="CB290" s="39">
        <f t="shared" si="298"/>
        <v>66</v>
      </c>
      <c r="CC290" s="39">
        <f t="shared" si="299"/>
        <v>63.999999999999986</v>
      </c>
      <c r="CD290" s="39">
        <f t="shared" si="300"/>
        <v>87.000000000000028</v>
      </c>
      <c r="CE290" s="39">
        <f t="shared" si="301"/>
        <v>84.000000000000256</v>
      </c>
      <c r="CF290" s="39">
        <f t="shared" si="302"/>
        <v>75.000000000004491</v>
      </c>
      <c r="CG290" s="39">
        <f t="shared" si="303"/>
        <v>73.291230475505529</v>
      </c>
      <c r="CH290" s="39">
        <f t="shared" si="304"/>
        <v>70.800000000000011</v>
      </c>
      <c r="CI290" s="39">
        <f t="shared" si="305"/>
        <v>0</v>
      </c>
      <c r="CJ290" s="39">
        <f t="shared" si="306"/>
        <v>0</v>
      </c>
      <c r="CK290" s="39">
        <f t="shared" si="307"/>
        <v>0</v>
      </c>
      <c r="CL290" s="39">
        <f t="shared" si="308"/>
        <v>0</v>
      </c>
      <c r="CM290" s="39">
        <f t="shared" si="309"/>
        <v>0</v>
      </c>
      <c r="CN290" s="39">
        <f t="shared" si="310"/>
        <v>0</v>
      </c>
      <c r="CO290" s="39">
        <f t="shared" si="311"/>
        <v>0</v>
      </c>
      <c r="CP290" s="39">
        <f t="shared" si="312"/>
        <v>0</v>
      </c>
    </row>
    <row r="291" spans="2:94" ht="16" customHeight="1" x14ac:dyDescent="0.2">
      <c r="B291" s="38"/>
      <c r="L291" s="63">
        <v>30603</v>
      </c>
      <c r="M291" s="38">
        <v>1</v>
      </c>
      <c r="N291" s="38">
        <v>4.9000000000000004</v>
      </c>
      <c r="O291" s="39">
        <v>0</v>
      </c>
      <c r="P291" s="39">
        <v>0</v>
      </c>
      <c r="Q291" s="46">
        <f t="shared" si="243"/>
        <v>8.9973192367715643E-2</v>
      </c>
      <c r="R291" s="81">
        <f t="shared" si="244"/>
        <v>0</v>
      </c>
      <c r="S291" s="82">
        <f t="shared" si="245"/>
        <v>1</v>
      </c>
      <c r="T291" s="39">
        <f t="shared" si="246"/>
        <v>0</v>
      </c>
      <c r="U291" s="83">
        <f t="shared" si="247"/>
        <v>0</v>
      </c>
      <c r="V291" s="84">
        <f t="shared" si="248"/>
        <v>3.9200000000000004</v>
      </c>
      <c r="W291" s="52">
        <f t="shared" si="249"/>
        <v>127.6132250985936</v>
      </c>
      <c r="X291" s="52">
        <f t="shared" si="250"/>
        <v>162.09123047551032</v>
      </c>
      <c r="Y291" s="52">
        <f t="shared" si="251"/>
        <v>289.70445557410392</v>
      </c>
      <c r="Z291" s="53">
        <f t="shared" si="252"/>
        <v>0.99697832108276252</v>
      </c>
      <c r="AA291" s="53">
        <f t="shared" si="253"/>
        <v>0.96482875283041858</v>
      </c>
      <c r="AB291" s="53">
        <f t="shared" si="254"/>
        <v>0.97873126883143213</v>
      </c>
      <c r="AC291" s="39" t="str">
        <f t="shared" si="255"/>
        <v>No</v>
      </c>
      <c r="AD291" s="85">
        <f t="shared" si="256"/>
        <v>0</v>
      </c>
      <c r="AE291" s="46">
        <f t="shared" si="257"/>
        <v>1</v>
      </c>
      <c r="AF291" s="46">
        <f t="shared" si="258"/>
        <v>0</v>
      </c>
      <c r="AG291" s="39">
        <f t="shared" si="313"/>
        <v>59.613225098593617</v>
      </c>
      <c r="AH291" s="39">
        <f t="shared" si="314"/>
        <v>66</v>
      </c>
      <c r="AI291" s="39">
        <f t="shared" si="315"/>
        <v>63.999999999999986</v>
      </c>
      <c r="AJ291" s="39">
        <f t="shared" si="316"/>
        <v>87.000000000000028</v>
      </c>
      <c r="AK291" s="39">
        <f t="shared" si="317"/>
        <v>84.000000000000256</v>
      </c>
      <c r="AL291" s="39">
        <f t="shared" si="318"/>
        <v>75.000000000004491</v>
      </c>
      <c r="AM291" s="39">
        <f t="shared" si="319"/>
        <v>73.291230475505529</v>
      </c>
      <c r="AN291" s="39">
        <f t="shared" si="320"/>
        <v>70.800000000000011</v>
      </c>
      <c r="AO291" s="39">
        <f t="shared" si="259"/>
        <v>0</v>
      </c>
      <c r="AP291" s="39">
        <f t="shared" si="260"/>
        <v>0</v>
      </c>
      <c r="AQ291" s="39">
        <f t="shared" si="261"/>
        <v>0</v>
      </c>
      <c r="AR291" s="39">
        <f t="shared" si="262"/>
        <v>0</v>
      </c>
      <c r="AS291" s="39">
        <f t="shared" si="263"/>
        <v>0</v>
      </c>
      <c r="AT291" s="39">
        <f t="shared" si="264"/>
        <v>0</v>
      </c>
      <c r="AU291" s="39">
        <f t="shared" si="265"/>
        <v>0</v>
      </c>
      <c r="AV291" s="39">
        <f t="shared" si="266"/>
        <v>0</v>
      </c>
      <c r="AW291" s="39">
        <f t="shared" si="267"/>
        <v>0</v>
      </c>
      <c r="AX291" s="39">
        <f t="shared" si="268"/>
        <v>0</v>
      </c>
      <c r="AY291" s="39">
        <f t="shared" si="269"/>
        <v>0</v>
      </c>
      <c r="AZ291" s="39">
        <f t="shared" si="270"/>
        <v>0</v>
      </c>
      <c r="BA291" s="39">
        <f t="shared" si="271"/>
        <v>0</v>
      </c>
      <c r="BB291" s="39">
        <f t="shared" si="272"/>
        <v>0</v>
      </c>
      <c r="BC291" s="39">
        <f t="shared" si="273"/>
        <v>0</v>
      </c>
      <c r="BD291" s="39">
        <f t="shared" si="274"/>
        <v>0</v>
      </c>
      <c r="BE291" s="39">
        <f t="shared" si="275"/>
        <v>0</v>
      </c>
      <c r="BF291" s="39">
        <f t="shared" si="276"/>
        <v>0</v>
      </c>
      <c r="BG291" s="39">
        <f t="shared" si="277"/>
        <v>0</v>
      </c>
      <c r="BH291" s="84">
        <f t="shared" si="278"/>
        <v>3.9200000000000004</v>
      </c>
      <c r="BI291" s="84">
        <f t="shared" si="279"/>
        <v>0</v>
      </c>
      <c r="BJ291" s="84">
        <f t="shared" si="280"/>
        <v>3.9200000000000004</v>
      </c>
      <c r="BK291" s="39">
        <f t="shared" si="281"/>
        <v>55.693225098593615</v>
      </c>
      <c r="BL291" s="39">
        <f t="shared" si="282"/>
        <v>66</v>
      </c>
      <c r="BM291" s="39">
        <f t="shared" si="283"/>
        <v>63.999999999999986</v>
      </c>
      <c r="BN291" s="39">
        <f t="shared" si="284"/>
        <v>87.000000000000028</v>
      </c>
      <c r="BO291" s="39">
        <f t="shared" si="285"/>
        <v>84.000000000000256</v>
      </c>
      <c r="BP291" s="39">
        <f t="shared" si="286"/>
        <v>75.000000000004491</v>
      </c>
      <c r="BQ291" s="39">
        <f t="shared" si="287"/>
        <v>73.291230475505529</v>
      </c>
      <c r="BR291" s="39">
        <f t="shared" si="288"/>
        <v>70.800000000000011</v>
      </c>
      <c r="BS291" s="39">
        <f t="shared" si="289"/>
        <v>0</v>
      </c>
      <c r="BT291" s="39">
        <f t="shared" si="290"/>
        <v>0</v>
      </c>
      <c r="BU291" s="39">
        <f t="shared" si="291"/>
        <v>0</v>
      </c>
      <c r="BV291" s="39">
        <f t="shared" si="292"/>
        <v>8.5265128291212019E-15</v>
      </c>
      <c r="BW291" s="39">
        <f t="shared" si="293"/>
        <v>1.6200374375330285E-13</v>
      </c>
      <c r="BX291" s="39">
        <f t="shared" si="294"/>
        <v>2.6858515411731787E-12</v>
      </c>
      <c r="BY291" s="39">
        <f t="shared" si="295"/>
        <v>0</v>
      </c>
      <c r="BZ291" s="39">
        <f t="shared" si="296"/>
        <v>0</v>
      </c>
      <c r="CA291" s="39">
        <f t="shared" si="297"/>
        <v>55.693225098593615</v>
      </c>
      <c r="CB291" s="39">
        <f t="shared" si="298"/>
        <v>66</v>
      </c>
      <c r="CC291" s="39">
        <f t="shared" si="299"/>
        <v>63.999999999999986</v>
      </c>
      <c r="CD291" s="39">
        <f t="shared" si="300"/>
        <v>87.000000000000014</v>
      </c>
      <c r="CE291" s="39">
        <f t="shared" si="301"/>
        <v>84.000000000000114</v>
      </c>
      <c r="CF291" s="39">
        <f t="shared" si="302"/>
        <v>75.000000000001961</v>
      </c>
      <c r="CG291" s="39">
        <f t="shared" si="303"/>
        <v>73.291230475508215</v>
      </c>
      <c r="CH291" s="39">
        <f t="shared" si="304"/>
        <v>70.800000000000011</v>
      </c>
      <c r="CI291" s="39">
        <f t="shared" si="305"/>
        <v>0</v>
      </c>
      <c r="CJ291" s="39">
        <f t="shared" si="306"/>
        <v>0</v>
      </c>
      <c r="CK291" s="39">
        <f t="shared" si="307"/>
        <v>0</v>
      </c>
      <c r="CL291" s="39">
        <f t="shared" si="308"/>
        <v>0</v>
      </c>
      <c r="CM291" s="39">
        <f t="shared" si="309"/>
        <v>0</v>
      </c>
      <c r="CN291" s="39">
        <f t="shared" si="310"/>
        <v>0</v>
      </c>
      <c r="CO291" s="39">
        <f t="shared" si="311"/>
        <v>0</v>
      </c>
      <c r="CP291" s="39">
        <f t="shared" si="312"/>
        <v>0</v>
      </c>
    </row>
    <row r="292" spans="2:94" ht="16" customHeight="1" x14ac:dyDescent="0.2">
      <c r="B292" s="38"/>
      <c r="L292" s="63">
        <v>30604</v>
      </c>
      <c r="M292" s="38">
        <v>31.5</v>
      </c>
      <c r="N292" s="38">
        <v>4.5</v>
      </c>
      <c r="O292" s="39">
        <v>0</v>
      </c>
      <c r="P292" s="39">
        <v>0</v>
      </c>
      <c r="Q292" s="46">
        <f t="shared" si="243"/>
        <v>9.7919138313661586E-2</v>
      </c>
      <c r="R292" s="81">
        <f t="shared" si="244"/>
        <v>5.7974850715794766</v>
      </c>
      <c r="S292" s="82">
        <f t="shared" si="245"/>
        <v>25.702514928420523</v>
      </c>
      <c r="T292" s="39">
        <f t="shared" si="246"/>
        <v>0</v>
      </c>
      <c r="U292" s="83">
        <f t="shared" si="247"/>
        <v>0</v>
      </c>
      <c r="V292" s="84">
        <f t="shared" si="248"/>
        <v>3.6</v>
      </c>
      <c r="W292" s="52">
        <f t="shared" si="249"/>
        <v>123.69322509859359</v>
      </c>
      <c r="X292" s="52">
        <f t="shared" si="250"/>
        <v>162.09123047551032</v>
      </c>
      <c r="Y292" s="52">
        <f t="shared" si="251"/>
        <v>285.7844555741039</v>
      </c>
      <c r="Z292" s="53">
        <f t="shared" si="252"/>
        <v>0.9663533210827624</v>
      </c>
      <c r="AA292" s="53">
        <f t="shared" si="253"/>
        <v>0.96482875283041858</v>
      </c>
      <c r="AB292" s="53">
        <f t="shared" si="254"/>
        <v>0.9654880255881888</v>
      </c>
      <c r="AC292" s="39" t="str">
        <f t="shared" si="255"/>
        <v>No</v>
      </c>
      <c r="AD292" s="85">
        <f t="shared" si="256"/>
        <v>0</v>
      </c>
      <c r="AE292" s="46">
        <f t="shared" si="257"/>
        <v>1</v>
      </c>
      <c r="AF292" s="46">
        <f t="shared" si="258"/>
        <v>0</v>
      </c>
      <c r="AG292" s="39">
        <f t="shared" si="313"/>
        <v>55.693225098593615</v>
      </c>
      <c r="AH292" s="39">
        <f t="shared" si="314"/>
        <v>66</v>
      </c>
      <c r="AI292" s="39">
        <f t="shared" si="315"/>
        <v>63.999999999999986</v>
      </c>
      <c r="AJ292" s="39">
        <f t="shared" si="316"/>
        <v>87.000000000000014</v>
      </c>
      <c r="AK292" s="39">
        <f t="shared" si="317"/>
        <v>84.000000000000114</v>
      </c>
      <c r="AL292" s="39">
        <f t="shared" si="318"/>
        <v>75.000000000001961</v>
      </c>
      <c r="AM292" s="39">
        <f t="shared" si="319"/>
        <v>73.291230475508215</v>
      </c>
      <c r="AN292" s="39">
        <f t="shared" si="320"/>
        <v>70.800000000000011</v>
      </c>
      <c r="AO292" s="39">
        <f t="shared" si="259"/>
        <v>0</v>
      </c>
      <c r="AP292" s="39">
        <f t="shared" si="260"/>
        <v>0</v>
      </c>
      <c r="AQ292" s="39">
        <f t="shared" si="261"/>
        <v>0</v>
      </c>
      <c r="AR292" s="39">
        <f t="shared" si="262"/>
        <v>0</v>
      </c>
      <c r="AS292" s="39">
        <f t="shared" si="263"/>
        <v>0</v>
      </c>
      <c r="AT292" s="39">
        <f t="shared" si="264"/>
        <v>0</v>
      </c>
      <c r="AU292" s="39">
        <f t="shared" si="265"/>
        <v>0</v>
      </c>
      <c r="AV292" s="39">
        <f t="shared" si="266"/>
        <v>0</v>
      </c>
      <c r="AW292" s="39">
        <f t="shared" si="267"/>
        <v>0</v>
      </c>
      <c r="AX292" s="39">
        <f t="shared" si="268"/>
        <v>0</v>
      </c>
      <c r="AY292" s="39">
        <f t="shared" si="269"/>
        <v>0</v>
      </c>
      <c r="AZ292" s="39">
        <f t="shared" si="270"/>
        <v>0</v>
      </c>
      <c r="BA292" s="39">
        <f t="shared" si="271"/>
        <v>0</v>
      </c>
      <c r="BB292" s="39">
        <f t="shared" si="272"/>
        <v>0</v>
      </c>
      <c r="BC292" s="39">
        <f t="shared" si="273"/>
        <v>0</v>
      </c>
      <c r="BD292" s="39">
        <f t="shared" si="274"/>
        <v>0</v>
      </c>
      <c r="BE292" s="39">
        <f t="shared" si="275"/>
        <v>0</v>
      </c>
      <c r="BF292" s="39">
        <f t="shared" si="276"/>
        <v>0</v>
      </c>
      <c r="BG292" s="39">
        <f t="shared" si="277"/>
        <v>0</v>
      </c>
      <c r="BH292" s="84">
        <f t="shared" si="278"/>
        <v>3.6</v>
      </c>
      <c r="BI292" s="84">
        <f t="shared" si="279"/>
        <v>0</v>
      </c>
      <c r="BJ292" s="84">
        <f t="shared" si="280"/>
        <v>3.6</v>
      </c>
      <c r="BK292" s="39">
        <f t="shared" si="281"/>
        <v>52.093225098593614</v>
      </c>
      <c r="BL292" s="39">
        <f t="shared" si="282"/>
        <v>66</v>
      </c>
      <c r="BM292" s="39">
        <f t="shared" si="283"/>
        <v>63.999999999999986</v>
      </c>
      <c r="BN292" s="39">
        <f t="shared" si="284"/>
        <v>87.000000000000014</v>
      </c>
      <c r="BO292" s="39">
        <f t="shared" si="285"/>
        <v>84.000000000000114</v>
      </c>
      <c r="BP292" s="39">
        <f t="shared" si="286"/>
        <v>75.000000000001961</v>
      </c>
      <c r="BQ292" s="39">
        <f t="shared" si="287"/>
        <v>73.291230475508215</v>
      </c>
      <c r="BR292" s="39">
        <f t="shared" si="288"/>
        <v>70.800000000000011</v>
      </c>
      <c r="BS292" s="39">
        <f t="shared" si="289"/>
        <v>0</v>
      </c>
      <c r="BT292" s="39">
        <f t="shared" si="290"/>
        <v>0</v>
      </c>
      <c r="BU292" s="39">
        <f t="shared" si="291"/>
        <v>0</v>
      </c>
      <c r="BV292" s="39">
        <f t="shared" si="292"/>
        <v>0</v>
      </c>
      <c r="BW292" s="39">
        <f t="shared" si="293"/>
        <v>7.6738615462090813E-14</v>
      </c>
      <c r="BX292" s="39">
        <f t="shared" si="294"/>
        <v>1.1681322575896047E-12</v>
      </c>
      <c r="BY292" s="39">
        <f t="shared" si="295"/>
        <v>0</v>
      </c>
      <c r="BZ292" s="39">
        <f t="shared" si="296"/>
        <v>0</v>
      </c>
      <c r="CA292" s="39">
        <f t="shared" si="297"/>
        <v>74.195740027014139</v>
      </c>
      <c r="CB292" s="39">
        <f t="shared" si="298"/>
        <v>66</v>
      </c>
      <c r="CC292" s="39">
        <f t="shared" si="299"/>
        <v>63.999999999999986</v>
      </c>
      <c r="CD292" s="39">
        <f t="shared" si="300"/>
        <v>87.000000000000014</v>
      </c>
      <c r="CE292" s="39">
        <f t="shared" si="301"/>
        <v>84.000000000000043</v>
      </c>
      <c r="CF292" s="39">
        <f t="shared" si="302"/>
        <v>75.000000000000867</v>
      </c>
      <c r="CG292" s="39">
        <f t="shared" si="303"/>
        <v>73.29123047550938</v>
      </c>
      <c r="CH292" s="39">
        <f t="shared" si="304"/>
        <v>70.800000000000011</v>
      </c>
      <c r="CI292" s="39">
        <f t="shared" si="305"/>
        <v>0</v>
      </c>
      <c r="CJ292" s="39">
        <f t="shared" si="306"/>
        <v>0</v>
      </c>
      <c r="CK292" s="39">
        <f t="shared" si="307"/>
        <v>0</v>
      </c>
      <c r="CL292" s="39">
        <f t="shared" si="308"/>
        <v>0</v>
      </c>
      <c r="CM292" s="39">
        <f t="shared" si="309"/>
        <v>0</v>
      </c>
      <c r="CN292" s="39">
        <f t="shared" si="310"/>
        <v>0</v>
      </c>
      <c r="CO292" s="39">
        <f t="shared" si="311"/>
        <v>0</v>
      </c>
      <c r="CP292" s="39">
        <f t="shared" si="312"/>
        <v>0</v>
      </c>
    </row>
    <row r="293" spans="2:94" ht="16" customHeight="1" x14ac:dyDescent="0.2">
      <c r="B293" s="38"/>
      <c r="L293" s="63">
        <v>30605</v>
      </c>
      <c r="M293" s="38">
        <v>0</v>
      </c>
      <c r="N293" s="38">
        <v>3.4</v>
      </c>
      <c r="O293" s="39">
        <v>0</v>
      </c>
      <c r="P293" s="39">
        <v>0</v>
      </c>
      <c r="Q293" s="46">
        <f t="shared" si="243"/>
        <v>6.0414040485782146E-2</v>
      </c>
      <c r="R293" s="81">
        <f t="shared" si="244"/>
        <v>0</v>
      </c>
      <c r="S293" s="82">
        <f t="shared" si="245"/>
        <v>0</v>
      </c>
      <c r="T293" s="39">
        <f t="shared" si="246"/>
        <v>0</v>
      </c>
      <c r="U293" s="83">
        <f t="shared" si="247"/>
        <v>0</v>
      </c>
      <c r="V293" s="84">
        <f t="shared" si="248"/>
        <v>2.72</v>
      </c>
      <c r="W293" s="52">
        <f t="shared" si="249"/>
        <v>142.19574002701415</v>
      </c>
      <c r="X293" s="52">
        <f t="shared" si="250"/>
        <v>162.09123047551032</v>
      </c>
      <c r="Y293" s="52">
        <f t="shared" si="251"/>
        <v>304.28697050252447</v>
      </c>
      <c r="Z293" s="53">
        <f t="shared" si="252"/>
        <v>1.1109042189610481</v>
      </c>
      <c r="AA293" s="53">
        <f t="shared" si="253"/>
        <v>0.96482875283041858</v>
      </c>
      <c r="AB293" s="53">
        <f t="shared" si="254"/>
        <v>1.0279965219679881</v>
      </c>
      <c r="AC293" s="39" t="str">
        <f t="shared" si="255"/>
        <v>No</v>
      </c>
      <c r="AD293" s="85">
        <f t="shared" si="256"/>
        <v>0</v>
      </c>
      <c r="AE293" s="46">
        <f t="shared" si="257"/>
        <v>1</v>
      </c>
      <c r="AF293" s="46">
        <f t="shared" si="258"/>
        <v>0</v>
      </c>
      <c r="AG293" s="39">
        <f t="shared" si="313"/>
        <v>74.195740027014139</v>
      </c>
      <c r="AH293" s="39">
        <f t="shared" si="314"/>
        <v>66</v>
      </c>
      <c r="AI293" s="39">
        <f t="shared" si="315"/>
        <v>63.999999999999986</v>
      </c>
      <c r="AJ293" s="39">
        <f t="shared" si="316"/>
        <v>87.000000000000014</v>
      </c>
      <c r="AK293" s="39">
        <f t="shared" si="317"/>
        <v>84.000000000000043</v>
      </c>
      <c r="AL293" s="39">
        <f t="shared" si="318"/>
        <v>75.000000000000867</v>
      </c>
      <c r="AM293" s="39">
        <f t="shared" si="319"/>
        <v>73.29123047550938</v>
      </c>
      <c r="AN293" s="39">
        <f t="shared" si="320"/>
        <v>70.800000000000011</v>
      </c>
      <c r="AO293" s="39">
        <f t="shared" si="259"/>
        <v>0</v>
      </c>
      <c r="AP293" s="39">
        <f t="shared" si="260"/>
        <v>0</v>
      </c>
      <c r="AQ293" s="39">
        <f t="shared" si="261"/>
        <v>0</v>
      </c>
      <c r="AR293" s="39">
        <f t="shared" si="262"/>
        <v>0</v>
      </c>
      <c r="AS293" s="39">
        <f t="shared" si="263"/>
        <v>0</v>
      </c>
      <c r="AT293" s="39">
        <f t="shared" si="264"/>
        <v>0</v>
      </c>
      <c r="AU293" s="39">
        <f t="shared" si="265"/>
        <v>0</v>
      </c>
      <c r="AV293" s="39">
        <f t="shared" si="266"/>
        <v>0</v>
      </c>
      <c r="AW293" s="39">
        <f t="shared" si="267"/>
        <v>0</v>
      </c>
      <c r="AX293" s="39">
        <f t="shared" si="268"/>
        <v>0</v>
      </c>
      <c r="AY293" s="39">
        <f t="shared" si="269"/>
        <v>0</v>
      </c>
      <c r="AZ293" s="39">
        <f t="shared" si="270"/>
        <v>0</v>
      </c>
      <c r="BA293" s="39">
        <f t="shared" si="271"/>
        <v>0</v>
      </c>
      <c r="BB293" s="39">
        <f t="shared" si="272"/>
        <v>0</v>
      </c>
      <c r="BC293" s="39">
        <f t="shared" si="273"/>
        <v>0</v>
      </c>
      <c r="BD293" s="39">
        <f t="shared" si="274"/>
        <v>0</v>
      </c>
      <c r="BE293" s="39">
        <f t="shared" si="275"/>
        <v>0</v>
      </c>
      <c r="BF293" s="39">
        <f t="shared" si="276"/>
        <v>0</v>
      </c>
      <c r="BG293" s="39">
        <f t="shared" si="277"/>
        <v>0</v>
      </c>
      <c r="BH293" s="84">
        <f t="shared" si="278"/>
        <v>2.72</v>
      </c>
      <c r="BI293" s="84">
        <f t="shared" si="279"/>
        <v>0</v>
      </c>
      <c r="BJ293" s="84">
        <f t="shared" si="280"/>
        <v>2.72</v>
      </c>
      <c r="BK293" s="39">
        <f t="shared" si="281"/>
        <v>71.47574002701414</v>
      </c>
      <c r="BL293" s="39">
        <f t="shared" si="282"/>
        <v>66</v>
      </c>
      <c r="BM293" s="39">
        <f t="shared" si="283"/>
        <v>63.999999999999986</v>
      </c>
      <c r="BN293" s="39">
        <f t="shared" si="284"/>
        <v>87.000000000000014</v>
      </c>
      <c r="BO293" s="39">
        <f t="shared" si="285"/>
        <v>84.000000000000043</v>
      </c>
      <c r="BP293" s="39">
        <f t="shared" si="286"/>
        <v>75.000000000000867</v>
      </c>
      <c r="BQ293" s="39">
        <f t="shared" si="287"/>
        <v>73.29123047550938</v>
      </c>
      <c r="BR293" s="39">
        <f t="shared" si="288"/>
        <v>70.800000000000011</v>
      </c>
      <c r="BS293" s="39">
        <f t="shared" si="289"/>
        <v>6.885444016208484</v>
      </c>
      <c r="BT293" s="39">
        <f t="shared" si="290"/>
        <v>0</v>
      </c>
      <c r="BU293" s="39">
        <f t="shared" si="291"/>
        <v>0</v>
      </c>
      <c r="BV293" s="39">
        <f t="shared" si="292"/>
        <v>0</v>
      </c>
      <c r="BW293" s="39">
        <f t="shared" si="293"/>
        <v>3.4106051316484808E-14</v>
      </c>
      <c r="BX293" s="39">
        <f t="shared" si="294"/>
        <v>5.1159076974727213E-13</v>
      </c>
      <c r="BY293" s="39">
        <f t="shared" si="295"/>
        <v>0</v>
      </c>
      <c r="BZ293" s="39">
        <f t="shared" si="296"/>
        <v>0</v>
      </c>
      <c r="CA293" s="39">
        <f t="shared" si="297"/>
        <v>64.590296010805659</v>
      </c>
      <c r="CB293" s="39">
        <f t="shared" si="298"/>
        <v>72.885444016208481</v>
      </c>
      <c r="CC293" s="39">
        <f t="shared" si="299"/>
        <v>63.999999999999986</v>
      </c>
      <c r="CD293" s="39">
        <f t="shared" si="300"/>
        <v>87.000000000000014</v>
      </c>
      <c r="CE293" s="39">
        <f t="shared" si="301"/>
        <v>84.000000000000014</v>
      </c>
      <c r="CF293" s="39">
        <f t="shared" si="302"/>
        <v>75.000000000000384</v>
      </c>
      <c r="CG293" s="39">
        <f t="shared" si="303"/>
        <v>73.291230475509892</v>
      </c>
      <c r="CH293" s="39">
        <f t="shared" si="304"/>
        <v>70.800000000000011</v>
      </c>
      <c r="CI293" s="39">
        <f t="shared" si="305"/>
        <v>0</v>
      </c>
      <c r="CJ293" s="39">
        <f t="shared" si="306"/>
        <v>0</v>
      </c>
      <c r="CK293" s="39">
        <f t="shared" si="307"/>
        <v>0</v>
      </c>
      <c r="CL293" s="39">
        <f t="shared" si="308"/>
        <v>0</v>
      </c>
      <c r="CM293" s="39">
        <f t="shared" si="309"/>
        <v>0</v>
      </c>
      <c r="CN293" s="39">
        <f t="shared" si="310"/>
        <v>0</v>
      </c>
      <c r="CO293" s="39">
        <f t="shared" si="311"/>
        <v>0</v>
      </c>
      <c r="CP293" s="39">
        <f t="shared" si="312"/>
        <v>0</v>
      </c>
    </row>
    <row r="294" spans="2:94" ht="16" customHeight="1" x14ac:dyDescent="0.2">
      <c r="B294" s="38"/>
      <c r="L294" s="63">
        <v>30606</v>
      </c>
      <c r="M294" s="38">
        <v>0</v>
      </c>
      <c r="N294" s="38">
        <v>3.4</v>
      </c>
      <c r="O294" s="39">
        <v>0</v>
      </c>
      <c r="P294" s="39">
        <v>0</v>
      </c>
      <c r="Q294" s="46">
        <f t="shared" si="243"/>
        <v>7.9884535113231764E-2</v>
      </c>
      <c r="R294" s="81">
        <f t="shared" si="244"/>
        <v>0</v>
      </c>
      <c r="S294" s="82">
        <f t="shared" si="245"/>
        <v>0</v>
      </c>
      <c r="T294" s="39">
        <f t="shared" si="246"/>
        <v>0</v>
      </c>
      <c r="U294" s="83">
        <f t="shared" si="247"/>
        <v>0</v>
      </c>
      <c r="V294" s="84">
        <f t="shared" si="248"/>
        <v>2.72</v>
      </c>
      <c r="W294" s="52">
        <f t="shared" si="249"/>
        <v>139.47574002701413</v>
      </c>
      <c r="X294" s="52">
        <f t="shared" si="250"/>
        <v>162.09123047551032</v>
      </c>
      <c r="Y294" s="52">
        <f t="shared" si="251"/>
        <v>301.56697050252444</v>
      </c>
      <c r="Z294" s="53">
        <f t="shared" si="252"/>
        <v>1.0896542189610479</v>
      </c>
      <c r="AA294" s="53">
        <f t="shared" si="253"/>
        <v>0.96482875283041858</v>
      </c>
      <c r="AB294" s="53">
        <f t="shared" si="254"/>
        <v>1.0188073327787988</v>
      </c>
      <c r="AC294" s="39" t="str">
        <f t="shared" si="255"/>
        <v>No</v>
      </c>
      <c r="AD294" s="85">
        <f t="shared" si="256"/>
        <v>0</v>
      </c>
      <c r="AE294" s="46">
        <f t="shared" si="257"/>
        <v>1</v>
      </c>
      <c r="AF294" s="46">
        <f t="shared" si="258"/>
        <v>0</v>
      </c>
      <c r="AG294" s="39">
        <f t="shared" si="313"/>
        <v>64.590296010805659</v>
      </c>
      <c r="AH294" s="39">
        <f t="shared" si="314"/>
        <v>72.885444016208481</v>
      </c>
      <c r="AI294" s="39">
        <f t="shared" si="315"/>
        <v>63.999999999999986</v>
      </c>
      <c r="AJ294" s="39">
        <f t="shared" si="316"/>
        <v>87.000000000000014</v>
      </c>
      <c r="AK294" s="39">
        <f t="shared" si="317"/>
        <v>84.000000000000014</v>
      </c>
      <c r="AL294" s="39">
        <f t="shared" si="318"/>
        <v>75.000000000000384</v>
      </c>
      <c r="AM294" s="39">
        <f t="shared" si="319"/>
        <v>73.291230475509892</v>
      </c>
      <c r="AN294" s="39">
        <f t="shared" si="320"/>
        <v>70.800000000000011</v>
      </c>
      <c r="AO294" s="39">
        <f t="shared" si="259"/>
        <v>0</v>
      </c>
      <c r="AP294" s="39">
        <f t="shared" si="260"/>
        <v>0</v>
      </c>
      <c r="AQ294" s="39">
        <f t="shared" si="261"/>
        <v>0</v>
      </c>
      <c r="AR294" s="39">
        <f t="shared" si="262"/>
        <v>0</v>
      </c>
      <c r="AS294" s="39">
        <f t="shared" si="263"/>
        <v>0</v>
      </c>
      <c r="AT294" s="39">
        <f t="shared" si="264"/>
        <v>0</v>
      </c>
      <c r="AU294" s="39">
        <f t="shared" si="265"/>
        <v>0</v>
      </c>
      <c r="AV294" s="39">
        <f t="shared" si="266"/>
        <v>0</v>
      </c>
      <c r="AW294" s="39">
        <f t="shared" si="267"/>
        <v>0</v>
      </c>
      <c r="AX294" s="39">
        <f t="shared" si="268"/>
        <v>0</v>
      </c>
      <c r="AY294" s="39">
        <f t="shared" si="269"/>
        <v>0</v>
      </c>
      <c r="AZ294" s="39">
        <f t="shared" si="270"/>
        <v>0</v>
      </c>
      <c r="BA294" s="39">
        <f t="shared" si="271"/>
        <v>0</v>
      </c>
      <c r="BB294" s="39">
        <f t="shared" si="272"/>
        <v>0</v>
      </c>
      <c r="BC294" s="39">
        <f t="shared" si="273"/>
        <v>0</v>
      </c>
      <c r="BD294" s="39">
        <f t="shared" si="274"/>
        <v>0</v>
      </c>
      <c r="BE294" s="39">
        <f t="shared" si="275"/>
        <v>0</v>
      </c>
      <c r="BF294" s="39">
        <f t="shared" si="276"/>
        <v>0</v>
      </c>
      <c r="BG294" s="39">
        <f t="shared" si="277"/>
        <v>0</v>
      </c>
      <c r="BH294" s="84">
        <f t="shared" si="278"/>
        <v>2.72</v>
      </c>
      <c r="BI294" s="84">
        <f t="shared" si="279"/>
        <v>0</v>
      </c>
      <c r="BJ294" s="84">
        <f t="shared" si="280"/>
        <v>2.72</v>
      </c>
      <c r="BK294" s="39">
        <f t="shared" si="281"/>
        <v>61.87029601080566</v>
      </c>
      <c r="BL294" s="39">
        <f t="shared" si="282"/>
        <v>72.885444016208481</v>
      </c>
      <c r="BM294" s="39">
        <f t="shared" si="283"/>
        <v>63.999999999999986</v>
      </c>
      <c r="BN294" s="39">
        <f t="shared" si="284"/>
        <v>87.000000000000014</v>
      </c>
      <c r="BO294" s="39">
        <f t="shared" si="285"/>
        <v>84.000000000000014</v>
      </c>
      <c r="BP294" s="39">
        <f t="shared" si="286"/>
        <v>75.000000000000384</v>
      </c>
      <c r="BQ294" s="39">
        <f t="shared" si="287"/>
        <v>73.291230475509892</v>
      </c>
      <c r="BR294" s="39">
        <f t="shared" si="288"/>
        <v>70.800000000000011</v>
      </c>
      <c r="BS294" s="39">
        <f t="shared" si="289"/>
        <v>1.1221776064833959</v>
      </c>
      <c r="BT294" s="39">
        <f t="shared" si="290"/>
        <v>4.1312664097250886</v>
      </c>
      <c r="BU294" s="39">
        <f t="shared" si="291"/>
        <v>0</v>
      </c>
      <c r="BV294" s="39">
        <f t="shared" si="292"/>
        <v>0</v>
      </c>
      <c r="BW294" s="39">
        <f t="shared" si="293"/>
        <v>1.7053025658242404E-14</v>
      </c>
      <c r="BX294" s="39">
        <f t="shared" si="294"/>
        <v>2.2168933355715125E-13</v>
      </c>
      <c r="BY294" s="39">
        <f t="shared" si="295"/>
        <v>0</v>
      </c>
      <c r="BZ294" s="39">
        <f t="shared" si="296"/>
        <v>0</v>
      </c>
      <c r="CA294" s="39">
        <f t="shared" si="297"/>
        <v>60.748118404322263</v>
      </c>
      <c r="CB294" s="39">
        <f t="shared" si="298"/>
        <v>69.876355212966786</v>
      </c>
      <c r="CC294" s="39">
        <f t="shared" si="299"/>
        <v>68.131266409725072</v>
      </c>
      <c r="CD294" s="39">
        <f t="shared" si="300"/>
        <v>87.000000000000014</v>
      </c>
      <c r="CE294" s="39">
        <f t="shared" si="301"/>
        <v>84</v>
      </c>
      <c r="CF294" s="39">
        <f t="shared" si="302"/>
        <v>75.000000000000171</v>
      </c>
      <c r="CG294" s="39">
        <f t="shared" si="303"/>
        <v>73.291230475510119</v>
      </c>
      <c r="CH294" s="39">
        <f t="shared" si="304"/>
        <v>70.800000000000011</v>
      </c>
      <c r="CI294" s="39">
        <f t="shared" si="305"/>
        <v>0</v>
      </c>
      <c r="CJ294" s="39">
        <f t="shared" si="306"/>
        <v>0</v>
      </c>
      <c r="CK294" s="39">
        <f t="shared" si="307"/>
        <v>0</v>
      </c>
      <c r="CL294" s="39">
        <f t="shared" si="308"/>
        <v>0</v>
      </c>
      <c r="CM294" s="39">
        <f t="shared" si="309"/>
        <v>0</v>
      </c>
      <c r="CN294" s="39">
        <f t="shared" si="310"/>
        <v>0</v>
      </c>
      <c r="CO294" s="39">
        <f t="shared" si="311"/>
        <v>0</v>
      </c>
      <c r="CP294" s="39">
        <f t="shared" si="312"/>
        <v>0</v>
      </c>
    </row>
    <row r="295" spans="2:94" ht="16" customHeight="1" x14ac:dyDescent="0.2">
      <c r="B295" s="38"/>
      <c r="L295" s="63">
        <v>30607</v>
      </c>
      <c r="M295" s="38">
        <v>0</v>
      </c>
      <c r="N295" s="38">
        <v>4.5</v>
      </c>
      <c r="O295" s="39">
        <v>0</v>
      </c>
      <c r="P295" s="39">
        <v>0</v>
      </c>
      <c r="Q295" s="46">
        <f t="shared" si="243"/>
        <v>8.767273296421163E-2</v>
      </c>
      <c r="R295" s="81">
        <f t="shared" si="244"/>
        <v>0</v>
      </c>
      <c r="S295" s="82">
        <f t="shared" si="245"/>
        <v>0</v>
      </c>
      <c r="T295" s="39">
        <f t="shared" si="246"/>
        <v>0</v>
      </c>
      <c r="U295" s="83">
        <f t="shared" si="247"/>
        <v>0</v>
      </c>
      <c r="V295" s="84">
        <f t="shared" si="248"/>
        <v>3.6</v>
      </c>
      <c r="W295" s="52">
        <f t="shared" si="249"/>
        <v>136.75574002701416</v>
      </c>
      <c r="X295" s="52">
        <f t="shared" si="250"/>
        <v>162.09123047551032</v>
      </c>
      <c r="Y295" s="52">
        <f t="shared" si="251"/>
        <v>298.84697050252447</v>
      </c>
      <c r="Z295" s="53">
        <f t="shared" si="252"/>
        <v>1.0684042189610481</v>
      </c>
      <c r="AA295" s="53">
        <f t="shared" si="253"/>
        <v>0.96482875283041858</v>
      </c>
      <c r="AB295" s="53">
        <f t="shared" si="254"/>
        <v>1.0096181435896097</v>
      </c>
      <c r="AC295" s="39" t="str">
        <f t="shared" si="255"/>
        <v>No</v>
      </c>
      <c r="AD295" s="85">
        <f t="shared" si="256"/>
        <v>0</v>
      </c>
      <c r="AE295" s="46">
        <f t="shared" si="257"/>
        <v>1</v>
      </c>
      <c r="AF295" s="46">
        <f t="shared" si="258"/>
        <v>0</v>
      </c>
      <c r="AG295" s="39">
        <f t="shared" si="313"/>
        <v>60.748118404322263</v>
      </c>
      <c r="AH295" s="39">
        <f t="shared" si="314"/>
        <v>69.876355212966786</v>
      </c>
      <c r="AI295" s="39">
        <f t="shared" si="315"/>
        <v>68.131266409725072</v>
      </c>
      <c r="AJ295" s="39">
        <f t="shared" si="316"/>
        <v>87.000000000000014</v>
      </c>
      <c r="AK295" s="39">
        <f t="shared" si="317"/>
        <v>84</v>
      </c>
      <c r="AL295" s="39">
        <f t="shared" si="318"/>
        <v>75.000000000000171</v>
      </c>
      <c r="AM295" s="39">
        <f t="shared" si="319"/>
        <v>73.291230475510119</v>
      </c>
      <c r="AN295" s="39">
        <f t="shared" si="320"/>
        <v>70.800000000000011</v>
      </c>
      <c r="AO295" s="39">
        <f t="shared" si="259"/>
        <v>0</v>
      </c>
      <c r="AP295" s="39">
        <f t="shared" si="260"/>
        <v>0</v>
      </c>
      <c r="AQ295" s="39">
        <f t="shared" si="261"/>
        <v>0</v>
      </c>
      <c r="AR295" s="39">
        <f t="shared" si="262"/>
        <v>0</v>
      </c>
      <c r="AS295" s="39">
        <f t="shared" si="263"/>
        <v>0</v>
      </c>
      <c r="AT295" s="39">
        <f t="shared" si="264"/>
        <v>0</v>
      </c>
      <c r="AU295" s="39">
        <f t="shared" si="265"/>
        <v>0</v>
      </c>
      <c r="AV295" s="39">
        <f t="shared" si="266"/>
        <v>0</v>
      </c>
      <c r="AW295" s="39">
        <f t="shared" si="267"/>
        <v>0</v>
      </c>
      <c r="AX295" s="39">
        <f t="shared" si="268"/>
        <v>0</v>
      </c>
      <c r="AY295" s="39">
        <f t="shared" si="269"/>
        <v>0</v>
      </c>
      <c r="AZ295" s="39">
        <f t="shared" si="270"/>
        <v>0</v>
      </c>
      <c r="BA295" s="39">
        <f t="shared" si="271"/>
        <v>0</v>
      </c>
      <c r="BB295" s="39">
        <f t="shared" si="272"/>
        <v>0</v>
      </c>
      <c r="BC295" s="39">
        <f t="shared" si="273"/>
        <v>0</v>
      </c>
      <c r="BD295" s="39">
        <f t="shared" si="274"/>
        <v>0</v>
      </c>
      <c r="BE295" s="39">
        <f t="shared" si="275"/>
        <v>0</v>
      </c>
      <c r="BF295" s="39">
        <f t="shared" si="276"/>
        <v>0</v>
      </c>
      <c r="BG295" s="39">
        <f t="shared" si="277"/>
        <v>0</v>
      </c>
      <c r="BH295" s="84">
        <f t="shared" si="278"/>
        <v>3.6</v>
      </c>
      <c r="BI295" s="84">
        <f t="shared" si="279"/>
        <v>0</v>
      </c>
      <c r="BJ295" s="84">
        <f t="shared" si="280"/>
        <v>3.6</v>
      </c>
      <c r="BK295" s="39">
        <f t="shared" si="281"/>
        <v>57.148118404322261</v>
      </c>
      <c r="BL295" s="39">
        <f t="shared" si="282"/>
        <v>69.876355212966786</v>
      </c>
      <c r="BM295" s="39">
        <f t="shared" si="283"/>
        <v>68.131266409725072</v>
      </c>
      <c r="BN295" s="39">
        <f t="shared" si="284"/>
        <v>87.000000000000014</v>
      </c>
      <c r="BO295" s="39">
        <f t="shared" si="285"/>
        <v>84</v>
      </c>
      <c r="BP295" s="39">
        <f t="shared" si="286"/>
        <v>75.000000000000171</v>
      </c>
      <c r="BQ295" s="39">
        <f t="shared" si="287"/>
        <v>73.291230475510119</v>
      </c>
      <c r="BR295" s="39">
        <f t="shared" si="288"/>
        <v>70.800000000000011</v>
      </c>
      <c r="BS295" s="39">
        <f t="shared" si="289"/>
        <v>0</v>
      </c>
      <c r="BT295" s="39">
        <f t="shared" si="290"/>
        <v>2.3258131277800715</v>
      </c>
      <c r="BU295" s="39">
        <f t="shared" si="291"/>
        <v>2.4787598458350515</v>
      </c>
      <c r="BV295" s="39">
        <f t="shared" si="292"/>
        <v>0</v>
      </c>
      <c r="BW295" s="39">
        <f t="shared" si="293"/>
        <v>8.5265128291212019E-15</v>
      </c>
      <c r="BX295" s="39">
        <f t="shared" si="294"/>
        <v>9.3791641120333219E-14</v>
      </c>
      <c r="BY295" s="39">
        <f t="shared" si="295"/>
        <v>0</v>
      </c>
      <c r="BZ295" s="39">
        <f t="shared" si="296"/>
        <v>0</v>
      </c>
      <c r="CA295" s="39">
        <f t="shared" si="297"/>
        <v>57.148118404322261</v>
      </c>
      <c r="CB295" s="39">
        <f t="shared" si="298"/>
        <v>67.55054208518672</v>
      </c>
      <c r="CC295" s="39">
        <f t="shared" si="299"/>
        <v>67.97831969167008</v>
      </c>
      <c r="CD295" s="39">
        <f t="shared" si="300"/>
        <v>89.478759845835071</v>
      </c>
      <c r="CE295" s="39">
        <f t="shared" si="301"/>
        <v>83.999999999999986</v>
      </c>
      <c r="CF295" s="39">
        <f t="shared" si="302"/>
        <v>75.000000000000085</v>
      </c>
      <c r="CG295" s="39">
        <f t="shared" si="303"/>
        <v>73.291230475510218</v>
      </c>
      <c r="CH295" s="39">
        <f t="shared" si="304"/>
        <v>70.800000000000011</v>
      </c>
      <c r="CI295" s="39">
        <f t="shared" si="305"/>
        <v>0</v>
      </c>
      <c r="CJ295" s="39">
        <f t="shared" si="306"/>
        <v>0</v>
      </c>
      <c r="CK295" s="39">
        <f t="shared" si="307"/>
        <v>0</v>
      </c>
      <c r="CL295" s="39">
        <f t="shared" si="308"/>
        <v>0</v>
      </c>
      <c r="CM295" s="39">
        <f t="shared" si="309"/>
        <v>0</v>
      </c>
      <c r="CN295" s="39">
        <f t="shared" si="310"/>
        <v>0</v>
      </c>
      <c r="CO295" s="39">
        <f t="shared" si="311"/>
        <v>0</v>
      </c>
      <c r="CP295" s="39">
        <f t="shared" si="312"/>
        <v>0</v>
      </c>
    </row>
    <row r="296" spans="2:94" ht="16" customHeight="1" x14ac:dyDescent="0.2">
      <c r="B296" s="38"/>
      <c r="L296" s="63">
        <v>30608</v>
      </c>
      <c r="M296" s="38">
        <v>0.5</v>
      </c>
      <c r="N296" s="38">
        <v>4.5999999999999996</v>
      </c>
      <c r="O296" s="39">
        <v>0</v>
      </c>
      <c r="P296" s="39">
        <v>0</v>
      </c>
      <c r="Q296" s="46">
        <f t="shared" si="243"/>
        <v>9.4970030261508923E-2</v>
      </c>
      <c r="R296" s="81">
        <f t="shared" si="244"/>
        <v>0</v>
      </c>
      <c r="S296" s="82">
        <f t="shared" si="245"/>
        <v>0.5</v>
      </c>
      <c r="T296" s="39">
        <f t="shared" si="246"/>
        <v>0</v>
      </c>
      <c r="U296" s="83">
        <f t="shared" si="247"/>
        <v>0</v>
      </c>
      <c r="V296" s="84">
        <f t="shared" si="248"/>
        <v>3.6799999999999997</v>
      </c>
      <c r="W296" s="52">
        <f t="shared" si="249"/>
        <v>133.15574002701413</v>
      </c>
      <c r="X296" s="52">
        <f t="shared" si="250"/>
        <v>162.09123047551032</v>
      </c>
      <c r="Y296" s="52">
        <f t="shared" si="251"/>
        <v>295.24697050252445</v>
      </c>
      <c r="Z296" s="53">
        <f t="shared" si="252"/>
        <v>1.0402792189610479</v>
      </c>
      <c r="AA296" s="53">
        <f t="shared" si="253"/>
        <v>0.96482875283041858</v>
      </c>
      <c r="AB296" s="53">
        <f t="shared" si="254"/>
        <v>0.99745598142744751</v>
      </c>
      <c r="AC296" s="39" t="str">
        <f t="shared" si="255"/>
        <v>No</v>
      </c>
      <c r="AD296" s="85">
        <f t="shared" si="256"/>
        <v>0</v>
      </c>
      <c r="AE296" s="46">
        <f t="shared" si="257"/>
        <v>1</v>
      </c>
      <c r="AF296" s="46">
        <f t="shared" si="258"/>
        <v>0</v>
      </c>
      <c r="AG296" s="39">
        <f t="shared" si="313"/>
        <v>57.148118404322261</v>
      </c>
      <c r="AH296" s="39">
        <f t="shared" si="314"/>
        <v>67.55054208518672</v>
      </c>
      <c r="AI296" s="39">
        <f t="shared" si="315"/>
        <v>67.97831969167008</v>
      </c>
      <c r="AJ296" s="39">
        <f t="shared" si="316"/>
        <v>89.478759845835071</v>
      </c>
      <c r="AK296" s="39">
        <f t="shared" si="317"/>
        <v>83.999999999999986</v>
      </c>
      <c r="AL296" s="39">
        <f t="shared" si="318"/>
        <v>75.000000000000085</v>
      </c>
      <c r="AM296" s="39">
        <f t="shared" si="319"/>
        <v>73.291230475510218</v>
      </c>
      <c r="AN296" s="39">
        <f t="shared" si="320"/>
        <v>70.800000000000011</v>
      </c>
      <c r="AO296" s="39">
        <f t="shared" si="259"/>
        <v>0</v>
      </c>
      <c r="AP296" s="39">
        <f t="shared" si="260"/>
        <v>0</v>
      </c>
      <c r="AQ296" s="39">
        <f t="shared" si="261"/>
        <v>0</v>
      </c>
      <c r="AR296" s="39">
        <f t="shared" si="262"/>
        <v>0</v>
      </c>
      <c r="AS296" s="39">
        <f t="shared" si="263"/>
        <v>0</v>
      </c>
      <c r="AT296" s="39">
        <f t="shared" si="264"/>
        <v>0</v>
      </c>
      <c r="AU296" s="39">
        <f t="shared" si="265"/>
        <v>0</v>
      </c>
      <c r="AV296" s="39">
        <f t="shared" si="266"/>
        <v>0</v>
      </c>
      <c r="AW296" s="39">
        <f t="shared" si="267"/>
        <v>0</v>
      </c>
      <c r="AX296" s="39">
        <f t="shared" si="268"/>
        <v>0</v>
      </c>
      <c r="AY296" s="39">
        <f t="shared" si="269"/>
        <v>0</v>
      </c>
      <c r="AZ296" s="39">
        <f t="shared" si="270"/>
        <v>0</v>
      </c>
      <c r="BA296" s="39">
        <f t="shared" si="271"/>
        <v>0</v>
      </c>
      <c r="BB296" s="39">
        <f t="shared" si="272"/>
        <v>0</v>
      </c>
      <c r="BC296" s="39">
        <f t="shared" si="273"/>
        <v>0</v>
      </c>
      <c r="BD296" s="39">
        <f t="shared" si="274"/>
        <v>0</v>
      </c>
      <c r="BE296" s="39">
        <f t="shared" si="275"/>
        <v>0</v>
      </c>
      <c r="BF296" s="39">
        <f t="shared" si="276"/>
        <v>0</v>
      </c>
      <c r="BG296" s="39">
        <f t="shared" si="277"/>
        <v>0</v>
      </c>
      <c r="BH296" s="84">
        <f t="shared" si="278"/>
        <v>3.6799999999999997</v>
      </c>
      <c r="BI296" s="84">
        <f t="shared" si="279"/>
        <v>0</v>
      </c>
      <c r="BJ296" s="84">
        <f t="shared" si="280"/>
        <v>3.6799999999999997</v>
      </c>
      <c r="BK296" s="39">
        <f t="shared" si="281"/>
        <v>53.468118404322261</v>
      </c>
      <c r="BL296" s="39">
        <f t="shared" si="282"/>
        <v>67.55054208518672</v>
      </c>
      <c r="BM296" s="39">
        <f t="shared" si="283"/>
        <v>67.97831969167008</v>
      </c>
      <c r="BN296" s="39">
        <f t="shared" si="284"/>
        <v>89.478759845835071</v>
      </c>
      <c r="BO296" s="39">
        <f t="shared" si="285"/>
        <v>83.999999999999986</v>
      </c>
      <c r="BP296" s="39">
        <f t="shared" si="286"/>
        <v>75.000000000000085</v>
      </c>
      <c r="BQ296" s="39">
        <f t="shared" si="287"/>
        <v>73.291230475510218</v>
      </c>
      <c r="BR296" s="39">
        <f t="shared" si="288"/>
        <v>70.800000000000011</v>
      </c>
      <c r="BS296" s="39">
        <f t="shared" si="289"/>
        <v>0</v>
      </c>
      <c r="BT296" s="39">
        <f t="shared" si="290"/>
        <v>0.9303252511120319</v>
      </c>
      <c r="BU296" s="39">
        <f t="shared" si="291"/>
        <v>2.3869918150020566</v>
      </c>
      <c r="BV296" s="39">
        <f t="shared" si="292"/>
        <v>1.4872559075010343</v>
      </c>
      <c r="BW296" s="39">
        <f t="shared" si="293"/>
        <v>0</v>
      </c>
      <c r="BX296" s="39">
        <f t="shared" si="294"/>
        <v>4.2632564145606011E-14</v>
      </c>
      <c r="BY296" s="39">
        <f t="shared" si="295"/>
        <v>0</v>
      </c>
      <c r="BZ296" s="39">
        <f t="shared" si="296"/>
        <v>0</v>
      </c>
      <c r="CA296" s="39">
        <f t="shared" si="297"/>
        <v>53.468118404322261</v>
      </c>
      <c r="CB296" s="39">
        <f t="shared" si="298"/>
        <v>66.620216834074682</v>
      </c>
      <c r="CC296" s="39">
        <f t="shared" si="299"/>
        <v>66.521653127780056</v>
      </c>
      <c r="CD296" s="39">
        <f t="shared" si="300"/>
        <v>90.378495753336097</v>
      </c>
      <c r="CE296" s="39">
        <f t="shared" si="301"/>
        <v>85.487255907501023</v>
      </c>
      <c r="CF296" s="39">
        <f t="shared" si="302"/>
        <v>75.000000000000043</v>
      </c>
      <c r="CG296" s="39">
        <f t="shared" si="303"/>
        <v>73.291230475510261</v>
      </c>
      <c r="CH296" s="39">
        <f t="shared" si="304"/>
        <v>70.800000000000011</v>
      </c>
      <c r="CI296" s="39">
        <f t="shared" si="305"/>
        <v>0</v>
      </c>
      <c r="CJ296" s="39">
        <f t="shared" si="306"/>
        <v>0</v>
      </c>
      <c r="CK296" s="39">
        <f t="shared" si="307"/>
        <v>0</v>
      </c>
      <c r="CL296" s="39">
        <f t="shared" si="308"/>
        <v>0</v>
      </c>
      <c r="CM296" s="39">
        <f t="shared" si="309"/>
        <v>0</v>
      </c>
      <c r="CN296" s="39">
        <f t="shared" si="310"/>
        <v>0</v>
      </c>
      <c r="CO296" s="39">
        <f t="shared" si="311"/>
        <v>0</v>
      </c>
      <c r="CP296" s="39">
        <f t="shared" si="312"/>
        <v>0</v>
      </c>
    </row>
    <row r="297" spans="2:94" ht="16" customHeight="1" x14ac:dyDescent="0.2">
      <c r="B297" s="38"/>
      <c r="L297" s="63">
        <v>30609</v>
      </c>
      <c r="M297" s="38">
        <v>4</v>
      </c>
      <c r="N297" s="38">
        <v>5.3</v>
      </c>
      <c r="O297" s="39">
        <v>0</v>
      </c>
      <c r="P297" s="39">
        <v>0</v>
      </c>
      <c r="Q297" s="46">
        <f t="shared" si="243"/>
        <v>0.10242948972096838</v>
      </c>
      <c r="R297" s="81">
        <f t="shared" si="244"/>
        <v>0</v>
      </c>
      <c r="S297" s="82">
        <f t="shared" si="245"/>
        <v>4</v>
      </c>
      <c r="T297" s="39">
        <f t="shared" si="246"/>
        <v>0</v>
      </c>
      <c r="U297" s="83">
        <f t="shared" si="247"/>
        <v>0</v>
      </c>
      <c r="V297" s="84">
        <f t="shared" si="248"/>
        <v>4.24</v>
      </c>
      <c r="W297" s="52">
        <f t="shared" si="249"/>
        <v>127.98848411951309</v>
      </c>
      <c r="X297" s="52">
        <f t="shared" si="250"/>
        <v>163.57848638301135</v>
      </c>
      <c r="Y297" s="52">
        <f t="shared" si="251"/>
        <v>291.56697050252444</v>
      </c>
      <c r="Z297" s="53">
        <f t="shared" si="252"/>
        <v>0.99991003218369601</v>
      </c>
      <c r="AA297" s="53">
        <f t="shared" si="253"/>
        <v>0.97368146656554377</v>
      </c>
      <c r="AB297" s="53">
        <f t="shared" si="254"/>
        <v>0.98502354899501499</v>
      </c>
      <c r="AC297" s="39" t="str">
        <f t="shared" si="255"/>
        <v>No</v>
      </c>
      <c r="AD297" s="85">
        <f t="shared" si="256"/>
        <v>0</v>
      </c>
      <c r="AE297" s="46">
        <f t="shared" si="257"/>
        <v>1</v>
      </c>
      <c r="AF297" s="46">
        <f t="shared" si="258"/>
        <v>0</v>
      </c>
      <c r="AG297" s="39">
        <f t="shared" si="313"/>
        <v>53.468118404322261</v>
      </c>
      <c r="AH297" s="39">
        <f t="shared" si="314"/>
        <v>66.620216834074682</v>
      </c>
      <c r="AI297" s="39">
        <f t="shared" si="315"/>
        <v>66.521653127780056</v>
      </c>
      <c r="AJ297" s="39">
        <f t="shared" si="316"/>
        <v>90.378495753336097</v>
      </c>
      <c r="AK297" s="39">
        <f t="shared" si="317"/>
        <v>85.487255907501023</v>
      </c>
      <c r="AL297" s="39">
        <f t="shared" si="318"/>
        <v>75.000000000000043</v>
      </c>
      <c r="AM297" s="39">
        <f t="shared" si="319"/>
        <v>73.291230475510261</v>
      </c>
      <c r="AN297" s="39">
        <f t="shared" si="320"/>
        <v>70.800000000000011</v>
      </c>
      <c r="AO297" s="39">
        <f t="shared" si="259"/>
        <v>0</v>
      </c>
      <c r="AP297" s="39">
        <f t="shared" si="260"/>
        <v>0</v>
      </c>
      <c r="AQ297" s="39">
        <f t="shared" si="261"/>
        <v>0</v>
      </c>
      <c r="AR297" s="39">
        <f t="shared" si="262"/>
        <v>0</v>
      </c>
      <c r="AS297" s="39">
        <f t="shared" si="263"/>
        <v>0</v>
      </c>
      <c r="AT297" s="39">
        <f t="shared" si="264"/>
        <v>0</v>
      </c>
      <c r="AU297" s="39">
        <f t="shared" si="265"/>
        <v>0</v>
      </c>
      <c r="AV297" s="39">
        <f t="shared" si="266"/>
        <v>0</v>
      </c>
      <c r="AW297" s="39">
        <f t="shared" si="267"/>
        <v>0</v>
      </c>
      <c r="AX297" s="39">
        <f t="shared" si="268"/>
        <v>0</v>
      </c>
      <c r="AY297" s="39">
        <f t="shared" si="269"/>
        <v>0</v>
      </c>
      <c r="AZ297" s="39">
        <f t="shared" si="270"/>
        <v>0</v>
      </c>
      <c r="BA297" s="39">
        <f t="shared" si="271"/>
        <v>0</v>
      </c>
      <c r="BB297" s="39">
        <f t="shared" si="272"/>
        <v>0</v>
      </c>
      <c r="BC297" s="39">
        <f t="shared" si="273"/>
        <v>0</v>
      </c>
      <c r="BD297" s="39">
        <f t="shared" si="274"/>
        <v>0</v>
      </c>
      <c r="BE297" s="39">
        <f t="shared" si="275"/>
        <v>0</v>
      </c>
      <c r="BF297" s="39">
        <f t="shared" si="276"/>
        <v>0</v>
      </c>
      <c r="BG297" s="39">
        <f t="shared" si="277"/>
        <v>0</v>
      </c>
      <c r="BH297" s="84">
        <f t="shared" si="278"/>
        <v>4</v>
      </c>
      <c r="BI297" s="84">
        <f t="shared" si="279"/>
        <v>0.24000000000000021</v>
      </c>
      <c r="BJ297" s="84">
        <f t="shared" si="280"/>
        <v>4.2367368145181139</v>
      </c>
      <c r="BK297" s="39">
        <f t="shared" si="281"/>
        <v>49.231381589804144</v>
      </c>
      <c r="BL297" s="39">
        <f t="shared" si="282"/>
        <v>66.620216834074682</v>
      </c>
      <c r="BM297" s="39">
        <f t="shared" si="283"/>
        <v>66.521653127780056</v>
      </c>
      <c r="BN297" s="39">
        <f t="shared" si="284"/>
        <v>90.378495753336097</v>
      </c>
      <c r="BO297" s="39">
        <f t="shared" si="285"/>
        <v>85.487255907501023</v>
      </c>
      <c r="BP297" s="39">
        <f t="shared" si="286"/>
        <v>75.000000000000043</v>
      </c>
      <c r="BQ297" s="39">
        <f t="shared" si="287"/>
        <v>73.291230475510261</v>
      </c>
      <c r="BR297" s="39">
        <f t="shared" si="288"/>
        <v>70.800000000000011</v>
      </c>
      <c r="BS297" s="39">
        <f t="shared" si="289"/>
        <v>0</v>
      </c>
      <c r="BT297" s="39">
        <f t="shared" si="290"/>
        <v>0.37213010044480938</v>
      </c>
      <c r="BU297" s="39">
        <f t="shared" si="291"/>
        <v>1.5129918766680419</v>
      </c>
      <c r="BV297" s="39">
        <f t="shared" si="292"/>
        <v>2.0270974520016494</v>
      </c>
      <c r="BW297" s="39">
        <f t="shared" si="293"/>
        <v>0.89235354450062232</v>
      </c>
      <c r="BX297" s="39">
        <f t="shared" si="294"/>
        <v>1.7053025658242404E-14</v>
      </c>
      <c r="BY297" s="39">
        <f t="shared" si="295"/>
        <v>0</v>
      </c>
      <c r="BZ297" s="39">
        <f t="shared" si="296"/>
        <v>0</v>
      </c>
      <c r="CA297" s="39">
        <f t="shared" si="297"/>
        <v>49.231381589804144</v>
      </c>
      <c r="CB297" s="39">
        <f t="shared" si="298"/>
        <v>66.248086733629876</v>
      </c>
      <c r="CC297" s="39">
        <f t="shared" si="299"/>
        <v>65.380791351556823</v>
      </c>
      <c r="CD297" s="39">
        <f t="shared" si="300"/>
        <v>89.864390178002481</v>
      </c>
      <c r="CE297" s="39">
        <f t="shared" si="301"/>
        <v>86.621999815002056</v>
      </c>
      <c r="CF297" s="39">
        <f t="shared" si="302"/>
        <v>75.892353544500651</v>
      </c>
      <c r="CG297" s="39">
        <f t="shared" si="303"/>
        <v>73.291230475510275</v>
      </c>
      <c r="CH297" s="39">
        <f t="shared" si="304"/>
        <v>70.800000000000011</v>
      </c>
      <c r="CI297" s="39">
        <f t="shared" si="305"/>
        <v>0</v>
      </c>
      <c r="CJ297" s="39">
        <f t="shared" si="306"/>
        <v>0</v>
      </c>
      <c r="CK297" s="39">
        <f t="shared" si="307"/>
        <v>0</v>
      </c>
      <c r="CL297" s="39">
        <f t="shared" si="308"/>
        <v>0</v>
      </c>
      <c r="CM297" s="39">
        <f t="shared" si="309"/>
        <v>0</v>
      </c>
      <c r="CN297" s="39">
        <f t="shared" si="310"/>
        <v>0</v>
      </c>
      <c r="CO297" s="39">
        <f t="shared" si="311"/>
        <v>0</v>
      </c>
      <c r="CP297" s="39">
        <f t="shared" si="312"/>
        <v>0</v>
      </c>
    </row>
    <row r="298" spans="2:94" ht="16" customHeight="1" x14ac:dyDescent="0.2">
      <c r="B298" s="38"/>
      <c r="L298" s="63">
        <v>30610</v>
      </c>
      <c r="M298" s="38">
        <v>0.3</v>
      </c>
      <c r="N298" s="38">
        <v>4.8</v>
      </c>
      <c r="O298" s="39">
        <v>0</v>
      </c>
      <c r="P298" s="39">
        <v>0</v>
      </c>
      <c r="Q298" s="46">
        <f t="shared" si="243"/>
        <v>0.111017469750397</v>
      </c>
      <c r="R298" s="81">
        <f t="shared" si="244"/>
        <v>0</v>
      </c>
      <c r="S298" s="82">
        <f t="shared" si="245"/>
        <v>0.3</v>
      </c>
      <c r="T298" s="39">
        <f t="shared" si="246"/>
        <v>0</v>
      </c>
      <c r="U298" s="83">
        <f t="shared" si="247"/>
        <v>0</v>
      </c>
      <c r="V298" s="84">
        <f t="shared" si="248"/>
        <v>3.84</v>
      </c>
      <c r="W298" s="52">
        <f t="shared" si="249"/>
        <v>121.72464985299337</v>
      </c>
      <c r="X298" s="52">
        <f t="shared" si="250"/>
        <v>165.60558383501302</v>
      </c>
      <c r="Y298" s="52">
        <f t="shared" si="251"/>
        <v>287.33023368800639</v>
      </c>
      <c r="Z298" s="53">
        <f t="shared" si="252"/>
        <v>0.95097382697651067</v>
      </c>
      <c r="AA298" s="53">
        <f t="shared" si="253"/>
        <v>0.98574752282745848</v>
      </c>
      <c r="AB298" s="53">
        <f t="shared" si="254"/>
        <v>0.97071024894596758</v>
      </c>
      <c r="AC298" s="39" t="str">
        <f t="shared" si="255"/>
        <v>No</v>
      </c>
      <c r="AD298" s="85">
        <f t="shared" si="256"/>
        <v>0</v>
      </c>
      <c r="AE298" s="46">
        <f t="shared" si="257"/>
        <v>1</v>
      </c>
      <c r="AF298" s="46">
        <f t="shared" si="258"/>
        <v>0</v>
      </c>
      <c r="AG298" s="39">
        <f t="shared" si="313"/>
        <v>49.231381589804144</v>
      </c>
      <c r="AH298" s="39">
        <f t="shared" si="314"/>
        <v>66.248086733629876</v>
      </c>
      <c r="AI298" s="39">
        <f t="shared" si="315"/>
        <v>65.380791351556823</v>
      </c>
      <c r="AJ298" s="39">
        <f t="shared" si="316"/>
        <v>89.864390178002481</v>
      </c>
      <c r="AK298" s="39">
        <f t="shared" si="317"/>
        <v>86.621999815002056</v>
      </c>
      <c r="AL298" s="39">
        <f t="shared" si="318"/>
        <v>75.892353544500651</v>
      </c>
      <c r="AM298" s="39">
        <f t="shared" si="319"/>
        <v>73.291230475510275</v>
      </c>
      <c r="AN298" s="39">
        <f t="shared" si="320"/>
        <v>70.800000000000011</v>
      </c>
      <c r="AO298" s="39">
        <f t="shared" si="259"/>
        <v>0</v>
      </c>
      <c r="AP298" s="39">
        <f t="shared" si="260"/>
        <v>0</v>
      </c>
      <c r="AQ298" s="39">
        <f t="shared" si="261"/>
        <v>0</v>
      </c>
      <c r="AR298" s="39">
        <f t="shared" si="262"/>
        <v>0</v>
      </c>
      <c r="AS298" s="39">
        <f t="shared" si="263"/>
        <v>0</v>
      </c>
      <c r="AT298" s="39">
        <f t="shared" si="264"/>
        <v>0</v>
      </c>
      <c r="AU298" s="39">
        <f t="shared" si="265"/>
        <v>0</v>
      </c>
      <c r="AV298" s="39">
        <f t="shared" si="266"/>
        <v>0</v>
      </c>
      <c r="AW298" s="39">
        <f t="shared" si="267"/>
        <v>0</v>
      </c>
      <c r="AX298" s="39">
        <f t="shared" si="268"/>
        <v>0</v>
      </c>
      <c r="AY298" s="39">
        <f t="shared" si="269"/>
        <v>0</v>
      </c>
      <c r="AZ298" s="39">
        <f t="shared" si="270"/>
        <v>0</v>
      </c>
      <c r="BA298" s="39">
        <f t="shared" si="271"/>
        <v>0</v>
      </c>
      <c r="BB298" s="39">
        <f t="shared" si="272"/>
        <v>0</v>
      </c>
      <c r="BC298" s="39">
        <f t="shared" si="273"/>
        <v>0</v>
      </c>
      <c r="BD298" s="39">
        <f t="shared" si="274"/>
        <v>0</v>
      </c>
      <c r="BE298" s="39">
        <f t="shared" si="275"/>
        <v>0</v>
      </c>
      <c r="BF298" s="39">
        <f t="shared" si="276"/>
        <v>0</v>
      </c>
      <c r="BG298" s="39">
        <f t="shared" si="277"/>
        <v>0</v>
      </c>
      <c r="BH298" s="84">
        <f t="shared" si="278"/>
        <v>0.3</v>
      </c>
      <c r="BI298" s="84">
        <f t="shared" si="279"/>
        <v>3.54</v>
      </c>
      <c r="BJ298" s="84">
        <f t="shared" si="280"/>
        <v>2.4895343069824216</v>
      </c>
      <c r="BK298" s="39">
        <f t="shared" si="281"/>
        <v>46.741847282821723</v>
      </c>
      <c r="BL298" s="39">
        <f t="shared" si="282"/>
        <v>66.248086733629876</v>
      </c>
      <c r="BM298" s="39">
        <f t="shared" si="283"/>
        <v>65.380791351556823</v>
      </c>
      <c r="BN298" s="39">
        <f t="shared" si="284"/>
        <v>89.864390178002481</v>
      </c>
      <c r="BO298" s="39">
        <f t="shared" si="285"/>
        <v>86.621999815002056</v>
      </c>
      <c r="BP298" s="39">
        <f t="shared" si="286"/>
        <v>75.892353544500651</v>
      </c>
      <c r="BQ298" s="39">
        <f t="shared" si="287"/>
        <v>73.291230475510275</v>
      </c>
      <c r="BR298" s="39">
        <f t="shared" si="288"/>
        <v>70.800000000000011</v>
      </c>
      <c r="BS298" s="39">
        <f t="shared" si="289"/>
        <v>0</v>
      </c>
      <c r="BT298" s="39">
        <f t="shared" si="290"/>
        <v>0.14885204017792544</v>
      </c>
      <c r="BU298" s="39">
        <f t="shared" si="291"/>
        <v>0.82847481093410236</v>
      </c>
      <c r="BV298" s="39">
        <f t="shared" si="292"/>
        <v>1.7186341068014797</v>
      </c>
      <c r="BW298" s="39">
        <f t="shared" si="293"/>
        <v>1.573199889001242</v>
      </c>
      <c r="BX298" s="39">
        <f t="shared" si="294"/>
        <v>0.53541212670038185</v>
      </c>
      <c r="BY298" s="39">
        <f t="shared" si="295"/>
        <v>0</v>
      </c>
      <c r="BZ298" s="39">
        <f t="shared" si="296"/>
        <v>0</v>
      </c>
      <c r="CA298" s="39">
        <f t="shared" si="297"/>
        <v>46.741847282821723</v>
      </c>
      <c r="CB298" s="39">
        <f t="shared" si="298"/>
        <v>66.099234693451947</v>
      </c>
      <c r="CC298" s="39">
        <f t="shared" si="299"/>
        <v>64.701168580800655</v>
      </c>
      <c r="CD298" s="39">
        <f t="shared" si="300"/>
        <v>88.974230882135103</v>
      </c>
      <c r="CE298" s="39">
        <f t="shared" si="301"/>
        <v>86.767434032802285</v>
      </c>
      <c r="CF298" s="39">
        <f t="shared" si="302"/>
        <v>76.930141306801517</v>
      </c>
      <c r="CG298" s="39">
        <f t="shared" si="303"/>
        <v>73.826642602210654</v>
      </c>
      <c r="CH298" s="39">
        <f t="shared" si="304"/>
        <v>70.800000000000011</v>
      </c>
      <c r="CI298" s="39">
        <f t="shared" si="305"/>
        <v>0</v>
      </c>
      <c r="CJ298" s="39">
        <f t="shared" si="306"/>
        <v>0</v>
      </c>
      <c r="CK298" s="39">
        <f t="shared" si="307"/>
        <v>0</v>
      </c>
      <c r="CL298" s="39">
        <f t="shared" si="308"/>
        <v>0</v>
      </c>
      <c r="CM298" s="39">
        <f t="shared" si="309"/>
        <v>0</v>
      </c>
      <c r="CN298" s="39">
        <f t="shared" si="310"/>
        <v>0</v>
      </c>
      <c r="CO298" s="39">
        <f t="shared" si="311"/>
        <v>0</v>
      </c>
      <c r="CP298" s="39">
        <f t="shared" si="312"/>
        <v>0</v>
      </c>
    </row>
    <row r="299" spans="2:94" ht="16" customHeight="1" x14ac:dyDescent="0.2">
      <c r="B299" s="38"/>
      <c r="L299" s="63">
        <v>30611</v>
      </c>
      <c r="M299" s="38">
        <v>0</v>
      </c>
      <c r="N299" s="38">
        <v>5.2</v>
      </c>
      <c r="O299" s="39">
        <v>0</v>
      </c>
      <c r="P299" s="39">
        <v>0</v>
      </c>
      <c r="Q299" s="46">
        <f t="shared" si="243"/>
        <v>0.11606382307536137</v>
      </c>
      <c r="R299" s="81">
        <f t="shared" si="244"/>
        <v>0</v>
      </c>
      <c r="S299" s="82">
        <f t="shared" si="245"/>
        <v>0</v>
      </c>
      <c r="T299" s="39">
        <f t="shared" si="246"/>
        <v>0</v>
      </c>
      <c r="U299" s="83">
        <f t="shared" si="247"/>
        <v>0</v>
      </c>
      <c r="V299" s="84">
        <f t="shared" si="248"/>
        <v>4.16</v>
      </c>
      <c r="W299" s="52">
        <f t="shared" si="249"/>
        <v>117.51648143920943</v>
      </c>
      <c r="X299" s="52">
        <f t="shared" si="250"/>
        <v>167.32421794181448</v>
      </c>
      <c r="Y299" s="52">
        <f t="shared" si="251"/>
        <v>284.84069938102391</v>
      </c>
      <c r="Z299" s="53">
        <f t="shared" si="252"/>
        <v>0.91809751124382366</v>
      </c>
      <c r="AA299" s="53">
        <f t="shared" si="253"/>
        <v>0.99597748774889572</v>
      </c>
      <c r="AB299" s="53">
        <f t="shared" si="254"/>
        <v>0.96229966007102674</v>
      </c>
      <c r="AC299" s="39" t="str">
        <f t="shared" si="255"/>
        <v>No</v>
      </c>
      <c r="AD299" s="85">
        <f t="shared" si="256"/>
        <v>0</v>
      </c>
      <c r="AE299" s="46">
        <f t="shared" si="257"/>
        <v>1</v>
      </c>
      <c r="AF299" s="46">
        <f t="shared" si="258"/>
        <v>0</v>
      </c>
      <c r="AG299" s="39">
        <f t="shared" si="313"/>
        <v>46.741847282821723</v>
      </c>
      <c r="AH299" s="39">
        <f t="shared" si="314"/>
        <v>66.099234693451947</v>
      </c>
      <c r="AI299" s="39">
        <f t="shared" si="315"/>
        <v>64.701168580800655</v>
      </c>
      <c r="AJ299" s="39">
        <f t="shared" si="316"/>
        <v>88.974230882135103</v>
      </c>
      <c r="AK299" s="39">
        <f t="shared" si="317"/>
        <v>86.767434032802285</v>
      </c>
      <c r="AL299" s="39">
        <f t="shared" si="318"/>
        <v>76.930141306801517</v>
      </c>
      <c r="AM299" s="39">
        <f t="shared" si="319"/>
        <v>73.826642602210654</v>
      </c>
      <c r="AN299" s="39">
        <f t="shared" si="320"/>
        <v>70.800000000000011</v>
      </c>
      <c r="AO299" s="39">
        <f t="shared" si="259"/>
        <v>0</v>
      </c>
      <c r="AP299" s="39">
        <f t="shared" si="260"/>
        <v>0</v>
      </c>
      <c r="AQ299" s="39">
        <f t="shared" si="261"/>
        <v>0</v>
      </c>
      <c r="AR299" s="39">
        <f t="shared" si="262"/>
        <v>0</v>
      </c>
      <c r="AS299" s="39">
        <f t="shared" si="263"/>
        <v>0</v>
      </c>
      <c r="AT299" s="39">
        <f t="shared" si="264"/>
        <v>0</v>
      </c>
      <c r="AU299" s="39">
        <f t="shared" si="265"/>
        <v>0</v>
      </c>
      <c r="AV299" s="39">
        <f t="shared" si="266"/>
        <v>0</v>
      </c>
      <c r="AW299" s="39">
        <f t="shared" si="267"/>
        <v>0</v>
      </c>
      <c r="AX299" s="39">
        <f t="shared" si="268"/>
        <v>0</v>
      </c>
      <c r="AY299" s="39">
        <f t="shared" si="269"/>
        <v>0</v>
      </c>
      <c r="AZ299" s="39">
        <f t="shared" si="270"/>
        <v>0</v>
      </c>
      <c r="BA299" s="39">
        <f t="shared" si="271"/>
        <v>0</v>
      </c>
      <c r="BB299" s="39">
        <f t="shared" si="272"/>
        <v>0</v>
      </c>
      <c r="BC299" s="39">
        <f t="shared" si="273"/>
        <v>0</v>
      </c>
      <c r="BD299" s="39">
        <f t="shared" si="274"/>
        <v>0</v>
      </c>
      <c r="BE299" s="39">
        <f t="shared" si="275"/>
        <v>0</v>
      </c>
      <c r="BF299" s="39">
        <f t="shared" si="276"/>
        <v>0</v>
      </c>
      <c r="BG299" s="39">
        <f t="shared" si="277"/>
        <v>0</v>
      </c>
      <c r="BH299" s="84">
        <f t="shared" si="278"/>
        <v>0</v>
      </c>
      <c r="BI299" s="84">
        <f t="shared" si="279"/>
        <v>4.16</v>
      </c>
      <c r="BJ299" s="84">
        <f t="shared" si="280"/>
        <v>1.9022732604788599</v>
      </c>
      <c r="BK299" s="39">
        <f t="shared" si="281"/>
        <v>44.839574022342866</v>
      </c>
      <c r="BL299" s="39">
        <f t="shared" si="282"/>
        <v>66.099234693451947</v>
      </c>
      <c r="BM299" s="39">
        <f t="shared" si="283"/>
        <v>64.701168580800655</v>
      </c>
      <c r="BN299" s="39">
        <f t="shared" si="284"/>
        <v>88.974230882135103</v>
      </c>
      <c r="BO299" s="39">
        <f t="shared" si="285"/>
        <v>86.767434032802285</v>
      </c>
      <c r="BP299" s="39">
        <f t="shared" si="286"/>
        <v>76.930141306801517</v>
      </c>
      <c r="BQ299" s="39">
        <f t="shared" si="287"/>
        <v>73.826642602210654</v>
      </c>
      <c r="BR299" s="39">
        <f t="shared" si="288"/>
        <v>70.800000000000011</v>
      </c>
      <c r="BS299" s="39">
        <f t="shared" si="289"/>
        <v>0</v>
      </c>
      <c r="BT299" s="39">
        <f t="shared" si="290"/>
        <v>5.9540816071168477E-2</v>
      </c>
      <c r="BU299" s="39">
        <f t="shared" si="291"/>
        <v>0.42070114848040135</v>
      </c>
      <c r="BV299" s="39">
        <f t="shared" si="292"/>
        <v>1.1845385292810533</v>
      </c>
      <c r="BW299" s="39">
        <f t="shared" si="293"/>
        <v>1.6604604196813795</v>
      </c>
      <c r="BX299" s="39">
        <f t="shared" si="294"/>
        <v>1.1580847840809014</v>
      </c>
      <c r="BY299" s="39">
        <f t="shared" si="295"/>
        <v>0</v>
      </c>
      <c r="BZ299" s="39">
        <f t="shared" si="296"/>
        <v>0</v>
      </c>
      <c r="CA299" s="39">
        <f t="shared" si="297"/>
        <v>44.839574022342866</v>
      </c>
      <c r="CB299" s="39">
        <f t="shared" si="298"/>
        <v>66.039693877380785</v>
      </c>
      <c r="CC299" s="39">
        <f t="shared" si="299"/>
        <v>64.340008248391413</v>
      </c>
      <c r="CD299" s="39">
        <f t="shared" si="300"/>
        <v>88.210393501334451</v>
      </c>
      <c r="CE299" s="39">
        <f t="shared" si="301"/>
        <v>86.291512142401956</v>
      </c>
      <c r="CF299" s="39">
        <f t="shared" si="302"/>
        <v>77.432516942402003</v>
      </c>
      <c r="CG299" s="39">
        <f t="shared" si="303"/>
        <v>74.984727386291553</v>
      </c>
      <c r="CH299" s="39">
        <f t="shared" si="304"/>
        <v>70.800000000000011</v>
      </c>
      <c r="CI299" s="39">
        <f t="shared" si="305"/>
        <v>0</v>
      </c>
      <c r="CJ299" s="39">
        <f t="shared" si="306"/>
        <v>0</v>
      </c>
      <c r="CK299" s="39">
        <f t="shared" si="307"/>
        <v>0</v>
      </c>
      <c r="CL299" s="39">
        <f t="shared" si="308"/>
        <v>0</v>
      </c>
      <c r="CM299" s="39">
        <f t="shared" si="309"/>
        <v>0</v>
      </c>
      <c r="CN299" s="39">
        <f t="shared" si="310"/>
        <v>0</v>
      </c>
      <c r="CO299" s="39">
        <f t="shared" si="311"/>
        <v>0</v>
      </c>
      <c r="CP299" s="39">
        <f t="shared" si="312"/>
        <v>0</v>
      </c>
    </row>
    <row r="300" spans="2:94" ht="16" customHeight="1" x14ac:dyDescent="0.2">
      <c r="B300" s="38"/>
      <c r="L300" s="63">
        <v>30612</v>
      </c>
      <c r="M300" s="38">
        <v>0</v>
      </c>
      <c r="N300" s="38">
        <v>3.6</v>
      </c>
      <c r="O300" s="39">
        <v>0</v>
      </c>
      <c r="P300" s="39">
        <v>0</v>
      </c>
      <c r="Q300" s="46">
        <f t="shared" si="243"/>
        <v>0.11991978238714283</v>
      </c>
      <c r="R300" s="81">
        <f t="shared" si="244"/>
        <v>0</v>
      </c>
      <c r="S300" s="82">
        <f t="shared" si="245"/>
        <v>0</v>
      </c>
      <c r="T300" s="39">
        <f t="shared" si="246"/>
        <v>0</v>
      </c>
      <c r="U300" s="83">
        <f t="shared" si="247"/>
        <v>0</v>
      </c>
      <c r="V300" s="84">
        <f t="shared" si="248"/>
        <v>2.8800000000000003</v>
      </c>
      <c r="W300" s="52">
        <f t="shared" si="249"/>
        <v>114.42966964944952</v>
      </c>
      <c r="X300" s="52">
        <f t="shared" si="250"/>
        <v>168.50875647109552</v>
      </c>
      <c r="Y300" s="52">
        <f t="shared" si="251"/>
        <v>282.93842612054505</v>
      </c>
      <c r="Z300" s="53">
        <f t="shared" si="252"/>
        <v>0.89398179413632439</v>
      </c>
      <c r="AA300" s="53">
        <f t="shared" si="253"/>
        <v>1.0030283123279495</v>
      </c>
      <c r="AB300" s="53">
        <f t="shared" si="254"/>
        <v>0.9558730612180576</v>
      </c>
      <c r="AC300" s="39" t="str">
        <f t="shared" si="255"/>
        <v>No</v>
      </c>
      <c r="AD300" s="85">
        <f t="shared" si="256"/>
        <v>0</v>
      </c>
      <c r="AE300" s="46">
        <f t="shared" si="257"/>
        <v>1</v>
      </c>
      <c r="AF300" s="46">
        <f t="shared" si="258"/>
        <v>0</v>
      </c>
      <c r="AG300" s="39">
        <f t="shared" si="313"/>
        <v>44.839574022342866</v>
      </c>
      <c r="AH300" s="39">
        <f t="shared" si="314"/>
        <v>66.039693877380785</v>
      </c>
      <c r="AI300" s="39">
        <f t="shared" si="315"/>
        <v>64.340008248391413</v>
      </c>
      <c r="AJ300" s="39">
        <f t="shared" si="316"/>
        <v>88.210393501334451</v>
      </c>
      <c r="AK300" s="39">
        <f t="shared" si="317"/>
        <v>86.291512142401956</v>
      </c>
      <c r="AL300" s="39">
        <f t="shared" si="318"/>
        <v>77.432516942402003</v>
      </c>
      <c r="AM300" s="39">
        <f t="shared" si="319"/>
        <v>74.984727386291553</v>
      </c>
      <c r="AN300" s="39">
        <f t="shared" si="320"/>
        <v>70.800000000000011</v>
      </c>
      <c r="AO300" s="39">
        <f t="shared" si="259"/>
        <v>0</v>
      </c>
      <c r="AP300" s="39">
        <f t="shared" si="260"/>
        <v>0</v>
      </c>
      <c r="AQ300" s="39">
        <f t="shared" si="261"/>
        <v>0</v>
      </c>
      <c r="AR300" s="39">
        <f t="shared" si="262"/>
        <v>0</v>
      </c>
      <c r="AS300" s="39">
        <f t="shared" si="263"/>
        <v>0</v>
      </c>
      <c r="AT300" s="39">
        <f t="shared" si="264"/>
        <v>0</v>
      </c>
      <c r="AU300" s="39">
        <f t="shared" si="265"/>
        <v>0</v>
      </c>
      <c r="AV300" s="39">
        <f t="shared" si="266"/>
        <v>0</v>
      </c>
      <c r="AW300" s="39">
        <f t="shared" si="267"/>
        <v>0</v>
      </c>
      <c r="AX300" s="39">
        <f t="shared" si="268"/>
        <v>0</v>
      </c>
      <c r="AY300" s="39">
        <f t="shared" si="269"/>
        <v>0</v>
      </c>
      <c r="AZ300" s="39">
        <f t="shared" si="270"/>
        <v>0</v>
      </c>
      <c r="BA300" s="39">
        <f t="shared" si="271"/>
        <v>0</v>
      </c>
      <c r="BB300" s="39">
        <f t="shared" si="272"/>
        <v>0</v>
      </c>
      <c r="BC300" s="39">
        <f t="shared" si="273"/>
        <v>0</v>
      </c>
      <c r="BD300" s="39">
        <f t="shared" si="274"/>
        <v>0</v>
      </c>
      <c r="BE300" s="39">
        <f t="shared" si="275"/>
        <v>0</v>
      </c>
      <c r="BF300" s="39">
        <f t="shared" si="276"/>
        <v>0</v>
      </c>
      <c r="BG300" s="39">
        <f t="shared" si="277"/>
        <v>0</v>
      </c>
      <c r="BH300" s="84">
        <f t="shared" si="278"/>
        <v>0</v>
      </c>
      <c r="BI300" s="84">
        <f t="shared" si="279"/>
        <v>2.8800000000000003</v>
      </c>
      <c r="BJ300" s="84">
        <f t="shared" si="280"/>
        <v>1.028522377858814</v>
      </c>
      <c r="BK300" s="39">
        <f t="shared" si="281"/>
        <v>43.811051644484053</v>
      </c>
      <c r="BL300" s="39">
        <f t="shared" si="282"/>
        <v>66.039693877380785</v>
      </c>
      <c r="BM300" s="39">
        <f t="shared" si="283"/>
        <v>64.340008248391413</v>
      </c>
      <c r="BN300" s="39">
        <f t="shared" si="284"/>
        <v>88.210393501334451</v>
      </c>
      <c r="BO300" s="39">
        <f t="shared" si="285"/>
        <v>86.291512142401956</v>
      </c>
      <c r="BP300" s="39">
        <f t="shared" si="286"/>
        <v>77.432516942402003</v>
      </c>
      <c r="BQ300" s="39">
        <f t="shared" si="287"/>
        <v>74.984727386291553</v>
      </c>
      <c r="BR300" s="39">
        <f t="shared" si="288"/>
        <v>70.800000000000011</v>
      </c>
      <c r="BS300" s="39">
        <f t="shared" si="289"/>
        <v>0</v>
      </c>
      <c r="BT300" s="39">
        <f t="shared" si="290"/>
        <v>2.3816326428470803E-2</v>
      </c>
      <c r="BU300" s="39">
        <f t="shared" si="291"/>
        <v>0.2040049490348565</v>
      </c>
      <c r="BV300" s="39">
        <f t="shared" si="292"/>
        <v>0.72623610080066214</v>
      </c>
      <c r="BW300" s="39">
        <f t="shared" si="293"/>
        <v>1.3749072854411821</v>
      </c>
      <c r="BX300" s="39">
        <f t="shared" si="294"/>
        <v>1.4595101654411933</v>
      </c>
      <c r="BY300" s="39">
        <f t="shared" si="295"/>
        <v>0</v>
      </c>
      <c r="BZ300" s="39">
        <f t="shared" si="296"/>
        <v>0</v>
      </c>
      <c r="CA300" s="39">
        <f t="shared" si="297"/>
        <v>43.811051644484053</v>
      </c>
      <c r="CB300" s="39">
        <f t="shared" si="298"/>
        <v>66.015877550952311</v>
      </c>
      <c r="CC300" s="39">
        <f t="shared" si="299"/>
        <v>64.159819625785033</v>
      </c>
      <c r="CD300" s="39">
        <f t="shared" si="300"/>
        <v>87.688162349568643</v>
      </c>
      <c r="CE300" s="39">
        <f t="shared" si="301"/>
        <v>85.642840957761436</v>
      </c>
      <c r="CF300" s="39">
        <f t="shared" si="302"/>
        <v>77.347914062401998</v>
      </c>
      <c r="CG300" s="39">
        <f t="shared" si="303"/>
        <v>76.444237551732741</v>
      </c>
      <c r="CH300" s="39">
        <f t="shared" si="304"/>
        <v>70.800000000000011</v>
      </c>
      <c r="CI300" s="39">
        <f t="shared" si="305"/>
        <v>0</v>
      </c>
      <c r="CJ300" s="39">
        <f t="shared" si="306"/>
        <v>0</v>
      </c>
      <c r="CK300" s="39">
        <f t="shared" si="307"/>
        <v>0</v>
      </c>
      <c r="CL300" s="39">
        <f t="shared" si="308"/>
        <v>0</v>
      </c>
      <c r="CM300" s="39">
        <f t="shared" si="309"/>
        <v>0</v>
      </c>
      <c r="CN300" s="39">
        <f t="shared" si="310"/>
        <v>0</v>
      </c>
      <c r="CO300" s="39">
        <f t="shared" si="311"/>
        <v>0</v>
      </c>
      <c r="CP300" s="39">
        <f t="shared" si="312"/>
        <v>0</v>
      </c>
    </row>
    <row r="301" spans="2:94" ht="16" customHeight="1" x14ac:dyDescent="0.2">
      <c r="B301" s="38"/>
      <c r="L301" s="63">
        <v>30613</v>
      </c>
      <c r="M301" s="38">
        <v>0</v>
      </c>
      <c r="N301" s="38">
        <v>4.3</v>
      </c>
      <c r="O301" s="39">
        <v>0</v>
      </c>
      <c r="P301" s="39">
        <v>0</v>
      </c>
      <c r="Q301" s="46">
        <f t="shared" si="243"/>
        <v>0.12200462504496475</v>
      </c>
      <c r="R301" s="81">
        <f t="shared" si="244"/>
        <v>0</v>
      </c>
      <c r="S301" s="82">
        <f t="shared" si="245"/>
        <v>0</v>
      </c>
      <c r="T301" s="39">
        <f t="shared" si="246"/>
        <v>0</v>
      </c>
      <c r="U301" s="83">
        <f t="shared" si="247"/>
        <v>0</v>
      </c>
      <c r="V301" s="84">
        <f t="shared" si="248"/>
        <v>3.44</v>
      </c>
      <c r="W301" s="52">
        <f t="shared" si="249"/>
        <v>112.67491117079004</v>
      </c>
      <c r="X301" s="52">
        <f t="shared" si="250"/>
        <v>169.23499257189616</v>
      </c>
      <c r="Y301" s="52">
        <f t="shared" si="251"/>
        <v>281.9099037426862</v>
      </c>
      <c r="Z301" s="53">
        <f t="shared" si="252"/>
        <v>0.88027274352179719</v>
      </c>
      <c r="AA301" s="53">
        <f t="shared" si="253"/>
        <v>1.0073511462612867</v>
      </c>
      <c r="AB301" s="53">
        <f t="shared" si="254"/>
        <v>0.95239832345502096</v>
      </c>
      <c r="AC301" s="39" t="str">
        <f t="shared" si="255"/>
        <v>No</v>
      </c>
      <c r="AD301" s="85">
        <f t="shared" si="256"/>
        <v>0</v>
      </c>
      <c r="AE301" s="46">
        <f t="shared" si="257"/>
        <v>1</v>
      </c>
      <c r="AF301" s="46">
        <f t="shared" si="258"/>
        <v>0</v>
      </c>
      <c r="AG301" s="39">
        <f t="shared" si="313"/>
        <v>43.811051644484053</v>
      </c>
      <c r="AH301" s="39">
        <f t="shared" si="314"/>
        <v>66.015877550952311</v>
      </c>
      <c r="AI301" s="39">
        <f t="shared" si="315"/>
        <v>64.159819625785033</v>
      </c>
      <c r="AJ301" s="39">
        <f t="shared" si="316"/>
        <v>87.688162349568643</v>
      </c>
      <c r="AK301" s="39">
        <f t="shared" si="317"/>
        <v>85.642840957761436</v>
      </c>
      <c r="AL301" s="39">
        <f t="shared" si="318"/>
        <v>77.347914062401998</v>
      </c>
      <c r="AM301" s="39">
        <f t="shared" si="319"/>
        <v>76.444237551732741</v>
      </c>
      <c r="AN301" s="39">
        <f t="shared" si="320"/>
        <v>70.800000000000011</v>
      </c>
      <c r="AO301" s="39">
        <f t="shared" si="259"/>
        <v>0</v>
      </c>
      <c r="AP301" s="39">
        <f t="shared" si="260"/>
        <v>0</v>
      </c>
      <c r="AQ301" s="39">
        <f t="shared" si="261"/>
        <v>0</v>
      </c>
      <c r="AR301" s="39">
        <f t="shared" si="262"/>
        <v>0</v>
      </c>
      <c r="AS301" s="39">
        <f t="shared" si="263"/>
        <v>0</v>
      </c>
      <c r="AT301" s="39">
        <f t="shared" si="264"/>
        <v>0</v>
      </c>
      <c r="AU301" s="39">
        <f t="shared" si="265"/>
        <v>0</v>
      </c>
      <c r="AV301" s="39">
        <f t="shared" si="266"/>
        <v>0</v>
      </c>
      <c r="AW301" s="39">
        <f t="shared" si="267"/>
        <v>0</v>
      </c>
      <c r="AX301" s="39">
        <f t="shared" si="268"/>
        <v>0</v>
      </c>
      <c r="AY301" s="39">
        <f t="shared" si="269"/>
        <v>0</v>
      </c>
      <c r="AZ301" s="39">
        <f t="shared" si="270"/>
        <v>0</v>
      </c>
      <c r="BA301" s="39">
        <f t="shared" si="271"/>
        <v>0</v>
      </c>
      <c r="BB301" s="39">
        <f t="shared" si="272"/>
        <v>0</v>
      </c>
      <c r="BC301" s="39">
        <f t="shared" si="273"/>
        <v>0</v>
      </c>
      <c r="BD301" s="39">
        <f t="shared" si="274"/>
        <v>0</v>
      </c>
      <c r="BE301" s="39">
        <f t="shared" si="275"/>
        <v>0</v>
      </c>
      <c r="BF301" s="39">
        <f t="shared" si="276"/>
        <v>0</v>
      </c>
      <c r="BG301" s="39">
        <f t="shared" si="277"/>
        <v>0</v>
      </c>
      <c r="BH301" s="84">
        <f t="shared" si="278"/>
        <v>0</v>
      </c>
      <c r="BI301" s="84">
        <f t="shared" si="279"/>
        <v>3.44</v>
      </c>
      <c r="BJ301" s="84">
        <f t="shared" si="280"/>
        <v>1.0676912107901833</v>
      </c>
      <c r="BK301" s="39">
        <f t="shared" si="281"/>
        <v>42.743360433693873</v>
      </c>
      <c r="BL301" s="39">
        <f t="shared" si="282"/>
        <v>66.015877550952311</v>
      </c>
      <c r="BM301" s="39">
        <f t="shared" si="283"/>
        <v>64.159819625785033</v>
      </c>
      <c r="BN301" s="39">
        <f t="shared" si="284"/>
        <v>87.688162349568643</v>
      </c>
      <c r="BO301" s="39">
        <f t="shared" si="285"/>
        <v>85.642840957761436</v>
      </c>
      <c r="BP301" s="39">
        <f t="shared" si="286"/>
        <v>77.347914062401998</v>
      </c>
      <c r="BQ301" s="39">
        <f t="shared" si="287"/>
        <v>76.444237551732741</v>
      </c>
      <c r="BR301" s="39">
        <f t="shared" si="288"/>
        <v>70.800000000000011</v>
      </c>
      <c r="BS301" s="39">
        <f t="shared" si="289"/>
        <v>0</v>
      </c>
      <c r="BT301" s="39">
        <f t="shared" si="290"/>
        <v>9.5265305713866152E-3</v>
      </c>
      <c r="BU301" s="39">
        <f t="shared" si="291"/>
        <v>9.5891775471028493E-2</v>
      </c>
      <c r="BV301" s="39">
        <f t="shared" si="292"/>
        <v>0.41289740974117706</v>
      </c>
      <c r="BW301" s="39">
        <f t="shared" si="293"/>
        <v>0.98570457465687011</v>
      </c>
      <c r="BX301" s="39">
        <f t="shared" si="294"/>
        <v>1.40874843744119</v>
      </c>
      <c r="BY301" s="39">
        <f t="shared" si="295"/>
        <v>0.86654253103963585</v>
      </c>
      <c r="BZ301" s="39">
        <f t="shared" si="296"/>
        <v>0</v>
      </c>
      <c r="CA301" s="39">
        <f t="shared" si="297"/>
        <v>42.743360433693873</v>
      </c>
      <c r="CB301" s="39">
        <f t="shared" si="298"/>
        <v>66.006351020380919</v>
      </c>
      <c r="CC301" s="39">
        <f t="shared" si="299"/>
        <v>64.073454380885394</v>
      </c>
      <c r="CD301" s="39">
        <f t="shared" si="300"/>
        <v>87.371156715298497</v>
      </c>
      <c r="CE301" s="39">
        <f t="shared" si="301"/>
        <v>85.070033792845749</v>
      </c>
      <c r="CF301" s="39">
        <f t="shared" si="302"/>
        <v>76.924870199617672</v>
      </c>
      <c r="CG301" s="39">
        <f t="shared" si="303"/>
        <v>76.986443458134289</v>
      </c>
      <c r="CH301" s="39">
        <f t="shared" si="304"/>
        <v>71.666542531039653</v>
      </c>
      <c r="CI301" s="39">
        <f t="shared" si="305"/>
        <v>0</v>
      </c>
      <c r="CJ301" s="39">
        <f t="shared" si="306"/>
        <v>0</v>
      </c>
      <c r="CK301" s="39">
        <f t="shared" si="307"/>
        <v>0</v>
      </c>
      <c r="CL301" s="39">
        <f t="shared" si="308"/>
        <v>0</v>
      </c>
      <c r="CM301" s="39">
        <f t="shared" si="309"/>
        <v>0</v>
      </c>
      <c r="CN301" s="39">
        <f t="shared" si="310"/>
        <v>0</v>
      </c>
      <c r="CO301" s="39">
        <f t="shared" si="311"/>
        <v>0</v>
      </c>
      <c r="CP301" s="39">
        <f t="shared" si="312"/>
        <v>0</v>
      </c>
    </row>
    <row r="302" spans="2:94" ht="16" customHeight="1" x14ac:dyDescent="0.2">
      <c r="B302" s="38"/>
      <c r="L302" s="63">
        <v>30614</v>
      </c>
      <c r="M302" s="38">
        <v>0</v>
      </c>
      <c r="N302" s="38">
        <v>4.5999999999999996</v>
      </c>
      <c r="O302" s="39">
        <v>0</v>
      </c>
      <c r="P302" s="39">
        <v>0</v>
      </c>
      <c r="Q302" s="46">
        <f t="shared" si="243"/>
        <v>0.12416886398575566</v>
      </c>
      <c r="R302" s="81">
        <f t="shared" si="244"/>
        <v>0</v>
      </c>
      <c r="S302" s="82">
        <f t="shared" si="245"/>
        <v>0</v>
      </c>
      <c r="T302" s="39">
        <f t="shared" si="246"/>
        <v>0</v>
      </c>
      <c r="U302" s="83">
        <f t="shared" si="247"/>
        <v>0</v>
      </c>
      <c r="V302" s="84">
        <f t="shared" si="248"/>
        <v>3.6799999999999997</v>
      </c>
      <c r="W302" s="52">
        <f t="shared" si="249"/>
        <v>111.19432255025868</v>
      </c>
      <c r="X302" s="52">
        <f t="shared" si="250"/>
        <v>169.64788998163738</v>
      </c>
      <c r="Y302" s="52">
        <f t="shared" si="251"/>
        <v>280.84221253189605</v>
      </c>
      <c r="Z302" s="53">
        <f t="shared" si="252"/>
        <v>0.8687056449238959</v>
      </c>
      <c r="AA302" s="53">
        <f t="shared" si="253"/>
        <v>1.0098088689383178</v>
      </c>
      <c r="AB302" s="53">
        <f t="shared" si="254"/>
        <v>0.94879125855370283</v>
      </c>
      <c r="AC302" s="39" t="str">
        <f t="shared" si="255"/>
        <v>No</v>
      </c>
      <c r="AD302" s="85">
        <f t="shared" si="256"/>
        <v>0</v>
      </c>
      <c r="AE302" s="46">
        <f t="shared" si="257"/>
        <v>1</v>
      </c>
      <c r="AF302" s="46">
        <f t="shared" si="258"/>
        <v>0</v>
      </c>
      <c r="AG302" s="39">
        <f t="shared" si="313"/>
        <v>42.743360433693873</v>
      </c>
      <c r="AH302" s="39">
        <f t="shared" si="314"/>
        <v>66.006351020380919</v>
      </c>
      <c r="AI302" s="39">
        <f t="shared" si="315"/>
        <v>64.073454380885394</v>
      </c>
      <c r="AJ302" s="39">
        <f t="shared" si="316"/>
        <v>87.371156715298497</v>
      </c>
      <c r="AK302" s="39">
        <f t="shared" si="317"/>
        <v>85.070033792845749</v>
      </c>
      <c r="AL302" s="39">
        <f t="shared" si="318"/>
        <v>76.924870199617672</v>
      </c>
      <c r="AM302" s="39">
        <f t="shared" si="319"/>
        <v>76.986443458134289</v>
      </c>
      <c r="AN302" s="39">
        <f t="shared" si="320"/>
        <v>71.666542531039653</v>
      </c>
      <c r="AO302" s="39">
        <f t="shared" si="259"/>
        <v>0</v>
      </c>
      <c r="AP302" s="39">
        <f t="shared" si="260"/>
        <v>0</v>
      </c>
      <c r="AQ302" s="39">
        <f t="shared" si="261"/>
        <v>0</v>
      </c>
      <c r="AR302" s="39">
        <f t="shared" si="262"/>
        <v>0</v>
      </c>
      <c r="AS302" s="39">
        <f t="shared" si="263"/>
        <v>0</v>
      </c>
      <c r="AT302" s="39">
        <f t="shared" si="264"/>
        <v>0</v>
      </c>
      <c r="AU302" s="39">
        <f t="shared" si="265"/>
        <v>0</v>
      </c>
      <c r="AV302" s="39">
        <f t="shared" si="266"/>
        <v>0</v>
      </c>
      <c r="AW302" s="39">
        <f t="shared" si="267"/>
        <v>0</v>
      </c>
      <c r="AX302" s="39">
        <f t="shared" si="268"/>
        <v>0</v>
      </c>
      <c r="AY302" s="39">
        <f t="shared" si="269"/>
        <v>0</v>
      </c>
      <c r="AZ302" s="39">
        <f t="shared" si="270"/>
        <v>0</v>
      </c>
      <c r="BA302" s="39">
        <f t="shared" si="271"/>
        <v>0</v>
      </c>
      <c r="BB302" s="39">
        <f t="shared" si="272"/>
        <v>0</v>
      </c>
      <c r="BC302" s="39">
        <f t="shared" si="273"/>
        <v>0</v>
      </c>
      <c r="BD302" s="39">
        <f t="shared" si="274"/>
        <v>0</v>
      </c>
      <c r="BE302" s="39">
        <f t="shared" si="275"/>
        <v>0</v>
      </c>
      <c r="BF302" s="39">
        <f t="shared" si="276"/>
        <v>0</v>
      </c>
      <c r="BG302" s="39">
        <f t="shared" si="277"/>
        <v>0</v>
      </c>
      <c r="BH302" s="84">
        <f t="shared" si="278"/>
        <v>0</v>
      </c>
      <c r="BI302" s="84">
        <f t="shared" si="279"/>
        <v>3.6799999999999997</v>
      </c>
      <c r="BJ302" s="84">
        <f t="shared" si="280"/>
        <v>0.98205284144721217</v>
      </c>
      <c r="BK302" s="39">
        <f t="shared" si="281"/>
        <v>41.761307592246659</v>
      </c>
      <c r="BL302" s="39">
        <f t="shared" si="282"/>
        <v>66.006351020380919</v>
      </c>
      <c r="BM302" s="39">
        <f t="shared" si="283"/>
        <v>64.073454380885394</v>
      </c>
      <c r="BN302" s="39">
        <f t="shared" si="284"/>
        <v>87.371156715298497</v>
      </c>
      <c r="BO302" s="39">
        <f t="shared" si="285"/>
        <v>85.070033792845749</v>
      </c>
      <c r="BP302" s="39">
        <f t="shared" si="286"/>
        <v>76.924870199617672</v>
      </c>
      <c r="BQ302" s="39">
        <f t="shared" si="287"/>
        <v>76.986443458134289</v>
      </c>
      <c r="BR302" s="39">
        <f t="shared" si="288"/>
        <v>71.666542531039653</v>
      </c>
      <c r="BS302" s="39">
        <f t="shared" si="289"/>
        <v>0</v>
      </c>
      <c r="BT302" s="39">
        <f t="shared" si="290"/>
        <v>3.8106122285512353E-3</v>
      </c>
      <c r="BU302" s="39">
        <f t="shared" si="291"/>
        <v>4.4072628531245071E-2</v>
      </c>
      <c r="BV302" s="39">
        <f t="shared" si="292"/>
        <v>0.22269402917908962</v>
      </c>
      <c r="BW302" s="39">
        <f t="shared" si="293"/>
        <v>0.64202027570745768</v>
      </c>
      <c r="BX302" s="39">
        <f t="shared" si="294"/>
        <v>1.1549221197705946</v>
      </c>
      <c r="BY302" s="39">
        <f t="shared" si="295"/>
        <v>1.191866074880565</v>
      </c>
      <c r="BZ302" s="39">
        <f t="shared" si="296"/>
        <v>0</v>
      </c>
      <c r="CA302" s="39">
        <f t="shared" si="297"/>
        <v>41.761307592246659</v>
      </c>
      <c r="CB302" s="39">
        <f t="shared" si="298"/>
        <v>66.00254040815237</v>
      </c>
      <c r="CC302" s="39">
        <f t="shared" si="299"/>
        <v>64.033192364582703</v>
      </c>
      <c r="CD302" s="39">
        <f t="shared" si="300"/>
        <v>87.192535314650641</v>
      </c>
      <c r="CE302" s="39">
        <f t="shared" si="301"/>
        <v>84.650707546317392</v>
      </c>
      <c r="CF302" s="39">
        <f t="shared" si="302"/>
        <v>76.411968355554535</v>
      </c>
      <c r="CG302" s="39">
        <f t="shared" si="303"/>
        <v>76.949499503024313</v>
      </c>
      <c r="CH302" s="39">
        <f t="shared" si="304"/>
        <v>72.858408605920218</v>
      </c>
      <c r="CI302" s="39">
        <f t="shared" si="305"/>
        <v>0</v>
      </c>
      <c r="CJ302" s="39">
        <f t="shared" si="306"/>
        <v>0</v>
      </c>
      <c r="CK302" s="39">
        <f t="shared" si="307"/>
        <v>0</v>
      </c>
      <c r="CL302" s="39">
        <f t="shared" si="308"/>
        <v>0</v>
      </c>
      <c r="CM302" s="39">
        <f t="shared" si="309"/>
        <v>0</v>
      </c>
      <c r="CN302" s="39">
        <f t="shared" si="310"/>
        <v>0</v>
      </c>
      <c r="CO302" s="39">
        <f t="shared" si="311"/>
        <v>0</v>
      </c>
      <c r="CP302" s="39">
        <f t="shared" si="312"/>
        <v>0</v>
      </c>
    </row>
    <row r="303" spans="2:94" ht="16" customHeight="1" x14ac:dyDescent="0.2">
      <c r="B303" s="38"/>
      <c r="L303" s="63">
        <v>30615</v>
      </c>
      <c r="M303" s="38">
        <v>0</v>
      </c>
      <c r="N303" s="38">
        <v>4.5</v>
      </c>
      <c r="O303" s="39">
        <v>0</v>
      </c>
      <c r="P303" s="39">
        <v>0</v>
      </c>
      <c r="Q303" s="46">
        <f t="shared" si="243"/>
        <v>0.12615951163733785</v>
      </c>
      <c r="R303" s="81">
        <f t="shared" si="244"/>
        <v>0</v>
      </c>
      <c r="S303" s="82">
        <f t="shared" si="245"/>
        <v>0</v>
      </c>
      <c r="T303" s="39">
        <f t="shared" si="246"/>
        <v>0</v>
      </c>
      <c r="U303" s="83">
        <f t="shared" si="247"/>
        <v>0</v>
      </c>
      <c r="V303" s="84">
        <f t="shared" si="248"/>
        <v>3.6</v>
      </c>
      <c r="W303" s="52">
        <f t="shared" si="249"/>
        <v>109.98957567963237</v>
      </c>
      <c r="X303" s="52">
        <f t="shared" si="250"/>
        <v>169.87058401081646</v>
      </c>
      <c r="Y303" s="52">
        <f t="shared" si="251"/>
        <v>279.86015969044882</v>
      </c>
      <c r="Z303" s="53">
        <f t="shared" si="252"/>
        <v>0.85929355999712786</v>
      </c>
      <c r="AA303" s="53">
        <f t="shared" si="253"/>
        <v>1.0111344286358122</v>
      </c>
      <c r="AB303" s="53">
        <f t="shared" si="254"/>
        <v>0.94547351246773248</v>
      </c>
      <c r="AC303" s="39" t="str">
        <f t="shared" si="255"/>
        <v>No</v>
      </c>
      <c r="AD303" s="85">
        <f t="shared" si="256"/>
        <v>0</v>
      </c>
      <c r="AE303" s="46">
        <f t="shared" si="257"/>
        <v>1</v>
      </c>
      <c r="AF303" s="46">
        <f t="shared" si="258"/>
        <v>0</v>
      </c>
      <c r="AG303" s="39">
        <f t="shared" si="313"/>
        <v>41.761307592246659</v>
      </c>
      <c r="AH303" s="39">
        <f t="shared" si="314"/>
        <v>66.00254040815237</v>
      </c>
      <c r="AI303" s="39">
        <f t="shared" si="315"/>
        <v>64.033192364582703</v>
      </c>
      <c r="AJ303" s="39">
        <f t="shared" si="316"/>
        <v>87.192535314650641</v>
      </c>
      <c r="AK303" s="39">
        <f t="shared" si="317"/>
        <v>84.650707546317392</v>
      </c>
      <c r="AL303" s="39">
        <f t="shared" si="318"/>
        <v>76.411968355554535</v>
      </c>
      <c r="AM303" s="39">
        <f t="shared" si="319"/>
        <v>76.949499503024313</v>
      </c>
      <c r="AN303" s="39">
        <f t="shared" si="320"/>
        <v>72.858408605920218</v>
      </c>
      <c r="AO303" s="39">
        <f t="shared" si="259"/>
        <v>0</v>
      </c>
      <c r="AP303" s="39">
        <f t="shared" si="260"/>
        <v>0</v>
      </c>
      <c r="AQ303" s="39">
        <f t="shared" si="261"/>
        <v>0</v>
      </c>
      <c r="AR303" s="39">
        <f t="shared" si="262"/>
        <v>0</v>
      </c>
      <c r="AS303" s="39">
        <f t="shared" si="263"/>
        <v>0</v>
      </c>
      <c r="AT303" s="39">
        <f t="shared" si="264"/>
        <v>0</v>
      </c>
      <c r="AU303" s="39">
        <f t="shared" si="265"/>
        <v>0</v>
      </c>
      <c r="AV303" s="39">
        <f t="shared" si="266"/>
        <v>0</v>
      </c>
      <c r="AW303" s="39">
        <f t="shared" si="267"/>
        <v>0</v>
      </c>
      <c r="AX303" s="39">
        <f t="shared" si="268"/>
        <v>0</v>
      </c>
      <c r="AY303" s="39">
        <f t="shared" si="269"/>
        <v>0</v>
      </c>
      <c r="AZ303" s="39">
        <f t="shared" si="270"/>
        <v>0</v>
      </c>
      <c r="BA303" s="39">
        <f t="shared" si="271"/>
        <v>0</v>
      </c>
      <c r="BB303" s="39">
        <f t="shared" si="272"/>
        <v>0</v>
      </c>
      <c r="BC303" s="39">
        <f t="shared" si="273"/>
        <v>0</v>
      </c>
      <c r="BD303" s="39">
        <f t="shared" si="274"/>
        <v>0</v>
      </c>
      <c r="BE303" s="39">
        <f t="shared" si="275"/>
        <v>0</v>
      </c>
      <c r="BF303" s="39">
        <f t="shared" si="276"/>
        <v>0</v>
      </c>
      <c r="BG303" s="39">
        <f t="shared" si="277"/>
        <v>0</v>
      </c>
      <c r="BH303" s="84">
        <f t="shared" si="278"/>
        <v>0</v>
      </c>
      <c r="BI303" s="84">
        <f t="shared" si="279"/>
        <v>3.6</v>
      </c>
      <c r="BJ303" s="84">
        <f t="shared" si="280"/>
        <v>0.83173044967387999</v>
      </c>
      <c r="BK303" s="39">
        <f t="shared" si="281"/>
        <v>40.929577142572782</v>
      </c>
      <c r="BL303" s="39">
        <f t="shared" si="282"/>
        <v>66.00254040815237</v>
      </c>
      <c r="BM303" s="39">
        <f t="shared" si="283"/>
        <v>64.033192364582703</v>
      </c>
      <c r="BN303" s="39">
        <f t="shared" si="284"/>
        <v>87.192535314650641</v>
      </c>
      <c r="BO303" s="39">
        <f t="shared" si="285"/>
        <v>84.650707546317392</v>
      </c>
      <c r="BP303" s="39">
        <f t="shared" si="286"/>
        <v>76.411968355554535</v>
      </c>
      <c r="BQ303" s="39">
        <f t="shared" si="287"/>
        <v>76.949499503024313</v>
      </c>
      <c r="BR303" s="39">
        <f t="shared" si="288"/>
        <v>72.858408605920218</v>
      </c>
      <c r="BS303" s="39">
        <f t="shared" si="289"/>
        <v>0</v>
      </c>
      <c r="BT303" s="39">
        <f t="shared" si="290"/>
        <v>1.5242448914221994E-3</v>
      </c>
      <c r="BU303" s="39">
        <f t="shared" si="291"/>
        <v>1.9915418749630476E-2</v>
      </c>
      <c r="BV303" s="39">
        <f t="shared" si="292"/>
        <v>0.11552118879037607</v>
      </c>
      <c r="BW303" s="39">
        <f t="shared" si="293"/>
        <v>0.39042452779044368</v>
      </c>
      <c r="BX303" s="39">
        <f t="shared" si="294"/>
        <v>0.84718101333271245</v>
      </c>
      <c r="BY303" s="39">
        <f t="shared" si="295"/>
        <v>1.1696997018145794</v>
      </c>
      <c r="BZ303" s="39">
        <f t="shared" si="296"/>
        <v>0</v>
      </c>
      <c r="CA303" s="39">
        <f t="shared" si="297"/>
        <v>40.929577142572782</v>
      </c>
      <c r="CB303" s="39">
        <f t="shared" si="298"/>
        <v>66.001016163260942</v>
      </c>
      <c r="CC303" s="39">
        <f t="shared" si="299"/>
        <v>64.014801190724498</v>
      </c>
      <c r="CD303" s="39">
        <f t="shared" si="300"/>
        <v>87.096929544609893</v>
      </c>
      <c r="CE303" s="39">
        <f t="shared" si="301"/>
        <v>84.37580420731733</v>
      </c>
      <c r="CF303" s="39">
        <f t="shared" si="302"/>
        <v>75.955211870012263</v>
      </c>
      <c r="CG303" s="39">
        <f t="shared" si="303"/>
        <v>76.626980814542449</v>
      </c>
      <c r="CH303" s="39">
        <f t="shared" si="304"/>
        <v>74.028108307734797</v>
      </c>
      <c r="CI303" s="39">
        <f t="shared" si="305"/>
        <v>0</v>
      </c>
      <c r="CJ303" s="39">
        <f t="shared" si="306"/>
        <v>0</v>
      </c>
      <c r="CK303" s="39">
        <f t="shared" si="307"/>
        <v>0</v>
      </c>
      <c r="CL303" s="39">
        <f t="shared" si="308"/>
        <v>0</v>
      </c>
      <c r="CM303" s="39">
        <f t="shared" si="309"/>
        <v>0</v>
      </c>
      <c r="CN303" s="39">
        <f t="shared" si="310"/>
        <v>0</v>
      </c>
      <c r="CO303" s="39">
        <f t="shared" si="311"/>
        <v>0</v>
      </c>
      <c r="CP303" s="39">
        <f t="shared" si="312"/>
        <v>0</v>
      </c>
    </row>
    <row r="304" spans="2:94" ht="16" customHeight="1" x14ac:dyDescent="0.2">
      <c r="B304" s="38"/>
      <c r="L304" s="63">
        <v>30616</v>
      </c>
      <c r="M304" s="38">
        <v>36.799999999999997</v>
      </c>
      <c r="N304" s="38">
        <v>5.3</v>
      </c>
      <c r="O304" s="39">
        <v>0.2</v>
      </c>
      <c r="P304" s="39">
        <v>0</v>
      </c>
      <c r="Q304" s="46">
        <f t="shared" si="243"/>
        <v>0.12784545173802814</v>
      </c>
      <c r="R304" s="81">
        <f t="shared" si="244"/>
        <v>7.1324220565468739</v>
      </c>
      <c r="S304" s="82">
        <f t="shared" si="245"/>
        <v>29.667577943453125</v>
      </c>
      <c r="T304" s="39">
        <f t="shared" si="246"/>
        <v>0</v>
      </c>
      <c r="U304" s="83">
        <f t="shared" si="247"/>
        <v>0</v>
      </c>
      <c r="V304" s="84">
        <f t="shared" si="248"/>
        <v>4.24</v>
      </c>
      <c r="W304" s="52">
        <f t="shared" si="249"/>
        <v>109.04232404116811</v>
      </c>
      <c r="X304" s="52">
        <f t="shared" si="250"/>
        <v>169.98610519960681</v>
      </c>
      <c r="Y304" s="52">
        <f t="shared" si="251"/>
        <v>279.02842924077493</v>
      </c>
      <c r="Z304" s="53">
        <f t="shared" si="252"/>
        <v>0.8518931565716259</v>
      </c>
      <c r="AA304" s="53">
        <f t="shared" si="253"/>
        <v>1.0118220547595644</v>
      </c>
      <c r="AB304" s="53">
        <f t="shared" si="254"/>
        <v>0.94266361229991524</v>
      </c>
      <c r="AC304" s="39" t="str">
        <f t="shared" si="255"/>
        <v>No</v>
      </c>
      <c r="AD304" s="85">
        <f t="shared" si="256"/>
        <v>0</v>
      </c>
      <c r="AE304" s="46">
        <f t="shared" si="257"/>
        <v>1</v>
      </c>
      <c r="AF304" s="46">
        <f t="shared" si="258"/>
        <v>0.2</v>
      </c>
      <c r="AG304" s="39">
        <f t="shared" si="313"/>
        <v>40.929577142572782</v>
      </c>
      <c r="AH304" s="39">
        <f t="shared" si="314"/>
        <v>66.001016163260942</v>
      </c>
      <c r="AI304" s="39">
        <f t="shared" si="315"/>
        <v>64.014801190724498</v>
      </c>
      <c r="AJ304" s="39">
        <f t="shared" si="316"/>
        <v>87.096929544609893</v>
      </c>
      <c r="AK304" s="39">
        <f t="shared" si="317"/>
        <v>84.37580420731733</v>
      </c>
      <c r="AL304" s="39">
        <f t="shared" si="318"/>
        <v>75.955211870012263</v>
      </c>
      <c r="AM304" s="39">
        <f t="shared" si="319"/>
        <v>76.626980814542449</v>
      </c>
      <c r="AN304" s="39">
        <f t="shared" si="320"/>
        <v>74.028108307734797</v>
      </c>
      <c r="AO304" s="39">
        <f t="shared" si="259"/>
        <v>0.79637104343632936</v>
      </c>
      <c r="AP304" s="39">
        <f t="shared" si="260"/>
        <v>0</v>
      </c>
      <c r="AQ304" s="39">
        <f t="shared" si="261"/>
        <v>0</v>
      </c>
      <c r="AR304" s="39">
        <f t="shared" si="262"/>
        <v>0</v>
      </c>
      <c r="AS304" s="39">
        <f t="shared" si="263"/>
        <v>0</v>
      </c>
      <c r="AT304" s="39">
        <f t="shared" si="264"/>
        <v>0</v>
      </c>
      <c r="AU304" s="39">
        <f t="shared" si="265"/>
        <v>0</v>
      </c>
      <c r="AV304" s="39">
        <f t="shared" si="266"/>
        <v>0</v>
      </c>
      <c r="AW304" s="39">
        <f t="shared" si="267"/>
        <v>0.79637104343632936</v>
      </c>
      <c r="AX304" s="39">
        <f t="shared" si="268"/>
        <v>0</v>
      </c>
      <c r="AY304" s="39">
        <f t="shared" si="269"/>
        <v>0</v>
      </c>
      <c r="AZ304" s="39">
        <f t="shared" si="270"/>
        <v>0</v>
      </c>
      <c r="BA304" s="39">
        <f t="shared" si="271"/>
        <v>0</v>
      </c>
      <c r="BB304" s="39">
        <f t="shared" si="272"/>
        <v>0</v>
      </c>
      <c r="BC304" s="39">
        <f t="shared" si="273"/>
        <v>0</v>
      </c>
      <c r="BD304" s="39">
        <f t="shared" si="274"/>
        <v>0</v>
      </c>
      <c r="BE304" s="39">
        <f t="shared" si="275"/>
        <v>0</v>
      </c>
      <c r="BF304" s="39">
        <f t="shared" si="276"/>
        <v>0</v>
      </c>
      <c r="BG304" s="39">
        <f t="shared" si="277"/>
        <v>0</v>
      </c>
      <c r="BH304" s="84">
        <f t="shared" si="278"/>
        <v>4.24</v>
      </c>
      <c r="BI304" s="84">
        <f t="shared" si="279"/>
        <v>0</v>
      </c>
      <c r="BJ304" s="84">
        <f t="shared" si="280"/>
        <v>4.24</v>
      </c>
      <c r="BK304" s="39">
        <f t="shared" si="281"/>
        <v>36.68957714257278</v>
      </c>
      <c r="BL304" s="39">
        <f t="shared" si="282"/>
        <v>66.001016163260942</v>
      </c>
      <c r="BM304" s="39">
        <f t="shared" si="283"/>
        <v>64.014801190724498</v>
      </c>
      <c r="BN304" s="39">
        <f t="shared" si="284"/>
        <v>87.096929544609893</v>
      </c>
      <c r="BO304" s="39">
        <f t="shared" si="285"/>
        <v>84.37580420731733</v>
      </c>
      <c r="BP304" s="39">
        <f t="shared" si="286"/>
        <v>75.955211870012263</v>
      </c>
      <c r="BQ304" s="39">
        <f t="shared" si="287"/>
        <v>76.626980814542449</v>
      </c>
      <c r="BR304" s="39">
        <f t="shared" si="288"/>
        <v>74.028108307734797</v>
      </c>
      <c r="BS304" s="39">
        <f t="shared" si="289"/>
        <v>0</v>
      </c>
      <c r="BT304" s="39">
        <f t="shared" si="290"/>
        <v>6.0969795656546917E-4</v>
      </c>
      <c r="BU304" s="39">
        <f t="shared" si="291"/>
        <v>8.8807144347072143E-3</v>
      </c>
      <c r="BV304" s="39">
        <f t="shared" si="292"/>
        <v>5.8157726765927009E-2</v>
      </c>
      <c r="BW304" s="39">
        <f t="shared" si="293"/>
        <v>0.2254825243904065</v>
      </c>
      <c r="BX304" s="39">
        <f t="shared" si="294"/>
        <v>0.5731271220073495</v>
      </c>
      <c r="BY304" s="39">
        <f t="shared" si="295"/>
        <v>0.97618848872546093</v>
      </c>
      <c r="BZ304" s="39">
        <f t="shared" si="296"/>
        <v>0</v>
      </c>
      <c r="CA304" s="39">
        <f t="shared" si="297"/>
        <v>62.117155086025903</v>
      </c>
      <c r="CB304" s="39">
        <f t="shared" si="298"/>
        <v>66.00040646530438</v>
      </c>
      <c r="CC304" s="39">
        <f t="shared" si="299"/>
        <v>64.00653017424635</v>
      </c>
      <c r="CD304" s="39">
        <f t="shared" si="300"/>
        <v>87.047652532278676</v>
      </c>
      <c r="CE304" s="39">
        <f t="shared" si="301"/>
        <v>84.208479409692856</v>
      </c>
      <c r="CF304" s="39">
        <f t="shared" si="302"/>
        <v>75.607567272395315</v>
      </c>
      <c r="CG304" s="39">
        <f t="shared" si="303"/>
        <v>76.223919447824343</v>
      </c>
      <c r="CH304" s="39">
        <f t="shared" si="304"/>
        <v>75.004296796460252</v>
      </c>
      <c r="CI304" s="39">
        <f t="shared" si="305"/>
        <v>0</v>
      </c>
      <c r="CJ304" s="39">
        <f t="shared" si="306"/>
        <v>0</v>
      </c>
      <c r="CK304" s="39">
        <f t="shared" si="307"/>
        <v>0</v>
      </c>
      <c r="CL304" s="39">
        <f t="shared" si="308"/>
        <v>0</v>
      </c>
      <c r="CM304" s="39">
        <f t="shared" si="309"/>
        <v>0</v>
      </c>
      <c r="CN304" s="39">
        <f t="shared" si="310"/>
        <v>0</v>
      </c>
      <c r="CO304" s="39">
        <f t="shared" si="311"/>
        <v>0</v>
      </c>
      <c r="CP304" s="39">
        <f t="shared" si="312"/>
        <v>0</v>
      </c>
    </row>
    <row r="305" spans="2:94" ht="16" customHeight="1" x14ac:dyDescent="0.2">
      <c r="B305" s="38"/>
      <c r="L305" s="63">
        <v>30617</v>
      </c>
      <c r="M305" s="38">
        <v>0</v>
      </c>
      <c r="N305" s="38">
        <v>2.2999999999999998</v>
      </c>
      <c r="O305" s="39">
        <v>0.2</v>
      </c>
      <c r="P305" s="39">
        <v>0</v>
      </c>
      <c r="Q305" s="46">
        <f t="shared" si="243"/>
        <v>8.4897658609406942E-2</v>
      </c>
      <c r="R305" s="81">
        <f t="shared" si="244"/>
        <v>0</v>
      </c>
      <c r="S305" s="82">
        <f t="shared" si="245"/>
        <v>0</v>
      </c>
      <c r="T305" s="39">
        <f t="shared" si="246"/>
        <v>2.57807787614297E-3</v>
      </c>
      <c r="U305" s="83">
        <f t="shared" si="247"/>
        <v>0</v>
      </c>
      <c r="V305" s="84">
        <f t="shared" si="248"/>
        <v>1.8399999999999999</v>
      </c>
      <c r="W305" s="52">
        <f t="shared" si="249"/>
        <v>130.17174425785532</v>
      </c>
      <c r="X305" s="52">
        <f t="shared" si="250"/>
        <v>170.04426292637277</v>
      </c>
      <c r="Y305" s="52">
        <f t="shared" si="251"/>
        <v>300.21600718422809</v>
      </c>
      <c r="Z305" s="53">
        <f t="shared" si="252"/>
        <v>1.0169667520144947</v>
      </c>
      <c r="AA305" s="53">
        <f t="shared" si="253"/>
        <v>1.0121682317045999</v>
      </c>
      <c r="AB305" s="53">
        <f t="shared" si="254"/>
        <v>1.0142432675142841</v>
      </c>
      <c r="AC305" s="39" t="str">
        <f t="shared" si="255"/>
        <v>No</v>
      </c>
      <c r="AD305" s="85">
        <f t="shared" si="256"/>
        <v>0</v>
      </c>
      <c r="AE305" s="46">
        <f t="shared" si="257"/>
        <v>1</v>
      </c>
      <c r="AF305" s="46">
        <f t="shared" si="258"/>
        <v>0.2</v>
      </c>
      <c r="AG305" s="39">
        <f t="shared" si="313"/>
        <v>62.117155086025903</v>
      </c>
      <c r="AH305" s="39">
        <f t="shared" si="314"/>
        <v>66.00040646530438</v>
      </c>
      <c r="AI305" s="39">
        <f t="shared" si="315"/>
        <v>64.00653017424635</v>
      </c>
      <c r="AJ305" s="39">
        <f t="shared" si="316"/>
        <v>87.047652532278676</v>
      </c>
      <c r="AK305" s="39">
        <f t="shared" si="317"/>
        <v>84.208479409692856</v>
      </c>
      <c r="AL305" s="39">
        <f t="shared" si="318"/>
        <v>75.607567272395315</v>
      </c>
      <c r="AM305" s="39">
        <f t="shared" si="319"/>
        <v>76.223919447824343</v>
      </c>
      <c r="AN305" s="39">
        <f t="shared" si="320"/>
        <v>75.004296796460252</v>
      </c>
      <c r="AO305" s="39">
        <f t="shared" si="259"/>
        <v>3.2117155086025906</v>
      </c>
      <c r="AP305" s="39">
        <f t="shared" si="260"/>
        <v>0</v>
      </c>
      <c r="AQ305" s="39">
        <f t="shared" si="261"/>
        <v>0</v>
      </c>
      <c r="AR305" s="39">
        <f t="shared" si="262"/>
        <v>0</v>
      </c>
      <c r="AS305" s="39">
        <f t="shared" si="263"/>
        <v>0</v>
      </c>
      <c r="AT305" s="39">
        <f t="shared" si="264"/>
        <v>0</v>
      </c>
      <c r="AU305" s="39">
        <f t="shared" si="265"/>
        <v>0</v>
      </c>
      <c r="AV305" s="39">
        <f t="shared" si="266"/>
        <v>0</v>
      </c>
      <c r="AW305" s="39">
        <f t="shared" si="267"/>
        <v>3.2117155086025906</v>
      </c>
      <c r="AX305" s="39">
        <f t="shared" si="268"/>
        <v>0</v>
      </c>
      <c r="AY305" s="39">
        <f t="shared" si="269"/>
        <v>0</v>
      </c>
      <c r="AZ305" s="39">
        <f t="shared" si="270"/>
        <v>0</v>
      </c>
      <c r="BA305" s="39">
        <f t="shared" si="271"/>
        <v>0</v>
      </c>
      <c r="BB305" s="39">
        <f t="shared" si="272"/>
        <v>0</v>
      </c>
      <c r="BC305" s="39">
        <f t="shared" si="273"/>
        <v>0</v>
      </c>
      <c r="BD305" s="39">
        <f t="shared" si="274"/>
        <v>0</v>
      </c>
      <c r="BE305" s="39">
        <f t="shared" si="275"/>
        <v>0</v>
      </c>
      <c r="BF305" s="39">
        <f t="shared" si="276"/>
        <v>0</v>
      </c>
      <c r="BG305" s="39">
        <f t="shared" si="277"/>
        <v>0</v>
      </c>
      <c r="BH305" s="84">
        <f t="shared" si="278"/>
        <v>1.8399999999999999</v>
      </c>
      <c r="BI305" s="84">
        <f t="shared" si="279"/>
        <v>0</v>
      </c>
      <c r="BJ305" s="84">
        <f t="shared" si="280"/>
        <v>1.8399999999999999</v>
      </c>
      <c r="BK305" s="39">
        <f t="shared" si="281"/>
        <v>60.2771550860259</v>
      </c>
      <c r="BL305" s="39">
        <f t="shared" si="282"/>
        <v>66.00040646530438</v>
      </c>
      <c r="BM305" s="39">
        <f t="shared" si="283"/>
        <v>64.00653017424635</v>
      </c>
      <c r="BN305" s="39">
        <f t="shared" si="284"/>
        <v>87.047652532278676</v>
      </c>
      <c r="BO305" s="39">
        <f t="shared" si="285"/>
        <v>84.208479409692856</v>
      </c>
      <c r="BP305" s="39">
        <f t="shared" si="286"/>
        <v>75.607567272395315</v>
      </c>
      <c r="BQ305" s="39">
        <f t="shared" si="287"/>
        <v>76.223919447824343</v>
      </c>
      <c r="BR305" s="39">
        <f t="shared" si="288"/>
        <v>75.004296796460252</v>
      </c>
      <c r="BS305" s="39">
        <f t="shared" si="289"/>
        <v>0.16629305161553987</v>
      </c>
      <c r="BT305" s="39">
        <f t="shared" si="290"/>
        <v>2.4387918262789297E-4</v>
      </c>
      <c r="BU305" s="39">
        <f t="shared" si="291"/>
        <v>3.9181045478187569E-3</v>
      </c>
      <c r="BV305" s="39">
        <f t="shared" si="292"/>
        <v>2.8591519367196838E-2</v>
      </c>
      <c r="BW305" s="39">
        <f t="shared" si="293"/>
        <v>0.12508764581572221</v>
      </c>
      <c r="BX305" s="39">
        <f t="shared" si="294"/>
        <v>0.36454036343718027</v>
      </c>
      <c r="BY305" s="39">
        <f t="shared" si="295"/>
        <v>0.73435166869459745</v>
      </c>
      <c r="BZ305" s="39">
        <f t="shared" si="296"/>
        <v>2.57807787614297E-3</v>
      </c>
      <c r="CA305" s="39">
        <f t="shared" si="297"/>
        <v>60.11086203441036</v>
      </c>
      <c r="CB305" s="39">
        <f t="shared" si="298"/>
        <v>66.166455637737286</v>
      </c>
      <c r="CC305" s="39">
        <f t="shared" si="299"/>
        <v>64.002855948881162</v>
      </c>
      <c r="CD305" s="39">
        <f t="shared" si="300"/>
        <v>87.0229791174593</v>
      </c>
      <c r="CE305" s="39">
        <f t="shared" si="301"/>
        <v>84.111983283244328</v>
      </c>
      <c r="CF305" s="39">
        <f t="shared" si="302"/>
        <v>75.368114554773854</v>
      </c>
      <c r="CG305" s="39">
        <f t="shared" si="303"/>
        <v>75.854108142566929</v>
      </c>
      <c r="CH305" s="39">
        <f t="shared" si="304"/>
        <v>75.736070387278716</v>
      </c>
      <c r="CI305" s="39">
        <f t="shared" si="305"/>
        <v>0</v>
      </c>
      <c r="CJ305" s="39">
        <f t="shared" si="306"/>
        <v>0</v>
      </c>
      <c r="CK305" s="39">
        <f t="shared" si="307"/>
        <v>0</v>
      </c>
      <c r="CL305" s="39">
        <f t="shared" si="308"/>
        <v>0</v>
      </c>
      <c r="CM305" s="39">
        <f t="shared" si="309"/>
        <v>0</v>
      </c>
      <c r="CN305" s="39">
        <f t="shared" si="310"/>
        <v>0</v>
      </c>
      <c r="CO305" s="39">
        <f t="shared" si="311"/>
        <v>0</v>
      </c>
      <c r="CP305" s="39">
        <f t="shared" si="312"/>
        <v>0</v>
      </c>
    </row>
    <row r="306" spans="2:94" ht="16" customHeight="1" x14ac:dyDescent="0.2">
      <c r="B306" s="38"/>
      <c r="L306" s="63">
        <v>30618</v>
      </c>
      <c r="M306" s="38">
        <v>0</v>
      </c>
      <c r="N306" s="38">
        <v>3.9</v>
      </c>
      <c r="O306" s="39">
        <v>0.2</v>
      </c>
      <c r="P306" s="39">
        <v>0</v>
      </c>
      <c r="Q306" s="46">
        <f t="shared" si="243"/>
        <v>8.8964468849168185E-2</v>
      </c>
      <c r="R306" s="81">
        <f t="shared" si="244"/>
        <v>0</v>
      </c>
      <c r="S306" s="82">
        <f t="shared" si="245"/>
        <v>0</v>
      </c>
      <c r="T306" s="39">
        <f t="shared" si="246"/>
        <v>0.44164223236722078</v>
      </c>
      <c r="U306" s="83">
        <f t="shared" si="247"/>
        <v>0</v>
      </c>
      <c r="V306" s="84">
        <f t="shared" si="248"/>
        <v>3.12</v>
      </c>
      <c r="W306" s="52">
        <f t="shared" si="249"/>
        <v>128.30315273848811</v>
      </c>
      <c r="X306" s="52">
        <f t="shared" si="250"/>
        <v>170.07027636786381</v>
      </c>
      <c r="Y306" s="52">
        <f t="shared" si="251"/>
        <v>298.37342910635192</v>
      </c>
      <c r="Z306" s="53">
        <f t="shared" si="252"/>
        <v>1.0023683807694383</v>
      </c>
      <c r="AA306" s="53">
        <f t="shared" si="253"/>
        <v>1.0123230736182369</v>
      </c>
      <c r="AB306" s="53">
        <f t="shared" si="254"/>
        <v>1.0080183415755133</v>
      </c>
      <c r="AC306" s="39" t="str">
        <f t="shared" si="255"/>
        <v>No</v>
      </c>
      <c r="AD306" s="85">
        <f t="shared" si="256"/>
        <v>0</v>
      </c>
      <c r="AE306" s="46">
        <f t="shared" si="257"/>
        <v>1</v>
      </c>
      <c r="AF306" s="46">
        <f t="shared" si="258"/>
        <v>0.2</v>
      </c>
      <c r="AG306" s="39">
        <f t="shared" si="313"/>
        <v>60.11086203441036</v>
      </c>
      <c r="AH306" s="39">
        <f t="shared" si="314"/>
        <v>66.166455637737286</v>
      </c>
      <c r="AI306" s="39">
        <f t="shared" si="315"/>
        <v>64.002855948881162</v>
      </c>
      <c r="AJ306" s="39">
        <f t="shared" si="316"/>
        <v>87.0229791174593</v>
      </c>
      <c r="AK306" s="39">
        <f t="shared" si="317"/>
        <v>84.111983283244328</v>
      </c>
      <c r="AL306" s="39">
        <f t="shared" si="318"/>
        <v>75.368114554773854</v>
      </c>
      <c r="AM306" s="39">
        <f t="shared" si="319"/>
        <v>75.854108142566929</v>
      </c>
      <c r="AN306" s="39">
        <f t="shared" si="320"/>
        <v>75.736070387278716</v>
      </c>
      <c r="AO306" s="39">
        <f t="shared" si="259"/>
        <v>3.0110862034410362</v>
      </c>
      <c r="AP306" s="39">
        <f t="shared" si="260"/>
        <v>0</v>
      </c>
      <c r="AQ306" s="39">
        <f t="shared" si="261"/>
        <v>0</v>
      </c>
      <c r="AR306" s="39">
        <f t="shared" si="262"/>
        <v>0</v>
      </c>
      <c r="AS306" s="39">
        <f t="shared" si="263"/>
        <v>0</v>
      </c>
      <c r="AT306" s="39">
        <f t="shared" si="264"/>
        <v>0</v>
      </c>
      <c r="AU306" s="39">
        <f t="shared" si="265"/>
        <v>0</v>
      </c>
      <c r="AV306" s="39">
        <f t="shared" si="266"/>
        <v>0</v>
      </c>
      <c r="AW306" s="39">
        <f t="shared" si="267"/>
        <v>3.0110862034410362</v>
      </c>
      <c r="AX306" s="39">
        <f t="shared" si="268"/>
        <v>0</v>
      </c>
      <c r="AY306" s="39">
        <f t="shared" si="269"/>
        <v>0</v>
      </c>
      <c r="AZ306" s="39">
        <f t="shared" si="270"/>
        <v>0</v>
      </c>
      <c r="BA306" s="39">
        <f t="shared" si="271"/>
        <v>0</v>
      </c>
      <c r="BB306" s="39">
        <f t="shared" si="272"/>
        <v>0</v>
      </c>
      <c r="BC306" s="39">
        <f t="shared" si="273"/>
        <v>0</v>
      </c>
      <c r="BD306" s="39">
        <f t="shared" si="274"/>
        <v>0</v>
      </c>
      <c r="BE306" s="39">
        <f t="shared" si="275"/>
        <v>0</v>
      </c>
      <c r="BF306" s="39">
        <f t="shared" si="276"/>
        <v>0</v>
      </c>
      <c r="BG306" s="39">
        <f t="shared" si="277"/>
        <v>0</v>
      </c>
      <c r="BH306" s="84">
        <f t="shared" si="278"/>
        <v>3.12</v>
      </c>
      <c r="BI306" s="84">
        <f t="shared" si="279"/>
        <v>0</v>
      </c>
      <c r="BJ306" s="84">
        <f t="shared" si="280"/>
        <v>3.12</v>
      </c>
      <c r="BK306" s="39">
        <f t="shared" si="281"/>
        <v>56.990862034410362</v>
      </c>
      <c r="BL306" s="39">
        <f t="shared" si="282"/>
        <v>66.166455637737286</v>
      </c>
      <c r="BM306" s="39">
        <f t="shared" si="283"/>
        <v>64.002855948881162</v>
      </c>
      <c r="BN306" s="39">
        <f t="shared" si="284"/>
        <v>87.0229791174593</v>
      </c>
      <c r="BO306" s="39">
        <f t="shared" si="285"/>
        <v>84.111983283244328</v>
      </c>
      <c r="BP306" s="39">
        <f t="shared" si="286"/>
        <v>75.368114554773854</v>
      </c>
      <c r="BQ306" s="39">
        <f t="shared" si="287"/>
        <v>75.854108142566929</v>
      </c>
      <c r="BR306" s="39">
        <f t="shared" si="288"/>
        <v>75.736070387278716</v>
      </c>
      <c r="BS306" s="39">
        <f t="shared" si="289"/>
        <v>0</v>
      </c>
      <c r="BT306" s="39">
        <f t="shared" si="290"/>
        <v>9.9873382642371666E-2</v>
      </c>
      <c r="BU306" s="39">
        <f t="shared" si="291"/>
        <v>1.7135693287059438E-3</v>
      </c>
      <c r="BV306" s="39">
        <f t="shared" si="292"/>
        <v>1.3787470475571694E-2</v>
      </c>
      <c r="BW306" s="39">
        <f t="shared" si="293"/>
        <v>6.7189969946605282E-2</v>
      </c>
      <c r="BX306" s="39">
        <f t="shared" si="294"/>
        <v>0.22086873286430375</v>
      </c>
      <c r="BY306" s="39">
        <f t="shared" si="295"/>
        <v>0.51246488554014891</v>
      </c>
      <c r="BZ306" s="39">
        <f t="shared" si="296"/>
        <v>0.44164223236722078</v>
      </c>
      <c r="CA306" s="39">
        <f t="shared" si="297"/>
        <v>56.990862034410362</v>
      </c>
      <c r="CB306" s="39">
        <f t="shared" si="298"/>
        <v>66.066582255094914</v>
      </c>
      <c r="CC306" s="39">
        <f t="shared" si="299"/>
        <v>64.101015762194834</v>
      </c>
      <c r="CD306" s="39">
        <f t="shared" si="300"/>
        <v>87.010905216312423</v>
      </c>
      <c r="CE306" s="39">
        <f t="shared" si="301"/>
        <v>84.058580783773294</v>
      </c>
      <c r="CF306" s="39">
        <f t="shared" si="302"/>
        <v>75.214435791856161</v>
      </c>
      <c r="CG306" s="39">
        <f t="shared" si="303"/>
        <v>75.562511989891078</v>
      </c>
      <c r="CH306" s="39">
        <f t="shared" si="304"/>
        <v>75.806893040451655</v>
      </c>
      <c r="CI306" s="39">
        <f t="shared" si="305"/>
        <v>0</v>
      </c>
      <c r="CJ306" s="39">
        <f t="shared" si="306"/>
        <v>0</v>
      </c>
      <c r="CK306" s="39">
        <f t="shared" si="307"/>
        <v>0</v>
      </c>
      <c r="CL306" s="39">
        <f t="shared" si="308"/>
        <v>0</v>
      </c>
      <c r="CM306" s="39">
        <f t="shared" si="309"/>
        <v>0</v>
      </c>
      <c r="CN306" s="39">
        <f t="shared" si="310"/>
        <v>0</v>
      </c>
      <c r="CO306" s="39">
        <f t="shared" si="311"/>
        <v>0</v>
      </c>
      <c r="CP306" s="39">
        <f t="shared" si="312"/>
        <v>0</v>
      </c>
    </row>
    <row r="307" spans="2:94" ht="16" customHeight="1" x14ac:dyDescent="0.2">
      <c r="B307" s="38"/>
      <c r="L307" s="63">
        <v>30619</v>
      </c>
      <c r="M307" s="38">
        <v>0</v>
      </c>
      <c r="N307" s="38">
        <v>4.3</v>
      </c>
      <c r="O307" s="39">
        <v>0.2</v>
      </c>
      <c r="P307" s="39">
        <v>0</v>
      </c>
      <c r="Q307" s="46">
        <f t="shared" si="243"/>
        <v>9.5288793173492509E-2</v>
      </c>
      <c r="R307" s="81">
        <f t="shared" si="244"/>
        <v>0</v>
      </c>
      <c r="S307" s="82">
        <f t="shared" si="245"/>
        <v>0</v>
      </c>
      <c r="T307" s="39">
        <f t="shared" si="246"/>
        <v>0.48413582427098445</v>
      </c>
      <c r="U307" s="83">
        <f t="shared" si="247"/>
        <v>0</v>
      </c>
      <c r="V307" s="84">
        <f t="shared" si="248"/>
        <v>3.44</v>
      </c>
      <c r="W307" s="52">
        <f t="shared" si="249"/>
        <v>125.16936526801254</v>
      </c>
      <c r="X307" s="52">
        <f t="shared" si="250"/>
        <v>169.64242160597223</v>
      </c>
      <c r="Y307" s="52">
        <f t="shared" si="251"/>
        <v>294.81178687398477</v>
      </c>
      <c r="Z307" s="53">
        <f t="shared" si="252"/>
        <v>0.97788566615634798</v>
      </c>
      <c r="AA307" s="53">
        <f t="shared" si="253"/>
        <v>1.0097763190831681</v>
      </c>
      <c r="AB307" s="53">
        <f t="shared" si="254"/>
        <v>0.99598576646616477</v>
      </c>
      <c r="AC307" s="39" t="str">
        <f t="shared" si="255"/>
        <v>No</v>
      </c>
      <c r="AD307" s="85">
        <f t="shared" si="256"/>
        <v>0</v>
      </c>
      <c r="AE307" s="46">
        <f t="shared" si="257"/>
        <v>1</v>
      </c>
      <c r="AF307" s="46">
        <f t="shared" si="258"/>
        <v>0.2</v>
      </c>
      <c r="AG307" s="39">
        <f t="shared" si="313"/>
        <v>56.990862034410362</v>
      </c>
      <c r="AH307" s="39">
        <f t="shared" si="314"/>
        <v>66.066582255094914</v>
      </c>
      <c r="AI307" s="39">
        <f t="shared" si="315"/>
        <v>64.101015762194834</v>
      </c>
      <c r="AJ307" s="39">
        <f t="shared" si="316"/>
        <v>87.010905216312423</v>
      </c>
      <c r="AK307" s="39">
        <f t="shared" si="317"/>
        <v>84.058580783773294</v>
      </c>
      <c r="AL307" s="39">
        <f t="shared" si="318"/>
        <v>75.214435791856161</v>
      </c>
      <c r="AM307" s="39">
        <f t="shared" si="319"/>
        <v>75.562511989891078</v>
      </c>
      <c r="AN307" s="39">
        <f t="shared" si="320"/>
        <v>75.806893040451655</v>
      </c>
      <c r="AO307" s="39">
        <f t="shared" si="259"/>
        <v>2.6990862034410363</v>
      </c>
      <c r="AP307" s="39">
        <f t="shared" si="260"/>
        <v>0</v>
      </c>
      <c r="AQ307" s="39">
        <f t="shared" si="261"/>
        <v>0</v>
      </c>
      <c r="AR307" s="39">
        <f t="shared" si="262"/>
        <v>0</v>
      </c>
      <c r="AS307" s="39">
        <f t="shared" si="263"/>
        <v>0</v>
      </c>
      <c r="AT307" s="39">
        <f t="shared" si="264"/>
        <v>0</v>
      </c>
      <c r="AU307" s="39">
        <f t="shared" si="265"/>
        <v>0</v>
      </c>
      <c r="AV307" s="39">
        <f t="shared" si="266"/>
        <v>0</v>
      </c>
      <c r="AW307" s="39">
        <f t="shared" si="267"/>
        <v>2.6990862034410363</v>
      </c>
      <c r="AX307" s="39">
        <f t="shared" si="268"/>
        <v>0</v>
      </c>
      <c r="AY307" s="39">
        <f t="shared" si="269"/>
        <v>0</v>
      </c>
      <c r="AZ307" s="39">
        <f t="shared" si="270"/>
        <v>0</v>
      </c>
      <c r="BA307" s="39">
        <f t="shared" si="271"/>
        <v>0</v>
      </c>
      <c r="BB307" s="39">
        <f t="shared" si="272"/>
        <v>0</v>
      </c>
      <c r="BC307" s="39">
        <f t="shared" si="273"/>
        <v>0</v>
      </c>
      <c r="BD307" s="39">
        <f t="shared" si="274"/>
        <v>0</v>
      </c>
      <c r="BE307" s="39">
        <f t="shared" si="275"/>
        <v>0</v>
      </c>
      <c r="BF307" s="39">
        <f t="shared" si="276"/>
        <v>0</v>
      </c>
      <c r="BG307" s="39">
        <f t="shared" si="277"/>
        <v>0</v>
      </c>
      <c r="BH307" s="84">
        <f t="shared" si="278"/>
        <v>3.390862034410361</v>
      </c>
      <c r="BI307" s="84">
        <f t="shared" si="279"/>
        <v>4.9137965589638899E-2</v>
      </c>
      <c r="BJ307" s="84">
        <f t="shared" si="280"/>
        <v>3.44</v>
      </c>
      <c r="BK307" s="39">
        <f t="shared" si="281"/>
        <v>53.550862034410365</v>
      </c>
      <c r="BL307" s="39">
        <f t="shared" si="282"/>
        <v>66.066582255094914</v>
      </c>
      <c r="BM307" s="39">
        <f t="shared" si="283"/>
        <v>64.101015762194834</v>
      </c>
      <c r="BN307" s="39">
        <f t="shared" si="284"/>
        <v>87.010905216312423</v>
      </c>
      <c r="BO307" s="39">
        <f t="shared" si="285"/>
        <v>84.058580783773294</v>
      </c>
      <c r="BP307" s="39">
        <f t="shared" si="286"/>
        <v>75.214435791856161</v>
      </c>
      <c r="BQ307" s="39">
        <f t="shared" si="287"/>
        <v>75.562511989891078</v>
      </c>
      <c r="BR307" s="39">
        <f t="shared" si="288"/>
        <v>75.806893040451655</v>
      </c>
      <c r="BS307" s="39">
        <f t="shared" si="289"/>
        <v>0</v>
      </c>
      <c r="BT307" s="39">
        <f t="shared" si="290"/>
        <v>3.9949353056948668E-2</v>
      </c>
      <c r="BU307" s="39">
        <f t="shared" si="291"/>
        <v>6.0609457316908782E-2</v>
      </c>
      <c r="BV307" s="39">
        <f t="shared" si="292"/>
        <v>6.5431297874454231E-3</v>
      </c>
      <c r="BW307" s="39">
        <f t="shared" si="293"/>
        <v>3.5148470263985133E-2</v>
      </c>
      <c r="BX307" s="39">
        <f t="shared" si="294"/>
        <v>0.12866147511368808</v>
      </c>
      <c r="BY307" s="39">
        <f t="shared" si="295"/>
        <v>0.33750719393463841</v>
      </c>
      <c r="BZ307" s="39">
        <f t="shared" si="296"/>
        <v>0.48413582427098445</v>
      </c>
      <c r="CA307" s="39">
        <f t="shared" si="297"/>
        <v>53.550862034410365</v>
      </c>
      <c r="CB307" s="39">
        <f t="shared" si="298"/>
        <v>66.02663290203796</v>
      </c>
      <c r="CC307" s="39">
        <f t="shared" si="299"/>
        <v>64.080355657934874</v>
      </c>
      <c r="CD307" s="39">
        <f t="shared" si="300"/>
        <v>87.064971543841892</v>
      </c>
      <c r="CE307" s="39">
        <f t="shared" si="301"/>
        <v>84.029975443296749</v>
      </c>
      <c r="CF307" s="39">
        <f t="shared" si="302"/>
        <v>75.120922787006464</v>
      </c>
      <c r="CG307" s="39">
        <f t="shared" si="303"/>
        <v>75.353666271070125</v>
      </c>
      <c r="CH307" s="39">
        <f t="shared" si="304"/>
        <v>75.660264410115317</v>
      </c>
      <c r="CI307" s="39">
        <f t="shared" si="305"/>
        <v>0</v>
      </c>
      <c r="CJ307" s="39">
        <f t="shared" si="306"/>
        <v>0</v>
      </c>
      <c r="CK307" s="39">
        <f t="shared" si="307"/>
        <v>0</v>
      </c>
      <c r="CL307" s="39">
        <f t="shared" si="308"/>
        <v>0</v>
      </c>
      <c r="CM307" s="39">
        <f t="shared" si="309"/>
        <v>0</v>
      </c>
      <c r="CN307" s="39">
        <f t="shared" si="310"/>
        <v>0</v>
      </c>
      <c r="CO307" s="39">
        <f t="shared" si="311"/>
        <v>0</v>
      </c>
      <c r="CP307" s="39">
        <f t="shared" si="312"/>
        <v>0</v>
      </c>
    </row>
    <row r="308" spans="2:94" ht="16" customHeight="1" x14ac:dyDescent="0.2">
      <c r="B308" s="38"/>
      <c r="L308" s="63">
        <v>30620</v>
      </c>
      <c r="M308" s="38">
        <v>0</v>
      </c>
      <c r="N308" s="38">
        <v>4.7</v>
      </c>
      <c r="O308" s="39">
        <v>0.2</v>
      </c>
      <c r="P308" s="39">
        <v>0</v>
      </c>
      <c r="Q308" s="46">
        <f t="shared" si="243"/>
        <v>0.10226176614646547</v>
      </c>
      <c r="R308" s="81">
        <f t="shared" si="244"/>
        <v>0</v>
      </c>
      <c r="S308" s="82">
        <f t="shared" si="245"/>
        <v>0</v>
      </c>
      <c r="T308" s="39">
        <f t="shared" si="246"/>
        <v>0.39615864606918194</v>
      </c>
      <c r="U308" s="83">
        <f t="shared" si="247"/>
        <v>0</v>
      </c>
      <c r="V308" s="84">
        <f t="shared" si="248"/>
        <v>3.7600000000000002</v>
      </c>
      <c r="W308" s="52">
        <f t="shared" si="249"/>
        <v>121.72282213822507</v>
      </c>
      <c r="X308" s="52">
        <f t="shared" si="250"/>
        <v>169.16482891148866</v>
      </c>
      <c r="Y308" s="52">
        <f t="shared" si="251"/>
        <v>290.88765104971372</v>
      </c>
      <c r="Z308" s="53">
        <f t="shared" si="252"/>
        <v>0.95095954795488336</v>
      </c>
      <c r="AA308" s="53">
        <f t="shared" si="253"/>
        <v>1.0069335054255277</v>
      </c>
      <c r="AB308" s="53">
        <f t="shared" si="254"/>
        <v>0.98272855084362742</v>
      </c>
      <c r="AC308" s="39" t="str">
        <f t="shared" si="255"/>
        <v>No</v>
      </c>
      <c r="AD308" s="85">
        <f t="shared" si="256"/>
        <v>0</v>
      </c>
      <c r="AE308" s="46">
        <f t="shared" si="257"/>
        <v>1</v>
      </c>
      <c r="AF308" s="46">
        <f t="shared" si="258"/>
        <v>0.2</v>
      </c>
      <c r="AG308" s="39">
        <f t="shared" si="313"/>
        <v>53.550862034410365</v>
      </c>
      <c r="AH308" s="39">
        <f t="shared" si="314"/>
        <v>66.02663290203796</v>
      </c>
      <c r="AI308" s="39">
        <f t="shared" si="315"/>
        <v>64.080355657934874</v>
      </c>
      <c r="AJ308" s="39">
        <f t="shared" si="316"/>
        <v>87.064971543841892</v>
      </c>
      <c r="AK308" s="39">
        <f t="shared" si="317"/>
        <v>84.029975443296749</v>
      </c>
      <c r="AL308" s="39">
        <f t="shared" si="318"/>
        <v>75.120922787006464</v>
      </c>
      <c r="AM308" s="39">
        <f t="shared" si="319"/>
        <v>75.353666271070125</v>
      </c>
      <c r="AN308" s="39">
        <f t="shared" si="320"/>
        <v>75.660264410115317</v>
      </c>
      <c r="AO308" s="39">
        <f t="shared" si="259"/>
        <v>2.3550862034410365</v>
      </c>
      <c r="AP308" s="39">
        <f t="shared" si="260"/>
        <v>0</v>
      </c>
      <c r="AQ308" s="39">
        <f t="shared" si="261"/>
        <v>0</v>
      </c>
      <c r="AR308" s="39">
        <f t="shared" si="262"/>
        <v>0</v>
      </c>
      <c r="AS308" s="39">
        <f t="shared" si="263"/>
        <v>0</v>
      </c>
      <c r="AT308" s="39">
        <f t="shared" si="264"/>
        <v>0</v>
      </c>
      <c r="AU308" s="39">
        <f t="shared" si="265"/>
        <v>0</v>
      </c>
      <c r="AV308" s="39">
        <f t="shared" si="266"/>
        <v>0</v>
      </c>
      <c r="AW308" s="39">
        <f t="shared" si="267"/>
        <v>2.3550862034410365</v>
      </c>
      <c r="AX308" s="39">
        <f t="shared" si="268"/>
        <v>0</v>
      </c>
      <c r="AY308" s="39">
        <f t="shared" si="269"/>
        <v>0</v>
      </c>
      <c r="AZ308" s="39">
        <f t="shared" si="270"/>
        <v>0</v>
      </c>
      <c r="BA308" s="39">
        <f t="shared" si="271"/>
        <v>0</v>
      </c>
      <c r="BB308" s="39">
        <f t="shared" si="272"/>
        <v>0</v>
      </c>
      <c r="BC308" s="39">
        <f t="shared" si="273"/>
        <v>0</v>
      </c>
      <c r="BD308" s="39">
        <f t="shared" si="274"/>
        <v>0</v>
      </c>
      <c r="BE308" s="39">
        <f t="shared" si="275"/>
        <v>0</v>
      </c>
      <c r="BF308" s="39">
        <f t="shared" si="276"/>
        <v>0</v>
      </c>
      <c r="BG308" s="39">
        <f t="shared" si="277"/>
        <v>0</v>
      </c>
      <c r="BH308" s="84">
        <f t="shared" si="278"/>
        <v>0</v>
      </c>
      <c r="BI308" s="84">
        <f t="shared" si="279"/>
        <v>3.7600000000000002</v>
      </c>
      <c r="BJ308" s="84">
        <f t="shared" si="280"/>
        <v>3.7408905438437841</v>
      </c>
      <c r="BK308" s="39">
        <f t="shared" si="281"/>
        <v>49.809971490566582</v>
      </c>
      <c r="BL308" s="39">
        <f t="shared" si="282"/>
        <v>66.02663290203796</v>
      </c>
      <c r="BM308" s="39">
        <f t="shared" si="283"/>
        <v>64.080355657934874</v>
      </c>
      <c r="BN308" s="39">
        <f t="shared" si="284"/>
        <v>87.064971543841892</v>
      </c>
      <c r="BO308" s="39">
        <f t="shared" si="285"/>
        <v>84.029975443296749</v>
      </c>
      <c r="BP308" s="39">
        <f t="shared" si="286"/>
        <v>75.120922787006464</v>
      </c>
      <c r="BQ308" s="39">
        <f t="shared" si="287"/>
        <v>75.353666271070125</v>
      </c>
      <c r="BR308" s="39">
        <f t="shared" si="288"/>
        <v>75.660264410115317</v>
      </c>
      <c r="BS308" s="39">
        <f t="shared" si="289"/>
        <v>0</v>
      </c>
      <c r="BT308" s="39">
        <f t="shared" si="290"/>
        <v>1.5979741222776057E-2</v>
      </c>
      <c r="BU308" s="39">
        <f t="shared" si="291"/>
        <v>4.8213394760932712E-2</v>
      </c>
      <c r="BV308" s="39">
        <f t="shared" si="292"/>
        <v>3.8982926305126848E-2</v>
      </c>
      <c r="BW308" s="39">
        <f t="shared" si="293"/>
        <v>1.7985265978057895E-2</v>
      </c>
      <c r="BX308" s="39">
        <f t="shared" si="294"/>
        <v>7.2553672203869726E-2</v>
      </c>
      <c r="BY308" s="39">
        <f t="shared" si="295"/>
        <v>0.2121997626420665</v>
      </c>
      <c r="BZ308" s="39">
        <f t="shared" si="296"/>
        <v>0.39615864606918194</v>
      </c>
      <c r="CA308" s="39">
        <f t="shared" si="297"/>
        <v>49.809971490566582</v>
      </c>
      <c r="CB308" s="39">
        <f t="shared" si="298"/>
        <v>66.010653160815181</v>
      </c>
      <c r="CC308" s="39">
        <f t="shared" si="299"/>
        <v>64.048122004396717</v>
      </c>
      <c r="CD308" s="39">
        <f t="shared" si="300"/>
        <v>87.074202012297704</v>
      </c>
      <c r="CE308" s="39">
        <f t="shared" si="301"/>
        <v>84.050973103623818</v>
      </c>
      <c r="CF308" s="39">
        <f t="shared" si="302"/>
        <v>75.066354380780652</v>
      </c>
      <c r="CG308" s="39">
        <f t="shared" si="303"/>
        <v>75.21402018063192</v>
      </c>
      <c r="CH308" s="39">
        <f t="shared" si="304"/>
        <v>75.476305526688208</v>
      </c>
      <c r="CI308" s="39">
        <f t="shared" si="305"/>
        <v>0</v>
      </c>
      <c r="CJ308" s="39">
        <f t="shared" si="306"/>
        <v>0</v>
      </c>
      <c r="CK308" s="39">
        <f t="shared" si="307"/>
        <v>0</v>
      </c>
      <c r="CL308" s="39">
        <f t="shared" si="308"/>
        <v>0</v>
      </c>
      <c r="CM308" s="39">
        <f t="shared" si="309"/>
        <v>0</v>
      </c>
      <c r="CN308" s="39">
        <f t="shared" si="310"/>
        <v>0</v>
      </c>
      <c r="CO308" s="39">
        <f t="shared" si="311"/>
        <v>0</v>
      </c>
      <c r="CP308" s="39">
        <f t="shared" si="312"/>
        <v>0</v>
      </c>
    </row>
    <row r="309" spans="2:94" ht="16" customHeight="1" x14ac:dyDescent="0.2">
      <c r="B309" s="38"/>
      <c r="L309" s="63">
        <v>30621</v>
      </c>
      <c r="M309" s="38">
        <v>0</v>
      </c>
      <c r="N309" s="38">
        <v>4.5999999999999996</v>
      </c>
      <c r="O309" s="39">
        <v>0.2</v>
      </c>
      <c r="P309" s="39">
        <v>0</v>
      </c>
      <c r="Q309" s="46">
        <f t="shared" si="243"/>
        <v>0.10984465238398666</v>
      </c>
      <c r="R309" s="81">
        <f t="shared" si="244"/>
        <v>0</v>
      </c>
      <c r="S309" s="82">
        <f t="shared" si="245"/>
        <v>0</v>
      </c>
      <c r="T309" s="39">
        <f t="shared" si="246"/>
        <v>0.28578331601291607</v>
      </c>
      <c r="U309" s="83">
        <f t="shared" si="247"/>
        <v>0</v>
      </c>
      <c r="V309" s="84">
        <f t="shared" si="248"/>
        <v>3.6799999999999997</v>
      </c>
      <c r="W309" s="52">
        <f t="shared" si="249"/>
        <v>117.94294866807616</v>
      </c>
      <c r="X309" s="52">
        <f t="shared" si="250"/>
        <v>168.80765319172463</v>
      </c>
      <c r="Y309" s="52">
        <f t="shared" si="251"/>
        <v>286.75060185980078</v>
      </c>
      <c r="Z309" s="53">
        <f t="shared" si="252"/>
        <v>0.92142928646934497</v>
      </c>
      <c r="AA309" s="53">
        <f t="shared" si="253"/>
        <v>1.0048074594745513</v>
      </c>
      <c r="AB309" s="53">
        <f t="shared" si="254"/>
        <v>0.96875203331013782</v>
      </c>
      <c r="AC309" s="39" t="str">
        <f t="shared" si="255"/>
        <v>No</v>
      </c>
      <c r="AD309" s="85">
        <f t="shared" si="256"/>
        <v>0</v>
      </c>
      <c r="AE309" s="46">
        <f t="shared" si="257"/>
        <v>1</v>
      </c>
      <c r="AF309" s="46">
        <f t="shared" si="258"/>
        <v>0.2</v>
      </c>
      <c r="AG309" s="39">
        <f t="shared" si="313"/>
        <v>49.809971490566582</v>
      </c>
      <c r="AH309" s="39">
        <f t="shared" si="314"/>
        <v>66.010653160815181</v>
      </c>
      <c r="AI309" s="39">
        <f t="shared" si="315"/>
        <v>64.048122004396717</v>
      </c>
      <c r="AJ309" s="39">
        <f t="shared" si="316"/>
        <v>87.074202012297704</v>
      </c>
      <c r="AK309" s="39">
        <f t="shared" si="317"/>
        <v>84.050973103623818</v>
      </c>
      <c r="AL309" s="39">
        <f t="shared" si="318"/>
        <v>75.066354380780652</v>
      </c>
      <c r="AM309" s="39">
        <f t="shared" si="319"/>
        <v>75.21402018063192</v>
      </c>
      <c r="AN309" s="39">
        <f t="shared" si="320"/>
        <v>75.476305526688208</v>
      </c>
      <c r="AO309" s="39">
        <f t="shared" si="259"/>
        <v>1.9809971490566582</v>
      </c>
      <c r="AP309" s="39">
        <f t="shared" si="260"/>
        <v>0</v>
      </c>
      <c r="AQ309" s="39">
        <f t="shared" si="261"/>
        <v>0</v>
      </c>
      <c r="AR309" s="39">
        <f t="shared" si="262"/>
        <v>0</v>
      </c>
      <c r="AS309" s="39">
        <f t="shared" si="263"/>
        <v>0</v>
      </c>
      <c r="AT309" s="39">
        <f t="shared" si="264"/>
        <v>0</v>
      </c>
      <c r="AU309" s="39">
        <f t="shared" si="265"/>
        <v>0</v>
      </c>
      <c r="AV309" s="39">
        <f t="shared" si="266"/>
        <v>0</v>
      </c>
      <c r="AW309" s="39">
        <f t="shared" si="267"/>
        <v>1.9809971490566582</v>
      </c>
      <c r="AX309" s="39">
        <f t="shared" si="268"/>
        <v>0</v>
      </c>
      <c r="AY309" s="39">
        <f t="shared" si="269"/>
        <v>0</v>
      </c>
      <c r="AZ309" s="39">
        <f t="shared" si="270"/>
        <v>0</v>
      </c>
      <c r="BA309" s="39">
        <f t="shared" si="271"/>
        <v>0</v>
      </c>
      <c r="BB309" s="39">
        <f t="shared" si="272"/>
        <v>0</v>
      </c>
      <c r="BC309" s="39">
        <f t="shared" si="273"/>
        <v>0</v>
      </c>
      <c r="BD309" s="39">
        <f t="shared" si="274"/>
        <v>0</v>
      </c>
      <c r="BE309" s="39">
        <f t="shared" si="275"/>
        <v>0</v>
      </c>
      <c r="BF309" s="39">
        <f t="shared" si="276"/>
        <v>0</v>
      </c>
      <c r="BG309" s="39">
        <f t="shared" si="277"/>
        <v>0</v>
      </c>
      <c r="BH309" s="84">
        <f t="shared" si="278"/>
        <v>0</v>
      </c>
      <c r="BI309" s="84">
        <f t="shared" si="279"/>
        <v>3.6799999999999997</v>
      </c>
      <c r="BJ309" s="84">
        <f t="shared" si="280"/>
        <v>2.4339590678134537</v>
      </c>
      <c r="BK309" s="39">
        <f t="shared" si="281"/>
        <v>47.376012422753128</v>
      </c>
      <c r="BL309" s="39">
        <f t="shared" si="282"/>
        <v>66.010653160815181</v>
      </c>
      <c r="BM309" s="39">
        <f t="shared" si="283"/>
        <v>64.048122004396717</v>
      </c>
      <c r="BN309" s="39">
        <f t="shared" si="284"/>
        <v>87.074202012297704</v>
      </c>
      <c r="BO309" s="39">
        <f t="shared" si="285"/>
        <v>84.050973103623818</v>
      </c>
      <c r="BP309" s="39">
        <f t="shared" si="286"/>
        <v>75.066354380780652</v>
      </c>
      <c r="BQ309" s="39">
        <f t="shared" si="287"/>
        <v>75.21402018063192</v>
      </c>
      <c r="BR309" s="39">
        <f t="shared" si="288"/>
        <v>75.476305526688208</v>
      </c>
      <c r="BS309" s="39">
        <f t="shared" si="289"/>
        <v>0</v>
      </c>
      <c r="BT309" s="39">
        <f t="shared" si="290"/>
        <v>6.3918964891087173E-3</v>
      </c>
      <c r="BU309" s="39">
        <f t="shared" si="291"/>
        <v>2.887320263803872E-2</v>
      </c>
      <c r="BV309" s="39">
        <f t="shared" si="292"/>
        <v>4.4521207378613779E-2</v>
      </c>
      <c r="BW309" s="39">
        <f t="shared" si="293"/>
        <v>3.0583862174299269E-2</v>
      </c>
      <c r="BX309" s="39">
        <f t="shared" si="294"/>
        <v>3.9812628468382627E-2</v>
      </c>
      <c r="BY309" s="39">
        <f t="shared" si="295"/>
        <v>0.12841210837914332</v>
      </c>
      <c r="BZ309" s="39">
        <f t="shared" si="296"/>
        <v>0.28578331601291607</v>
      </c>
      <c r="CA309" s="39">
        <f t="shared" si="297"/>
        <v>47.376012422753128</v>
      </c>
      <c r="CB309" s="39">
        <f t="shared" si="298"/>
        <v>66.004261264326075</v>
      </c>
      <c r="CC309" s="39">
        <f t="shared" si="299"/>
        <v>64.025640698247784</v>
      </c>
      <c r="CD309" s="39">
        <f t="shared" si="300"/>
        <v>87.058554007557134</v>
      </c>
      <c r="CE309" s="39">
        <f t="shared" si="301"/>
        <v>84.06491044882813</v>
      </c>
      <c r="CF309" s="39">
        <f t="shared" si="302"/>
        <v>75.057125614486566</v>
      </c>
      <c r="CG309" s="39">
        <f t="shared" si="303"/>
        <v>75.125420700721165</v>
      </c>
      <c r="CH309" s="39">
        <f t="shared" si="304"/>
        <v>75.318934319054435</v>
      </c>
      <c r="CI309" s="39">
        <f t="shared" si="305"/>
        <v>0</v>
      </c>
      <c r="CJ309" s="39">
        <f t="shared" si="306"/>
        <v>0</v>
      </c>
      <c r="CK309" s="39">
        <f t="shared" si="307"/>
        <v>0</v>
      </c>
      <c r="CL309" s="39">
        <f t="shared" si="308"/>
        <v>0</v>
      </c>
      <c r="CM309" s="39">
        <f t="shared" si="309"/>
        <v>0</v>
      </c>
      <c r="CN309" s="39">
        <f t="shared" si="310"/>
        <v>0</v>
      </c>
      <c r="CO309" s="39">
        <f t="shared" si="311"/>
        <v>0</v>
      </c>
      <c r="CP309" s="39">
        <f t="shared" si="312"/>
        <v>0</v>
      </c>
    </row>
    <row r="310" spans="2:94" ht="16" customHeight="1" x14ac:dyDescent="0.2">
      <c r="B310" s="38"/>
      <c r="L310" s="63">
        <v>30622</v>
      </c>
      <c r="M310" s="38">
        <v>0</v>
      </c>
      <c r="N310" s="38">
        <v>4.7</v>
      </c>
      <c r="O310" s="39">
        <v>0.2</v>
      </c>
      <c r="P310" s="39">
        <v>0</v>
      </c>
      <c r="Q310" s="46">
        <f t="shared" si="243"/>
        <v>0.11477835319712203</v>
      </c>
      <c r="R310" s="81">
        <f t="shared" si="244"/>
        <v>0</v>
      </c>
      <c r="S310" s="82">
        <f t="shared" si="245"/>
        <v>0</v>
      </c>
      <c r="T310" s="39">
        <f t="shared" si="246"/>
        <v>0.19136059143265241</v>
      </c>
      <c r="U310" s="83">
        <f t="shared" si="247"/>
        <v>0</v>
      </c>
      <c r="V310" s="84">
        <f t="shared" si="248"/>
        <v>3.7600000000000002</v>
      </c>
      <c r="W310" s="52">
        <f t="shared" si="249"/>
        <v>115.4644683928841</v>
      </c>
      <c r="X310" s="52">
        <f t="shared" si="250"/>
        <v>168.56639108309031</v>
      </c>
      <c r="Y310" s="52">
        <f t="shared" si="251"/>
        <v>284.03085947597441</v>
      </c>
      <c r="Z310" s="53">
        <f t="shared" si="252"/>
        <v>0.90206615931940703</v>
      </c>
      <c r="AA310" s="53">
        <f t="shared" si="253"/>
        <v>1.0033713754945852</v>
      </c>
      <c r="AB310" s="53">
        <f t="shared" si="254"/>
        <v>0.95956371444585953</v>
      </c>
      <c r="AC310" s="39" t="str">
        <f t="shared" si="255"/>
        <v>No</v>
      </c>
      <c r="AD310" s="85">
        <f t="shared" si="256"/>
        <v>0</v>
      </c>
      <c r="AE310" s="46">
        <f t="shared" si="257"/>
        <v>1</v>
      </c>
      <c r="AF310" s="46">
        <f t="shared" si="258"/>
        <v>0.2</v>
      </c>
      <c r="AG310" s="39">
        <f t="shared" si="313"/>
        <v>47.376012422753128</v>
      </c>
      <c r="AH310" s="39">
        <f t="shared" si="314"/>
        <v>66.004261264326075</v>
      </c>
      <c r="AI310" s="39">
        <f t="shared" si="315"/>
        <v>64.025640698247784</v>
      </c>
      <c r="AJ310" s="39">
        <f t="shared" si="316"/>
        <v>87.058554007557134</v>
      </c>
      <c r="AK310" s="39">
        <f t="shared" si="317"/>
        <v>84.06491044882813</v>
      </c>
      <c r="AL310" s="39">
        <f t="shared" si="318"/>
        <v>75.057125614486566</v>
      </c>
      <c r="AM310" s="39">
        <f t="shared" si="319"/>
        <v>75.125420700721165</v>
      </c>
      <c r="AN310" s="39">
        <f t="shared" si="320"/>
        <v>75.318934319054435</v>
      </c>
      <c r="AO310" s="39">
        <f t="shared" si="259"/>
        <v>1.7376012422753129</v>
      </c>
      <c r="AP310" s="39">
        <f t="shared" si="260"/>
        <v>0</v>
      </c>
      <c r="AQ310" s="39">
        <f t="shared" si="261"/>
        <v>0</v>
      </c>
      <c r="AR310" s="39">
        <f t="shared" si="262"/>
        <v>0</v>
      </c>
      <c r="AS310" s="39">
        <f t="shared" si="263"/>
        <v>0</v>
      </c>
      <c r="AT310" s="39">
        <f t="shared" si="264"/>
        <v>0</v>
      </c>
      <c r="AU310" s="39">
        <f t="shared" si="265"/>
        <v>0</v>
      </c>
      <c r="AV310" s="39">
        <f t="shared" si="266"/>
        <v>0</v>
      </c>
      <c r="AW310" s="39">
        <f t="shared" si="267"/>
        <v>1.7376012422753129</v>
      </c>
      <c r="AX310" s="39">
        <f t="shared" si="268"/>
        <v>0</v>
      </c>
      <c r="AY310" s="39">
        <f t="shared" si="269"/>
        <v>0</v>
      </c>
      <c r="AZ310" s="39">
        <f t="shared" si="270"/>
        <v>0</v>
      </c>
      <c r="BA310" s="39">
        <f t="shared" si="271"/>
        <v>0</v>
      </c>
      <c r="BB310" s="39">
        <f t="shared" si="272"/>
        <v>0</v>
      </c>
      <c r="BC310" s="39">
        <f t="shared" si="273"/>
        <v>0</v>
      </c>
      <c r="BD310" s="39">
        <f t="shared" si="274"/>
        <v>0</v>
      </c>
      <c r="BE310" s="39">
        <f t="shared" si="275"/>
        <v>0</v>
      </c>
      <c r="BF310" s="39">
        <f t="shared" si="276"/>
        <v>0</v>
      </c>
      <c r="BG310" s="39">
        <f t="shared" si="277"/>
        <v>0</v>
      </c>
      <c r="BH310" s="84">
        <f t="shared" si="278"/>
        <v>0</v>
      </c>
      <c r="BI310" s="84">
        <f t="shared" si="279"/>
        <v>3.7600000000000002</v>
      </c>
      <c r="BJ310" s="84">
        <f t="shared" si="280"/>
        <v>1.8609386605203744</v>
      </c>
      <c r="BK310" s="39">
        <f t="shared" si="281"/>
        <v>45.515073762232753</v>
      </c>
      <c r="BL310" s="39">
        <f t="shared" si="282"/>
        <v>66.004261264326075</v>
      </c>
      <c r="BM310" s="39">
        <f t="shared" si="283"/>
        <v>64.025640698247784</v>
      </c>
      <c r="BN310" s="39">
        <f t="shared" si="284"/>
        <v>87.058554007557134</v>
      </c>
      <c r="BO310" s="39">
        <f t="shared" si="285"/>
        <v>84.06491044882813</v>
      </c>
      <c r="BP310" s="39">
        <f t="shared" si="286"/>
        <v>75.057125614486566</v>
      </c>
      <c r="BQ310" s="39">
        <f t="shared" si="287"/>
        <v>75.125420700721165</v>
      </c>
      <c r="BR310" s="39">
        <f t="shared" si="288"/>
        <v>75.318934319054435</v>
      </c>
      <c r="BS310" s="39">
        <f t="shared" si="289"/>
        <v>0</v>
      </c>
      <c r="BT310" s="39">
        <f t="shared" si="290"/>
        <v>2.5567585956451921E-3</v>
      </c>
      <c r="BU310" s="39">
        <f t="shared" si="291"/>
        <v>1.5384418948679012E-2</v>
      </c>
      <c r="BV310" s="39">
        <f t="shared" si="292"/>
        <v>3.5132404534272153E-2</v>
      </c>
      <c r="BW310" s="39">
        <f t="shared" si="293"/>
        <v>3.8946269296886271E-2</v>
      </c>
      <c r="BX310" s="39">
        <f t="shared" si="294"/>
        <v>3.4275368691930909E-2</v>
      </c>
      <c r="BY310" s="39">
        <f t="shared" si="295"/>
        <v>7.5252420432690315E-2</v>
      </c>
      <c r="BZ310" s="39">
        <f t="shared" si="296"/>
        <v>0.19136059143265241</v>
      </c>
      <c r="CA310" s="39">
        <f t="shared" si="297"/>
        <v>45.515073762232753</v>
      </c>
      <c r="CB310" s="39">
        <f t="shared" si="298"/>
        <v>66.00170450573043</v>
      </c>
      <c r="CC310" s="39">
        <f t="shared" si="299"/>
        <v>64.012813037894745</v>
      </c>
      <c r="CD310" s="39">
        <f t="shared" si="300"/>
        <v>87.038806021971553</v>
      </c>
      <c r="CE310" s="39">
        <f t="shared" si="301"/>
        <v>84.06109658406551</v>
      </c>
      <c r="CF310" s="39">
        <f t="shared" si="302"/>
        <v>75.061796515091515</v>
      </c>
      <c r="CG310" s="39">
        <f t="shared" si="303"/>
        <v>75.084443648980411</v>
      </c>
      <c r="CH310" s="39">
        <f t="shared" si="304"/>
        <v>75.20282614805447</v>
      </c>
      <c r="CI310" s="39">
        <f t="shared" si="305"/>
        <v>0</v>
      </c>
      <c r="CJ310" s="39">
        <f t="shared" si="306"/>
        <v>0</v>
      </c>
      <c r="CK310" s="39">
        <f t="shared" si="307"/>
        <v>0</v>
      </c>
      <c r="CL310" s="39">
        <f t="shared" si="308"/>
        <v>0</v>
      </c>
      <c r="CM310" s="39">
        <f t="shared" si="309"/>
        <v>0</v>
      </c>
      <c r="CN310" s="39">
        <f t="shared" si="310"/>
        <v>0</v>
      </c>
      <c r="CO310" s="39">
        <f t="shared" si="311"/>
        <v>0</v>
      </c>
      <c r="CP310" s="39">
        <f t="shared" si="312"/>
        <v>0</v>
      </c>
    </row>
    <row r="311" spans="2:94" ht="16" customHeight="1" x14ac:dyDescent="0.2">
      <c r="B311" s="38"/>
      <c r="L311" s="63">
        <v>30623</v>
      </c>
      <c r="M311" s="38">
        <v>0</v>
      </c>
      <c r="N311" s="38">
        <v>1.3</v>
      </c>
      <c r="O311" s="39">
        <v>0.2</v>
      </c>
      <c r="P311" s="39">
        <v>0</v>
      </c>
      <c r="Q311" s="46">
        <f t="shared" si="243"/>
        <v>0.11855052615763631</v>
      </c>
      <c r="R311" s="81">
        <f t="shared" si="244"/>
        <v>0</v>
      </c>
      <c r="S311" s="82">
        <f t="shared" si="245"/>
        <v>0</v>
      </c>
      <c r="T311" s="39">
        <f t="shared" si="246"/>
        <v>0.12169568883267345</v>
      </c>
      <c r="U311" s="83">
        <f t="shared" si="247"/>
        <v>0</v>
      </c>
      <c r="V311" s="84">
        <f t="shared" si="248"/>
        <v>1.04</v>
      </c>
      <c r="W311" s="52">
        <f t="shared" si="249"/>
        <v>113.56839732782947</v>
      </c>
      <c r="X311" s="52">
        <f t="shared" si="250"/>
        <v>168.41016289619188</v>
      </c>
      <c r="Y311" s="52">
        <f t="shared" si="251"/>
        <v>281.97856022402135</v>
      </c>
      <c r="Z311" s="53">
        <f t="shared" si="252"/>
        <v>0.88725310412366776</v>
      </c>
      <c r="AA311" s="53">
        <f t="shared" si="253"/>
        <v>1.0024414458106659</v>
      </c>
      <c r="AB311" s="53">
        <f t="shared" si="254"/>
        <v>0.95263027102709918</v>
      </c>
      <c r="AC311" s="39" t="str">
        <f t="shared" si="255"/>
        <v>No</v>
      </c>
      <c r="AD311" s="85">
        <f t="shared" si="256"/>
        <v>0</v>
      </c>
      <c r="AE311" s="46">
        <f t="shared" si="257"/>
        <v>1</v>
      </c>
      <c r="AF311" s="46">
        <f t="shared" si="258"/>
        <v>0.2</v>
      </c>
      <c r="AG311" s="39">
        <f t="shared" si="313"/>
        <v>45.515073762232753</v>
      </c>
      <c r="AH311" s="39">
        <f t="shared" si="314"/>
        <v>66.00170450573043</v>
      </c>
      <c r="AI311" s="39">
        <f t="shared" si="315"/>
        <v>64.012813037894745</v>
      </c>
      <c r="AJ311" s="39">
        <f t="shared" si="316"/>
        <v>87.038806021971553</v>
      </c>
      <c r="AK311" s="39">
        <f t="shared" si="317"/>
        <v>84.06109658406551</v>
      </c>
      <c r="AL311" s="39">
        <f t="shared" si="318"/>
        <v>75.061796515091515</v>
      </c>
      <c r="AM311" s="39">
        <f t="shared" si="319"/>
        <v>75.084443648980411</v>
      </c>
      <c r="AN311" s="39">
        <f t="shared" si="320"/>
        <v>75.20282614805447</v>
      </c>
      <c r="AO311" s="39">
        <f t="shared" si="259"/>
        <v>1.5515073762232754</v>
      </c>
      <c r="AP311" s="39">
        <f t="shared" si="260"/>
        <v>0</v>
      </c>
      <c r="AQ311" s="39">
        <f t="shared" si="261"/>
        <v>0</v>
      </c>
      <c r="AR311" s="39">
        <f t="shared" si="262"/>
        <v>0</v>
      </c>
      <c r="AS311" s="39">
        <f t="shared" si="263"/>
        <v>0</v>
      </c>
      <c r="AT311" s="39">
        <f t="shared" si="264"/>
        <v>0</v>
      </c>
      <c r="AU311" s="39">
        <f t="shared" si="265"/>
        <v>0</v>
      </c>
      <c r="AV311" s="39">
        <f t="shared" si="266"/>
        <v>0</v>
      </c>
      <c r="AW311" s="39">
        <f t="shared" si="267"/>
        <v>1.5515073762232754</v>
      </c>
      <c r="AX311" s="39">
        <f t="shared" si="268"/>
        <v>0</v>
      </c>
      <c r="AY311" s="39">
        <f t="shared" si="269"/>
        <v>0</v>
      </c>
      <c r="AZ311" s="39">
        <f t="shared" si="270"/>
        <v>0</v>
      </c>
      <c r="BA311" s="39">
        <f t="shared" si="271"/>
        <v>0</v>
      </c>
      <c r="BB311" s="39">
        <f t="shared" si="272"/>
        <v>0</v>
      </c>
      <c r="BC311" s="39">
        <f t="shared" si="273"/>
        <v>0</v>
      </c>
      <c r="BD311" s="39">
        <f t="shared" si="274"/>
        <v>0</v>
      </c>
      <c r="BE311" s="39">
        <f t="shared" si="275"/>
        <v>0</v>
      </c>
      <c r="BF311" s="39">
        <f t="shared" si="276"/>
        <v>0</v>
      </c>
      <c r="BG311" s="39">
        <f t="shared" si="277"/>
        <v>0</v>
      </c>
      <c r="BH311" s="84">
        <f t="shared" si="278"/>
        <v>0</v>
      </c>
      <c r="BI311" s="84">
        <f t="shared" si="279"/>
        <v>1.04</v>
      </c>
      <c r="BJ311" s="84">
        <f t="shared" si="280"/>
        <v>0.40620177512239158</v>
      </c>
      <c r="BK311" s="39">
        <f t="shared" si="281"/>
        <v>45.108871987110362</v>
      </c>
      <c r="BL311" s="39">
        <f t="shared" si="282"/>
        <v>66.00170450573043</v>
      </c>
      <c r="BM311" s="39">
        <f t="shared" si="283"/>
        <v>64.012813037894745</v>
      </c>
      <c r="BN311" s="39">
        <f t="shared" si="284"/>
        <v>87.038806021971553</v>
      </c>
      <c r="BO311" s="39">
        <f t="shared" si="285"/>
        <v>84.06109658406551</v>
      </c>
      <c r="BP311" s="39">
        <f t="shared" si="286"/>
        <v>75.061796515091515</v>
      </c>
      <c r="BQ311" s="39">
        <f t="shared" si="287"/>
        <v>75.084443648980411</v>
      </c>
      <c r="BR311" s="39">
        <f t="shared" si="288"/>
        <v>75.20282614805447</v>
      </c>
      <c r="BS311" s="39">
        <f t="shared" si="289"/>
        <v>0</v>
      </c>
      <c r="BT311" s="39">
        <f t="shared" si="290"/>
        <v>1.0227034382580768E-3</v>
      </c>
      <c r="BU311" s="39">
        <f t="shared" si="291"/>
        <v>7.6878227368553098E-3</v>
      </c>
      <c r="BV311" s="39">
        <f t="shared" si="292"/>
        <v>2.3283613182923091E-2</v>
      </c>
      <c r="BW311" s="39">
        <f t="shared" si="293"/>
        <v>3.6657950439314392E-2</v>
      </c>
      <c r="BX311" s="39">
        <f t="shared" si="294"/>
        <v>3.7077909054900715E-2</v>
      </c>
      <c r="BY311" s="39">
        <f t="shared" si="295"/>
        <v>5.0666189388238081E-2</v>
      </c>
      <c r="BZ311" s="39">
        <f t="shared" si="296"/>
        <v>0.12169568883267345</v>
      </c>
      <c r="CA311" s="39">
        <f t="shared" si="297"/>
        <v>45.108871987110362</v>
      </c>
      <c r="CB311" s="39">
        <f t="shared" si="298"/>
        <v>66.000681802292178</v>
      </c>
      <c r="CC311" s="39">
        <f t="shared" si="299"/>
        <v>64.006147918596142</v>
      </c>
      <c r="CD311" s="39">
        <f t="shared" si="300"/>
        <v>87.023210231525482</v>
      </c>
      <c r="CE311" s="39">
        <f t="shared" si="301"/>
        <v>84.047722246809116</v>
      </c>
      <c r="CF311" s="39">
        <f t="shared" si="302"/>
        <v>75.061376556475935</v>
      </c>
      <c r="CG311" s="39">
        <f t="shared" si="303"/>
        <v>75.070855368647074</v>
      </c>
      <c r="CH311" s="39">
        <f t="shared" si="304"/>
        <v>75.131796648610035</v>
      </c>
      <c r="CI311" s="39">
        <f t="shared" si="305"/>
        <v>0</v>
      </c>
      <c r="CJ311" s="39">
        <f t="shared" si="306"/>
        <v>0</v>
      </c>
      <c r="CK311" s="39">
        <f t="shared" si="307"/>
        <v>0</v>
      </c>
      <c r="CL311" s="39">
        <f t="shared" si="308"/>
        <v>0</v>
      </c>
      <c r="CM311" s="39">
        <f t="shared" si="309"/>
        <v>0</v>
      </c>
      <c r="CN311" s="39">
        <f t="shared" si="310"/>
        <v>0</v>
      </c>
      <c r="CO311" s="39">
        <f t="shared" si="311"/>
        <v>0</v>
      </c>
      <c r="CP311" s="39">
        <f t="shared" si="312"/>
        <v>0</v>
      </c>
    </row>
    <row r="312" spans="2:94" ht="16" customHeight="1" x14ac:dyDescent="0.2">
      <c r="B312" s="38"/>
      <c r="L312" s="63">
        <v>30624</v>
      </c>
      <c r="M312" s="38">
        <v>0</v>
      </c>
      <c r="N312" s="38">
        <v>4.5</v>
      </c>
      <c r="O312" s="39">
        <v>0.2</v>
      </c>
      <c r="P312" s="39">
        <v>0</v>
      </c>
      <c r="Q312" s="46">
        <f t="shared" si="243"/>
        <v>0.11937390813423573</v>
      </c>
      <c r="R312" s="81">
        <f t="shared" si="244"/>
        <v>0</v>
      </c>
      <c r="S312" s="82">
        <f t="shared" si="245"/>
        <v>0</v>
      </c>
      <c r="T312" s="39">
        <f t="shared" si="246"/>
        <v>7.9077989166012233E-2</v>
      </c>
      <c r="U312" s="83">
        <f t="shared" si="247"/>
        <v>0</v>
      </c>
      <c r="V312" s="84">
        <f t="shared" si="248"/>
        <v>3.6</v>
      </c>
      <c r="W312" s="52">
        <f t="shared" si="249"/>
        <v>113.13891193952418</v>
      </c>
      <c r="X312" s="52">
        <f t="shared" si="250"/>
        <v>168.31175082054216</v>
      </c>
      <c r="Y312" s="52">
        <f t="shared" si="251"/>
        <v>281.45066276006634</v>
      </c>
      <c r="Z312" s="53">
        <f t="shared" si="252"/>
        <v>0.88389774952753264</v>
      </c>
      <c r="AA312" s="53">
        <f t="shared" si="253"/>
        <v>1.0018556596460844</v>
      </c>
      <c r="AB312" s="53">
        <f t="shared" si="254"/>
        <v>0.95084683364887279</v>
      </c>
      <c r="AC312" s="39" t="str">
        <f t="shared" si="255"/>
        <v>No</v>
      </c>
      <c r="AD312" s="85">
        <f t="shared" si="256"/>
        <v>0</v>
      </c>
      <c r="AE312" s="46">
        <f t="shared" si="257"/>
        <v>1</v>
      </c>
      <c r="AF312" s="46">
        <f t="shared" si="258"/>
        <v>0.2</v>
      </c>
      <c r="AG312" s="39">
        <f t="shared" si="313"/>
        <v>45.108871987110362</v>
      </c>
      <c r="AH312" s="39">
        <f t="shared" si="314"/>
        <v>66.000681802292178</v>
      </c>
      <c r="AI312" s="39">
        <f t="shared" si="315"/>
        <v>64.006147918596142</v>
      </c>
      <c r="AJ312" s="39">
        <f t="shared" si="316"/>
        <v>87.023210231525482</v>
      </c>
      <c r="AK312" s="39">
        <f t="shared" si="317"/>
        <v>84.047722246809116</v>
      </c>
      <c r="AL312" s="39">
        <f t="shared" si="318"/>
        <v>75.061376556475935</v>
      </c>
      <c r="AM312" s="39">
        <f t="shared" si="319"/>
        <v>75.070855368647074</v>
      </c>
      <c r="AN312" s="39">
        <f t="shared" si="320"/>
        <v>75.131796648610035</v>
      </c>
      <c r="AO312" s="39">
        <f t="shared" si="259"/>
        <v>1.5108871987110364</v>
      </c>
      <c r="AP312" s="39">
        <f t="shared" si="260"/>
        <v>0</v>
      </c>
      <c r="AQ312" s="39">
        <f t="shared" si="261"/>
        <v>0</v>
      </c>
      <c r="AR312" s="39">
        <f t="shared" si="262"/>
        <v>0</v>
      </c>
      <c r="AS312" s="39">
        <f t="shared" si="263"/>
        <v>0</v>
      </c>
      <c r="AT312" s="39">
        <f t="shared" si="264"/>
        <v>0</v>
      </c>
      <c r="AU312" s="39">
        <f t="shared" si="265"/>
        <v>0</v>
      </c>
      <c r="AV312" s="39">
        <f t="shared" si="266"/>
        <v>0</v>
      </c>
      <c r="AW312" s="39">
        <f t="shared" si="267"/>
        <v>1.5108871987110364</v>
      </c>
      <c r="AX312" s="39">
        <f t="shared" si="268"/>
        <v>0</v>
      </c>
      <c r="AY312" s="39">
        <f t="shared" si="269"/>
        <v>0</v>
      </c>
      <c r="AZ312" s="39">
        <f t="shared" si="270"/>
        <v>0</v>
      </c>
      <c r="BA312" s="39">
        <f t="shared" si="271"/>
        <v>0</v>
      </c>
      <c r="BB312" s="39">
        <f t="shared" si="272"/>
        <v>0</v>
      </c>
      <c r="BC312" s="39">
        <f t="shared" si="273"/>
        <v>0</v>
      </c>
      <c r="BD312" s="39">
        <f t="shared" si="274"/>
        <v>0</v>
      </c>
      <c r="BE312" s="39">
        <f t="shared" si="275"/>
        <v>0</v>
      </c>
      <c r="BF312" s="39">
        <f t="shared" si="276"/>
        <v>0</v>
      </c>
      <c r="BG312" s="39">
        <f t="shared" si="277"/>
        <v>0</v>
      </c>
      <c r="BH312" s="84">
        <f t="shared" si="278"/>
        <v>0</v>
      </c>
      <c r="BI312" s="84">
        <f t="shared" si="279"/>
        <v>3.6</v>
      </c>
      <c r="BJ312" s="84">
        <f t="shared" si="280"/>
        <v>1.332696394894898</v>
      </c>
      <c r="BK312" s="39">
        <f t="shared" si="281"/>
        <v>43.776175592215466</v>
      </c>
      <c r="BL312" s="39">
        <f t="shared" si="282"/>
        <v>66.000681802292178</v>
      </c>
      <c r="BM312" s="39">
        <f t="shared" si="283"/>
        <v>64.006147918596142</v>
      </c>
      <c r="BN312" s="39">
        <f t="shared" si="284"/>
        <v>87.023210231525482</v>
      </c>
      <c r="BO312" s="39">
        <f t="shared" si="285"/>
        <v>84.047722246809116</v>
      </c>
      <c r="BP312" s="39">
        <f t="shared" si="286"/>
        <v>75.061376556475935</v>
      </c>
      <c r="BQ312" s="39">
        <f t="shared" si="287"/>
        <v>75.070855368647074</v>
      </c>
      <c r="BR312" s="39">
        <f t="shared" si="288"/>
        <v>75.131796648610035</v>
      </c>
      <c r="BS312" s="39">
        <f t="shared" si="289"/>
        <v>0</v>
      </c>
      <c r="BT312" s="39">
        <f t="shared" si="290"/>
        <v>4.0908137530664134E-4</v>
      </c>
      <c r="BU312" s="39">
        <f t="shared" si="291"/>
        <v>3.6887511576935593E-3</v>
      </c>
      <c r="BV312" s="39">
        <f t="shared" si="292"/>
        <v>1.3926138915280717E-2</v>
      </c>
      <c r="BW312" s="39">
        <f t="shared" si="293"/>
        <v>2.8633348085477905E-2</v>
      </c>
      <c r="BX312" s="39">
        <f t="shared" si="294"/>
        <v>3.6825933885552331E-2</v>
      </c>
      <c r="BY312" s="39">
        <f t="shared" si="295"/>
        <v>4.251322118823566E-2</v>
      </c>
      <c r="BZ312" s="39">
        <f t="shared" si="296"/>
        <v>7.9077989166012233E-2</v>
      </c>
      <c r="CA312" s="39">
        <f t="shared" si="297"/>
        <v>43.776175592215466</v>
      </c>
      <c r="CB312" s="39">
        <f t="shared" si="298"/>
        <v>66.000272720916868</v>
      </c>
      <c r="CC312" s="39">
        <f t="shared" si="299"/>
        <v>64.002868248813755</v>
      </c>
      <c r="CD312" s="39">
        <f t="shared" si="300"/>
        <v>87.012972843767898</v>
      </c>
      <c r="CE312" s="39">
        <f t="shared" si="301"/>
        <v>84.033015037638918</v>
      </c>
      <c r="CF312" s="39">
        <f t="shared" si="302"/>
        <v>75.05318397067586</v>
      </c>
      <c r="CG312" s="39">
        <f t="shared" si="303"/>
        <v>75.065168081344396</v>
      </c>
      <c r="CH312" s="39">
        <f t="shared" si="304"/>
        <v>75.095231880632255</v>
      </c>
      <c r="CI312" s="39">
        <f t="shared" si="305"/>
        <v>0</v>
      </c>
      <c r="CJ312" s="39">
        <f t="shared" si="306"/>
        <v>0</v>
      </c>
      <c r="CK312" s="39">
        <f t="shared" si="307"/>
        <v>0</v>
      </c>
      <c r="CL312" s="39">
        <f t="shared" si="308"/>
        <v>0</v>
      </c>
      <c r="CM312" s="39">
        <f t="shared" si="309"/>
        <v>0</v>
      </c>
      <c r="CN312" s="39">
        <f t="shared" si="310"/>
        <v>0</v>
      </c>
      <c r="CO312" s="39">
        <f t="shared" si="311"/>
        <v>0</v>
      </c>
      <c r="CP312" s="39">
        <f t="shared" si="312"/>
        <v>0</v>
      </c>
    </row>
    <row r="313" spans="2:94" ht="16" customHeight="1" x14ac:dyDescent="0.2">
      <c r="B313" s="38"/>
      <c r="L313" s="63">
        <v>30625</v>
      </c>
      <c r="M313" s="38">
        <v>0</v>
      </c>
      <c r="N313" s="38">
        <v>5.7</v>
      </c>
      <c r="O313" s="39">
        <v>0.2</v>
      </c>
      <c r="P313" s="39">
        <v>0</v>
      </c>
      <c r="Q313" s="46">
        <f t="shared" si="243"/>
        <v>0.12207531974550918</v>
      </c>
      <c r="R313" s="81">
        <f t="shared" si="244"/>
        <v>0</v>
      </c>
      <c r="S313" s="82">
        <f t="shared" si="245"/>
        <v>0</v>
      </c>
      <c r="T313" s="39">
        <f t="shared" si="246"/>
        <v>5.7139128379344581E-2</v>
      </c>
      <c r="U313" s="83">
        <f t="shared" si="247"/>
        <v>0</v>
      </c>
      <c r="V313" s="84">
        <f t="shared" si="248"/>
        <v>4.5600000000000005</v>
      </c>
      <c r="W313" s="52">
        <f t="shared" si="249"/>
        <v>111.79228940571397</v>
      </c>
      <c r="X313" s="52">
        <f t="shared" si="250"/>
        <v>168.24659897029142</v>
      </c>
      <c r="Y313" s="52">
        <f t="shared" si="251"/>
        <v>280.03888837600539</v>
      </c>
      <c r="Z313" s="53">
        <f t="shared" si="252"/>
        <v>0.87337726098214041</v>
      </c>
      <c r="AA313" s="53">
        <f t="shared" si="253"/>
        <v>1.0014678510136394</v>
      </c>
      <c r="AB313" s="53">
        <f t="shared" si="254"/>
        <v>0.94607732559461277</v>
      </c>
      <c r="AC313" s="39" t="str">
        <f t="shared" si="255"/>
        <v>No</v>
      </c>
      <c r="AD313" s="85">
        <f t="shared" si="256"/>
        <v>0</v>
      </c>
      <c r="AE313" s="46">
        <f t="shared" si="257"/>
        <v>1</v>
      </c>
      <c r="AF313" s="46">
        <f t="shared" si="258"/>
        <v>0.2</v>
      </c>
      <c r="AG313" s="39">
        <f t="shared" si="313"/>
        <v>43.776175592215466</v>
      </c>
      <c r="AH313" s="39">
        <f t="shared" si="314"/>
        <v>66.000272720916868</v>
      </c>
      <c r="AI313" s="39">
        <f t="shared" si="315"/>
        <v>64.002868248813755</v>
      </c>
      <c r="AJ313" s="39">
        <f t="shared" si="316"/>
        <v>87.012972843767898</v>
      </c>
      <c r="AK313" s="39">
        <f t="shared" si="317"/>
        <v>84.033015037638918</v>
      </c>
      <c r="AL313" s="39">
        <f t="shared" si="318"/>
        <v>75.05318397067586</v>
      </c>
      <c r="AM313" s="39">
        <f t="shared" si="319"/>
        <v>75.065168081344396</v>
      </c>
      <c r="AN313" s="39">
        <f t="shared" si="320"/>
        <v>75.095231880632255</v>
      </c>
      <c r="AO313" s="39">
        <f t="shared" si="259"/>
        <v>1.2652200929836876</v>
      </c>
      <c r="AP313" s="39">
        <f t="shared" si="260"/>
        <v>0</v>
      </c>
      <c r="AQ313" s="39">
        <f t="shared" si="261"/>
        <v>0</v>
      </c>
      <c r="AR313" s="39">
        <f t="shared" si="262"/>
        <v>0</v>
      </c>
      <c r="AS313" s="39">
        <f t="shared" si="263"/>
        <v>0</v>
      </c>
      <c r="AT313" s="39">
        <f t="shared" si="264"/>
        <v>0</v>
      </c>
      <c r="AU313" s="39">
        <f t="shared" si="265"/>
        <v>0</v>
      </c>
      <c r="AV313" s="39">
        <f t="shared" si="266"/>
        <v>0</v>
      </c>
      <c r="AW313" s="39">
        <f t="shared" si="267"/>
        <v>1.2652200929836876</v>
      </c>
      <c r="AX313" s="39">
        <f t="shared" si="268"/>
        <v>0</v>
      </c>
      <c r="AY313" s="39">
        <f t="shared" si="269"/>
        <v>0</v>
      </c>
      <c r="AZ313" s="39">
        <f t="shared" si="270"/>
        <v>0</v>
      </c>
      <c r="BA313" s="39">
        <f t="shared" si="271"/>
        <v>0</v>
      </c>
      <c r="BB313" s="39">
        <f t="shared" si="272"/>
        <v>0</v>
      </c>
      <c r="BC313" s="39">
        <f t="shared" si="273"/>
        <v>0</v>
      </c>
      <c r="BD313" s="39">
        <f t="shared" si="274"/>
        <v>0</v>
      </c>
      <c r="BE313" s="39">
        <f t="shared" si="275"/>
        <v>0</v>
      </c>
      <c r="BF313" s="39">
        <f t="shared" si="276"/>
        <v>0</v>
      </c>
      <c r="BG313" s="39">
        <f t="shared" si="277"/>
        <v>0</v>
      </c>
      <c r="BH313" s="84">
        <f t="shared" si="278"/>
        <v>0</v>
      </c>
      <c r="BI313" s="84">
        <f t="shared" si="279"/>
        <v>4.5600000000000005</v>
      </c>
      <c r="BJ313" s="84">
        <f t="shared" si="280"/>
        <v>1.4084710457004472</v>
      </c>
      <c r="BK313" s="39">
        <f t="shared" si="281"/>
        <v>42.367704546515021</v>
      </c>
      <c r="BL313" s="39">
        <f t="shared" si="282"/>
        <v>66.000272720916868</v>
      </c>
      <c r="BM313" s="39">
        <f t="shared" si="283"/>
        <v>64.002868248813755</v>
      </c>
      <c r="BN313" s="39">
        <f t="shared" si="284"/>
        <v>87.012972843767898</v>
      </c>
      <c r="BO313" s="39">
        <f t="shared" si="285"/>
        <v>84.033015037638918</v>
      </c>
      <c r="BP313" s="39">
        <f t="shared" si="286"/>
        <v>75.05318397067586</v>
      </c>
      <c r="BQ313" s="39">
        <f t="shared" si="287"/>
        <v>75.065168081344396</v>
      </c>
      <c r="BR313" s="39">
        <f t="shared" si="288"/>
        <v>75.095231880632255</v>
      </c>
      <c r="BS313" s="39">
        <f t="shared" si="289"/>
        <v>0</v>
      </c>
      <c r="BT313" s="39">
        <f t="shared" si="290"/>
        <v>1.6363255012095124E-4</v>
      </c>
      <c r="BU313" s="39">
        <f t="shared" si="291"/>
        <v>1.7209492882614085E-3</v>
      </c>
      <c r="BV313" s="39">
        <f t="shared" si="292"/>
        <v>7.7837062607301272E-3</v>
      </c>
      <c r="BW313" s="39">
        <f t="shared" si="293"/>
        <v>1.9809022583359592E-2</v>
      </c>
      <c r="BX313" s="39">
        <f t="shared" si="294"/>
        <v>3.1910382405507677E-2</v>
      </c>
      <c r="BY313" s="39">
        <f t="shared" si="295"/>
        <v>3.910084880662907E-2</v>
      </c>
      <c r="BZ313" s="39">
        <f t="shared" si="296"/>
        <v>5.7139128379344581E-2</v>
      </c>
      <c r="CA313" s="39">
        <f t="shared" si="297"/>
        <v>42.367704546515021</v>
      </c>
      <c r="CB313" s="39">
        <f t="shared" si="298"/>
        <v>66.000109088366742</v>
      </c>
      <c r="CC313" s="39">
        <f t="shared" si="299"/>
        <v>64.001310932075626</v>
      </c>
      <c r="CD313" s="39">
        <f t="shared" si="300"/>
        <v>87.006910086795429</v>
      </c>
      <c r="CE313" s="39">
        <f t="shared" si="301"/>
        <v>84.020989721316283</v>
      </c>
      <c r="CF313" s="39">
        <f t="shared" si="302"/>
        <v>75.041082610853707</v>
      </c>
      <c r="CG313" s="39">
        <f t="shared" si="303"/>
        <v>75.057977614943283</v>
      </c>
      <c r="CH313" s="39">
        <f t="shared" si="304"/>
        <v>75.077193601059534</v>
      </c>
      <c r="CI313" s="39">
        <f t="shared" si="305"/>
        <v>0</v>
      </c>
      <c r="CJ313" s="39">
        <f t="shared" si="306"/>
        <v>0</v>
      </c>
      <c r="CK313" s="39">
        <f t="shared" si="307"/>
        <v>0</v>
      </c>
      <c r="CL313" s="39">
        <f t="shared" si="308"/>
        <v>0</v>
      </c>
      <c r="CM313" s="39">
        <f t="shared" si="309"/>
        <v>0</v>
      </c>
      <c r="CN313" s="39">
        <f t="shared" si="310"/>
        <v>0</v>
      </c>
      <c r="CO313" s="39">
        <f t="shared" si="311"/>
        <v>0</v>
      </c>
      <c r="CP313" s="39">
        <f t="shared" si="312"/>
        <v>0</v>
      </c>
    </row>
    <row r="314" spans="2:94" ht="16" customHeight="1" x14ac:dyDescent="0.2">
      <c r="B314" s="38"/>
      <c r="L314" s="63">
        <v>30626</v>
      </c>
      <c r="M314" s="38">
        <v>4.2</v>
      </c>
      <c r="N314" s="38">
        <v>2.4</v>
      </c>
      <c r="O314" s="39">
        <v>0.224</v>
      </c>
      <c r="P314" s="39">
        <v>0.15</v>
      </c>
      <c r="Q314" s="46">
        <f t="shared" si="243"/>
        <v>0.124930328621929</v>
      </c>
      <c r="R314" s="81">
        <f t="shared" si="244"/>
        <v>0</v>
      </c>
      <c r="S314" s="82">
        <f t="shared" si="245"/>
        <v>4.2</v>
      </c>
      <c r="T314" s="39">
        <f t="shared" si="246"/>
        <v>4.6316160635711867E-2</v>
      </c>
      <c r="U314" s="83">
        <f t="shared" si="247"/>
        <v>0.36</v>
      </c>
      <c r="V314" s="84">
        <f t="shared" si="248"/>
        <v>1.6320000000000001</v>
      </c>
      <c r="W314" s="52">
        <f t="shared" si="249"/>
        <v>110.37603465375281</v>
      </c>
      <c r="X314" s="52">
        <f t="shared" si="250"/>
        <v>168.19724354817282</v>
      </c>
      <c r="Y314" s="52">
        <f t="shared" si="251"/>
        <v>278.57327820192563</v>
      </c>
      <c r="Z314" s="53">
        <f t="shared" si="252"/>
        <v>0.86231277073244383</v>
      </c>
      <c r="AA314" s="53">
        <f t="shared" si="253"/>
        <v>1.001174068739124</v>
      </c>
      <c r="AB314" s="53">
        <f t="shared" si="254"/>
        <v>0.94112593987137039</v>
      </c>
      <c r="AC314" s="39" t="str">
        <f t="shared" si="255"/>
        <v>No</v>
      </c>
      <c r="AD314" s="85">
        <f t="shared" si="256"/>
        <v>2.3999999999999994E-2</v>
      </c>
      <c r="AE314" s="46">
        <f t="shared" si="257"/>
        <v>1</v>
      </c>
      <c r="AF314" s="46">
        <f t="shared" si="258"/>
        <v>0.224</v>
      </c>
      <c r="AG314" s="39">
        <f t="shared" si="313"/>
        <v>42.367704546515021</v>
      </c>
      <c r="AH314" s="39">
        <f t="shared" si="314"/>
        <v>66.000109088366742</v>
      </c>
      <c r="AI314" s="39">
        <f t="shared" si="315"/>
        <v>64.001310932075626</v>
      </c>
      <c r="AJ314" s="39">
        <f t="shared" si="316"/>
        <v>87.006910086795429</v>
      </c>
      <c r="AK314" s="39">
        <f t="shared" si="317"/>
        <v>84.020989721316283</v>
      </c>
      <c r="AL314" s="39">
        <f t="shared" si="318"/>
        <v>75.041082610853707</v>
      </c>
      <c r="AM314" s="39">
        <f t="shared" si="319"/>
        <v>75.057977614943283</v>
      </c>
      <c r="AN314" s="39">
        <f t="shared" si="320"/>
        <v>75.077193601059534</v>
      </c>
      <c r="AO314" s="39">
        <f t="shared" si="259"/>
        <v>1.0197341049992554</v>
      </c>
      <c r="AP314" s="39">
        <f t="shared" si="260"/>
        <v>0.33600130906040082</v>
      </c>
      <c r="AQ314" s="39">
        <f t="shared" si="261"/>
        <v>0</v>
      </c>
      <c r="AR314" s="39">
        <f t="shared" si="262"/>
        <v>0</v>
      </c>
      <c r="AS314" s="39">
        <f t="shared" si="263"/>
        <v>0</v>
      </c>
      <c r="AT314" s="39">
        <f t="shared" si="264"/>
        <v>0</v>
      </c>
      <c r="AU314" s="39">
        <f t="shared" si="265"/>
        <v>0</v>
      </c>
      <c r="AV314" s="39">
        <f t="shared" si="266"/>
        <v>0</v>
      </c>
      <c r="AW314" s="39">
        <f t="shared" si="267"/>
        <v>1.3557354140596563</v>
      </c>
      <c r="AX314" s="39">
        <f t="shared" si="268"/>
        <v>0.36</v>
      </c>
      <c r="AY314" s="39">
        <f t="shared" si="269"/>
        <v>0</v>
      </c>
      <c r="AZ314" s="39">
        <f t="shared" si="270"/>
        <v>0</v>
      </c>
      <c r="BA314" s="39">
        <f t="shared" si="271"/>
        <v>0</v>
      </c>
      <c r="BB314" s="39">
        <f t="shared" si="272"/>
        <v>0</v>
      </c>
      <c r="BC314" s="39">
        <f t="shared" si="273"/>
        <v>0</v>
      </c>
      <c r="BD314" s="39">
        <f t="shared" si="274"/>
        <v>0</v>
      </c>
      <c r="BE314" s="39">
        <f t="shared" si="275"/>
        <v>0</v>
      </c>
      <c r="BF314" s="39">
        <f t="shared" si="276"/>
        <v>0</v>
      </c>
      <c r="BG314" s="39">
        <f t="shared" si="277"/>
        <v>0</v>
      </c>
      <c r="BH314" s="84">
        <f t="shared" si="278"/>
        <v>1.6320000000000001</v>
      </c>
      <c r="BI314" s="84">
        <f t="shared" si="279"/>
        <v>0</v>
      </c>
      <c r="BJ314" s="84">
        <f t="shared" si="280"/>
        <v>1.6320000000000001</v>
      </c>
      <c r="BK314" s="39">
        <f t="shared" si="281"/>
        <v>40.735704546515024</v>
      </c>
      <c r="BL314" s="39">
        <f t="shared" si="282"/>
        <v>66.000109088366742</v>
      </c>
      <c r="BM314" s="39">
        <f t="shared" si="283"/>
        <v>64.001310932075626</v>
      </c>
      <c r="BN314" s="39">
        <f t="shared" si="284"/>
        <v>87.006910086795429</v>
      </c>
      <c r="BO314" s="39">
        <f t="shared" si="285"/>
        <v>84.020989721316283</v>
      </c>
      <c r="BP314" s="39">
        <f t="shared" si="286"/>
        <v>75.041082610853707</v>
      </c>
      <c r="BQ314" s="39">
        <f t="shared" si="287"/>
        <v>75.057977614943283</v>
      </c>
      <c r="BR314" s="39">
        <f t="shared" si="288"/>
        <v>75.077193601059534</v>
      </c>
      <c r="BS314" s="39">
        <f t="shared" si="289"/>
        <v>0</v>
      </c>
      <c r="BT314" s="39">
        <f t="shared" si="290"/>
        <v>6.5453020044969887E-5</v>
      </c>
      <c r="BU314" s="39">
        <f t="shared" si="291"/>
        <v>7.8655924538395539E-4</v>
      </c>
      <c r="BV314" s="39">
        <f t="shared" si="292"/>
        <v>4.1460520772488964E-3</v>
      </c>
      <c r="BW314" s="39">
        <f t="shared" si="293"/>
        <v>1.2593832789778502E-2</v>
      </c>
      <c r="BX314" s="39">
        <f t="shared" si="294"/>
        <v>2.4649566512215414E-2</v>
      </c>
      <c r="BY314" s="39">
        <f t="shared" si="295"/>
        <v>3.4786568965961349E-2</v>
      </c>
      <c r="BZ314" s="39">
        <f t="shared" si="296"/>
        <v>4.6316160635711867E-2</v>
      </c>
      <c r="CA314" s="39">
        <f t="shared" si="297"/>
        <v>43.303704546515021</v>
      </c>
      <c r="CB314" s="39">
        <f t="shared" si="298"/>
        <v>66.000043635346699</v>
      </c>
      <c r="CC314" s="39">
        <f t="shared" si="299"/>
        <v>64.000589825850284</v>
      </c>
      <c r="CD314" s="39">
        <f t="shared" si="300"/>
        <v>87.003550593963567</v>
      </c>
      <c r="CE314" s="39">
        <f t="shared" si="301"/>
        <v>84.012541940603754</v>
      </c>
      <c r="CF314" s="39">
        <f t="shared" si="302"/>
        <v>75.029026877131272</v>
      </c>
      <c r="CG314" s="39">
        <f t="shared" si="303"/>
        <v>75.047840612489537</v>
      </c>
      <c r="CH314" s="39">
        <f t="shared" si="304"/>
        <v>75.065664009389778</v>
      </c>
      <c r="CI314" s="39">
        <f t="shared" si="305"/>
        <v>0</v>
      </c>
      <c r="CJ314" s="39">
        <f t="shared" si="306"/>
        <v>0</v>
      </c>
      <c r="CK314" s="39">
        <f t="shared" si="307"/>
        <v>0</v>
      </c>
      <c r="CL314" s="39">
        <f t="shared" si="308"/>
        <v>0</v>
      </c>
      <c r="CM314" s="39">
        <f t="shared" si="309"/>
        <v>0</v>
      </c>
      <c r="CN314" s="39">
        <f t="shared" si="310"/>
        <v>0</v>
      </c>
      <c r="CO314" s="39">
        <f t="shared" si="311"/>
        <v>0</v>
      </c>
      <c r="CP314" s="39">
        <f t="shared" si="312"/>
        <v>0</v>
      </c>
    </row>
    <row r="315" spans="2:94" ht="16" customHeight="1" x14ac:dyDescent="0.2">
      <c r="B315" s="38"/>
      <c r="L315" s="63">
        <v>30627</v>
      </c>
      <c r="M315" s="38">
        <v>0</v>
      </c>
      <c r="N315" s="38">
        <v>4.4000000000000004</v>
      </c>
      <c r="O315" s="39">
        <v>0.24959999999999999</v>
      </c>
      <c r="P315" s="39">
        <v>0.15</v>
      </c>
      <c r="Q315" s="46">
        <f t="shared" si="243"/>
        <v>0.12303303132463171</v>
      </c>
      <c r="R315" s="81">
        <f t="shared" si="244"/>
        <v>0</v>
      </c>
      <c r="S315" s="82">
        <f t="shared" si="245"/>
        <v>0</v>
      </c>
      <c r="T315" s="39">
        <f t="shared" si="246"/>
        <v>3.9398405633858144E-2</v>
      </c>
      <c r="U315" s="83">
        <f t="shared" si="247"/>
        <v>0.66</v>
      </c>
      <c r="V315" s="84">
        <f t="shared" si="248"/>
        <v>2.9920000000000004</v>
      </c>
      <c r="W315" s="52">
        <f t="shared" si="249"/>
        <v>111.30788860167559</v>
      </c>
      <c r="X315" s="52">
        <f t="shared" si="250"/>
        <v>168.15507343961434</v>
      </c>
      <c r="Y315" s="52">
        <f t="shared" si="251"/>
        <v>279.46296204128993</v>
      </c>
      <c r="Z315" s="53">
        <f t="shared" si="252"/>
        <v>0.86959287970059052</v>
      </c>
      <c r="AA315" s="53">
        <f t="shared" si="253"/>
        <v>1.0009230561881806</v>
      </c>
      <c r="AB315" s="53">
        <f t="shared" si="254"/>
        <v>0.94413162851787136</v>
      </c>
      <c r="AC315" s="39" t="str">
        <f t="shared" si="255"/>
        <v>No</v>
      </c>
      <c r="AD315" s="85">
        <f t="shared" si="256"/>
        <v>2.5599999999999984E-2</v>
      </c>
      <c r="AE315" s="46">
        <f t="shared" si="257"/>
        <v>1</v>
      </c>
      <c r="AF315" s="46">
        <f t="shared" si="258"/>
        <v>0.24959999999999999</v>
      </c>
      <c r="AG315" s="39">
        <f t="shared" si="313"/>
        <v>43.303704546515021</v>
      </c>
      <c r="AH315" s="39">
        <f t="shared" si="314"/>
        <v>66.000043635346699</v>
      </c>
      <c r="AI315" s="39">
        <f t="shared" si="315"/>
        <v>64.000589825850284</v>
      </c>
      <c r="AJ315" s="39">
        <f t="shared" si="316"/>
        <v>87.003550593963567</v>
      </c>
      <c r="AK315" s="39">
        <f t="shared" si="317"/>
        <v>84.012541940603754</v>
      </c>
      <c r="AL315" s="39">
        <f t="shared" si="318"/>
        <v>75.029026877131272</v>
      </c>
      <c r="AM315" s="39">
        <f t="shared" si="319"/>
        <v>75.047840612489537</v>
      </c>
      <c r="AN315" s="39">
        <f t="shared" si="320"/>
        <v>75.065664009389778</v>
      </c>
      <c r="AO315" s="39">
        <f t="shared" si="259"/>
        <v>1.1799236977397631</v>
      </c>
      <c r="AP315" s="39">
        <f t="shared" si="260"/>
        <v>0.6944010821565979</v>
      </c>
      <c r="AQ315" s="39">
        <f t="shared" si="261"/>
        <v>0</v>
      </c>
      <c r="AR315" s="39">
        <f t="shared" si="262"/>
        <v>0</v>
      </c>
      <c r="AS315" s="39">
        <f t="shared" si="263"/>
        <v>0</v>
      </c>
      <c r="AT315" s="39">
        <f t="shared" si="264"/>
        <v>0</v>
      </c>
      <c r="AU315" s="39">
        <f t="shared" si="265"/>
        <v>0</v>
      </c>
      <c r="AV315" s="39">
        <f t="shared" si="266"/>
        <v>0</v>
      </c>
      <c r="AW315" s="39">
        <f t="shared" si="267"/>
        <v>1.8743247798963609</v>
      </c>
      <c r="AX315" s="39">
        <f t="shared" si="268"/>
        <v>0.66</v>
      </c>
      <c r="AY315" s="39">
        <f t="shared" si="269"/>
        <v>0.66</v>
      </c>
      <c r="AZ315" s="39">
        <f t="shared" si="270"/>
        <v>0.41548276417244184</v>
      </c>
      <c r="BA315" s="39">
        <f t="shared" si="271"/>
        <v>0.24451723582755822</v>
      </c>
      <c r="BB315" s="39">
        <f t="shared" si="272"/>
        <v>0</v>
      </c>
      <c r="BC315" s="39">
        <f t="shared" si="273"/>
        <v>0</v>
      </c>
      <c r="BD315" s="39">
        <f t="shared" si="274"/>
        <v>0</v>
      </c>
      <c r="BE315" s="39">
        <f t="shared" si="275"/>
        <v>0</v>
      </c>
      <c r="BF315" s="39">
        <f t="shared" si="276"/>
        <v>0</v>
      </c>
      <c r="BG315" s="39">
        <f t="shared" si="277"/>
        <v>0</v>
      </c>
      <c r="BH315" s="84">
        <f t="shared" si="278"/>
        <v>0</v>
      </c>
      <c r="BI315" s="84">
        <f t="shared" si="279"/>
        <v>2.9920000000000004</v>
      </c>
      <c r="BJ315" s="84">
        <f t="shared" si="280"/>
        <v>0.81525911777397053</v>
      </c>
      <c r="BK315" s="39">
        <f t="shared" si="281"/>
        <v>42.072962664568607</v>
      </c>
      <c r="BL315" s="39">
        <f t="shared" si="282"/>
        <v>65.755526399519141</v>
      </c>
      <c r="BM315" s="39">
        <f t="shared" si="283"/>
        <v>64.000589825850284</v>
      </c>
      <c r="BN315" s="39">
        <f t="shared" si="284"/>
        <v>87.003550593963567</v>
      </c>
      <c r="BO315" s="39">
        <f t="shared" si="285"/>
        <v>84.012541940603754</v>
      </c>
      <c r="BP315" s="39">
        <f t="shared" si="286"/>
        <v>75.029026877131272</v>
      </c>
      <c r="BQ315" s="39">
        <f t="shared" si="287"/>
        <v>75.047840612489537</v>
      </c>
      <c r="BR315" s="39">
        <f t="shared" si="288"/>
        <v>75.065664009389778</v>
      </c>
      <c r="BS315" s="39">
        <f t="shared" si="289"/>
        <v>0</v>
      </c>
      <c r="BT315" s="39">
        <f t="shared" si="290"/>
        <v>0</v>
      </c>
      <c r="BU315" s="39">
        <f t="shared" si="291"/>
        <v>3.5389551017885875E-4</v>
      </c>
      <c r="BV315" s="39">
        <f t="shared" si="292"/>
        <v>2.130356378131637E-3</v>
      </c>
      <c r="BW315" s="39">
        <f t="shared" si="293"/>
        <v>7.5251643622607388E-3</v>
      </c>
      <c r="BX315" s="39">
        <f t="shared" si="294"/>
        <v>1.7416126278754971E-2</v>
      </c>
      <c r="BY315" s="39">
        <f t="shared" si="295"/>
        <v>2.8704367493713787E-2</v>
      </c>
      <c r="BZ315" s="39">
        <f t="shared" si="296"/>
        <v>3.9398405633858144E-2</v>
      </c>
      <c r="CA315" s="39">
        <f t="shared" si="297"/>
        <v>42.072962664568607</v>
      </c>
      <c r="CB315" s="39">
        <f t="shared" si="298"/>
        <v>65.755526399519141</v>
      </c>
      <c r="CC315" s="39">
        <f t="shared" si="299"/>
        <v>64.000235930340111</v>
      </c>
      <c r="CD315" s="39">
        <f t="shared" si="300"/>
        <v>87.001774133095608</v>
      </c>
      <c r="CE315" s="39">
        <f t="shared" si="301"/>
        <v>84.007147132619622</v>
      </c>
      <c r="CF315" s="39">
        <f t="shared" si="302"/>
        <v>75.019135915214775</v>
      </c>
      <c r="CG315" s="39">
        <f t="shared" si="303"/>
        <v>75.036552371274581</v>
      </c>
      <c r="CH315" s="39">
        <f t="shared" si="304"/>
        <v>75.054969971249633</v>
      </c>
      <c r="CI315" s="39">
        <f t="shared" si="305"/>
        <v>0</v>
      </c>
      <c r="CJ315" s="39">
        <f t="shared" si="306"/>
        <v>0</v>
      </c>
      <c r="CK315" s="39">
        <f t="shared" si="307"/>
        <v>0</v>
      </c>
      <c r="CL315" s="39">
        <f t="shared" si="308"/>
        <v>0</v>
      </c>
      <c r="CM315" s="39">
        <f t="shared" si="309"/>
        <v>0</v>
      </c>
      <c r="CN315" s="39">
        <f t="shared" si="310"/>
        <v>0</v>
      </c>
      <c r="CO315" s="39">
        <f t="shared" si="311"/>
        <v>0</v>
      </c>
      <c r="CP315" s="39">
        <f t="shared" si="312"/>
        <v>0</v>
      </c>
    </row>
    <row r="316" spans="2:94" ht="16" customHeight="1" x14ac:dyDescent="0.2">
      <c r="B316" s="38"/>
      <c r="L316" s="63">
        <v>30628</v>
      </c>
      <c r="M316" s="38">
        <v>0</v>
      </c>
      <c r="N316" s="38">
        <v>3.5</v>
      </c>
      <c r="O316" s="39">
        <v>0.27739999999999998</v>
      </c>
      <c r="P316" s="39">
        <v>0.15</v>
      </c>
      <c r="Q316" s="46">
        <f t="shared" si="243"/>
        <v>0.12552777838263121</v>
      </c>
      <c r="R316" s="81">
        <f t="shared" si="244"/>
        <v>0</v>
      </c>
      <c r="S316" s="82">
        <f t="shared" si="245"/>
        <v>0</v>
      </c>
      <c r="T316" s="39">
        <f t="shared" si="246"/>
        <v>3.298198274977153E-2</v>
      </c>
      <c r="U316" s="83">
        <f t="shared" si="247"/>
        <v>0.52500000000000002</v>
      </c>
      <c r="V316" s="84">
        <f t="shared" si="248"/>
        <v>2.3800000000000003</v>
      </c>
      <c r="W316" s="52">
        <f t="shared" si="249"/>
        <v>109.83049912752347</v>
      </c>
      <c r="X316" s="52">
        <f t="shared" si="250"/>
        <v>168.11780539035863</v>
      </c>
      <c r="Y316" s="52">
        <f t="shared" si="251"/>
        <v>277.94830451788209</v>
      </c>
      <c r="Z316" s="53">
        <f t="shared" si="252"/>
        <v>0.85805077443377709</v>
      </c>
      <c r="AA316" s="53">
        <f t="shared" si="253"/>
        <v>1.0007012225616585</v>
      </c>
      <c r="AB316" s="53">
        <f t="shared" si="254"/>
        <v>0.93901454229014225</v>
      </c>
      <c r="AC316" s="39" t="str">
        <f t="shared" si="255"/>
        <v>No</v>
      </c>
      <c r="AD316" s="85">
        <f t="shared" si="256"/>
        <v>2.7799999999999991E-2</v>
      </c>
      <c r="AE316" s="46">
        <f t="shared" si="257"/>
        <v>1</v>
      </c>
      <c r="AF316" s="46">
        <f t="shared" si="258"/>
        <v>0.27739999999999998</v>
      </c>
      <c r="AG316" s="39">
        <f t="shared" si="313"/>
        <v>42.072962664568607</v>
      </c>
      <c r="AH316" s="39">
        <f t="shared" si="314"/>
        <v>65.755526399519141</v>
      </c>
      <c r="AI316" s="39">
        <f t="shared" si="315"/>
        <v>64.000235930340111</v>
      </c>
      <c r="AJ316" s="39">
        <f t="shared" si="316"/>
        <v>87.001774133095608</v>
      </c>
      <c r="AK316" s="39">
        <f t="shared" si="317"/>
        <v>84.007147132619622</v>
      </c>
      <c r="AL316" s="39">
        <f t="shared" si="318"/>
        <v>75.019135915214775</v>
      </c>
      <c r="AM316" s="39">
        <f t="shared" si="319"/>
        <v>75.036552371274581</v>
      </c>
      <c r="AN316" s="39">
        <f t="shared" si="320"/>
        <v>75.054969971249633</v>
      </c>
      <c r="AO316" s="39">
        <f t="shared" si="259"/>
        <v>0.97170951666711669</v>
      </c>
      <c r="AP316" s="39">
        <f t="shared" si="260"/>
        <v>1.0741388716613904</v>
      </c>
      <c r="AQ316" s="39">
        <f t="shared" si="261"/>
        <v>0</v>
      </c>
      <c r="AR316" s="39">
        <f t="shared" si="262"/>
        <v>0</v>
      </c>
      <c r="AS316" s="39">
        <f t="shared" si="263"/>
        <v>0</v>
      </c>
      <c r="AT316" s="39">
        <f t="shared" si="264"/>
        <v>0</v>
      </c>
      <c r="AU316" s="39">
        <f t="shared" si="265"/>
        <v>0</v>
      </c>
      <c r="AV316" s="39">
        <f t="shared" si="266"/>
        <v>0</v>
      </c>
      <c r="AW316" s="39">
        <f t="shared" si="267"/>
        <v>2.045848388328507</v>
      </c>
      <c r="AX316" s="39">
        <f t="shared" si="268"/>
        <v>0.52500000000000002</v>
      </c>
      <c r="AY316" s="39">
        <f t="shared" si="269"/>
        <v>0.52500000000000002</v>
      </c>
      <c r="AZ316" s="39">
        <f t="shared" si="270"/>
        <v>0.2493574299838687</v>
      </c>
      <c r="BA316" s="39">
        <f t="shared" si="271"/>
        <v>0.27564257001613135</v>
      </c>
      <c r="BB316" s="39">
        <f t="shared" si="272"/>
        <v>0</v>
      </c>
      <c r="BC316" s="39">
        <f t="shared" si="273"/>
        <v>0</v>
      </c>
      <c r="BD316" s="39">
        <f t="shared" si="274"/>
        <v>0</v>
      </c>
      <c r="BE316" s="39">
        <f t="shared" si="275"/>
        <v>0</v>
      </c>
      <c r="BF316" s="39">
        <f t="shared" si="276"/>
        <v>0</v>
      </c>
      <c r="BG316" s="39">
        <f t="shared" si="277"/>
        <v>0</v>
      </c>
      <c r="BH316" s="84">
        <f t="shared" si="278"/>
        <v>0</v>
      </c>
      <c r="BI316" s="84">
        <f t="shared" si="279"/>
        <v>2.3800000000000003</v>
      </c>
      <c r="BJ316" s="84">
        <f t="shared" si="280"/>
        <v>0.5550042822657647</v>
      </c>
      <c r="BK316" s="39">
        <f t="shared" si="281"/>
        <v>41.268600952318977</v>
      </c>
      <c r="BL316" s="39">
        <f t="shared" si="282"/>
        <v>65.479883829503009</v>
      </c>
      <c r="BM316" s="39">
        <f t="shared" si="283"/>
        <v>64.000235930340111</v>
      </c>
      <c r="BN316" s="39">
        <f t="shared" si="284"/>
        <v>87.001774133095608</v>
      </c>
      <c r="BO316" s="39">
        <f t="shared" si="285"/>
        <v>84.007147132619622</v>
      </c>
      <c r="BP316" s="39">
        <f t="shared" si="286"/>
        <v>75.019135915214775</v>
      </c>
      <c r="BQ316" s="39">
        <f t="shared" si="287"/>
        <v>75.036552371274581</v>
      </c>
      <c r="BR316" s="39">
        <f t="shared" si="288"/>
        <v>75.054969971249633</v>
      </c>
      <c r="BS316" s="39">
        <f t="shared" si="289"/>
        <v>0</v>
      </c>
      <c r="BT316" s="39">
        <f t="shared" si="290"/>
        <v>0</v>
      </c>
      <c r="BU316" s="39">
        <f t="shared" si="291"/>
        <v>1.4155820407495411E-4</v>
      </c>
      <c r="BV316" s="39">
        <f t="shared" si="292"/>
        <v>1.0644798573565593E-3</v>
      </c>
      <c r="BW316" s="39">
        <f t="shared" si="293"/>
        <v>4.2882795717815725E-3</v>
      </c>
      <c r="BX316" s="39">
        <f t="shared" si="294"/>
        <v>1.1481549128856726E-2</v>
      </c>
      <c r="BY316" s="39">
        <f t="shared" si="295"/>
        <v>2.1931422764740204E-2</v>
      </c>
      <c r="BZ316" s="39">
        <f t="shared" si="296"/>
        <v>3.298198274977153E-2</v>
      </c>
      <c r="CA316" s="39">
        <f t="shared" si="297"/>
        <v>41.268600952318977</v>
      </c>
      <c r="CB316" s="39">
        <f t="shared" si="298"/>
        <v>65.479883829503009</v>
      </c>
      <c r="CC316" s="39">
        <f t="shared" si="299"/>
        <v>64.000094372136033</v>
      </c>
      <c r="CD316" s="39">
        <f t="shared" si="300"/>
        <v>87.000851211442324</v>
      </c>
      <c r="CE316" s="39">
        <f t="shared" si="301"/>
        <v>84.003923332905202</v>
      </c>
      <c r="CF316" s="39">
        <f t="shared" si="302"/>
        <v>75.011942645657697</v>
      </c>
      <c r="CG316" s="39">
        <f t="shared" si="303"/>
        <v>75.026102497638703</v>
      </c>
      <c r="CH316" s="39">
        <f t="shared" si="304"/>
        <v>75.043919411264596</v>
      </c>
      <c r="CI316" s="39">
        <f t="shared" si="305"/>
        <v>0</v>
      </c>
      <c r="CJ316" s="39">
        <f t="shared" si="306"/>
        <v>0</v>
      </c>
      <c r="CK316" s="39">
        <f t="shared" si="307"/>
        <v>0</v>
      </c>
      <c r="CL316" s="39">
        <f t="shared" si="308"/>
        <v>0</v>
      </c>
      <c r="CM316" s="39">
        <f t="shared" si="309"/>
        <v>0</v>
      </c>
      <c r="CN316" s="39">
        <f t="shared" si="310"/>
        <v>0</v>
      </c>
      <c r="CO316" s="39">
        <f t="shared" si="311"/>
        <v>0</v>
      </c>
      <c r="CP316" s="39">
        <f t="shared" si="312"/>
        <v>0</v>
      </c>
    </row>
    <row r="317" spans="2:94" ht="16" customHeight="1" x14ac:dyDescent="0.2">
      <c r="B317" s="38"/>
      <c r="L317" s="63">
        <v>30629</v>
      </c>
      <c r="M317" s="38">
        <v>75.900000000000006</v>
      </c>
      <c r="N317" s="38">
        <v>4.4000000000000004</v>
      </c>
      <c r="O317" s="39">
        <v>0.30459999999999998</v>
      </c>
      <c r="P317" s="39">
        <v>0.15</v>
      </c>
      <c r="Q317" s="46">
        <f t="shared" si="243"/>
        <v>0.12715824131286693</v>
      </c>
      <c r="R317" s="81">
        <f t="shared" si="244"/>
        <v>30.884543243475552</v>
      </c>
      <c r="S317" s="82">
        <f t="shared" si="245"/>
        <v>45.015456756524458</v>
      </c>
      <c r="T317" s="39">
        <f t="shared" si="246"/>
        <v>2.6351646758749323E-2</v>
      </c>
      <c r="U317" s="83">
        <f t="shared" si="247"/>
        <v>0.66</v>
      </c>
      <c r="V317" s="84">
        <f t="shared" si="248"/>
        <v>2.9920000000000004</v>
      </c>
      <c r="W317" s="52">
        <f t="shared" si="249"/>
        <v>108.74943036540037</v>
      </c>
      <c r="X317" s="52">
        <f t="shared" si="250"/>
        <v>168.08588788746619</v>
      </c>
      <c r="Y317" s="52">
        <f t="shared" si="251"/>
        <v>276.83531825286656</v>
      </c>
      <c r="Z317" s="53">
        <f t="shared" si="252"/>
        <v>0.8496049247296904</v>
      </c>
      <c r="AA317" s="53">
        <f t="shared" si="253"/>
        <v>1.0005112374253939</v>
      </c>
      <c r="AB317" s="53">
        <f t="shared" si="254"/>
        <v>0.93525445355698156</v>
      </c>
      <c r="AC317" s="39" t="str">
        <f t="shared" si="255"/>
        <v>No</v>
      </c>
      <c r="AD317" s="85">
        <f t="shared" si="256"/>
        <v>2.7200000000000002E-2</v>
      </c>
      <c r="AE317" s="46">
        <f t="shared" si="257"/>
        <v>1</v>
      </c>
      <c r="AF317" s="46">
        <f t="shared" si="258"/>
        <v>0.30459999999999998</v>
      </c>
      <c r="AG317" s="39">
        <f t="shared" si="313"/>
        <v>41.268600952318977</v>
      </c>
      <c r="AH317" s="39">
        <f t="shared" si="314"/>
        <v>65.479883829503009</v>
      </c>
      <c r="AI317" s="39">
        <f t="shared" si="315"/>
        <v>64.000094372136033</v>
      </c>
      <c r="AJ317" s="39">
        <f t="shared" si="316"/>
        <v>87.000851211442324</v>
      </c>
      <c r="AK317" s="39">
        <f t="shared" si="317"/>
        <v>84.003923332905202</v>
      </c>
      <c r="AL317" s="39">
        <f t="shared" si="318"/>
        <v>75.011942645657697</v>
      </c>
      <c r="AM317" s="39">
        <f t="shared" si="319"/>
        <v>75.026102497638703</v>
      </c>
      <c r="AN317" s="39">
        <f t="shared" si="320"/>
        <v>75.043919411264596</v>
      </c>
      <c r="AO317" s="39">
        <f t="shared" si="259"/>
        <v>0.84654244948402768</v>
      </c>
      <c r="AP317" s="39">
        <f t="shared" si="260"/>
        <v>1.4371979242830069</v>
      </c>
      <c r="AQ317" s="39">
        <f t="shared" si="261"/>
        <v>0</v>
      </c>
      <c r="AR317" s="39">
        <f t="shared" si="262"/>
        <v>0</v>
      </c>
      <c r="AS317" s="39">
        <f t="shared" si="263"/>
        <v>0</v>
      </c>
      <c r="AT317" s="39">
        <f t="shared" si="264"/>
        <v>0</v>
      </c>
      <c r="AU317" s="39">
        <f t="shared" si="265"/>
        <v>0</v>
      </c>
      <c r="AV317" s="39">
        <f t="shared" si="266"/>
        <v>0</v>
      </c>
      <c r="AW317" s="39">
        <f t="shared" si="267"/>
        <v>2.2837403737670345</v>
      </c>
      <c r="AX317" s="39">
        <f t="shared" si="268"/>
        <v>0.66</v>
      </c>
      <c r="AY317" s="39">
        <f t="shared" si="269"/>
        <v>0</v>
      </c>
      <c r="AZ317" s="39">
        <f t="shared" si="270"/>
        <v>0</v>
      </c>
      <c r="BA317" s="39">
        <f t="shared" si="271"/>
        <v>0</v>
      </c>
      <c r="BB317" s="39">
        <f t="shared" si="272"/>
        <v>0</v>
      </c>
      <c r="BC317" s="39">
        <f t="shared" si="273"/>
        <v>0</v>
      </c>
      <c r="BD317" s="39">
        <f t="shared" si="274"/>
        <v>0</v>
      </c>
      <c r="BE317" s="39">
        <f t="shared" si="275"/>
        <v>0</v>
      </c>
      <c r="BF317" s="39">
        <f t="shared" si="276"/>
        <v>0</v>
      </c>
      <c r="BG317" s="39">
        <f t="shared" si="277"/>
        <v>0</v>
      </c>
      <c r="BH317" s="84">
        <f t="shared" si="278"/>
        <v>2.9920000000000004</v>
      </c>
      <c r="BI317" s="84">
        <f t="shared" si="279"/>
        <v>0</v>
      </c>
      <c r="BJ317" s="84">
        <f t="shared" si="280"/>
        <v>2.9920000000000004</v>
      </c>
      <c r="BK317" s="39">
        <f t="shared" si="281"/>
        <v>38.276600952318979</v>
      </c>
      <c r="BL317" s="39">
        <f t="shared" si="282"/>
        <v>65.479883829503009</v>
      </c>
      <c r="BM317" s="39">
        <f t="shared" si="283"/>
        <v>64.000094372136033</v>
      </c>
      <c r="BN317" s="39">
        <f t="shared" si="284"/>
        <v>87.000851211442324</v>
      </c>
      <c r="BO317" s="39">
        <f t="shared" si="285"/>
        <v>84.003923332905202</v>
      </c>
      <c r="BP317" s="39">
        <f t="shared" si="286"/>
        <v>75.011942645657697</v>
      </c>
      <c r="BQ317" s="39">
        <f t="shared" si="287"/>
        <v>75.026102497638703</v>
      </c>
      <c r="BR317" s="39">
        <f t="shared" si="288"/>
        <v>75.043919411264596</v>
      </c>
      <c r="BS317" s="39">
        <f t="shared" si="289"/>
        <v>0</v>
      </c>
      <c r="BT317" s="39">
        <f t="shared" si="290"/>
        <v>0</v>
      </c>
      <c r="BU317" s="39">
        <f t="shared" si="291"/>
        <v>5.662328162827634E-5</v>
      </c>
      <c r="BV317" s="39">
        <f t="shared" si="292"/>
        <v>5.1072686538589096E-4</v>
      </c>
      <c r="BW317" s="39">
        <f t="shared" si="293"/>
        <v>2.3539997431299754E-3</v>
      </c>
      <c r="BX317" s="39">
        <f t="shared" si="294"/>
        <v>7.1655873946099291E-3</v>
      </c>
      <c r="BY317" s="39">
        <f t="shared" si="295"/>
        <v>1.5661498583213529E-2</v>
      </c>
      <c r="BZ317" s="39">
        <f t="shared" si="296"/>
        <v>2.6351646758749323E-2</v>
      </c>
      <c r="CA317" s="39">
        <f t="shared" si="297"/>
        <v>80.30005770884344</v>
      </c>
      <c r="CB317" s="39">
        <f t="shared" si="298"/>
        <v>65.479883829503009</v>
      </c>
      <c r="CC317" s="39">
        <f t="shared" si="299"/>
        <v>64.00003774885441</v>
      </c>
      <c r="CD317" s="39">
        <f t="shared" si="300"/>
        <v>87.000397107858561</v>
      </c>
      <c r="CE317" s="39">
        <f t="shared" si="301"/>
        <v>84.002080060027453</v>
      </c>
      <c r="CF317" s="39">
        <f t="shared" si="302"/>
        <v>75.007131058006223</v>
      </c>
      <c r="CG317" s="39">
        <f t="shared" si="303"/>
        <v>75.0176065864501</v>
      </c>
      <c r="CH317" s="39">
        <f t="shared" si="304"/>
        <v>75.033229263089055</v>
      </c>
      <c r="CI317" s="39">
        <f t="shared" si="305"/>
        <v>0</v>
      </c>
      <c r="CJ317" s="39">
        <f t="shared" si="306"/>
        <v>0</v>
      </c>
      <c r="CK317" s="39">
        <f t="shared" si="307"/>
        <v>0</v>
      </c>
      <c r="CL317" s="39">
        <f t="shared" si="308"/>
        <v>0</v>
      </c>
      <c r="CM317" s="39">
        <f t="shared" si="309"/>
        <v>0</v>
      </c>
      <c r="CN317" s="39">
        <f t="shared" si="310"/>
        <v>0</v>
      </c>
      <c r="CO317" s="39">
        <f t="shared" si="311"/>
        <v>0</v>
      </c>
      <c r="CP317" s="39">
        <f t="shared" si="312"/>
        <v>0</v>
      </c>
    </row>
    <row r="318" spans="2:94" ht="16" customHeight="1" x14ac:dyDescent="0.2">
      <c r="B318" s="38"/>
      <c r="L318" s="63">
        <v>30630</v>
      </c>
      <c r="M318" s="38">
        <v>0</v>
      </c>
      <c r="N318" s="38">
        <v>4.9000000000000004</v>
      </c>
      <c r="O318" s="39">
        <v>0.32979999999999998</v>
      </c>
      <c r="P318" s="39">
        <v>0.15</v>
      </c>
      <c r="Q318" s="46">
        <f t="shared" si="243"/>
        <v>4.8040423563155188E-2</v>
      </c>
      <c r="R318" s="81">
        <f t="shared" si="244"/>
        <v>0</v>
      </c>
      <c r="S318" s="82">
        <f t="shared" si="245"/>
        <v>0</v>
      </c>
      <c r="T318" s="39">
        <f t="shared" si="246"/>
        <v>1.9937557853424437E-2</v>
      </c>
      <c r="U318" s="83">
        <f t="shared" si="247"/>
        <v>0.73499999999999999</v>
      </c>
      <c r="V318" s="84">
        <f t="shared" si="248"/>
        <v>3.3320000000000003</v>
      </c>
      <c r="W318" s="52">
        <f t="shared" si="249"/>
        <v>147.78037639505942</v>
      </c>
      <c r="X318" s="52">
        <f t="shared" si="250"/>
        <v>168.06004696757282</v>
      </c>
      <c r="Y318" s="52">
        <f t="shared" si="251"/>
        <v>315.84042336263224</v>
      </c>
      <c r="Z318" s="53">
        <f t="shared" si="252"/>
        <v>1.1545341905864017</v>
      </c>
      <c r="AA318" s="53">
        <f t="shared" si="253"/>
        <v>1.0003574224260288</v>
      </c>
      <c r="AB318" s="53">
        <f t="shared" si="254"/>
        <v>1.0670284573061899</v>
      </c>
      <c r="AC318" s="39" t="str">
        <f t="shared" si="255"/>
        <v>No</v>
      </c>
      <c r="AD318" s="85">
        <f t="shared" si="256"/>
        <v>2.52E-2</v>
      </c>
      <c r="AE318" s="46">
        <f t="shared" si="257"/>
        <v>1</v>
      </c>
      <c r="AF318" s="46">
        <f t="shared" si="258"/>
        <v>0.32979999999999998</v>
      </c>
      <c r="AG318" s="39">
        <f t="shared" si="313"/>
        <v>80.30005770884344</v>
      </c>
      <c r="AH318" s="39">
        <f t="shared" si="314"/>
        <v>65.479883829503009</v>
      </c>
      <c r="AI318" s="39">
        <f t="shared" si="315"/>
        <v>64.00003774885441</v>
      </c>
      <c r="AJ318" s="39">
        <f t="shared" si="316"/>
        <v>87.000397107858561</v>
      </c>
      <c r="AK318" s="39">
        <f t="shared" si="317"/>
        <v>84.002080060027453</v>
      </c>
      <c r="AL318" s="39">
        <f t="shared" si="318"/>
        <v>75.007131058006223</v>
      </c>
      <c r="AM318" s="39">
        <f t="shared" si="319"/>
        <v>75.0176065864501</v>
      </c>
      <c r="AN318" s="39">
        <f t="shared" si="320"/>
        <v>75.033229263089055</v>
      </c>
      <c r="AO318" s="39">
        <f t="shared" si="259"/>
        <v>5.030005770884344</v>
      </c>
      <c r="AP318" s="39">
        <f t="shared" si="260"/>
        <v>1.7834444605347448</v>
      </c>
      <c r="AQ318" s="39">
        <f t="shared" si="261"/>
        <v>0</v>
      </c>
      <c r="AR318" s="39">
        <f t="shared" si="262"/>
        <v>0</v>
      </c>
      <c r="AS318" s="39">
        <f t="shared" si="263"/>
        <v>0</v>
      </c>
      <c r="AT318" s="39">
        <f t="shared" si="264"/>
        <v>0</v>
      </c>
      <c r="AU318" s="39">
        <f t="shared" si="265"/>
        <v>0</v>
      </c>
      <c r="AV318" s="39">
        <f t="shared" si="266"/>
        <v>0</v>
      </c>
      <c r="AW318" s="39">
        <f t="shared" si="267"/>
        <v>6.8134502314190888</v>
      </c>
      <c r="AX318" s="39">
        <f t="shared" si="268"/>
        <v>0.73499999999999999</v>
      </c>
      <c r="AY318" s="39">
        <f t="shared" si="269"/>
        <v>0.73499999999999999</v>
      </c>
      <c r="AZ318" s="39">
        <f t="shared" si="270"/>
        <v>0.54261117584034646</v>
      </c>
      <c r="BA318" s="39">
        <f t="shared" si="271"/>
        <v>0.19238882415965347</v>
      </c>
      <c r="BB318" s="39">
        <f t="shared" si="272"/>
        <v>0</v>
      </c>
      <c r="BC318" s="39">
        <f t="shared" si="273"/>
        <v>0</v>
      </c>
      <c r="BD318" s="39">
        <f t="shared" si="274"/>
        <v>0</v>
      </c>
      <c r="BE318" s="39">
        <f t="shared" si="275"/>
        <v>0</v>
      </c>
      <c r="BF318" s="39">
        <f t="shared" si="276"/>
        <v>0</v>
      </c>
      <c r="BG318" s="39">
        <f t="shared" si="277"/>
        <v>0</v>
      </c>
      <c r="BH318" s="84">
        <f t="shared" si="278"/>
        <v>3.3320000000000003</v>
      </c>
      <c r="BI318" s="84">
        <f t="shared" si="279"/>
        <v>0</v>
      </c>
      <c r="BJ318" s="84">
        <f t="shared" si="280"/>
        <v>3.3320000000000003</v>
      </c>
      <c r="BK318" s="39">
        <f t="shared" si="281"/>
        <v>76.425446533003097</v>
      </c>
      <c r="BL318" s="39">
        <f t="shared" si="282"/>
        <v>65.287495005343359</v>
      </c>
      <c r="BM318" s="39">
        <f t="shared" si="283"/>
        <v>64.00003774885441</v>
      </c>
      <c r="BN318" s="39">
        <f t="shared" si="284"/>
        <v>87.000397107858561</v>
      </c>
      <c r="BO318" s="39">
        <f t="shared" si="285"/>
        <v>84.002080060027453</v>
      </c>
      <c r="BP318" s="39">
        <f t="shared" si="286"/>
        <v>75.007131058006223</v>
      </c>
      <c r="BQ318" s="39">
        <f t="shared" si="287"/>
        <v>75.0176065864501</v>
      </c>
      <c r="BR318" s="39">
        <f t="shared" si="288"/>
        <v>75.033229263089055</v>
      </c>
      <c r="BS318" s="39">
        <f t="shared" si="289"/>
        <v>9.8552679198018573</v>
      </c>
      <c r="BT318" s="39">
        <f t="shared" si="290"/>
        <v>0</v>
      </c>
      <c r="BU318" s="39">
        <f t="shared" si="291"/>
        <v>2.2649312654721143E-5</v>
      </c>
      <c r="BV318" s="39">
        <f t="shared" si="292"/>
        <v>2.3826471512791158E-4</v>
      </c>
      <c r="BW318" s="39">
        <f t="shared" si="293"/>
        <v>1.248036016480114E-3</v>
      </c>
      <c r="BX318" s="39">
        <f t="shared" si="294"/>
        <v>4.2786348037253674E-3</v>
      </c>
      <c r="BY318" s="39">
        <f t="shared" si="295"/>
        <v>1.0563951870051368E-2</v>
      </c>
      <c r="BZ318" s="39">
        <f t="shared" si="296"/>
        <v>1.9937557853424437E-2</v>
      </c>
      <c r="CA318" s="39">
        <f t="shared" si="297"/>
        <v>66.570178613201236</v>
      </c>
      <c r="CB318" s="39">
        <f t="shared" si="298"/>
        <v>75.14276292514522</v>
      </c>
      <c r="CC318" s="39">
        <f t="shared" si="299"/>
        <v>64.000015099541756</v>
      </c>
      <c r="CD318" s="39">
        <f t="shared" si="300"/>
        <v>87.000181492456093</v>
      </c>
      <c r="CE318" s="39">
        <f t="shared" si="301"/>
        <v>84.001070288726098</v>
      </c>
      <c r="CF318" s="39">
        <f t="shared" si="302"/>
        <v>75.004100459218975</v>
      </c>
      <c r="CG318" s="39">
        <f t="shared" si="303"/>
        <v>75.011321269383771</v>
      </c>
      <c r="CH318" s="39">
        <f t="shared" si="304"/>
        <v>75.023855657105685</v>
      </c>
      <c r="CI318" s="39">
        <f t="shared" si="305"/>
        <v>0</v>
      </c>
      <c r="CJ318" s="39">
        <f t="shared" si="306"/>
        <v>0</v>
      </c>
      <c r="CK318" s="39">
        <f t="shared" si="307"/>
        <v>0</v>
      </c>
      <c r="CL318" s="39">
        <f t="shared" si="308"/>
        <v>0</v>
      </c>
      <c r="CM318" s="39">
        <f t="shared" si="309"/>
        <v>0</v>
      </c>
      <c r="CN318" s="39">
        <f t="shared" si="310"/>
        <v>0</v>
      </c>
      <c r="CO318" s="39">
        <f t="shared" si="311"/>
        <v>0</v>
      </c>
      <c r="CP318" s="39">
        <f t="shared" si="312"/>
        <v>0</v>
      </c>
    </row>
    <row r="319" spans="2:94" ht="16" customHeight="1" x14ac:dyDescent="0.2">
      <c r="B319" s="38"/>
      <c r="L319" s="63">
        <v>30631</v>
      </c>
      <c r="M319" s="38">
        <v>2.1</v>
      </c>
      <c r="N319" s="38">
        <v>5</v>
      </c>
      <c r="O319" s="39">
        <v>0.3548</v>
      </c>
      <c r="P319" s="39">
        <v>0.15</v>
      </c>
      <c r="Q319" s="46">
        <f t="shared" si="243"/>
        <v>7.5871259567835331E-2</v>
      </c>
      <c r="R319" s="81">
        <f t="shared" si="244"/>
        <v>0</v>
      </c>
      <c r="S319" s="82">
        <f t="shared" si="245"/>
        <v>2.1</v>
      </c>
      <c r="T319" s="39">
        <f t="shared" si="246"/>
        <v>1.43133942634023E-2</v>
      </c>
      <c r="U319" s="83">
        <f t="shared" si="247"/>
        <v>0.75</v>
      </c>
      <c r="V319" s="84">
        <f t="shared" si="248"/>
        <v>3.4000000000000004</v>
      </c>
      <c r="W319" s="52">
        <f t="shared" si="249"/>
        <v>143.7131381303443</v>
      </c>
      <c r="X319" s="52">
        <f t="shared" si="250"/>
        <v>168.04034767443454</v>
      </c>
      <c r="Y319" s="52">
        <f t="shared" si="251"/>
        <v>311.75348580477885</v>
      </c>
      <c r="Z319" s="53">
        <f t="shared" si="252"/>
        <v>1.1227588916433149</v>
      </c>
      <c r="AA319" s="53">
        <f t="shared" si="253"/>
        <v>1.0002401647287771</v>
      </c>
      <c r="AB319" s="53">
        <f t="shared" si="254"/>
        <v>1.0532212358269555</v>
      </c>
      <c r="AC319" s="39" t="str">
        <f t="shared" si="255"/>
        <v>No</v>
      </c>
      <c r="AD319" s="85">
        <f t="shared" si="256"/>
        <v>2.5000000000000022E-2</v>
      </c>
      <c r="AE319" s="46">
        <f t="shared" si="257"/>
        <v>1</v>
      </c>
      <c r="AF319" s="46">
        <f t="shared" si="258"/>
        <v>0.3548</v>
      </c>
      <c r="AG319" s="39">
        <f t="shared" si="313"/>
        <v>66.570178613201236</v>
      </c>
      <c r="AH319" s="39">
        <f t="shared" si="314"/>
        <v>75.14276292514522</v>
      </c>
      <c r="AI319" s="39">
        <f t="shared" si="315"/>
        <v>64.000015099541756</v>
      </c>
      <c r="AJ319" s="39">
        <f t="shared" si="316"/>
        <v>87.000181492456093</v>
      </c>
      <c r="AK319" s="39">
        <f t="shared" si="317"/>
        <v>84.001070288726098</v>
      </c>
      <c r="AL319" s="39">
        <f t="shared" si="318"/>
        <v>75.004100459218975</v>
      </c>
      <c r="AM319" s="39">
        <f t="shared" si="319"/>
        <v>75.011321269383771</v>
      </c>
      <c r="AN319" s="39">
        <f t="shared" si="320"/>
        <v>75.023855657105685</v>
      </c>
      <c r="AO319" s="39">
        <f t="shared" si="259"/>
        <v>3.6570178613201239</v>
      </c>
      <c r="AP319" s="39">
        <f t="shared" si="260"/>
        <v>2.8748498504062399</v>
      </c>
      <c r="AQ319" s="39">
        <f t="shared" si="261"/>
        <v>0</v>
      </c>
      <c r="AR319" s="39">
        <f t="shared" si="262"/>
        <v>0</v>
      </c>
      <c r="AS319" s="39">
        <f t="shared" si="263"/>
        <v>0</v>
      </c>
      <c r="AT319" s="39">
        <f t="shared" si="264"/>
        <v>0</v>
      </c>
      <c r="AU319" s="39">
        <f t="shared" si="265"/>
        <v>0</v>
      </c>
      <c r="AV319" s="39">
        <f t="shared" si="266"/>
        <v>0</v>
      </c>
      <c r="AW319" s="39">
        <f t="shared" si="267"/>
        <v>6.5318677117263633</v>
      </c>
      <c r="AX319" s="39">
        <f t="shared" si="268"/>
        <v>0.75</v>
      </c>
      <c r="AY319" s="39">
        <f t="shared" si="269"/>
        <v>0</v>
      </c>
      <c r="AZ319" s="39">
        <f t="shared" si="270"/>
        <v>0</v>
      </c>
      <c r="BA319" s="39">
        <f t="shared" si="271"/>
        <v>0</v>
      </c>
      <c r="BB319" s="39">
        <f t="shared" si="272"/>
        <v>0</v>
      </c>
      <c r="BC319" s="39">
        <f t="shared" si="273"/>
        <v>0</v>
      </c>
      <c r="BD319" s="39">
        <f t="shared" si="274"/>
        <v>0</v>
      </c>
      <c r="BE319" s="39">
        <f t="shared" si="275"/>
        <v>0</v>
      </c>
      <c r="BF319" s="39">
        <f t="shared" si="276"/>
        <v>0</v>
      </c>
      <c r="BG319" s="39">
        <f t="shared" si="277"/>
        <v>0</v>
      </c>
      <c r="BH319" s="84">
        <f t="shared" si="278"/>
        <v>3.4000000000000004</v>
      </c>
      <c r="BI319" s="84">
        <f t="shared" si="279"/>
        <v>0</v>
      </c>
      <c r="BJ319" s="84">
        <f t="shared" si="280"/>
        <v>3.4000000000000004</v>
      </c>
      <c r="BK319" s="39">
        <f t="shared" si="281"/>
        <v>63.170178613201237</v>
      </c>
      <c r="BL319" s="39">
        <f t="shared" si="282"/>
        <v>75.14276292514522</v>
      </c>
      <c r="BM319" s="39">
        <f t="shared" si="283"/>
        <v>64.000015099541756</v>
      </c>
      <c r="BN319" s="39">
        <f t="shared" si="284"/>
        <v>87.000181492456093</v>
      </c>
      <c r="BO319" s="39">
        <f t="shared" si="285"/>
        <v>84.001070288726098</v>
      </c>
      <c r="BP319" s="39">
        <f t="shared" si="286"/>
        <v>75.004100459218975</v>
      </c>
      <c r="BQ319" s="39">
        <f t="shared" si="287"/>
        <v>75.011321269383771</v>
      </c>
      <c r="BR319" s="39">
        <f t="shared" si="288"/>
        <v>75.023855657105685</v>
      </c>
      <c r="BS319" s="39">
        <f t="shared" si="289"/>
        <v>1.9021071679207422</v>
      </c>
      <c r="BT319" s="39">
        <f t="shared" si="290"/>
        <v>5.4856577550871322</v>
      </c>
      <c r="BU319" s="39">
        <f t="shared" si="291"/>
        <v>9.0597250618884563E-6</v>
      </c>
      <c r="BV319" s="39">
        <f t="shared" si="292"/>
        <v>1.0889547364740792E-4</v>
      </c>
      <c r="BW319" s="39">
        <f t="shared" si="293"/>
        <v>6.421732356670873E-4</v>
      </c>
      <c r="BX319" s="39">
        <f t="shared" si="294"/>
        <v>2.4602755313765101E-3</v>
      </c>
      <c r="BY319" s="39">
        <f t="shared" si="295"/>
        <v>6.7927616302540629E-3</v>
      </c>
      <c r="BZ319" s="39">
        <f t="shared" si="296"/>
        <v>1.43133942634023E-2</v>
      </c>
      <c r="CA319" s="39">
        <f t="shared" si="297"/>
        <v>61.268071445280498</v>
      </c>
      <c r="CB319" s="39">
        <f t="shared" si="298"/>
        <v>71.559212337978835</v>
      </c>
      <c r="CC319" s="39">
        <f t="shared" si="299"/>
        <v>69.485663794903829</v>
      </c>
      <c r="CD319" s="39">
        <f t="shared" si="300"/>
        <v>87.000081656707508</v>
      </c>
      <c r="CE319" s="39">
        <f t="shared" si="301"/>
        <v>84.000537010964081</v>
      </c>
      <c r="CF319" s="39">
        <f t="shared" si="302"/>
        <v>75.00228235692326</v>
      </c>
      <c r="CG319" s="39">
        <f t="shared" si="303"/>
        <v>75.006988783284896</v>
      </c>
      <c r="CH319" s="39">
        <f t="shared" si="304"/>
        <v>75.016335024472539</v>
      </c>
      <c r="CI319" s="39">
        <f t="shared" si="305"/>
        <v>0</v>
      </c>
      <c r="CJ319" s="39">
        <f t="shared" si="306"/>
        <v>0</v>
      </c>
      <c r="CK319" s="39">
        <f t="shared" si="307"/>
        <v>0</v>
      </c>
      <c r="CL319" s="39">
        <f t="shared" si="308"/>
        <v>0</v>
      </c>
      <c r="CM319" s="39">
        <f t="shared" si="309"/>
        <v>0</v>
      </c>
      <c r="CN319" s="39">
        <f t="shared" si="310"/>
        <v>0</v>
      </c>
      <c r="CO319" s="39">
        <f t="shared" si="311"/>
        <v>0</v>
      </c>
      <c r="CP319" s="39">
        <f t="shared" si="312"/>
        <v>0</v>
      </c>
    </row>
    <row r="320" spans="2:94" ht="16" customHeight="1" x14ac:dyDescent="0.2">
      <c r="B320" s="38"/>
      <c r="L320" s="63">
        <v>30632</v>
      </c>
      <c r="M320" s="38">
        <v>47.6</v>
      </c>
      <c r="N320" s="38">
        <v>5</v>
      </c>
      <c r="O320" s="39">
        <v>0.374</v>
      </c>
      <c r="P320" s="39">
        <v>0.15</v>
      </c>
      <c r="Q320" s="46">
        <f t="shared" ref="Q320:Q383" si="321">0.15*($D$12-MAX(AG320,$D$10))/($D$12-$D$10)</f>
        <v>8.66187740974044E-2</v>
      </c>
      <c r="R320" s="81">
        <f t="shared" ref="R320:R383" si="322">MAX(0,M320-Q320*$B$10)^2/(M320+$B$10*(1-Q320))</f>
        <v>14.399818285807653</v>
      </c>
      <c r="S320" s="82">
        <f t="shared" ref="S320:S383" si="323">M320-R320</f>
        <v>33.200181714192347</v>
      </c>
      <c r="T320" s="39">
        <f t="shared" ref="T320:T383" si="324">BZ320+CP320</f>
        <v>9.8010146835150625E-3</v>
      </c>
      <c r="U320" s="83">
        <f t="shared" ref="U320:U383" si="325">N320*P320</f>
        <v>0.75</v>
      </c>
      <c r="V320" s="84">
        <f t="shared" ref="V320:V383" si="326">MAX(0,N320*MAX(0,1-P320)*$B$2)</f>
        <v>3.4000000000000004</v>
      </c>
      <c r="W320" s="52">
        <f t="shared" ref="W320:W383" si="327">SUM(AG320:AJ320)-SUM(D$10:G$10)</f>
        <v>140.31302923487067</v>
      </c>
      <c r="X320" s="52">
        <f t="shared" ref="X320:X383" si="328">SUM(AK320:AN320)-SUM(H$10:K$10)</f>
        <v>168.02614317564479</v>
      </c>
      <c r="Y320" s="52">
        <f t="shared" ref="Y320:Y383" si="329">X320+W320</f>
        <v>308.33917241051546</v>
      </c>
      <c r="Z320" s="53">
        <f t="shared" ref="Z320:Z383" si="330">W320/(SUM(D$11:G$11)-SUM(D$10:G$10))</f>
        <v>1.0961955408974271</v>
      </c>
      <c r="AA320" s="53">
        <f t="shared" ref="AA320:AA383" si="331">X320/(SUM(H$11:K$11)-SUM(H$10:K$10))</f>
        <v>1.0001556141407428</v>
      </c>
      <c r="AB320" s="53">
        <f t="shared" ref="AB320:AB383" si="332">Y320/(SUM(D$11:K$11)-SUM(D$10:K$10))</f>
        <v>1.0416863932787686</v>
      </c>
      <c r="AC320" s="39" t="str">
        <f t="shared" ref="AC320:AC383" si="333">IF((AJ320-G$10)/(G$11-G$10)&lt;0.3,"Si","No")</f>
        <v>No</v>
      </c>
      <c r="AD320" s="85">
        <f t="shared" ref="AD320:AD383" si="334">IF(O320&gt;0.2,O320-O319,0)</f>
        <v>1.9199999999999995E-2</v>
      </c>
      <c r="AE320" s="46">
        <f t="shared" ref="AE320:AE383" si="335">IF(AF319&lt;D$6,1,IF(AF319&lt;E$6,MIN(1,(AH320-E$10)/(0.3*(E$11-E$10))),IF(AF319&lt;F$6,MIN(1,(AI320-F$10)/(0.3*(F$11-F$10))),IF(AF319&lt;G$6,MIN(1,(AJ320-G$10)/(0.3*(G$11-G$10))),IF(AF319&lt;H$6,MIN(1,(AK320-H$10)/(0.3*(H$11-H$10))),IF(AF319&lt;I$6,MIN(1,(AL320-I$10)/(0.3*(I$11-I$10))),IF(AF319&lt;J$6,MIN(1,(AM320-J$10)/(0.3*(J$11-J$10))),IF(AF319&lt;K$6,MIN(1,(AN320-K$10)/(0.3*(K$11-K$10))),0))))))))</f>
        <v>1</v>
      </c>
      <c r="AF320" s="46">
        <f t="shared" ref="AF320:AF383" si="336">IF(O320&lt;0.2,0,IF(O320=0.2,0.2,AF319+AD320*AE320))</f>
        <v>0.374</v>
      </c>
      <c r="AG320" s="39">
        <f t="shared" si="313"/>
        <v>61.268071445280498</v>
      </c>
      <c r="AH320" s="39">
        <f t="shared" si="314"/>
        <v>71.559212337978835</v>
      </c>
      <c r="AI320" s="39">
        <f t="shared" si="315"/>
        <v>69.485663794903829</v>
      </c>
      <c r="AJ320" s="39">
        <f t="shared" si="316"/>
        <v>87.000081656707508</v>
      </c>
      <c r="AK320" s="39">
        <f t="shared" si="317"/>
        <v>84.000537010964081</v>
      </c>
      <c r="AL320" s="39">
        <f t="shared" si="318"/>
        <v>75.00228235692326</v>
      </c>
      <c r="AM320" s="39">
        <f t="shared" si="319"/>
        <v>75.006988783284896</v>
      </c>
      <c r="AN320" s="39">
        <f t="shared" si="320"/>
        <v>75.016335024472539</v>
      </c>
      <c r="AO320" s="39">
        <f t="shared" ref="AO320:AO383" si="337">MAX(0,(AG320-D$10)*$B$8*MIN(1,(AG320-D$10)/($B$9*(D$11-D$10))))*MIN(1,$AF320/D$6)</f>
        <v>3.1268071445280499</v>
      </c>
      <c r="AP320" s="39">
        <f t="shared" ref="AP320:AP383" si="338">MAX(0,(AH320-E$10)*$B$8*MIN(1,(AH320-E$10)/($B$9*(E$11-E$10))))*MIN(1,MAX(0,($AF320-D$6))/(E$6-D$6))</f>
        <v>2.9196514734041585</v>
      </c>
      <c r="AQ320" s="39">
        <f t="shared" ref="AQ320:AQ383" si="339">MAX(0,(AI320-F$10)*$B$8*MIN(1,(AI320-F$10)/($B$9*(F$11-F$10))))*MIN(1,MAX(0,($AF320-E$6))/(F$6-E$6))</f>
        <v>0</v>
      </c>
      <c r="AR320" s="39">
        <f t="shared" ref="AR320:AR383" si="340">MAX(0,(AJ320-G$10)*$B$8*MIN(1,(AJ320-G$10)/($B$9*(G$11-G$10))))*MIN(1,MAX(0,($AF320-F$6))/(G$6-F$6))</f>
        <v>0</v>
      </c>
      <c r="AS320" s="39">
        <f t="shared" ref="AS320:AS383" si="341">MAX(0,(AK320-H$10)*$B$8*MIN(1,(AK320-H$10)/($B$9*(H$11-H$10))))*MIN(1,MAX(0,($AF320-G$6))/(H$6-G$6))</f>
        <v>0</v>
      </c>
      <c r="AT320" s="39">
        <f t="shared" ref="AT320:AT383" si="342">MAX(0,(AL320-I$10)*$B$8*MIN(1,(AL320-I$10)/($B$9*(I$11-I$10))))*MIN(1,MAX(0,($AF320-H$6))/(I$6-H$6))</f>
        <v>0</v>
      </c>
      <c r="AU320" s="39">
        <f t="shared" ref="AU320:AU383" si="343">MAX(0,(AM320-J$10)*$B$8*MIN(1,(AM320-J$10)/($B$9*(J$11-J$10))))*MIN(1,MAX(0,($AF320-I$6))/(J$6-I$6))</f>
        <v>0</v>
      </c>
      <c r="AV320" s="39">
        <f t="shared" ref="AV320:AV383" si="344">MAX(0,(AN320-K$10)*$B$8*MIN(1,(AN320-K$10)/($B$9*(K$11-K$10))))*MIN(1,MAX(0,($AF320-J$6))/(K$6-J$6))</f>
        <v>0</v>
      </c>
      <c r="AW320" s="39">
        <f t="shared" ref="AW320:AW383" si="345">SUM(AO320:AV320)</f>
        <v>6.046458617932208</v>
      </c>
      <c r="AX320" s="39">
        <f t="shared" ref="AX320:AX383" si="346">MIN(U320,AW320+S320)</f>
        <v>0.75</v>
      </c>
      <c r="AY320" s="39">
        <f t="shared" ref="AY320:AY383" si="347">MAX(0,AX320-S320)</f>
        <v>0</v>
      </c>
      <c r="AZ320" s="39">
        <f t="shared" ref="AZ320:AZ383" si="348">IF($AW320&gt;0,$AY320*(AO320/$AW320),0)</f>
        <v>0</v>
      </c>
      <c r="BA320" s="39">
        <f t="shared" ref="BA320:BA383" si="349">IF($AW320&gt;0,$AY320*(AP320/$AW320),0)</f>
        <v>0</v>
      </c>
      <c r="BB320" s="39">
        <f t="shared" ref="BB320:BB383" si="350">IF($AW320&gt;0,$AY320*(AQ320/$AW320),0)</f>
        <v>0</v>
      </c>
      <c r="BC320" s="39">
        <f t="shared" ref="BC320:BC383" si="351">IF($AW320&gt;0,$AY320*(AR320/$AW320),0)</f>
        <v>0</v>
      </c>
      <c r="BD320" s="39">
        <f t="shared" ref="BD320:BD383" si="352">IF($AW320&gt;0,$AY320*(AS320/$AW320),0)</f>
        <v>0</v>
      </c>
      <c r="BE320" s="39">
        <f t="shared" ref="BE320:BE383" si="353">IF($AW320&gt;0,$AY320*(AT320/$AW320),0)</f>
        <v>0</v>
      </c>
      <c r="BF320" s="39">
        <f t="shared" ref="BF320:BF383" si="354">IF($AW320&gt;0,$AY320*(AU320/$AW320),0)</f>
        <v>0</v>
      </c>
      <c r="BG320" s="39">
        <f t="shared" ref="BG320:BG383" si="355">IF($AW320&gt;0,$AY320*(AV320/$AW320),0)</f>
        <v>0</v>
      </c>
      <c r="BH320" s="84">
        <f t="shared" ref="BH320:BH383" si="356">MIN(V320,MAX(0,(AG320-(D$11-$B$5*$B$2)))+MAX(0,S320-AX320))</f>
        <v>3.4000000000000004</v>
      </c>
      <c r="BI320" s="84">
        <f t="shared" ref="BI320:BI383" si="357">V320-BH320</f>
        <v>0</v>
      </c>
      <c r="BJ320" s="84">
        <f t="shared" ref="BJ320:BJ383" si="358">BH320+MIN(BI320,BI320*((S320+AG320-AZ320-BH320-D$10*0.5)/(D$11-$B$5*$B$2-D$10*0.5))^4)</f>
        <v>3.4000000000000004</v>
      </c>
      <c r="BK320" s="39">
        <f t="shared" ref="BK320:BK383" si="359">AG320-AZ320-BJ320</f>
        <v>57.868071445280499</v>
      </c>
      <c r="BL320" s="39">
        <f t="shared" ref="BL320:BL383" si="360">AH320-BA320</f>
        <v>71.559212337978835</v>
      </c>
      <c r="BM320" s="39">
        <f t="shared" ref="BM320:BM383" si="361">AI320-BB320</f>
        <v>69.485663794903829</v>
      </c>
      <c r="BN320" s="39">
        <f t="shared" ref="BN320:BN383" si="362">AJ320-BC320</f>
        <v>87.000081656707508</v>
      </c>
      <c r="BO320" s="39">
        <f t="shared" ref="BO320:BO383" si="363">AK320-BD320</f>
        <v>84.000537010964081</v>
      </c>
      <c r="BP320" s="39">
        <f t="shared" ref="BP320:BP383" si="364">AL320-BE320</f>
        <v>75.00228235692326</v>
      </c>
      <c r="BQ320" s="39">
        <f t="shared" ref="BQ320:BQ383" si="365">AM320-BF320</f>
        <v>75.006988783284896</v>
      </c>
      <c r="BR320" s="39">
        <f t="shared" ref="BR320:BR383" si="366">AN320-BG320</f>
        <v>75.016335024472539</v>
      </c>
      <c r="BS320" s="39">
        <f t="shared" ref="BS320:BS383" si="367">MAX(0,(BK320-D$11)*$B$6)</f>
        <v>0</v>
      </c>
      <c r="BT320" s="39">
        <f t="shared" ref="BT320:BT383" si="368">MAX(0,(BL320-E$11)*$B$6)</f>
        <v>3.3355274027873008</v>
      </c>
      <c r="BU320" s="39">
        <f t="shared" ref="BU320:BU383" si="369">MAX(0,(BM320-F$11)*$B$6)</f>
        <v>3.2913982769423056</v>
      </c>
      <c r="BV320" s="39">
        <f t="shared" ref="BV320:BV383" si="370">MAX(0,(BN320-G$11)*$B$6)</f>
        <v>4.8994024496096245E-5</v>
      </c>
      <c r="BW320" s="39">
        <f t="shared" ref="BW320:BW383" si="371">MAX(0,(BO320-H$11)*$B$6)</f>
        <v>3.2220657845698496E-4</v>
      </c>
      <c r="BX320" s="39">
        <f t="shared" ref="BX320:BX383" si="372">MAX(0,(BP320-I$11)*$B$6)</f>
        <v>1.3694141539474457E-3</v>
      </c>
      <c r="BY320" s="39">
        <f t="shared" ref="BY320:BY383" si="373">MAX(0,(BQ320-J$11)*$B$6)</f>
        <v>4.1932699709292367E-3</v>
      </c>
      <c r="BZ320" s="39">
        <f t="shared" ref="BZ320:BZ383" si="374">MAX(0,(BR320-K$11)*$B$6)</f>
        <v>9.8010146835150625E-3</v>
      </c>
      <c r="CA320" s="39">
        <f t="shared" ref="CA320:CA383" si="375">BK320-BS320+MAX(0,S320-AY320-BJ320)</f>
        <v>87.66825315947284</v>
      </c>
      <c r="CB320" s="39">
        <f t="shared" ref="CB320:CB383" si="376">BL320-BT320+BS320+CI320</f>
        <v>68.223684935191528</v>
      </c>
      <c r="CC320" s="39">
        <f t="shared" ref="CC320:CC383" si="377">BM320-BU320+BT320+CJ320</f>
        <v>69.529792920748832</v>
      </c>
      <c r="CD320" s="39">
        <f t="shared" ref="CD320:CD383" si="378">BN320-BV320+BU320+CK320</f>
        <v>90.291430939625315</v>
      </c>
      <c r="CE320" s="39">
        <f t="shared" ref="CE320:CE383" si="379">BO320-BW320+BV320+CL320</f>
        <v>84.000263798410117</v>
      </c>
      <c r="CF320" s="39">
        <f t="shared" ref="CF320:CF383" si="380">BP320-BX320+BW320+CM320</f>
        <v>75.001235149347778</v>
      </c>
      <c r="CG320" s="39">
        <f t="shared" ref="CG320:CG383" si="381">BQ320-BY320+BX320+CN320</f>
        <v>75.004164927467912</v>
      </c>
      <c r="CH320" s="39">
        <f t="shared" ref="CH320:CH383" si="382">BR320-BZ320+BY320+CO320</f>
        <v>75.010727279759948</v>
      </c>
      <c r="CI320" s="39">
        <f t="shared" ref="CI320:CI383" si="383">MAX(0,CA320-D$12)</f>
        <v>0</v>
      </c>
      <c r="CJ320" s="39">
        <f t="shared" ref="CJ320:CJ383" si="384">MAX(0,CB320-E$12)</f>
        <v>0</v>
      </c>
      <c r="CK320" s="39">
        <f t="shared" ref="CK320:CK383" si="385">MAX(0,CC320-F$12)</f>
        <v>0</v>
      </c>
      <c r="CL320" s="39">
        <f t="shared" ref="CL320:CL383" si="386">MAX(0,CD320-G$12)</f>
        <v>0</v>
      </c>
      <c r="CM320" s="39">
        <f t="shared" ref="CM320:CM383" si="387">MAX(0,CE320-H$12)</f>
        <v>0</v>
      </c>
      <c r="CN320" s="39">
        <f t="shared" ref="CN320:CN383" si="388">MAX(0,CF320-I$12)</f>
        <v>0</v>
      </c>
      <c r="CO320" s="39">
        <f t="shared" ref="CO320:CO383" si="389">MAX(0,CG320-J$12)</f>
        <v>0</v>
      </c>
      <c r="CP320" s="39">
        <f t="shared" ref="CP320:CP383" si="390">MAX(0,CH320-K$12)</f>
        <v>0</v>
      </c>
    </row>
    <row r="321" spans="2:94" ht="16" customHeight="1" x14ac:dyDescent="0.2">
      <c r="B321" s="38"/>
      <c r="L321" s="63">
        <v>30633</v>
      </c>
      <c r="M321" s="38">
        <v>0</v>
      </c>
      <c r="N321" s="38">
        <v>4.5</v>
      </c>
      <c r="O321" s="39">
        <v>0.3906</v>
      </c>
      <c r="P321" s="39">
        <v>0.15</v>
      </c>
      <c r="Q321" s="46">
        <f t="shared" si="321"/>
        <v>3.3104892244311811E-2</v>
      </c>
      <c r="R321" s="81">
        <f t="shared" si="322"/>
        <v>0</v>
      </c>
      <c r="S321" s="82">
        <f t="shared" si="323"/>
        <v>0</v>
      </c>
      <c r="T321" s="39">
        <f t="shared" si="324"/>
        <v>6.4363678559601562E-3</v>
      </c>
      <c r="U321" s="83">
        <f t="shared" si="325"/>
        <v>0.67499999999999993</v>
      </c>
      <c r="V321" s="84">
        <f t="shared" si="326"/>
        <v>3.06</v>
      </c>
      <c r="W321" s="52">
        <f t="shared" si="327"/>
        <v>166.71316195503852</v>
      </c>
      <c r="X321" s="52">
        <f t="shared" si="328"/>
        <v>168.01639115498574</v>
      </c>
      <c r="Y321" s="52">
        <f t="shared" si="329"/>
        <v>334.72955311002426</v>
      </c>
      <c r="Z321" s="53">
        <f t="shared" si="330"/>
        <v>1.3024465777737384</v>
      </c>
      <c r="AA321" s="53">
        <f t="shared" si="331"/>
        <v>1.0000975663987246</v>
      </c>
      <c r="AB321" s="53">
        <f t="shared" si="332"/>
        <v>1.130843084831163</v>
      </c>
      <c r="AC321" s="39" t="str">
        <f t="shared" si="333"/>
        <v>No</v>
      </c>
      <c r="AD321" s="85">
        <f t="shared" si="334"/>
        <v>1.6600000000000004E-2</v>
      </c>
      <c r="AE321" s="46">
        <f t="shared" si="335"/>
        <v>1</v>
      </c>
      <c r="AF321" s="46">
        <f t="shared" si="336"/>
        <v>0.3906</v>
      </c>
      <c r="AG321" s="39">
        <f t="shared" ref="AG321:AG384" si="391">MIN(D$12,CA320)</f>
        <v>87.66825315947284</v>
      </c>
      <c r="AH321" s="39">
        <f t="shared" ref="AH321:AH384" si="392">MIN(E$12,CB320)</f>
        <v>68.223684935191528</v>
      </c>
      <c r="AI321" s="39">
        <f t="shared" ref="AI321:AI384" si="393">MIN(F$12,CC320)</f>
        <v>69.529792920748832</v>
      </c>
      <c r="AJ321" s="39">
        <f t="shared" ref="AJ321:AJ384" si="394">MIN(G$12,CD320)</f>
        <v>90.291430939625315</v>
      </c>
      <c r="AK321" s="39">
        <f t="shared" ref="AK321:AK384" si="395">MIN(H$12,CE320)</f>
        <v>84.000263798410117</v>
      </c>
      <c r="AL321" s="39">
        <f t="shared" ref="AL321:AL384" si="396">MIN(I$12,CF320)</f>
        <v>75.001235149347778</v>
      </c>
      <c r="AM321" s="39">
        <f t="shared" ref="AM321:AM384" si="397">MIN(J$12,CG320)</f>
        <v>75.004164927467912</v>
      </c>
      <c r="AN321" s="39">
        <f t="shared" ref="AN321:AN384" si="398">MIN(K$12,CH320)</f>
        <v>75.010727279759948</v>
      </c>
      <c r="AO321" s="39">
        <f t="shared" si="337"/>
        <v>5.7668253159472842</v>
      </c>
      <c r="AP321" s="39">
        <f t="shared" si="338"/>
        <v>2.8803171743237526</v>
      </c>
      <c r="AQ321" s="39">
        <f t="shared" si="339"/>
        <v>0</v>
      </c>
      <c r="AR321" s="39">
        <f t="shared" si="340"/>
        <v>0</v>
      </c>
      <c r="AS321" s="39">
        <f t="shared" si="341"/>
        <v>0</v>
      </c>
      <c r="AT321" s="39">
        <f t="shared" si="342"/>
        <v>0</v>
      </c>
      <c r="AU321" s="39">
        <f t="shared" si="343"/>
        <v>0</v>
      </c>
      <c r="AV321" s="39">
        <f t="shared" si="344"/>
        <v>0</v>
      </c>
      <c r="AW321" s="39">
        <f t="shared" si="345"/>
        <v>8.6471424902710368</v>
      </c>
      <c r="AX321" s="39">
        <f t="shared" si="346"/>
        <v>0.67499999999999993</v>
      </c>
      <c r="AY321" s="39">
        <f t="shared" si="347"/>
        <v>0.67499999999999993</v>
      </c>
      <c r="AZ321" s="39">
        <f t="shared" si="348"/>
        <v>0.45016108993740034</v>
      </c>
      <c r="BA321" s="39">
        <f t="shared" si="349"/>
        <v>0.22483891006259957</v>
      </c>
      <c r="BB321" s="39">
        <f t="shared" si="350"/>
        <v>0</v>
      </c>
      <c r="BC321" s="39">
        <f t="shared" si="351"/>
        <v>0</v>
      </c>
      <c r="BD321" s="39">
        <f t="shared" si="352"/>
        <v>0</v>
      </c>
      <c r="BE321" s="39">
        <f t="shared" si="353"/>
        <v>0</v>
      </c>
      <c r="BF321" s="39">
        <f t="shared" si="354"/>
        <v>0</v>
      </c>
      <c r="BG321" s="39">
        <f t="shared" si="355"/>
        <v>0</v>
      </c>
      <c r="BH321" s="84">
        <f t="shared" si="356"/>
        <v>3.06</v>
      </c>
      <c r="BI321" s="84">
        <f t="shared" si="357"/>
        <v>0</v>
      </c>
      <c r="BJ321" s="84">
        <f t="shared" si="358"/>
        <v>3.06</v>
      </c>
      <c r="BK321" s="39">
        <f t="shared" si="359"/>
        <v>84.158092069535442</v>
      </c>
      <c r="BL321" s="39">
        <f t="shared" si="360"/>
        <v>67.998846025128927</v>
      </c>
      <c r="BM321" s="39">
        <f t="shared" si="361"/>
        <v>69.529792920748832</v>
      </c>
      <c r="BN321" s="39">
        <f t="shared" si="362"/>
        <v>90.291430939625315</v>
      </c>
      <c r="BO321" s="39">
        <f t="shared" si="363"/>
        <v>84.000263798410117</v>
      </c>
      <c r="BP321" s="39">
        <f t="shared" si="364"/>
        <v>75.001235149347778</v>
      </c>
      <c r="BQ321" s="39">
        <f t="shared" si="365"/>
        <v>75.004164927467912</v>
      </c>
      <c r="BR321" s="39">
        <f t="shared" si="366"/>
        <v>75.010727279759948</v>
      </c>
      <c r="BS321" s="39">
        <f t="shared" si="367"/>
        <v>14.494855241721265</v>
      </c>
      <c r="BT321" s="39">
        <f t="shared" si="368"/>
        <v>1.1993076150773561</v>
      </c>
      <c r="BU321" s="39">
        <f t="shared" si="369"/>
        <v>3.3178757524493077</v>
      </c>
      <c r="BV321" s="39">
        <f t="shared" si="370"/>
        <v>1.9748585637751801</v>
      </c>
      <c r="BW321" s="39">
        <f t="shared" si="371"/>
        <v>1.5827904607874642E-4</v>
      </c>
      <c r="BX321" s="39">
        <f t="shared" si="372"/>
        <v>7.4108960865828524E-4</v>
      </c>
      <c r="BY321" s="39">
        <f t="shared" si="373"/>
        <v>2.4989564807384565E-3</v>
      </c>
      <c r="BZ321" s="39">
        <f t="shared" si="374"/>
        <v>6.4363678559601562E-3</v>
      </c>
      <c r="CA321" s="39">
        <f t="shared" si="375"/>
        <v>69.663236827814174</v>
      </c>
      <c r="CB321" s="39">
        <f t="shared" si="376"/>
        <v>81.294393651772836</v>
      </c>
      <c r="CC321" s="39">
        <f t="shared" si="377"/>
        <v>67.411224783376881</v>
      </c>
      <c r="CD321" s="39">
        <f t="shared" si="378"/>
        <v>91.634448128299439</v>
      </c>
      <c r="CE321" s="39">
        <f t="shared" si="379"/>
        <v>85.974964083139227</v>
      </c>
      <c r="CF321" s="39">
        <f t="shared" si="380"/>
        <v>75.000652338785201</v>
      </c>
      <c r="CG321" s="39">
        <f t="shared" si="381"/>
        <v>75.002407060595829</v>
      </c>
      <c r="CH321" s="39">
        <f t="shared" si="382"/>
        <v>75.006789868384729</v>
      </c>
      <c r="CI321" s="39">
        <f t="shared" si="383"/>
        <v>0</v>
      </c>
      <c r="CJ321" s="39">
        <f t="shared" si="384"/>
        <v>0</v>
      </c>
      <c r="CK321" s="39">
        <f t="shared" si="385"/>
        <v>0</v>
      </c>
      <c r="CL321" s="39">
        <f t="shared" si="386"/>
        <v>0</v>
      </c>
      <c r="CM321" s="39">
        <f t="shared" si="387"/>
        <v>0</v>
      </c>
      <c r="CN321" s="39">
        <f t="shared" si="388"/>
        <v>0</v>
      </c>
      <c r="CO321" s="39">
        <f t="shared" si="389"/>
        <v>0</v>
      </c>
      <c r="CP321" s="39">
        <f t="shared" si="390"/>
        <v>0</v>
      </c>
    </row>
    <row r="322" spans="2:94" ht="16" customHeight="1" x14ac:dyDescent="0.2">
      <c r="B322" s="38"/>
      <c r="L322" s="63">
        <v>30634</v>
      </c>
      <c r="M322" s="38">
        <v>0</v>
      </c>
      <c r="N322" s="38">
        <v>3.7</v>
      </c>
      <c r="O322" s="39">
        <v>0.40679999999999999</v>
      </c>
      <c r="P322" s="39">
        <v>0.15</v>
      </c>
      <c r="Q322" s="46">
        <f t="shared" si="321"/>
        <v>6.9601546970646938E-2</v>
      </c>
      <c r="R322" s="81">
        <f t="shared" si="322"/>
        <v>0</v>
      </c>
      <c r="S322" s="82">
        <f t="shared" si="323"/>
        <v>0</v>
      </c>
      <c r="T322" s="39">
        <f t="shared" si="324"/>
        <v>4.0739210308288415E-3</v>
      </c>
      <c r="U322" s="83">
        <f t="shared" si="325"/>
        <v>0.55500000000000005</v>
      </c>
      <c r="V322" s="84">
        <f t="shared" si="326"/>
        <v>2.516</v>
      </c>
      <c r="W322" s="52">
        <f t="shared" si="327"/>
        <v>161.00330339126333</v>
      </c>
      <c r="X322" s="52">
        <f t="shared" si="328"/>
        <v>169.98481335090497</v>
      </c>
      <c r="Y322" s="52">
        <f t="shared" si="329"/>
        <v>330.9881167421683</v>
      </c>
      <c r="Z322" s="53">
        <f t="shared" si="330"/>
        <v>1.2578383077442448</v>
      </c>
      <c r="AA322" s="53">
        <f t="shared" si="331"/>
        <v>1.0118143651839582</v>
      </c>
      <c r="AB322" s="53">
        <f t="shared" si="332"/>
        <v>1.1182030971019199</v>
      </c>
      <c r="AC322" s="39" t="str">
        <f t="shared" si="333"/>
        <v>No</v>
      </c>
      <c r="AD322" s="85">
        <f t="shared" si="334"/>
        <v>1.6199999999999992E-2</v>
      </c>
      <c r="AE322" s="46">
        <f t="shared" si="335"/>
        <v>1</v>
      </c>
      <c r="AF322" s="46">
        <f t="shared" si="336"/>
        <v>0.40679999999999999</v>
      </c>
      <c r="AG322" s="39">
        <f t="shared" si="391"/>
        <v>69.663236827814174</v>
      </c>
      <c r="AH322" s="39">
        <f t="shared" si="392"/>
        <v>81.294393651772836</v>
      </c>
      <c r="AI322" s="39">
        <f t="shared" si="393"/>
        <v>67.411224783376881</v>
      </c>
      <c r="AJ322" s="39">
        <f t="shared" si="394"/>
        <v>91.634448128299439</v>
      </c>
      <c r="AK322" s="39">
        <f t="shared" si="395"/>
        <v>85.974964083139227</v>
      </c>
      <c r="AL322" s="39">
        <f t="shared" si="396"/>
        <v>75.000652338785201</v>
      </c>
      <c r="AM322" s="39">
        <f t="shared" si="397"/>
        <v>75.002407060595829</v>
      </c>
      <c r="AN322" s="39">
        <f t="shared" si="398"/>
        <v>75.006789868384729</v>
      </c>
      <c r="AO322" s="39">
        <f t="shared" si="337"/>
        <v>3.9663236827814177</v>
      </c>
      <c r="AP322" s="39">
        <f t="shared" si="338"/>
        <v>4.3294393651772838</v>
      </c>
      <c r="AQ322" s="39">
        <f t="shared" si="339"/>
        <v>0.10679816426348104</v>
      </c>
      <c r="AR322" s="39">
        <f t="shared" si="340"/>
        <v>0</v>
      </c>
      <c r="AS322" s="39">
        <f t="shared" si="341"/>
        <v>0</v>
      </c>
      <c r="AT322" s="39">
        <f t="shared" si="342"/>
        <v>0</v>
      </c>
      <c r="AU322" s="39">
        <f t="shared" si="343"/>
        <v>0</v>
      </c>
      <c r="AV322" s="39">
        <f t="shared" si="344"/>
        <v>0</v>
      </c>
      <c r="AW322" s="39">
        <f t="shared" si="345"/>
        <v>8.4025612122221816</v>
      </c>
      <c r="AX322" s="39">
        <f t="shared" si="346"/>
        <v>0.55500000000000005</v>
      </c>
      <c r="AY322" s="39">
        <f t="shared" si="347"/>
        <v>0.55500000000000005</v>
      </c>
      <c r="AZ322" s="39">
        <f t="shared" si="348"/>
        <v>0.26198079232576255</v>
      </c>
      <c r="BA322" s="39">
        <f t="shared" si="349"/>
        <v>0.28596505124869259</v>
      </c>
      <c r="BB322" s="39">
        <f t="shared" si="350"/>
        <v>7.0541564255449645E-3</v>
      </c>
      <c r="BC322" s="39">
        <f t="shared" si="351"/>
        <v>0</v>
      </c>
      <c r="BD322" s="39">
        <f t="shared" si="352"/>
        <v>0</v>
      </c>
      <c r="BE322" s="39">
        <f t="shared" si="353"/>
        <v>0</v>
      </c>
      <c r="BF322" s="39">
        <f t="shared" si="354"/>
        <v>0</v>
      </c>
      <c r="BG322" s="39">
        <f t="shared" si="355"/>
        <v>0</v>
      </c>
      <c r="BH322" s="84">
        <f t="shared" si="356"/>
        <v>2.516</v>
      </c>
      <c r="BI322" s="84">
        <f t="shared" si="357"/>
        <v>0</v>
      </c>
      <c r="BJ322" s="84">
        <f t="shared" si="358"/>
        <v>2.516</v>
      </c>
      <c r="BK322" s="39">
        <f t="shared" si="359"/>
        <v>66.88525603548841</v>
      </c>
      <c r="BL322" s="39">
        <f t="shared" si="360"/>
        <v>81.008428600524141</v>
      </c>
      <c r="BM322" s="39">
        <f t="shared" si="361"/>
        <v>67.404170626951341</v>
      </c>
      <c r="BN322" s="39">
        <f t="shared" si="362"/>
        <v>91.634448128299439</v>
      </c>
      <c r="BO322" s="39">
        <f t="shared" si="363"/>
        <v>85.974964083139227</v>
      </c>
      <c r="BP322" s="39">
        <f t="shared" si="364"/>
        <v>75.000652338785201</v>
      </c>
      <c r="BQ322" s="39">
        <f t="shared" si="365"/>
        <v>75.002407060595829</v>
      </c>
      <c r="BR322" s="39">
        <f t="shared" si="366"/>
        <v>75.006789868384729</v>
      </c>
      <c r="BS322" s="39">
        <f t="shared" si="367"/>
        <v>4.1311536212930458</v>
      </c>
      <c r="BT322" s="39">
        <f t="shared" si="368"/>
        <v>9.0050571603144842</v>
      </c>
      <c r="BU322" s="39">
        <f t="shared" si="369"/>
        <v>2.042502376170813</v>
      </c>
      <c r="BV322" s="39">
        <f t="shared" si="370"/>
        <v>2.780668876979655</v>
      </c>
      <c r="BW322" s="39">
        <f t="shared" si="371"/>
        <v>1.1849784498835447</v>
      </c>
      <c r="BX322" s="39">
        <f t="shared" si="372"/>
        <v>3.9140327111226726E-4</v>
      </c>
      <c r="BY322" s="39">
        <f t="shared" si="373"/>
        <v>1.4442363574886485E-3</v>
      </c>
      <c r="BZ322" s="39">
        <f t="shared" si="374"/>
        <v>4.0739210308288415E-3</v>
      </c>
      <c r="CA322" s="39">
        <f t="shared" si="375"/>
        <v>62.754102414195366</v>
      </c>
      <c r="CB322" s="39">
        <f t="shared" si="376"/>
        <v>76.134525061502714</v>
      </c>
      <c r="CC322" s="39">
        <f t="shared" si="377"/>
        <v>74.366725411095004</v>
      </c>
      <c r="CD322" s="39">
        <f t="shared" si="378"/>
        <v>90.896281627490595</v>
      </c>
      <c r="CE322" s="39">
        <f t="shared" si="379"/>
        <v>87.570654510235343</v>
      </c>
      <c r="CF322" s="39">
        <f t="shared" si="380"/>
        <v>76.185239385397637</v>
      </c>
      <c r="CG322" s="39">
        <f t="shared" si="381"/>
        <v>75.001354227509452</v>
      </c>
      <c r="CH322" s="39">
        <f t="shared" si="382"/>
        <v>75.004160183711392</v>
      </c>
      <c r="CI322" s="39">
        <f t="shared" si="383"/>
        <v>0</v>
      </c>
      <c r="CJ322" s="39">
        <f t="shared" si="384"/>
        <v>0</v>
      </c>
      <c r="CK322" s="39">
        <f t="shared" si="385"/>
        <v>0</v>
      </c>
      <c r="CL322" s="39">
        <f t="shared" si="386"/>
        <v>0</v>
      </c>
      <c r="CM322" s="39">
        <f t="shared" si="387"/>
        <v>0</v>
      </c>
      <c r="CN322" s="39">
        <f t="shared" si="388"/>
        <v>0</v>
      </c>
      <c r="CO322" s="39">
        <f t="shared" si="389"/>
        <v>0</v>
      </c>
      <c r="CP322" s="39">
        <f t="shared" si="390"/>
        <v>0</v>
      </c>
    </row>
    <row r="323" spans="2:94" ht="16" customHeight="1" x14ac:dyDescent="0.2">
      <c r="B323" s="38"/>
      <c r="L323" s="63">
        <v>30635</v>
      </c>
      <c r="M323" s="38">
        <v>0</v>
      </c>
      <c r="N323" s="38">
        <v>4.8</v>
      </c>
      <c r="O323" s="39">
        <v>0.42780000000000001</v>
      </c>
      <c r="P323" s="39">
        <v>0.15</v>
      </c>
      <c r="Q323" s="46">
        <f t="shared" si="321"/>
        <v>8.3606549160414795E-2</v>
      </c>
      <c r="R323" s="81">
        <f t="shared" si="322"/>
        <v>0</v>
      </c>
      <c r="S323" s="82">
        <f t="shared" si="323"/>
        <v>0</v>
      </c>
      <c r="T323" s="39">
        <f t="shared" si="324"/>
        <v>2.4961102268264311E-3</v>
      </c>
      <c r="U323" s="83">
        <f t="shared" si="325"/>
        <v>0.72</v>
      </c>
      <c r="V323" s="84">
        <f t="shared" si="326"/>
        <v>3.2640000000000002</v>
      </c>
      <c r="W323" s="52">
        <f t="shared" si="327"/>
        <v>155.15163451428373</v>
      </c>
      <c r="X323" s="52">
        <f t="shared" si="328"/>
        <v>172.76140830685387</v>
      </c>
      <c r="Y323" s="52">
        <f t="shared" si="329"/>
        <v>327.91304282113759</v>
      </c>
      <c r="Z323" s="53">
        <f t="shared" si="330"/>
        <v>1.2121221446428416</v>
      </c>
      <c r="AA323" s="53">
        <f t="shared" si="331"/>
        <v>1.0283417161122255</v>
      </c>
      <c r="AB323" s="53">
        <f t="shared" si="332"/>
        <v>1.1078143338551947</v>
      </c>
      <c r="AC323" s="39" t="str">
        <f t="shared" si="333"/>
        <v>No</v>
      </c>
      <c r="AD323" s="85">
        <f t="shared" si="334"/>
        <v>2.1000000000000019E-2</v>
      </c>
      <c r="AE323" s="46">
        <f t="shared" si="335"/>
        <v>1</v>
      </c>
      <c r="AF323" s="46">
        <f t="shared" si="336"/>
        <v>0.42780000000000001</v>
      </c>
      <c r="AG323" s="39">
        <f t="shared" si="391"/>
        <v>62.754102414195366</v>
      </c>
      <c r="AH323" s="39">
        <f t="shared" si="392"/>
        <v>76.134525061502714</v>
      </c>
      <c r="AI323" s="39">
        <f t="shared" si="393"/>
        <v>74.366725411095004</v>
      </c>
      <c r="AJ323" s="39">
        <f t="shared" si="394"/>
        <v>90.896281627490595</v>
      </c>
      <c r="AK323" s="39">
        <f t="shared" si="395"/>
        <v>87.570654510235343</v>
      </c>
      <c r="AL323" s="39">
        <f t="shared" si="396"/>
        <v>76.185239385397637</v>
      </c>
      <c r="AM323" s="39">
        <f t="shared" si="397"/>
        <v>75.001354227509452</v>
      </c>
      <c r="AN323" s="39">
        <f t="shared" si="398"/>
        <v>75.004160183711392</v>
      </c>
      <c r="AO323" s="39">
        <f t="shared" si="337"/>
        <v>3.2754102414195367</v>
      </c>
      <c r="AP323" s="39">
        <f t="shared" si="338"/>
        <v>3.8134525061502718</v>
      </c>
      <c r="AQ323" s="39">
        <f t="shared" si="339"/>
        <v>0.53329748321422077</v>
      </c>
      <c r="AR323" s="39">
        <f t="shared" si="340"/>
        <v>0</v>
      </c>
      <c r="AS323" s="39">
        <f t="shared" si="341"/>
        <v>0</v>
      </c>
      <c r="AT323" s="39">
        <f t="shared" si="342"/>
        <v>0</v>
      </c>
      <c r="AU323" s="39">
        <f t="shared" si="343"/>
        <v>0</v>
      </c>
      <c r="AV323" s="39">
        <f t="shared" si="344"/>
        <v>0</v>
      </c>
      <c r="AW323" s="39">
        <f t="shared" si="345"/>
        <v>7.6221602307840293</v>
      </c>
      <c r="AX323" s="39">
        <f t="shared" si="346"/>
        <v>0.72</v>
      </c>
      <c r="AY323" s="39">
        <f t="shared" si="347"/>
        <v>0.72</v>
      </c>
      <c r="AZ323" s="39">
        <f t="shared" si="348"/>
        <v>0.30939986859597779</v>
      </c>
      <c r="BA323" s="39">
        <f t="shared" si="349"/>
        <v>0.36022409937527244</v>
      </c>
      <c r="BB323" s="39">
        <f t="shared" si="350"/>
        <v>5.0376032028749761E-2</v>
      </c>
      <c r="BC323" s="39">
        <f t="shared" si="351"/>
        <v>0</v>
      </c>
      <c r="BD323" s="39">
        <f t="shared" si="352"/>
        <v>0</v>
      </c>
      <c r="BE323" s="39">
        <f t="shared" si="353"/>
        <v>0</v>
      </c>
      <c r="BF323" s="39">
        <f t="shared" si="354"/>
        <v>0</v>
      </c>
      <c r="BG323" s="39">
        <f t="shared" si="355"/>
        <v>0</v>
      </c>
      <c r="BH323" s="84">
        <f t="shared" si="356"/>
        <v>3.2640000000000002</v>
      </c>
      <c r="BI323" s="84">
        <f t="shared" si="357"/>
        <v>0</v>
      </c>
      <c r="BJ323" s="84">
        <f t="shared" si="358"/>
        <v>3.2640000000000002</v>
      </c>
      <c r="BK323" s="39">
        <f t="shared" si="359"/>
        <v>59.180702545599388</v>
      </c>
      <c r="BL323" s="39">
        <f t="shared" si="360"/>
        <v>75.774300962127441</v>
      </c>
      <c r="BM323" s="39">
        <f t="shared" si="361"/>
        <v>74.316349379066253</v>
      </c>
      <c r="BN323" s="39">
        <f t="shared" si="362"/>
        <v>90.896281627490595</v>
      </c>
      <c r="BO323" s="39">
        <f t="shared" si="363"/>
        <v>87.570654510235343</v>
      </c>
      <c r="BP323" s="39">
        <f t="shared" si="364"/>
        <v>76.185239385397637</v>
      </c>
      <c r="BQ323" s="39">
        <f t="shared" si="365"/>
        <v>75.001354227509452</v>
      </c>
      <c r="BR323" s="39">
        <f t="shared" si="366"/>
        <v>75.004160183711392</v>
      </c>
      <c r="BS323" s="39">
        <f t="shared" si="367"/>
        <v>0</v>
      </c>
      <c r="BT323" s="39">
        <f t="shared" si="368"/>
        <v>5.8645805772764641</v>
      </c>
      <c r="BU323" s="39">
        <f t="shared" si="369"/>
        <v>6.18980962743976</v>
      </c>
      <c r="BV323" s="39">
        <f t="shared" si="370"/>
        <v>2.3377689764943481</v>
      </c>
      <c r="BW323" s="39">
        <f t="shared" si="371"/>
        <v>2.1423927061412145</v>
      </c>
      <c r="BX323" s="39">
        <f t="shared" si="372"/>
        <v>0.71114363123857338</v>
      </c>
      <c r="BY323" s="39">
        <f t="shared" si="373"/>
        <v>8.1253650566281976E-4</v>
      </c>
      <c r="BZ323" s="39">
        <f t="shared" si="374"/>
        <v>2.4961102268264311E-3</v>
      </c>
      <c r="CA323" s="39">
        <f t="shared" si="375"/>
        <v>59.180702545599388</v>
      </c>
      <c r="CB323" s="39">
        <f t="shared" si="376"/>
        <v>69.909720384850971</v>
      </c>
      <c r="CC323" s="39">
        <f t="shared" si="377"/>
        <v>73.991120328902966</v>
      </c>
      <c r="CD323" s="39">
        <f t="shared" si="378"/>
        <v>94.748322278436007</v>
      </c>
      <c r="CE323" s="39">
        <f t="shared" si="379"/>
        <v>87.76603078058848</v>
      </c>
      <c r="CF323" s="39">
        <f t="shared" si="380"/>
        <v>77.616488460300275</v>
      </c>
      <c r="CG323" s="39">
        <f t="shared" si="381"/>
        <v>75.71168532224236</v>
      </c>
      <c r="CH323" s="39">
        <f t="shared" si="382"/>
        <v>75.002476609990225</v>
      </c>
      <c r="CI323" s="39">
        <f t="shared" si="383"/>
        <v>0</v>
      </c>
      <c r="CJ323" s="39">
        <f t="shared" si="384"/>
        <v>0</v>
      </c>
      <c r="CK323" s="39">
        <f t="shared" si="385"/>
        <v>0</v>
      </c>
      <c r="CL323" s="39">
        <f t="shared" si="386"/>
        <v>0</v>
      </c>
      <c r="CM323" s="39">
        <f t="shared" si="387"/>
        <v>0</v>
      </c>
      <c r="CN323" s="39">
        <f t="shared" si="388"/>
        <v>0</v>
      </c>
      <c r="CO323" s="39">
        <f t="shared" si="389"/>
        <v>0</v>
      </c>
      <c r="CP323" s="39">
        <f t="shared" si="390"/>
        <v>0</v>
      </c>
    </row>
    <row r="324" spans="2:94" ht="16" customHeight="1" x14ac:dyDescent="0.2">
      <c r="B324" s="38"/>
      <c r="L324" s="63">
        <v>30636</v>
      </c>
      <c r="M324" s="38">
        <v>0.3</v>
      </c>
      <c r="N324" s="38">
        <v>5.4</v>
      </c>
      <c r="O324" s="39">
        <v>0.4506</v>
      </c>
      <c r="P324" s="39">
        <v>0.15</v>
      </c>
      <c r="Q324" s="46">
        <f t="shared" si="321"/>
        <v>9.084992727243367E-2</v>
      </c>
      <c r="R324" s="81">
        <f t="shared" si="322"/>
        <v>0</v>
      </c>
      <c r="S324" s="82">
        <f t="shared" si="323"/>
        <v>0.3</v>
      </c>
      <c r="T324" s="39">
        <f t="shared" si="324"/>
        <v>1.485965994126559E-3</v>
      </c>
      <c r="U324" s="83">
        <f t="shared" si="325"/>
        <v>0.81</v>
      </c>
      <c r="V324" s="84">
        <f t="shared" si="326"/>
        <v>3.6720000000000002</v>
      </c>
      <c r="W324" s="52">
        <f t="shared" si="327"/>
        <v>148.82986553778937</v>
      </c>
      <c r="X324" s="52">
        <f t="shared" si="328"/>
        <v>175.0966811731214</v>
      </c>
      <c r="Y324" s="52">
        <f t="shared" si="329"/>
        <v>323.92654671091077</v>
      </c>
      <c r="Z324" s="53">
        <f t="shared" si="330"/>
        <v>1.1627333245139795</v>
      </c>
      <c r="AA324" s="53">
        <f t="shared" si="331"/>
        <v>1.0422421498400083</v>
      </c>
      <c r="AB324" s="53">
        <f t="shared" si="332"/>
        <v>1.0943464415909148</v>
      </c>
      <c r="AC324" s="39" t="str">
        <f t="shared" si="333"/>
        <v>No</v>
      </c>
      <c r="AD324" s="85">
        <f t="shared" si="334"/>
        <v>2.2799999999999987E-2</v>
      </c>
      <c r="AE324" s="46">
        <f t="shared" si="335"/>
        <v>1</v>
      </c>
      <c r="AF324" s="46">
        <f t="shared" si="336"/>
        <v>0.4506</v>
      </c>
      <c r="AG324" s="39">
        <f t="shared" si="391"/>
        <v>59.180702545599388</v>
      </c>
      <c r="AH324" s="39">
        <f t="shared" si="392"/>
        <v>69.909720384850971</v>
      </c>
      <c r="AI324" s="39">
        <f t="shared" si="393"/>
        <v>73.991120328902966</v>
      </c>
      <c r="AJ324" s="39">
        <f t="shared" si="394"/>
        <v>94.748322278436007</v>
      </c>
      <c r="AK324" s="39">
        <f t="shared" si="395"/>
        <v>87.76603078058848</v>
      </c>
      <c r="AL324" s="39">
        <f t="shared" si="396"/>
        <v>77.616488460300275</v>
      </c>
      <c r="AM324" s="39">
        <f t="shared" si="397"/>
        <v>75.71168532224236</v>
      </c>
      <c r="AN324" s="39">
        <f t="shared" si="398"/>
        <v>75.002476609990225</v>
      </c>
      <c r="AO324" s="39">
        <f t="shared" si="337"/>
        <v>2.9180702545599391</v>
      </c>
      <c r="AP324" s="39">
        <f t="shared" si="338"/>
        <v>3.1909720384850973</v>
      </c>
      <c r="AQ324" s="39">
        <f t="shared" si="339"/>
        <v>0.96117534432124518</v>
      </c>
      <c r="AR324" s="39">
        <f t="shared" si="340"/>
        <v>0</v>
      </c>
      <c r="AS324" s="39">
        <f t="shared" si="341"/>
        <v>0</v>
      </c>
      <c r="AT324" s="39">
        <f t="shared" si="342"/>
        <v>0</v>
      </c>
      <c r="AU324" s="39">
        <f t="shared" si="343"/>
        <v>0</v>
      </c>
      <c r="AV324" s="39">
        <f t="shared" si="344"/>
        <v>0</v>
      </c>
      <c r="AW324" s="39">
        <f t="shared" si="345"/>
        <v>7.0702176373662811</v>
      </c>
      <c r="AX324" s="39">
        <f t="shared" si="346"/>
        <v>0.81</v>
      </c>
      <c r="AY324" s="39">
        <f t="shared" si="347"/>
        <v>0.51</v>
      </c>
      <c r="AZ324" s="39">
        <f t="shared" si="348"/>
        <v>0.21049080893356242</v>
      </c>
      <c r="BA324" s="39">
        <f t="shared" si="349"/>
        <v>0.23017618736749651</v>
      </c>
      <c r="BB324" s="39">
        <f t="shared" si="350"/>
        <v>6.9333003698941117E-2</v>
      </c>
      <c r="BC324" s="39">
        <f t="shared" si="351"/>
        <v>0</v>
      </c>
      <c r="BD324" s="39">
        <f t="shared" si="352"/>
        <v>0</v>
      </c>
      <c r="BE324" s="39">
        <f t="shared" si="353"/>
        <v>0</v>
      </c>
      <c r="BF324" s="39">
        <f t="shared" si="354"/>
        <v>0</v>
      </c>
      <c r="BG324" s="39">
        <f t="shared" si="355"/>
        <v>0</v>
      </c>
      <c r="BH324" s="84">
        <f t="shared" si="356"/>
        <v>3.6720000000000002</v>
      </c>
      <c r="BI324" s="84">
        <f t="shared" si="357"/>
        <v>0</v>
      </c>
      <c r="BJ324" s="84">
        <f t="shared" si="358"/>
        <v>3.6720000000000002</v>
      </c>
      <c r="BK324" s="39">
        <f t="shared" si="359"/>
        <v>55.298211736665827</v>
      </c>
      <c r="BL324" s="39">
        <f t="shared" si="360"/>
        <v>69.67954419748348</v>
      </c>
      <c r="BM324" s="39">
        <f t="shared" si="361"/>
        <v>73.921787325204022</v>
      </c>
      <c r="BN324" s="39">
        <f t="shared" si="362"/>
        <v>94.748322278436007</v>
      </c>
      <c r="BO324" s="39">
        <f t="shared" si="363"/>
        <v>87.76603078058848</v>
      </c>
      <c r="BP324" s="39">
        <f t="shared" si="364"/>
        <v>77.616488460300275</v>
      </c>
      <c r="BQ324" s="39">
        <f t="shared" si="365"/>
        <v>75.71168532224236</v>
      </c>
      <c r="BR324" s="39">
        <f t="shared" si="366"/>
        <v>75.002476609990225</v>
      </c>
      <c r="BS324" s="39">
        <f t="shared" si="367"/>
        <v>0</v>
      </c>
      <c r="BT324" s="39">
        <f t="shared" si="368"/>
        <v>2.2077265184900878</v>
      </c>
      <c r="BU324" s="39">
        <f t="shared" si="369"/>
        <v>5.9530723951224216</v>
      </c>
      <c r="BV324" s="39">
        <f t="shared" si="370"/>
        <v>4.6489933670615953</v>
      </c>
      <c r="BW324" s="39">
        <f t="shared" si="371"/>
        <v>2.2596184683530964</v>
      </c>
      <c r="BX324" s="39">
        <f t="shared" si="372"/>
        <v>1.5698930761801562</v>
      </c>
      <c r="BY324" s="39">
        <f t="shared" si="373"/>
        <v>0.42701119334540749</v>
      </c>
      <c r="BZ324" s="39">
        <f t="shared" si="374"/>
        <v>1.485965994126559E-3</v>
      </c>
      <c r="CA324" s="39">
        <f t="shared" si="375"/>
        <v>55.298211736665827</v>
      </c>
      <c r="CB324" s="39">
        <f t="shared" si="376"/>
        <v>67.471817678993389</v>
      </c>
      <c r="CC324" s="39">
        <f t="shared" si="377"/>
        <v>70.176441448571694</v>
      </c>
      <c r="CD324" s="39">
        <f t="shared" si="378"/>
        <v>96.052401306496833</v>
      </c>
      <c r="CE324" s="39">
        <f t="shared" si="379"/>
        <v>90.155405679296976</v>
      </c>
      <c r="CF324" s="39">
        <f t="shared" si="380"/>
        <v>78.306213852473221</v>
      </c>
      <c r="CG324" s="39">
        <f t="shared" si="381"/>
        <v>76.854567205077103</v>
      </c>
      <c r="CH324" s="39">
        <f t="shared" si="382"/>
        <v>75.428001837341512</v>
      </c>
      <c r="CI324" s="39">
        <f t="shared" si="383"/>
        <v>0</v>
      </c>
      <c r="CJ324" s="39">
        <f t="shared" si="384"/>
        <v>0</v>
      </c>
      <c r="CK324" s="39">
        <f t="shared" si="385"/>
        <v>0</v>
      </c>
      <c r="CL324" s="39">
        <f t="shared" si="386"/>
        <v>0</v>
      </c>
      <c r="CM324" s="39">
        <f t="shared" si="387"/>
        <v>0</v>
      </c>
      <c r="CN324" s="39">
        <f t="shared" si="388"/>
        <v>0</v>
      </c>
      <c r="CO324" s="39">
        <f t="shared" si="389"/>
        <v>0</v>
      </c>
      <c r="CP324" s="39">
        <f t="shared" si="390"/>
        <v>0</v>
      </c>
    </row>
    <row r="325" spans="2:94" ht="16" customHeight="1" x14ac:dyDescent="0.2">
      <c r="B325" s="38"/>
      <c r="L325" s="63">
        <v>30637</v>
      </c>
      <c r="M325" s="38">
        <v>0</v>
      </c>
      <c r="N325" s="38">
        <v>3.5</v>
      </c>
      <c r="O325" s="39">
        <v>0.47520000000000001</v>
      </c>
      <c r="P325" s="39">
        <v>0.15</v>
      </c>
      <c r="Q325" s="46">
        <f t="shared" si="321"/>
        <v>9.871984107432602E-2</v>
      </c>
      <c r="R325" s="81">
        <f t="shared" si="322"/>
        <v>0</v>
      </c>
      <c r="S325" s="82">
        <f t="shared" si="323"/>
        <v>0</v>
      </c>
      <c r="T325" s="39">
        <f t="shared" si="324"/>
        <v>0.25680110240489851</v>
      </c>
      <c r="U325" s="83">
        <f t="shared" si="325"/>
        <v>0.52500000000000002</v>
      </c>
      <c r="V325" s="84">
        <f t="shared" si="326"/>
        <v>2.3800000000000003</v>
      </c>
      <c r="W325" s="52">
        <f t="shared" si="327"/>
        <v>139.99887217072774</v>
      </c>
      <c r="X325" s="52">
        <f t="shared" si="328"/>
        <v>179.7441885741888</v>
      </c>
      <c r="Y325" s="52">
        <f t="shared" si="329"/>
        <v>319.74306074491653</v>
      </c>
      <c r="Z325" s="53">
        <f t="shared" si="330"/>
        <v>1.0937411888338104</v>
      </c>
      <c r="AA325" s="53">
        <f t="shared" si="331"/>
        <v>1.0699058843701714</v>
      </c>
      <c r="AB325" s="53">
        <f t="shared" si="332"/>
        <v>1.0802130430571504</v>
      </c>
      <c r="AC325" s="39" t="str">
        <f t="shared" si="333"/>
        <v>No</v>
      </c>
      <c r="AD325" s="85">
        <f t="shared" si="334"/>
        <v>2.4600000000000011E-2</v>
      </c>
      <c r="AE325" s="46">
        <f t="shared" si="335"/>
        <v>1</v>
      </c>
      <c r="AF325" s="46">
        <f t="shared" si="336"/>
        <v>0.47520000000000001</v>
      </c>
      <c r="AG325" s="39">
        <f t="shared" si="391"/>
        <v>55.298211736665827</v>
      </c>
      <c r="AH325" s="39">
        <f t="shared" si="392"/>
        <v>67.471817678993389</v>
      </c>
      <c r="AI325" s="39">
        <f t="shared" si="393"/>
        <v>70.176441448571694</v>
      </c>
      <c r="AJ325" s="39">
        <f t="shared" si="394"/>
        <v>96.052401306496833</v>
      </c>
      <c r="AK325" s="39">
        <f t="shared" si="395"/>
        <v>90.155405679296976</v>
      </c>
      <c r="AL325" s="39">
        <f t="shared" si="396"/>
        <v>78.306213852473221</v>
      </c>
      <c r="AM325" s="39">
        <f t="shared" si="397"/>
        <v>76.854567205077103</v>
      </c>
      <c r="AN325" s="39">
        <f t="shared" si="398"/>
        <v>75.428001837341512</v>
      </c>
      <c r="AO325" s="39">
        <f t="shared" si="337"/>
        <v>2.529821173666583</v>
      </c>
      <c r="AP325" s="39">
        <f t="shared" si="338"/>
        <v>2.9471817678993393</v>
      </c>
      <c r="AQ325" s="39">
        <f t="shared" si="339"/>
        <v>1.2850341984662965</v>
      </c>
      <c r="AR325" s="39">
        <f t="shared" si="340"/>
        <v>0</v>
      </c>
      <c r="AS325" s="39">
        <f t="shared" si="341"/>
        <v>0</v>
      </c>
      <c r="AT325" s="39">
        <f t="shared" si="342"/>
        <v>0</v>
      </c>
      <c r="AU325" s="39">
        <f t="shared" si="343"/>
        <v>0</v>
      </c>
      <c r="AV325" s="39">
        <f t="shared" si="344"/>
        <v>0</v>
      </c>
      <c r="AW325" s="39">
        <f t="shared" si="345"/>
        <v>6.762037140032219</v>
      </c>
      <c r="AX325" s="39">
        <f t="shared" si="346"/>
        <v>0.52500000000000002</v>
      </c>
      <c r="AY325" s="39">
        <f t="shared" si="347"/>
        <v>0.52500000000000002</v>
      </c>
      <c r="AZ325" s="39">
        <f t="shared" si="348"/>
        <v>0.19641360860207105</v>
      </c>
      <c r="BA325" s="39">
        <f t="shared" si="349"/>
        <v>0.22881720347069565</v>
      </c>
      <c r="BB325" s="39">
        <f t="shared" si="350"/>
        <v>9.9769187927233299E-2</v>
      </c>
      <c r="BC325" s="39">
        <f t="shared" si="351"/>
        <v>0</v>
      </c>
      <c r="BD325" s="39">
        <f t="shared" si="352"/>
        <v>0</v>
      </c>
      <c r="BE325" s="39">
        <f t="shared" si="353"/>
        <v>0</v>
      </c>
      <c r="BF325" s="39">
        <f t="shared" si="354"/>
        <v>0</v>
      </c>
      <c r="BG325" s="39">
        <f t="shared" si="355"/>
        <v>0</v>
      </c>
      <c r="BH325" s="84">
        <f t="shared" si="356"/>
        <v>1.6982117366658258</v>
      </c>
      <c r="BI325" s="84">
        <f t="shared" si="357"/>
        <v>0.68178826333417453</v>
      </c>
      <c r="BJ325" s="84">
        <f t="shared" si="358"/>
        <v>2.366228616750039</v>
      </c>
      <c r="BK325" s="39">
        <f t="shared" si="359"/>
        <v>52.735569511313713</v>
      </c>
      <c r="BL325" s="39">
        <f t="shared" si="360"/>
        <v>67.243000475522692</v>
      </c>
      <c r="BM325" s="39">
        <f t="shared" si="361"/>
        <v>70.076672260644457</v>
      </c>
      <c r="BN325" s="39">
        <f t="shared" si="362"/>
        <v>96.052401306496833</v>
      </c>
      <c r="BO325" s="39">
        <f t="shared" si="363"/>
        <v>90.155405679296976</v>
      </c>
      <c r="BP325" s="39">
        <f t="shared" si="364"/>
        <v>78.306213852473221</v>
      </c>
      <c r="BQ325" s="39">
        <f t="shared" si="365"/>
        <v>76.854567205077103</v>
      </c>
      <c r="BR325" s="39">
        <f t="shared" si="366"/>
        <v>75.428001837341512</v>
      </c>
      <c r="BS325" s="39">
        <f t="shared" si="367"/>
        <v>0</v>
      </c>
      <c r="BT325" s="39">
        <f t="shared" si="368"/>
        <v>0.74580028531361509</v>
      </c>
      <c r="BU325" s="39">
        <f t="shared" si="369"/>
        <v>3.6460033563866827</v>
      </c>
      <c r="BV325" s="39">
        <f t="shared" si="370"/>
        <v>5.4314407838980907</v>
      </c>
      <c r="BW325" s="39">
        <f t="shared" si="371"/>
        <v>3.6932434075781941</v>
      </c>
      <c r="BX325" s="39">
        <f t="shared" si="372"/>
        <v>1.9837283114839237</v>
      </c>
      <c r="BY325" s="39">
        <f t="shared" si="373"/>
        <v>1.1127403230462534</v>
      </c>
      <c r="BZ325" s="39">
        <f t="shared" si="374"/>
        <v>0.25680110240489851</v>
      </c>
      <c r="CA325" s="39">
        <f t="shared" si="375"/>
        <v>52.735569511313713</v>
      </c>
      <c r="CB325" s="39">
        <f t="shared" si="376"/>
        <v>66.497200190209071</v>
      </c>
      <c r="CC325" s="39">
        <f t="shared" si="377"/>
        <v>67.176469189571392</v>
      </c>
      <c r="CD325" s="39">
        <f t="shared" si="378"/>
        <v>94.266963878985422</v>
      </c>
      <c r="CE325" s="39">
        <f t="shared" si="379"/>
        <v>91.893603055616879</v>
      </c>
      <c r="CF325" s="39">
        <f t="shared" si="380"/>
        <v>80.015728948567485</v>
      </c>
      <c r="CG325" s="39">
        <f t="shared" si="381"/>
        <v>77.725555193514779</v>
      </c>
      <c r="CH325" s="39">
        <f t="shared" si="382"/>
        <v>76.283941057982872</v>
      </c>
      <c r="CI325" s="39">
        <f t="shared" si="383"/>
        <v>0</v>
      </c>
      <c r="CJ325" s="39">
        <f t="shared" si="384"/>
        <v>0</v>
      </c>
      <c r="CK325" s="39">
        <f t="shared" si="385"/>
        <v>0</v>
      </c>
      <c r="CL325" s="39">
        <f t="shared" si="386"/>
        <v>0</v>
      </c>
      <c r="CM325" s="39">
        <f t="shared" si="387"/>
        <v>0</v>
      </c>
      <c r="CN325" s="39">
        <f t="shared" si="388"/>
        <v>0</v>
      </c>
      <c r="CO325" s="39">
        <f t="shared" si="389"/>
        <v>0</v>
      </c>
      <c r="CP325" s="39">
        <f t="shared" si="390"/>
        <v>0</v>
      </c>
    </row>
    <row r="326" spans="2:94" ht="16" customHeight="1" x14ac:dyDescent="0.2">
      <c r="B326" s="38"/>
      <c r="L326" s="63">
        <v>30638</v>
      </c>
      <c r="M326" s="38">
        <v>0</v>
      </c>
      <c r="N326" s="38">
        <v>4.9000000000000004</v>
      </c>
      <c r="O326" s="39">
        <v>0.50019999999999998</v>
      </c>
      <c r="P326" s="39">
        <v>0.15</v>
      </c>
      <c r="Q326" s="46">
        <f t="shared" si="321"/>
        <v>0.10391438612571544</v>
      </c>
      <c r="R326" s="81">
        <f t="shared" si="322"/>
        <v>0</v>
      </c>
      <c r="S326" s="82">
        <f t="shared" si="323"/>
        <v>0</v>
      </c>
      <c r="T326" s="39">
        <f t="shared" si="324"/>
        <v>0.77036463478971484</v>
      </c>
      <c r="U326" s="83">
        <f t="shared" si="325"/>
        <v>0.73499999999999999</v>
      </c>
      <c r="V326" s="84">
        <f t="shared" si="326"/>
        <v>3.3320000000000003</v>
      </c>
      <c r="W326" s="52">
        <f t="shared" si="327"/>
        <v>131.67620277007961</v>
      </c>
      <c r="X326" s="52">
        <f t="shared" si="328"/>
        <v>184.918828255682</v>
      </c>
      <c r="Y326" s="52">
        <f t="shared" si="329"/>
        <v>316.59503102576161</v>
      </c>
      <c r="Z326" s="53">
        <f t="shared" si="330"/>
        <v>1.028720334141247</v>
      </c>
      <c r="AA326" s="53">
        <f t="shared" si="331"/>
        <v>1.1007073110457262</v>
      </c>
      <c r="AB326" s="53">
        <f t="shared" si="332"/>
        <v>1.0695778075194649</v>
      </c>
      <c r="AC326" s="39" t="str">
        <f t="shared" si="333"/>
        <v>No</v>
      </c>
      <c r="AD326" s="85">
        <f t="shared" si="334"/>
        <v>2.4999999999999967E-2</v>
      </c>
      <c r="AE326" s="46">
        <f t="shared" si="335"/>
        <v>1</v>
      </c>
      <c r="AF326" s="46">
        <f t="shared" si="336"/>
        <v>0.50019999999999998</v>
      </c>
      <c r="AG326" s="39">
        <f t="shared" si="391"/>
        <v>52.735569511313713</v>
      </c>
      <c r="AH326" s="39">
        <f t="shared" si="392"/>
        <v>66.497200190209071</v>
      </c>
      <c r="AI326" s="39">
        <f t="shared" si="393"/>
        <v>67.176469189571392</v>
      </c>
      <c r="AJ326" s="39">
        <f t="shared" si="394"/>
        <v>94.266963878985422</v>
      </c>
      <c r="AK326" s="39">
        <f t="shared" si="395"/>
        <v>91.893603055616879</v>
      </c>
      <c r="AL326" s="39">
        <f t="shared" si="396"/>
        <v>80.015728948567485</v>
      </c>
      <c r="AM326" s="39">
        <f t="shared" si="397"/>
        <v>77.725555193514779</v>
      </c>
      <c r="AN326" s="39">
        <f t="shared" si="398"/>
        <v>76.283941057982872</v>
      </c>
      <c r="AO326" s="39">
        <f t="shared" si="337"/>
        <v>2.2735569511313716</v>
      </c>
      <c r="AP326" s="39">
        <f t="shared" si="338"/>
        <v>2.8497200190209071</v>
      </c>
      <c r="AQ326" s="39">
        <f t="shared" si="339"/>
        <v>1.5619411063975273</v>
      </c>
      <c r="AR326" s="39">
        <f t="shared" si="340"/>
        <v>0</v>
      </c>
      <c r="AS326" s="39">
        <f t="shared" si="341"/>
        <v>0</v>
      </c>
      <c r="AT326" s="39">
        <f t="shared" si="342"/>
        <v>0</v>
      </c>
      <c r="AU326" s="39">
        <f t="shared" si="343"/>
        <v>0</v>
      </c>
      <c r="AV326" s="39">
        <f t="shared" si="344"/>
        <v>0</v>
      </c>
      <c r="AW326" s="39">
        <f t="shared" si="345"/>
        <v>6.6852180765498064</v>
      </c>
      <c r="AX326" s="39">
        <f t="shared" si="346"/>
        <v>0.73499999999999999</v>
      </c>
      <c r="AY326" s="39">
        <f t="shared" si="347"/>
        <v>0.73499999999999999</v>
      </c>
      <c r="AZ326" s="39">
        <f t="shared" si="348"/>
        <v>0.24996407595786052</v>
      </c>
      <c r="BA326" s="39">
        <f t="shared" si="349"/>
        <v>0.31330978137086385</v>
      </c>
      <c r="BB326" s="39">
        <f t="shared" si="350"/>
        <v>0.17172614267127559</v>
      </c>
      <c r="BC326" s="39">
        <f t="shared" si="351"/>
        <v>0</v>
      </c>
      <c r="BD326" s="39">
        <f t="shared" si="352"/>
        <v>0</v>
      </c>
      <c r="BE326" s="39">
        <f t="shared" si="353"/>
        <v>0</v>
      </c>
      <c r="BF326" s="39">
        <f t="shared" si="354"/>
        <v>0</v>
      </c>
      <c r="BG326" s="39">
        <f t="shared" si="355"/>
        <v>0</v>
      </c>
      <c r="BH326" s="84">
        <f t="shared" si="356"/>
        <v>0</v>
      </c>
      <c r="BI326" s="84">
        <f t="shared" si="357"/>
        <v>3.3320000000000003</v>
      </c>
      <c r="BJ326" s="84">
        <f t="shared" si="358"/>
        <v>2.9635611467859464</v>
      </c>
      <c r="BK326" s="39">
        <f t="shared" si="359"/>
        <v>49.522044288569901</v>
      </c>
      <c r="BL326" s="39">
        <f t="shared" si="360"/>
        <v>66.183890408838209</v>
      </c>
      <c r="BM326" s="39">
        <f t="shared" si="361"/>
        <v>67.004743046900117</v>
      </c>
      <c r="BN326" s="39">
        <f t="shared" si="362"/>
        <v>94.266963878985422</v>
      </c>
      <c r="BO326" s="39">
        <f t="shared" si="363"/>
        <v>91.893603055616879</v>
      </c>
      <c r="BP326" s="39">
        <f t="shared" si="364"/>
        <v>80.015728948567485</v>
      </c>
      <c r="BQ326" s="39">
        <f t="shared" si="365"/>
        <v>77.725555193514779</v>
      </c>
      <c r="BR326" s="39">
        <f t="shared" si="366"/>
        <v>76.283941057982872</v>
      </c>
      <c r="BS326" s="39">
        <f t="shared" si="367"/>
        <v>0</v>
      </c>
      <c r="BT326" s="39">
        <f t="shared" si="368"/>
        <v>0.11033424530292564</v>
      </c>
      <c r="BU326" s="39">
        <f t="shared" si="369"/>
        <v>1.8028458281400788</v>
      </c>
      <c r="BV326" s="39">
        <f t="shared" si="370"/>
        <v>4.3601783273912442</v>
      </c>
      <c r="BW326" s="39">
        <f t="shared" si="371"/>
        <v>4.7361618333701356</v>
      </c>
      <c r="BX326" s="39">
        <f t="shared" si="372"/>
        <v>3.0094373691404823</v>
      </c>
      <c r="BY326" s="39">
        <f t="shared" si="373"/>
        <v>1.6353331161088589</v>
      </c>
      <c r="BZ326" s="39">
        <f t="shared" si="374"/>
        <v>0.77036463478971484</v>
      </c>
      <c r="CA326" s="39">
        <f t="shared" si="375"/>
        <v>49.522044288569901</v>
      </c>
      <c r="CB326" s="39">
        <f t="shared" si="376"/>
        <v>66.073556163535287</v>
      </c>
      <c r="CC326" s="39">
        <f t="shared" si="377"/>
        <v>65.312231464062961</v>
      </c>
      <c r="CD326" s="39">
        <f t="shared" si="378"/>
        <v>91.709631379734262</v>
      </c>
      <c r="CE326" s="39">
        <f t="shared" si="379"/>
        <v>91.517619549637985</v>
      </c>
      <c r="CF326" s="39">
        <f t="shared" si="380"/>
        <v>81.742453412797133</v>
      </c>
      <c r="CG326" s="39">
        <f t="shared" si="381"/>
        <v>79.099659446546411</v>
      </c>
      <c r="CH326" s="39">
        <f t="shared" si="382"/>
        <v>77.148909539302011</v>
      </c>
      <c r="CI326" s="39">
        <f t="shared" si="383"/>
        <v>0</v>
      </c>
      <c r="CJ326" s="39">
        <f t="shared" si="384"/>
        <v>0</v>
      </c>
      <c r="CK326" s="39">
        <f t="shared" si="385"/>
        <v>0</v>
      </c>
      <c r="CL326" s="39">
        <f t="shared" si="386"/>
        <v>0</v>
      </c>
      <c r="CM326" s="39">
        <f t="shared" si="387"/>
        <v>0</v>
      </c>
      <c r="CN326" s="39">
        <f t="shared" si="388"/>
        <v>0</v>
      </c>
      <c r="CO326" s="39">
        <f t="shared" si="389"/>
        <v>0</v>
      </c>
      <c r="CP326" s="39">
        <f t="shared" si="390"/>
        <v>0</v>
      </c>
    </row>
    <row r="327" spans="2:94" ht="16" customHeight="1" x14ac:dyDescent="0.2">
      <c r="L327" s="63">
        <v>30639</v>
      </c>
      <c r="M327" s="38">
        <v>0</v>
      </c>
      <c r="N327" s="38">
        <v>5.4</v>
      </c>
      <c r="O327" s="39">
        <v>0.52759999999999996</v>
      </c>
      <c r="P327" s="39">
        <v>0.15</v>
      </c>
      <c r="Q327" s="46">
        <f t="shared" si="321"/>
        <v>0.1104282886042502</v>
      </c>
      <c r="R327" s="81">
        <f t="shared" si="322"/>
        <v>0</v>
      </c>
      <c r="S327" s="82">
        <f t="shared" si="323"/>
        <v>0</v>
      </c>
      <c r="T327" s="39">
        <f t="shared" si="324"/>
        <v>1.2893457235811978</v>
      </c>
      <c r="U327" s="83">
        <f t="shared" si="325"/>
        <v>0.81</v>
      </c>
      <c r="V327" s="84">
        <f t="shared" si="326"/>
        <v>3.6720000000000002</v>
      </c>
      <c r="W327" s="52">
        <f t="shared" si="327"/>
        <v>123.61746329590244</v>
      </c>
      <c r="X327" s="52">
        <f t="shared" si="328"/>
        <v>188.50864194828353</v>
      </c>
      <c r="Y327" s="52">
        <f t="shared" si="329"/>
        <v>312.12610524418596</v>
      </c>
      <c r="Z327" s="53">
        <f t="shared" si="330"/>
        <v>0.96576143199923781</v>
      </c>
      <c r="AA327" s="53">
        <f t="shared" si="331"/>
        <v>1.1220752496921638</v>
      </c>
      <c r="AB327" s="53">
        <f t="shared" si="332"/>
        <v>1.0544800852844121</v>
      </c>
      <c r="AC327" s="39" t="str">
        <f t="shared" si="333"/>
        <v>No</v>
      </c>
      <c r="AD327" s="85">
        <f t="shared" si="334"/>
        <v>2.739999999999998E-2</v>
      </c>
      <c r="AE327" s="46">
        <f t="shared" si="335"/>
        <v>1</v>
      </c>
      <c r="AF327" s="46">
        <f t="shared" si="336"/>
        <v>0.52759999999999996</v>
      </c>
      <c r="AG327" s="39">
        <f t="shared" si="391"/>
        <v>49.522044288569901</v>
      </c>
      <c r="AH327" s="39">
        <f t="shared" si="392"/>
        <v>66.073556163535287</v>
      </c>
      <c r="AI327" s="39">
        <f t="shared" si="393"/>
        <v>65.312231464062961</v>
      </c>
      <c r="AJ327" s="39">
        <f t="shared" si="394"/>
        <v>91.709631379734262</v>
      </c>
      <c r="AK327" s="39">
        <f t="shared" si="395"/>
        <v>91.517619549637985</v>
      </c>
      <c r="AL327" s="39">
        <f t="shared" si="396"/>
        <v>81.742453412797133</v>
      </c>
      <c r="AM327" s="39">
        <f t="shared" si="397"/>
        <v>79.099659446546411</v>
      </c>
      <c r="AN327" s="39">
        <f t="shared" si="398"/>
        <v>77.148909539302011</v>
      </c>
      <c r="AO327" s="39">
        <f t="shared" si="337"/>
        <v>1.9522044288569902</v>
      </c>
      <c r="AP327" s="39">
        <f t="shared" si="338"/>
        <v>2.8073556163535289</v>
      </c>
      <c r="AQ327" s="39">
        <f t="shared" si="339"/>
        <v>1.8701203674072175</v>
      </c>
      <c r="AR327" s="39">
        <f t="shared" si="340"/>
        <v>0</v>
      </c>
      <c r="AS327" s="39">
        <f t="shared" si="341"/>
        <v>0</v>
      </c>
      <c r="AT327" s="39">
        <f t="shared" si="342"/>
        <v>0</v>
      </c>
      <c r="AU327" s="39">
        <f t="shared" si="343"/>
        <v>0</v>
      </c>
      <c r="AV327" s="39">
        <f t="shared" si="344"/>
        <v>0</v>
      </c>
      <c r="AW327" s="39">
        <f t="shared" si="345"/>
        <v>6.6296804126177369</v>
      </c>
      <c r="AX327" s="39">
        <f t="shared" si="346"/>
        <v>0.81</v>
      </c>
      <c r="AY327" s="39">
        <f t="shared" si="347"/>
        <v>0.81</v>
      </c>
      <c r="AZ327" s="39">
        <f t="shared" si="348"/>
        <v>0.23851611072603568</v>
      </c>
      <c r="BA327" s="39">
        <f t="shared" si="349"/>
        <v>0.34299663146937182</v>
      </c>
      <c r="BB327" s="39">
        <f t="shared" si="350"/>
        <v>0.22848725780459253</v>
      </c>
      <c r="BC327" s="39">
        <f t="shared" si="351"/>
        <v>0</v>
      </c>
      <c r="BD327" s="39">
        <f t="shared" si="352"/>
        <v>0</v>
      </c>
      <c r="BE327" s="39">
        <f t="shared" si="353"/>
        <v>0</v>
      </c>
      <c r="BF327" s="39">
        <f t="shared" si="354"/>
        <v>0</v>
      </c>
      <c r="BG327" s="39">
        <f t="shared" si="355"/>
        <v>0</v>
      </c>
      <c r="BH327" s="84">
        <f t="shared" si="356"/>
        <v>0</v>
      </c>
      <c r="BI327" s="84">
        <f t="shared" si="357"/>
        <v>3.6720000000000002</v>
      </c>
      <c r="BJ327" s="84">
        <f t="shared" si="358"/>
        <v>2.2850488666780056</v>
      </c>
      <c r="BK327" s="39">
        <f t="shared" si="359"/>
        <v>46.998479311165859</v>
      </c>
      <c r="BL327" s="39">
        <f t="shared" si="360"/>
        <v>65.730559532065911</v>
      </c>
      <c r="BM327" s="39">
        <f t="shared" si="361"/>
        <v>65.083744206258373</v>
      </c>
      <c r="BN327" s="39">
        <f t="shared" si="362"/>
        <v>91.709631379734262</v>
      </c>
      <c r="BO327" s="39">
        <f t="shared" si="363"/>
        <v>91.517619549637985</v>
      </c>
      <c r="BP327" s="39">
        <f t="shared" si="364"/>
        <v>81.742453412797133</v>
      </c>
      <c r="BQ327" s="39">
        <f t="shared" si="365"/>
        <v>79.099659446546411</v>
      </c>
      <c r="BR327" s="39">
        <f t="shared" si="366"/>
        <v>77.148909539302011</v>
      </c>
      <c r="BS327" s="39">
        <f t="shared" si="367"/>
        <v>0</v>
      </c>
      <c r="BT327" s="39">
        <f t="shared" si="368"/>
        <v>0</v>
      </c>
      <c r="BU327" s="39">
        <f t="shared" si="369"/>
        <v>0.65024652375503245</v>
      </c>
      <c r="BV327" s="39">
        <f t="shared" si="370"/>
        <v>2.8257788278405482</v>
      </c>
      <c r="BW327" s="39">
        <f t="shared" si="371"/>
        <v>4.5105717297827992</v>
      </c>
      <c r="BX327" s="39">
        <f t="shared" si="372"/>
        <v>4.0454720476782713</v>
      </c>
      <c r="BY327" s="39">
        <f t="shared" si="373"/>
        <v>2.4597956679278381</v>
      </c>
      <c r="BZ327" s="39">
        <f t="shared" si="374"/>
        <v>1.2893457235811978</v>
      </c>
      <c r="CA327" s="39">
        <f t="shared" si="375"/>
        <v>46.998479311165859</v>
      </c>
      <c r="CB327" s="39">
        <f t="shared" si="376"/>
        <v>65.730559532065911</v>
      </c>
      <c r="CC327" s="39">
        <f t="shared" si="377"/>
        <v>64.433497682503344</v>
      </c>
      <c r="CD327" s="39">
        <f t="shared" si="378"/>
        <v>89.53409907564874</v>
      </c>
      <c r="CE327" s="39">
        <f t="shared" si="379"/>
        <v>89.83282664769574</v>
      </c>
      <c r="CF327" s="39">
        <f t="shared" si="380"/>
        <v>82.207553094901655</v>
      </c>
      <c r="CG327" s="39">
        <f t="shared" si="381"/>
        <v>80.68533582629685</v>
      </c>
      <c r="CH327" s="39">
        <f t="shared" si="382"/>
        <v>78.319359483648654</v>
      </c>
      <c r="CI327" s="39">
        <f t="shared" si="383"/>
        <v>0</v>
      </c>
      <c r="CJ327" s="39">
        <f t="shared" si="384"/>
        <v>0</v>
      </c>
      <c r="CK327" s="39">
        <f t="shared" si="385"/>
        <v>0</v>
      </c>
      <c r="CL327" s="39">
        <f t="shared" si="386"/>
        <v>0</v>
      </c>
      <c r="CM327" s="39">
        <f t="shared" si="387"/>
        <v>0</v>
      </c>
      <c r="CN327" s="39">
        <f t="shared" si="388"/>
        <v>0</v>
      </c>
      <c r="CO327" s="39">
        <f t="shared" si="389"/>
        <v>0</v>
      </c>
      <c r="CP327" s="39">
        <f t="shared" si="390"/>
        <v>0</v>
      </c>
    </row>
    <row r="328" spans="2:94" ht="16" customHeight="1" x14ac:dyDescent="0.2">
      <c r="L328" s="63">
        <v>30640</v>
      </c>
      <c r="M328" s="38">
        <v>0</v>
      </c>
      <c r="N328" s="38">
        <v>5.9</v>
      </c>
      <c r="O328" s="39">
        <v>0.55459999999999998</v>
      </c>
      <c r="P328" s="39">
        <v>0.16770454500000001</v>
      </c>
      <c r="Q328" s="46">
        <f t="shared" si="321"/>
        <v>0.11554362301790705</v>
      </c>
      <c r="R328" s="81">
        <f t="shared" si="322"/>
        <v>0</v>
      </c>
      <c r="S328" s="82">
        <f t="shared" si="323"/>
        <v>0</v>
      </c>
      <c r="T328" s="39">
        <f t="shared" si="324"/>
        <v>1.9916156901891837</v>
      </c>
      <c r="U328" s="83">
        <f t="shared" si="325"/>
        <v>0.98945681550000009</v>
      </c>
      <c r="V328" s="84">
        <f t="shared" si="326"/>
        <v>3.9284345476000007</v>
      </c>
      <c r="W328" s="52">
        <f t="shared" si="327"/>
        <v>117.69663560138383</v>
      </c>
      <c r="X328" s="52">
        <f t="shared" si="328"/>
        <v>190.04507505254293</v>
      </c>
      <c r="Y328" s="52">
        <f t="shared" si="329"/>
        <v>307.74171065392676</v>
      </c>
      <c r="Z328" s="53">
        <f t="shared" si="330"/>
        <v>0.91950496563581119</v>
      </c>
      <c r="AA328" s="53">
        <f t="shared" si="331"/>
        <v>1.1312206848365651</v>
      </c>
      <c r="AB328" s="53">
        <f t="shared" si="332"/>
        <v>1.0396679413984011</v>
      </c>
      <c r="AC328" s="39" t="str">
        <f t="shared" si="333"/>
        <v>No</v>
      </c>
      <c r="AD328" s="85">
        <f t="shared" si="334"/>
        <v>2.7000000000000024E-2</v>
      </c>
      <c r="AE328" s="46">
        <f t="shared" si="335"/>
        <v>1</v>
      </c>
      <c r="AF328" s="46">
        <f t="shared" si="336"/>
        <v>0.55459999999999998</v>
      </c>
      <c r="AG328" s="39">
        <f t="shared" si="391"/>
        <v>46.998479311165859</v>
      </c>
      <c r="AH328" s="39">
        <f t="shared" si="392"/>
        <v>65.730559532065911</v>
      </c>
      <c r="AI328" s="39">
        <f t="shared" si="393"/>
        <v>64.433497682503344</v>
      </c>
      <c r="AJ328" s="39">
        <f t="shared" si="394"/>
        <v>89.53409907564874</v>
      </c>
      <c r="AK328" s="39">
        <f t="shared" si="395"/>
        <v>89.83282664769574</v>
      </c>
      <c r="AL328" s="39">
        <f t="shared" si="396"/>
        <v>82.207553094901655</v>
      </c>
      <c r="AM328" s="39">
        <f t="shared" si="397"/>
        <v>80.68533582629685</v>
      </c>
      <c r="AN328" s="39">
        <f t="shared" si="398"/>
        <v>78.319359483648654</v>
      </c>
      <c r="AO328" s="39">
        <f t="shared" si="337"/>
        <v>1.6998479311165859</v>
      </c>
      <c r="AP328" s="39">
        <f t="shared" si="338"/>
        <v>2.7730559532065913</v>
      </c>
      <c r="AQ328" s="39">
        <f t="shared" si="339"/>
        <v>2.1979093708575097</v>
      </c>
      <c r="AR328" s="39">
        <f t="shared" si="340"/>
        <v>0</v>
      </c>
      <c r="AS328" s="39">
        <f t="shared" si="341"/>
        <v>0</v>
      </c>
      <c r="AT328" s="39">
        <f t="shared" si="342"/>
        <v>0</v>
      </c>
      <c r="AU328" s="39">
        <f t="shared" si="343"/>
        <v>0</v>
      </c>
      <c r="AV328" s="39">
        <f t="shared" si="344"/>
        <v>0</v>
      </c>
      <c r="AW328" s="39">
        <f t="shared" si="345"/>
        <v>6.6708132551806862</v>
      </c>
      <c r="AX328" s="39">
        <f t="shared" si="346"/>
        <v>0.98945681550000009</v>
      </c>
      <c r="AY328" s="39">
        <f t="shared" si="347"/>
        <v>0.98945681550000009</v>
      </c>
      <c r="AZ328" s="39">
        <f t="shared" si="348"/>
        <v>0.25213209490621902</v>
      </c>
      <c r="BA328" s="39">
        <f t="shared" si="349"/>
        <v>0.41131703252706209</v>
      </c>
      <c r="BB328" s="39">
        <f t="shared" si="350"/>
        <v>0.32600768806671909</v>
      </c>
      <c r="BC328" s="39">
        <f t="shared" si="351"/>
        <v>0</v>
      </c>
      <c r="BD328" s="39">
        <f t="shared" si="352"/>
        <v>0</v>
      </c>
      <c r="BE328" s="39">
        <f t="shared" si="353"/>
        <v>0</v>
      </c>
      <c r="BF328" s="39">
        <f t="shared" si="354"/>
        <v>0</v>
      </c>
      <c r="BG328" s="39">
        <f t="shared" si="355"/>
        <v>0</v>
      </c>
      <c r="BH328" s="84">
        <f t="shared" si="356"/>
        <v>0</v>
      </c>
      <c r="BI328" s="84">
        <f t="shared" si="357"/>
        <v>3.9284345476000007</v>
      </c>
      <c r="BJ328" s="84">
        <f t="shared" si="358"/>
        <v>1.7974025381269543</v>
      </c>
      <c r="BK328" s="39">
        <f t="shared" si="359"/>
        <v>44.94894467813269</v>
      </c>
      <c r="BL328" s="39">
        <f t="shared" si="360"/>
        <v>65.319242499538845</v>
      </c>
      <c r="BM328" s="39">
        <f t="shared" si="361"/>
        <v>64.107489994436619</v>
      </c>
      <c r="BN328" s="39">
        <f t="shared" si="362"/>
        <v>89.53409907564874</v>
      </c>
      <c r="BO328" s="39">
        <f t="shared" si="363"/>
        <v>89.83282664769574</v>
      </c>
      <c r="BP328" s="39">
        <f t="shared" si="364"/>
        <v>82.207553094901655</v>
      </c>
      <c r="BQ328" s="39">
        <f t="shared" si="365"/>
        <v>80.68533582629685</v>
      </c>
      <c r="BR328" s="39">
        <f t="shared" si="366"/>
        <v>78.319359483648654</v>
      </c>
      <c r="BS328" s="39">
        <f t="shared" si="367"/>
        <v>0</v>
      </c>
      <c r="BT328" s="39">
        <f t="shared" si="368"/>
        <v>0</v>
      </c>
      <c r="BU328" s="39">
        <f t="shared" si="369"/>
        <v>6.4493996661980191E-2</v>
      </c>
      <c r="BV328" s="39">
        <f t="shared" si="370"/>
        <v>1.5204594453892355</v>
      </c>
      <c r="BW328" s="39">
        <f t="shared" si="371"/>
        <v>3.4996959886174523</v>
      </c>
      <c r="BX328" s="39">
        <f t="shared" si="372"/>
        <v>4.3245318569409843</v>
      </c>
      <c r="BY328" s="39">
        <f t="shared" si="373"/>
        <v>3.4112014957781014</v>
      </c>
      <c r="BZ328" s="39">
        <f t="shared" si="374"/>
        <v>1.9916156901891837</v>
      </c>
      <c r="CA328" s="39">
        <f t="shared" si="375"/>
        <v>44.94894467813269</v>
      </c>
      <c r="CB328" s="39">
        <f t="shared" si="376"/>
        <v>65.319242499538845</v>
      </c>
      <c r="CC328" s="39">
        <f t="shared" si="377"/>
        <v>64.042995997774639</v>
      </c>
      <c r="CD328" s="39">
        <f t="shared" si="378"/>
        <v>88.078133626921485</v>
      </c>
      <c r="CE328" s="39">
        <f t="shared" si="379"/>
        <v>87.853590104467528</v>
      </c>
      <c r="CF328" s="39">
        <f t="shared" si="380"/>
        <v>81.382717226578123</v>
      </c>
      <c r="CG328" s="39">
        <f t="shared" si="381"/>
        <v>81.598666187459727</v>
      </c>
      <c r="CH328" s="39">
        <f t="shared" si="382"/>
        <v>79.738945289237577</v>
      </c>
      <c r="CI328" s="39">
        <f t="shared" si="383"/>
        <v>0</v>
      </c>
      <c r="CJ328" s="39">
        <f t="shared" si="384"/>
        <v>0</v>
      </c>
      <c r="CK328" s="39">
        <f t="shared" si="385"/>
        <v>0</v>
      </c>
      <c r="CL328" s="39">
        <f t="shared" si="386"/>
        <v>0</v>
      </c>
      <c r="CM328" s="39">
        <f t="shared" si="387"/>
        <v>0</v>
      </c>
      <c r="CN328" s="39">
        <f t="shared" si="388"/>
        <v>0</v>
      </c>
      <c r="CO328" s="39">
        <f t="shared" si="389"/>
        <v>0</v>
      </c>
      <c r="CP328" s="39">
        <f t="shared" si="390"/>
        <v>0</v>
      </c>
    </row>
    <row r="329" spans="2:94" ht="16" customHeight="1" x14ac:dyDescent="0.2">
      <c r="L329" s="63">
        <v>30641</v>
      </c>
      <c r="M329" s="38">
        <v>0</v>
      </c>
      <c r="N329" s="38">
        <v>5.7</v>
      </c>
      <c r="O329" s="39">
        <v>0.57079999999999997</v>
      </c>
      <c r="P329" s="39">
        <v>0.18080303</v>
      </c>
      <c r="Q329" s="46">
        <f t="shared" si="321"/>
        <v>0.1196980851118932</v>
      </c>
      <c r="R329" s="81">
        <f t="shared" si="322"/>
        <v>0</v>
      </c>
      <c r="S329" s="82">
        <f t="shared" si="323"/>
        <v>0</v>
      </c>
      <c r="T329" s="39">
        <f t="shared" si="324"/>
        <v>2.8433671735425379</v>
      </c>
      <c r="U329" s="83">
        <f t="shared" si="325"/>
        <v>1.0305772710000001</v>
      </c>
      <c r="V329" s="84">
        <f t="shared" si="326"/>
        <v>3.7355381832000001</v>
      </c>
      <c r="W329" s="52">
        <f t="shared" si="327"/>
        <v>113.38931680236766</v>
      </c>
      <c r="X329" s="52">
        <f t="shared" si="328"/>
        <v>189.57391880774293</v>
      </c>
      <c r="Y329" s="52">
        <f t="shared" si="329"/>
        <v>302.96323561011059</v>
      </c>
      <c r="Z329" s="53">
        <f t="shared" si="330"/>
        <v>0.88585403751849734</v>
      </c>
      <c r="AA329" s="53">
        <f t="shared" si="331"/>
        <v>1.1284161833794222</v>
      </c>
      <c r="AB329" s="53">
        <f t="shared" si="332"/>
        <v>1.0235244446287519</v>
      </c>
      <c r="AC329" s="39" t="str">
        <f t="shared" si="333"/>
        <v>No</v>
      </c>
      <c r="AD329" s="85">
        <f t="shared" si="334"/>
        <v>1.6199999999999992E-2</v>
      </c>
      <c r="AE329" s="46">
        <f t="shared" si="335"/>
        <v>1</v>
      </c>
      <c r="AF329" s="46">
        <f t="shared" si="336"/>
        <v>0.57079999999999997</v>
      </c>
      <c r="AG329" s="39">
        <f t="shared" si="391"/>
        <v>44.94894467813269</v>
      </c>
      <c r="AH329" s="39">
        <f t="shared" si="392"/>
        <v>65.319242499538845</v>
      </c>
      <c r="AI329" s="39">
        <f t="shared" si="393"/>
        <v>64.042995997774639</v>
      </c>
      <c r="AJ329" s="39">
        <f t="shared" si="394"/>
        <v>88.078133626921485</v>
      </c>
      <c r="AK329" s="39">
        <f t="shared" si="395"/>
        <v>87.853590104467528</v>
      </c>
      <c r="AL329" s="39">
        <f t="shared" si="396"/>
        <v>81.382717226578123</v>
      </c>
      <c r="AM329" s="39">
        <f t="shared" si="397"/>
        <v>81.598666187459727</v>
      </c>
      <c r="AN329" s="39">
        <f t="shared" si="398"/>
        <v>79.738945289237577</v>
      </c>
      <c r="AO329" s="39">
        <f t="shared" si="337"/>
        <v>1.4898063132658113</v>
      </c>
      <c r="AP329" s="39">
        <f t="shared" si="338"/>
        <v>2.7319242499538845</v>
      </c>
      <c r="AQ329" s="39">
        <f t="shared" si="339"/>
        <v>2.3948718582099553</v>
      </c>
      <c r="AR329" s="39">
        <f t="shared" si="340"/>
        <v>0</v>
      </c>
      <c r="AS329" s="39">
        <f t="shared" si="341"/>
        <v>0</v>
      </c>
      <c r="AT329" s="39">
        <f t="shared" si="342"/>
        <v>0</v>
      </c>
      <c r="AU329" s="39">
        <f t="shared" si="343"/>
        <v>0</v>
      </c>
      <c r="AV329" s="39">
        <f t="shared" si="344"/>
        <v>0</v>
      </c>
      <c r="AW329" s="39">
        <f t="shared" si="345"/>
        <v>6.6166024214296506</v>
      </c>
      <c r="AX329" s="39">
        <f t="shared" si="346"/>
        <v>1.0305772710000001</v>
      </c>
      <c r="AY329" s="39">
        <f t="shared" si="347"/>
        <v>1.0305772710000001</v>
      </c>
      <c r="AZ329" s="39">
        <f t="shared" si="348"/>
        <v>0.23204666486705808</v>
      </c>
      <c r="BA329" s="39">
        <f t="shared" si="349"/>
        <v>0.4255143136570475</v>
      </c>
      <c r="BB329" s="39">
        <f t="shared" si="350"/>
        <v>0.37301629247589457</v>
      </c>
      <c r="BC329" s="39">
        <f t="shared" si="351"/>
        <v>0</v>
      </c>
      <c r="BD329" s="39">
        <f t="shared" si="352"/>
        <v>0</v>
      </c>
      <c r="BE329" s="39">
        <f t="shared" si="353"/>
        <v>0</v>
      </c>
      <c r="BF329" s="39">
        <f t="shared" si="354"/>
        <v>0</v>
      </c>
      <c r="BG329" s="39">
        <f t="shared" si="355"/>
        <v>0</v>
      </c>
      <c r="BH329" s="84">
        <f t="shared" si="356"/>
        <v>0</v>
      </c>
      <c r="BI329" s="84">
        <f t="shared" si="357"/>
        <v>3.7355381832000001</v>
      </c>
      <c r="BJ329" s="84">
        <f t="shared" si="358"/>
        <v>1.3122538525325704</v>
      </c>
      <c r="BK329" s="39">
        <f t="shared" si="359"/>
        <v>43.404644160733064</v>
      </c>
      <c r="BL329" s="39">
        <f t="shared" si="360"/>
        <v>64.893728185881798</v>
      </c>
      <c r="BM329" s="39">
        <f t="shared" si="361"/>
        <v>63.669979705298744</v>
      </c>
      <c r="BN329" s="39">
        <f t="shared" si="362"/>
        <v>88.078133626921485</v>
      </c>
      <c r="BO329" s="39">
        <f t="shared" si="363"/>
        <v>87.853590104467528</v>
      </c>
      <c r="BP329" s="39">
        <f t="shared" si="364"/>
        <v>81.382717226578123</v>
      </c>
      <c r="BQ329" s="39">
        <f t="shared" si="365"/>
        <v>81.598666187459727</v>
      </c>
      <c r="BR329" s="39">
        <f t="shared" si="366"/>
        <v>79.738945289237577</v>
      </c>
      <c r="BS329" s="39">
        <f t="shared" si="367"/>
        <v>0</v>
      </c>
      <c r="BT329" s="39">
        <f t="shared" si="368"/>
        <v>0</v>
      </c>
      <c r="BU329" s="39">
        <f t="shared" si="369"/>
        <v>0</v>
      </c>
      <c r="BV329" s="39">
        <f t="shared" si="370"/>
        <v>0.64688017615288229</v>
      </c>
      <c r="BW329" s="39">
        <f t="shared" si="371"/>
        <v>2.3121540626805257</v>
      </c>
      <c r="BX329" s="39">
        <f t="shared" si="372"/>
        <v>3.8296303359468649</v>
      </c>
      <c r="BY329" s="39">
        <f t="shared" si="373"/>
        <v>3.9591997124758276</v>
      </c>
      <c r="BZ329" s="39">
        <f t="shared" si="374"/>
        <v>2.8433671735425379</v>
      </c>
      <c r="CA329" s="39">
        <f t="shared" si="375"/>
        <v>43.404644160733064</v>
      </c>
      <c r="CB329" s="39">
        <f t="shared" si="376"/>
        <v>64.893728185881798</v>
      </c>
      <c r="CC329" s="39">
        <f t="shared" si="377"/>
        <v>63.669979705298744</v>
      </c>
      <c r="CD329" s="39">
        <f t="shared" si="378"/>
        <v>87.431253450768608</v>
      </c>
      <c r="CE329" s="39">
        <f t="shared" si="379"/>
        <v>86.188316217939885</v>
      </c>
      <c r="CF329" s="39">
        <f t="shared" si="380"/>
        <v>79.865240953311783</v>
      </c>
      <c r="CG329" s="39">
        <f t="shared" si="381"/>
        <v>81.469096810930765</v>
      </c>
      <c r="CH329" s="39">
        <f t="shared" si="382"/>
        <v>80.854777828170867</v>
      </c>
      <c r="CI329" s="39">
        <f t="shared" si="383"/>
        <v>0</v>
      </c>
      <c r="CJ329" s="39">
        <f t="shared" si="384"/>
        <v>0</v>
      </c>
      <c r="CK329" s="39">
        <f t="shared" si="385"/>
        <v>0</v>
      </c>
      <c r="CL329" s="39">
        <f t="shared" si="386"/>
        <v>0</v>
      </c>
      <c r="CM329" s="39">
        <f t="shared" si="387"/>
        <v>0</v>
      </c>
      <c r="CN329" s="39">
        <f t="shared" si="388"/>
        <v>0</v>
      </c>
      <c r="CO329" s="39">
        <f t="shared" si="389"/>
        <v>0</v>
      </c>
      <c r="CP329" s="39">
        <f t="shared" si="390"/>
        <v>0</v>
      </c>
    </row>
    <row r="330" spans="2:94" ht="16" customHeight="1" x14ac:dyDescent="0.2">
      <c r="L330" s="63">
        <v>30642</v>
      </c>
      <c r="M330" s="38">
        <v>0</v>
      </c>
      <c r="N330" s="38">
        <v>6.1</v>
      </c>
      <c r="O330" s="39">
        <v>0.58979999999999999</v>
      </c>
      <c r="P330" s="39">
        <v>0.19591666699999999</v>
      </c>
      <c r="Q330" s="46">
        <f t="shared" si="321"/>
        <v>0.12282842399851406</v>
      </c>
      <c r="R330" s="81">
        <f t="shared" si="322"/>
        <v>0</v>
      </c>
      <c r="S330" s="82">
        <f t="shared" si="323"/>
        <v>0</v>
      </c>
      <c r="T330" s="39">
        <f t="shared" si="324"/>
        <v>3.512866696902512</v>
      </c>
      <c r="U330" s="83">
        <f t="shared" si="325"/>
        <v>1.1950916686999999</v>
      </c>
      <c r="V330" s="84">
        <f t="shared" si="326"/>
        <v>3.9239266650399998</v>
      </c>
      <c r="W330" s="52">
        <f t="shared" si="327"/>
        <v>110.39960550268222</v>
      </c>
      <c r="X330" s="52">
        <f t="shared" si="328"/>
        <v>187.3774318103533</v>
      </c>
      <c r="Y330" s="52">
        <f t="shared" si="329"/>
        <v>297.77703731303552</v>
      </c>
      <c r="Z330" s="53">
        <f t="shared" si="330"/>
        <v>0.86249691798970485</v>
      </c>
      <c r="AA330" s="53">
        <f t="shared" si="331"/>
        <v>1.1153418560140078</v>
      </c>
      <c r="AB330" s="53">
        <f t="shared" si="332"/>
        <v>1.0060035044359308</v>
      </c>
      <c r="AC330" s="39" t="str">
        <f t="shared" si="333"/>
        <v>No</v>
      </c>
      <c r="AD330" s="85">
        <f t="shared" si="334"/>
        <v>1.9000000000000017E-2</v>
      </c>
      <c r="AE330" s="46">
        <f t="shared" si="335"/>
        <v>1</v>
      </c>
      <c r="AF330" s="46">
        <f t="shared" si="336"/>
        <v>0.58979999999999999</v>
      </c>
      <c r="AG330" s="39">
        <f t="shared" si="391"/>
        <v>43.404644160733064</v>
      </c>
      <c r="AH330" s="39">
        <f t="shared" si="392"/>
        <v>64.893728185881798</v>
      </c>
      <c r="AI330" s="39">
        <f t="shared" si="393"/>
        <v>63.669979705298744</v>
      </c>
      <c r="AJ330" s="39">
        <f t="shared" si="394"/>
        <v>87.431253450768608</v>
      </c>
      <c r="AK330" s="39">
        <f t="shared" si="395"/>
        <v>86.188316217939885</v>
      </c>
      <c r="AL330" s="39">
        <f t="shared" si="396"/>
        <v>79.865240953311783</v>
      </c>
      <c r="AM330" s="39">
        <f t="shared" si="397"/>
        <v>81.469096810930765</v>
      </c>
      <c r="AN330" s="39">
        <f t="shared" si="398"/>
        <v>80.854777828170867</v>
      </c>
      <c r="AO330" s="39">
        <f t="shared" si="337"/>
        <v>1.1978965671725001</v>
      </c>
      <c r="AP330" s="39">
        <f t="shared" si="338"/>
        <v>2.68937281858818</v>
      </c>
      <c r="AQ330" s="39">
        <f t="shared" si="339"/>
        <v>2.6258810740328524</v>
      </c>
      <c r="AR330" s="39">
        <f t="shared" si="340"/>
        <v>0</v>
      </c>
      <c r="AS330" s="39">
        <f t="shared" si="341"/>
        <v>0</v>
      </c>
      <c r="AT330" s="39">
        <f t="shared" si="342"/>
        <v>0</v>
      </c>
      <c r="AU330" s="39">
        <f t="shared" si="343"/>
        <v>0</v>
      </c>
      <c r="AV330" s="39">
        <f t="shared" si="344"/>
        <v>0</v>
      </c>
      <c r="AW330" s="39">
        <f t="shared" si="345"/>
        <v>6.5131504597935326</v>
      </c>
      <c r="AX330" s="39">
        <f t="shared" si="346"/>
        <v>1.1950916686999999</v>
      </c>
      <c r="AY330" s="39">
        <f t="shared" si="347"/>
        <v>1.1950916686999999</v>
      </c>
      <c r="AZ330" s="39">
        <f t="shared" si="348"/>
        <v>0.21980088073039336</v>
      </c>
      <c r="BA330" s="39">
        <f t="shared" si="349"/>
        <v>0.49347041333739672</v>
      </c>
      <c r="BB330" s="39">
        <f t="shared" si="350"/>
        <v>0.48182037463220989</v>
      </c>
      <c r="BC330" s="39">
        <f t="shared" si="351"/>
        <v>0</v>
      </c>
      <c r="BD330" s="39">
        <f t="shared" si="352"/>
        <v>0</v>
      </c>
      <c r="BE330" s="39">
        <f t="shared" si="353"/>
        <v>0</v>
      </c>
      <c r="BF330" s="39">
        <f t="shared" si="354"/>
        <v>0</v>
      </c>
      <c r="BG330" s="39">
        <f t="shared" si="355"/>
        <v>0</v>
      </c>
      <c r="BH330" s="84">
        <f t="shared" si="356"/>
        <v>0</v>
      </c>
      <c r="BI330" s="84">
        <f t="shared" si="357"/>
        <v>3.9239266650399998</v>
      </c>
      <c r="BJ330" s="84">
        <f t="shared" si="358"/>
        <v>1.1154090418026721</v>
      </c>
      <c r="BK330" s="39">
        <f t="shared" si="359"/>
        <v>42.069434238199996</v>
      </c>
      <c r="BL330" s="39">
        <f t="shared" si="360"/>
        <v>64.400257772544407</v>
      </c>
      <c r="BM330" s="39">
        <f t="shared" si="361"/>
        <v>63.188159330666537</v>
      </c>
      <c r="BN330" s="39">
        <f t="shared" si="362"/>
        <v>87.431253450768608</v>
      </c>
      <c r="BO330" s="39">
        <f t="shared" si="363"/>
        <v>86.188316217939885</v>
      </c>
      <c r="BP330" s="39">
        <f t="shared" si="364"/>
        <v>79.865240953311783</v>
      </c>
      <c r="BQ330" s="39">
        <f t="shared" si="365"/>
        <v>81.469096810930765</v>
      </c>
      <c r="BR330" s="39">
        <f t="shared" si="366"/>
        <v>80.854777828170867</v>
      </c>
      <c r="BS330" s="39">
        <f t="shared" si="367"/>
        <v>0</v>
      </c>
      <c r="BT330" s="39">
        <f t="shared" si="368"/>
        <v>0</v>
      </c>
      <c r="BU330" s="39">
        <f t="shared" si="369"/>
        <v>0</v>
      </c>
      <c r="BV330" s="39">
        <f t="shared" si="370"/>
        <v>0.25875207046115634</v>
      </c>
      <c r="BW330" s="39">
        <f t="shared" si="371"/>
        <v>1.3129897307639395</v>
      </c>
      <c r="BX330" s="39">
        <f t="shared" si="372"/>
        <v>2.9191445719870615</v>
      </c>
      <c r="BY330" s="39">
        <f t="shared" si="373"/>
        <v>3.88145808655845</v>
      </c>
      <c r="BZ330" s="39">
        <f t="shared" si="374"/>
        <v>3.512866696902512</v>
      </c>
      <c r="CA330" s="39">
        <f t="shared" si="375"/>
        <v>42.069434238199996</v>
      </c>
      <c r="CB330" s="39">
        <f t="shared" si="376"/>
        <v>64.400257772544407</v>
      </c>
      <c r="CC330" s="39">
        <f t="shared" si="377"/>
        <v>63.188159330666537</v>
      </c>
      <c r="CD330" s="39">
        <f t="shared" si="378"/>
        <v>87.172501380307452</v>
      </c>
      <c r="CE330" s="39">
        <f t="shared" si="379"/>
        <v>85.134078557637096</v>
      </c>
      <c r="CF330" s="39">
        <f t="shared" si="380"/>
        <v>78.259086112088667</v>
      </c>
      <c r="CG330" s="39">
        <f t="shared" si="381"/>
        <v>80.506783296359373</v>
      </c>
      <c r="CH330" s="39">
        <f t="shared" si="382"/>
        <v>81.223369217826814</v>
      </c>
      <c r="CI330" s="39">
        <f t="shared" si="383"/>
        <v>0</v>
      </c>
      <c r="CJ330" s="39">
        <f t="shared" si="384"/>
        <v>0</v>
      </c>
      <c r="CK330" s="39">
        <f t="shared" si="385"/>
        <v>0</v>
      </c>
      <c r="CL330" s="39">
        <f t="shared" si="386"/>
        <v>0</v>
      </c>
      <c r="CM330" s="39">
        <f t="shared" si="387"/>
        <v>0</v>
      </c>
      <c r="CN330" s="39">
        <f t="shared" si="388"/>
        <v>0</v>
      </c>
      <c r="CO330" s="39">
        <f t="shared" si="389"/>
        <v>0</v>
      </c>
      <c r="CP330" s="39">
        <f t="shared" si="390"/>
        <v>0</v>
      </c>
    </row>
    <row r="331" spans="2:94" ht="16" customHeight="1" x14ac:dyDescent="0.2">
      <c r="L331" s="63">
        <v>30643</v>
      </c>
      <c r="M331" s="38">
        <v>0</v>
      </c>
      <c r="N331" s="38">
        <v>8.1</v>
      </c>
      <c r="O331" s="39">
        <v>0.621</v>
      </c>
      <c r="P331" s="39">
        <v>0.21981060599999999</v>
      </c>
      <c r="Q331" s="46">
        <f t="shared" si="321"/>
        <v>0.12553493059824325</v>
      </c>
      <c r="R331" s="81">
        <f t="shared" si="322"/>
        <v>0</v>
      </c>
      <c r="S331" s="82">
        <f t="shared" si="323"/>
        <v>0</v>
      </c>
      <c r="T331" s="39">
        <f t="shared" si="324"/>
        <v>3.7340215306960798</v>
      </c>
      <c r="U331" s="83">
        <f t="shared" si="325"/>
        <v>1.7804659085999999</v>
      </c>
      <c r="V331" s="84">
        <f t="shared" si="326"/>
        <v>5.0556272731199998</v>
      </c>
      <c r="W331" s="52">
        <f t="shared" si="327"/>
        <v>107.83035272171838</v>
      </c>
      <c r="X331" s="52">
        <f t="shared" si="328"/>
        <v>184.12331718391192</v>
      </c>
      <c r="Y331" s="52">
        <f t="shared" si="329"/>
        <v>291.95366990563031</v>
      </c>
      <c r="Z331" s="53">
        <f t="shared" si="330"/>
        <v>0.84242463063842488</v>
      </c>
      <c r="AA331" s="53">
        <f t="shared" si="331"/>
        <v>1.0959721260947137</v>
      </c>
      <c r="AB331" s="53">
        <f t="shared" si="332"/>
        <v>0.98632996589739963</v>
      </c>
      <c r="AC331" s="39" t="str">
        <f t="shared" si="333"/>
        <v>No</v>
      </c>
      <c r="AD331" s="85">
        <f t="shared" si="334"/>
        <v>3.1200000000000006E-2</v>
      </c>
      <c r="AE331" s="46">
        <f t="shared" si="335"/>
        <v>1</v>
      </c>
      <c r="AF331" s="46">
        <f t="shared" si="336"/>
        <v>0.621</v>
      </c>
      <c r="AG331" s="39">
        <f t="shared" si="391"/>
        <v>42.069434238199996</v>
      </c>
      <c r="AH331" s="39">
        <f t="shared" si="392"/>
        <v>64.400257772544407</v>
      </c>
      <c r="AI331" s="39">
        <f t="shared" si="393"/>
        <v>63.188159330666537</v>
      </c>
      <c r="AJ331" s="39">
        <f t="shared" si="394"/>
        <v>87.172501380307452</v>
      </c>
      <c r="AK331" s="39">
        <f t="shared" si="395"/>
        <v>85.134078557637096</v>
      </c>
      <c r="AL331" s="39">
        <f t="shared" si="396"/>
        <v>78.259086112088667</v>
      </c>
      <c r="AM331" s="39">
        <f t="shared" si="397"/>
        <v>80.506783296359373</v>
      </c>
      <c r="AN331" s="39">
        <f t="shared" si="398"/>
        <v>81.223369217826814</v>
      </c>
      <c r="AO331" s="39">
        <f t="shared" si="337"/>
        <v>0.97114161886822881</v>
      </c>
      <c r="AP331" s="39">
        <f t="shared" si="338"/>
        <v>2.6400257772544409</v>
      </c>
      <c r="AQ331" s="39">
        <f t="shared" si="339"/>
        <v>2.7188159330666553</v>
      </c>
      <c r="AR331" s="39">
        <f t="shared" si="340"/>
        <v>0.29520750966215237</v>
      </c>
      <c r="AS331" s="39">
        <f t="shared" si="341"/>
        <v>0</v>
      </c>
      <c r="AT331" s="39">
        <f t="shared" si="342"/>
        <v>0</v>
      </c>
      <c r="AU331" s="39">
        <f t="shared" si="343"/>
        <v>0</v>
      </c>
      <c r="AV331" s="39">
        <f t="shared" si="344"/>
        <v>0</v>
      </c>
      <c r="AW331" s="39">
        <f t="shared" si="345"/>
        <v>6.6251908388514771</v>
      </c>
      <c r="AX331" s="39">
        <f t="shared" si="346"/>
        <v>1.7804659085999999</v>
      </c>
      <c r="AY331" s="39">
        <f t="shared" si="347"/>
        <v>1.7804659085999999</v>
      </c>
      <c r="AZ331" s="39">
        <f t="shared" si="348"/>
        <v>0.26098637561921834</v>
      </c>
      <c r="BA331" s="39">
        <f t="shared" si="349"/>
        <v>0.70948535801598267</v>
      </c>
      <c r="BB331" s="39">
        <f t="shared" si="350"/>
        <v>0.73065956865672088</v>
      </c>
      <c r="BC331" s="39">
        <f t="shared" si="351"/>
        <v>7.9334606308078065E-2</v>
      </c>
      <c r="BD331" s="39">
        <f t="shared" si="352"/>
        <v>0</v>
      </c>
      <c r="BE331" s="39">
        <f t="shared" si="353"/>
        <v>0</v>
      </c>
      <c r="BF331" s="39">
        <f t="shared" si="354"/>
        <v>0</v>
      </c>
      <c r="BG331" s="39">
        <f t="shared" si="355"/>
        <v>0</v>
      </c>
      <c r="BH331" s="84">
        <f t="shared" si="356"/>
        <v>0</v>
      </c>
      <c r="BI331" s="84">
        <f t="shared" si="357"/>
        <v>5.0556272731199998</v>
      </c>
      <c r="BJ331" s="84">
        <f t="shared" si="358"/>
        <v>1.1762848681033891</v>
      </c>
      <c r="BK331" s="39">
        <f t="shared" si="359"/>
        <v>40.63216299447739</v>
      </c>
      <c r="BL331" s="39">
        <f t="shared" si="360"/>
        <v>63.690772414528425</v>
      </c>
      <c r="BM331" s="39">
        <f t="shared" si="361"/>
        <v>62.457499762009817</v>
      </c>
      <c r="BN331" s="39">
        <f t="shared" si="362"/>
        <v>87.093166773999371</v>
      </c>
      <c r="BO331" s="39">
        <f t="shared" si="363"/>
        <v>85.134078557637096</v>
      </c>
      <c r="BP331" s="39">
        <f t="shared" si="364"/>
        <v>78.259086112088667</v>
      </c>
      <c r="BQ331" s="39">
        <f t="shared" si="365"/>
        <v>80.506783296359373</v>
      </c>
      <c r="BR331" s="39">
        <f t="shared" si="366"/>
        <v>81.223369217826814</v>
      </c>
      <c r="BS331" s="39">
        <f t="shared" si="367"/>
        <v>0</v>
      </c>
      <c r="BT331" s="39">
        <f t="shared" si="368"/>
        <v>0</v>
      </c>
      <c r="BU331" s="39">
        <f t="shared" si="369"/>
        <v>0</v>
      </c>
      <c r="BV331" s="39">
        <f t="shared" si="370"/>
        <v>5.5900064399614278E-2</v>
      </c>
      <c r="BW331" s="39">
        <f t="shared" si="371"/>
        <v>0.68044713458226624</v>
      </c>
      <c r="BX331" s="39">
        <f t="shared" si="372"/>
        <v>1.9554516672531916</v>
      </c>
      <c r="BY331" s="39">
        <f t="shared" si="373"/>
        <v>3.3040699778156153</v>
      </c>
      <c r="BZ331" s="39">
        <f t="shared" si="374"/>
        <v>3.7340215306960798</v>
      </c>
      <c r="CA331" s="39">
        <f t="shared" si="375"/>
        <v>40.63216299447739</v>
      </c>
      <c r="CB331" s="39">
        <f t="shared" si="376"/>
        <v>63.690772414528425</v>
      </c>
      <c r="CC331" s="39">
        <f t="shared" si="377"/>
        <v>62.457499762009817</v>
      </c>
      <c r="CD331" s="39">
        <f t="shared" si="378"/>
        <v>87.037266709599763</v>
      </c>
      <c r="CE331" s="39">
        <f t="shared" si="379"/>
        <v>84.509531487454439</v>
      </c>
      <c r="CF331" s="39">
        <f t="shared" si="380"/>
        <v>76.984081579417747</v>
      </c>
      <c r="CG331" s="39">
        <f t="shared" si="381"/>
        <v>79.158164985796944</v>
      </c>
      <c r="CH331" s="39">
        <f t="shared" si="382"/>
        <v>80.793417664946347</v>
      </c>
      <c r="CI331" s="39">
        <f t="shared" si="383"/>
        <v>0</v>
      </c>
      <c r="CJ331" s="39">
        <f t="shared" si="384"/>
        <v>0</v>
      </c>
      <c r="CK331" s="39">
        <f t="shared" si="385"/>
        <v>0</v>
      </c>
      <c r="CL331" s="39">
        <f t="shared" si="386"/>
        <v>0</v>
      </c>
      <c r="CM331" s="39">
        <f t="shared" si="387"/>
        <v>0</v>
      </c>
      <c r="CN331" s="39">
        <f t="shared" si="388"/>
        <v>0</v>
      </c>
      <c r="CO331" s="39">
        <f t="shared" si="389"/>
        <v>0</v>
      </c>
      <c r="CP331" s="39">
        <f t="shared" si="390"/>
        <v>0</v>
      </c>
    </row>
    <row r="332" spans="2:94" ht="16" customHeight="1" x14ac:dyDescent="0.2">
      <c r="L332" s="63">
        <v>30644</v>
      </c>
      <c r="M332" s="38">
        <v>0</v>
      </c>
      <c r="N332" s="38">
        <v>6.6</v>
      </c>
      <c r="O332" s="39">
        <v>0.65639999999999998</v>
      </c>
      <c r="P332" s="39">
        <v>0.246727273</v>
      </c>
      <c r="Q332" s="46">
        <f t="shared" si="321"/>
        <v>0.1284483182544377</v>
      </c>
      <c r="R332" s="81">
        <f t="shared" si="322"/>
        <v>0</v>
      </c>
      <c r="S332" s="82">
        <f t="shared" si="323"/>
        <v>0</v>
      </c>
      <c r="T332" s="39">
        <f t="shared" si="324"/>
        <v>3.4760505989677992</v>
      </c>
      <c r="U332" s="83">
        <f t="shared" si="325"/>
        <v>1.6284000018</v>
      </c>
      <c r="V332" s="84">
        <f t="shared" si="326"/>
        <v>3.9772799985600003</v>
      </c>
      <c r="W332" s="52">
        <f t="shared" si="327"/>
        <v>104.8177018806154</v>
      </c>
      <c r="X332" s="52">
        <f t="shared" si="328"/>
        <v>180.44519571761543</v>
      </c>
      <c r="Y332" s="52">
        <f t="shared" si="329"/>
        <v>285.26289759823084</v>
      </c>
      <c r="Z332" s="53">
        <f t="shared" si="330"/>
        <v>0.81888829594230783</v>
      </c>
      <c r="AA332" s="53">
        <f t="shared" si="331"/>
        <v>1.0740785459381872</v>
      </c>
      <c r="AB332" s="53">
        <f t="shared" si="332"/>
        <v>0.96372600539942854</v>
      </c>
      <c r="AC332" s="39" t="str">
        <f t="shared" si="333"/>
        <v>No</v>
      </c>
      <c r="AD332" s="85">
        <f t="shared" si="334"/>
        <v>3.5399999999999987E-2</v>
      </c>
      <c r="AE332" s="46">
        <f t="shared" si="335"/>
        <v>1</v>
      </c>
      <c r="AF332" s="46">
        <f t="shared" si="336"/>
        <v>0.65639999999999998</v>
      </c>
      <c r="AG332" s="39">
        <f t="shared" si="391"/>
        <v>40.63216299447739</v>
      </c>
      <c r="AH332" s="39">
        <f t="shared" si="392"/>
        <v>63.690772414528425</v>
      </c>
      <c r="AI332" s="39">
        <f t="shared" si="393"/>
        <v>62.457499762009817</v>
      </c>
      <c r="AJ332" s="39">
        <f t="shared" si="394"/>
        <v>87.037266709599763</v>
      </c>
      <c r="AK332" s="39">
        <f t="shared" si="395"/>
        <v>84.509531487454439</v>
      </c>
      <c r="AL332" s="39">
        <f t="shared" si="396"/>
        <v>76.984081579417747</v>
      </c>
      <c r="AM332" s="39">
        <f t="shared" si="397"/>
        <v>79.158164985796944</v>
      </c>
      <c r="AN332" s="39">
        <f t="shared" si="398"/>
        <v>80.793417664946347</v>
      </c>
      <c r="AO332" s="39">
        <f t="shared" si="337"/>
        <v>0.75361926627422948</v>
      </c>
      <c r="AP332" s="39">
        <f t="shared" si="338"/>
        <v>2.5690772414528427</v>
      </c>
      <c r="AQ332" s="39">
        <f t="shared" si="339"/>
        <v>2.6457499762009835</v>
      </c>
      <c r="AR332" s="39">
        <f t="shared" si="340"/>
        <v>0.79030061414047548</v>
      </c>
      <c r="AS332" s="39">
        <f t="shared" si="341"/>
        <v>0</v>
      </c>
      <c r="AT332" s="39">
        <f t="shared" si="342"/>
        <v>0</v>
      </c>
      <c r="AU332" s="39">
        <f t="shared" si="343"/>
        <v>0</v>
      </c>
      <c r="AV332" s="39">
        <f t="shared" si="344"/>
        <v>0</v>
      </c>
      <c r="AW332" s="39">
        <f t="shared" si="345"/>
        <v>6.7587470980685307</v>
      </c>
      <c r="AX332" s="39">
        <f t="shared" si="346"/>
        <v>1.6284000018</v>
      </c>
      <c r="AY332" s="39">
        <f t="shared" si="347"/>
        <v>1.6284000018</v>
      </c>
      <c r="AZ332" s="39">
        <f t="shared" si="348"/>
        <v>0.18157116944176963</v>
      </c>
      <c r="BA332" s="39">
        <f t="shared" si="349"/>
        <v>0.61897350557793118</v>
      </c>
      <c r="BB332" s="39">
        <f t="shared" si="350"/>
        <v>0.63744643844407789</v>
      </c>
      <c r="BC332" s="39">
        <f t="shared" si="351"/>
        <v>0.19040888833622141</v>
      </c>
      <c r="BD332" s="39">
        <f t="shared" si="352"/>
        <v>0</v>
      </c>
      <c r="BE332" s="39">
        <f t="shared" si="353"/>
        <v>0</v>
      </c>
      <c r="BF332" s="39">
        <f t="shared" si="354"/>
        <v>0</v>
      </c>
      <c r="BG332" s="39">
        <f t="shared" si="355"/>
        <v>0</v>
      </c>
      <c r="BH332" s="84">
        <f t="shared" si="356"/>
        <v>0</v>
      </c>
      <c r="BI332" s="84">
        <f t="shared" si="357"/>
        <v>3.9772799985600003</v>
      </c>
      <c r="BJ332" s="84">
        <f t="shared" si="358"/>
        <v>0.75167220394119938</v>
      </c>
      <c r="BK332" s="39">
        <f t="shared" si="359"/>
        <v>39.698919621094426</v>
      </c>
      <c r="BL332" s="39">
        <f t="shared" si="360"/>
        <v>63.071798908950491</v>
      </c>
      <c r="BM332" s="39">
        <f t="shared" si="361"/>
        <v>61.820053323565737</v>
      </c>
      <c r="BN332" s="39">
        <f t="shared" si="362"/>
        <v>86.846857821263541</v>
      </c>
      <c r="BO332" s="39">
        <f t="shared" si="363"/>
        <v>84.509531487454439</v>
      </c>
      <c r="BP332" s="39">
        <f t="shared" si="364"/>
        <v>76.984081579417747</v>
      </c>
      <c r="BQ332" s="39">
        <f t="shared" si="365"/>
        <v>79.158164985796944</v>
      </c>
      <c r="BR332" s="39">
        <f t="shared" si="366"/>
        <v>80.793417664946347</v>
      </c>
      <c r="BS332" s="39">
        <f t="shared" si="367"/>
        <v>0</v>
      </c>
      <c r="BT332" s="39">
        <f t="shared" si="368"/>
        <v>0</v>
      </c>
      <c r="BU332" s="39">
        <f t="shared" si="369"/>
        <v>0</v>
      </c>
      <c r="BV332" s="39">
        <f t="shared" si="370"/>
        <v>0</v>
      </c>
      <c r="BW332" s="39">
        <f t="shared" si="371"/>
        <v>0.30571889247267164</v>
      </c>
      <c r="BX332" s="39">
        <f t="shared" si="372"/>
        <v>1.1904489476506399</v>
      </c>
      <c r="BY332" s="39">
        <f t="shared" si="373"/>
        <v>2.4948989914781579</v>
      </c>
      <c r="BZ332" s="39">
        <f t="shared" si="374"/>
        <v>3.4760505989677992</v>
      </c>
      <c r="CA332" s="39">
        <f t="shared" si="375"/>
        <v>39.698919621094426</v>
      </c>
      <c r="CB332" s="39">
        <f t="shared" si="376"/>
        <v>63.071798908950491</v>
      </c>
      <c r="CC332" s="39">
        <f t="shared" si="377"/>
        <v>61.820053323565737</v>
      </c>
      <c r="CD332" s="39">
        <f t="shared" si="378"/>
        <v>86.846857821263541</v>
      </c>
      <c r="CE332" s="39">
        <f t="shared" si="379"/>
        <v>84.20381259498177</v>
      </c>
      <c r="CF332" s="39">
        <f t="shared" si="380"/>
        <v>76.099351524239779</v>
      </c>
      <c r="CG332" s="39">
        <f t="shared" si="381"/>
        <v>77.853714941969429</v>
      </c>
      <c r="CH332" s="39">
        <f t="shared" si="382"/>
        <v>79.812266057456696</v>
      </c>
      <c r="CI332" s="39">
        <f t="shared" si="383"/>
        <v>0</v>
      </c>
      <c r="CJ332" s="39">
        <f t="shared" si="384"/>
        <v>0</v>
      </c>
      <c r="CK332" s="39">
        <f t="shared" si="385"/>
        <v>0</v>
      </c>
      <c r="CL332" s="39">
        <f t="shared" si="386"/>
        <v>0</v>
      </c>
      <c r="CM332" s="39">
        <f t="shared" si="387"/>
        <v>0</v>
      </c>
      <c r="CN332" s="39">
        <f t="shared" si="388"/>
        <v>0</v>
      </c>
      <c r="CO332" s="39">
        <f t="shared" si="389"/>
        <v>0</v>
      </c>
      <c r="CP332" s="39">
        <f t="shared" si="390"/>
        <v>0</v>
      </c>
    </row>
    <row r="333" spans="2:94" ht="16" customHeight="1" x14ac:dyDescent="0.2">
      <c r="L333" s="63">
        <v>30645</v>
      </c>
      <c r="M333" s="38">
        <v>0</v>
      </c>
      <c r="N333" s="38">
        <v>6.5</v>
      </c>
      <c r="O333" s="39">
        <v>0.68220000000000003</v>
      </c>
      <c r="P333" s="39">
        <v>0.26673484800000002</v>
      </c>
      <c r="Q333" s="46">
        <f t="shared" si="321"/>
        <v>0.13034002779507886</v>
      </c>
      <c r="R333" s="81">
        <f t="shared" si="322"/>
        <v>0</v>
      </c>
      <c r="S333" s="82">
        <f t="shared" si="323"/>
        <v>0</v>
      </c>
      <c r="T333" s="39">
        <f t="shared" si="324"/>
        <v>2.8873596344740093</v>
      </c>
      <c r="U333" s="83">
        <f t="shared" si="325"/>
        <v>1.7337765120000002</v>
      </c>
      <c r="V333" s="84">
        <f t="shared" si="326"/>
        <v>3.8129787903999999</v>
      </c>
      <c r="W333" s="52">
        <f t="shared" si="327"/>
        <v>102.43762967487419</v>
      </c>
      <c r="X333" s="52">
        <f t="shared" si="328"/>
        <v>176.9691451186477</v>
      </c>
      <c r="Y333" s="52">
        <f t="shared" si="329"/>
        <v>279.40677479352189</v>
      </c>
      <c r="Z333" s="53">
        <f t="shared" si="330"/>
        <v>0.80029398183495459</v>
      </c>
      <c r="AA333" s="53">
        <f t="shared" si="331"/>
        <v>1.0533877685633792</v>
      </c>
      <c r="AB333" s="53">
        <f t="shared" si="332"/>
        <v>0.94394180673487127</v>
      </c>
      <c r="AC333" s="39" t="str">
        <f t="shared" si="333"/>
        <v>No</v>
      </c>
      <c r="AD333" s="85">
        <f t="shared" si="334"/>
        <v>2.5800000000000045E-2</v>
      </c>
      <c r="AE333" s="46">
        <f t="shared" si="335"/>
        <v>1</v>
      </c>
      <c r="AF333" s="46">
        <f t="shared" si="336"/>
        <v>0.68220000000000003</v>
      </c>
      <c r="AG333" s="39">
        <f t="shared" si="391"/>
        <v>39.698919621094426</v>
      </c>
      <c r="AH333" s="39">
        <f t="shared" si="392"/>
        <v>63.071798908950491</v>
      </c>
      <c r="AI333" s="39">
        <f t="shared" si="393"/>
        <v>61.820053323565737</v>
      </c>
      <c r="AJ333" s="39">
        <f t="shared" si="394"/>
        <v>86.846857821263541</v>
      </c>
      <c r="AK333" s="39">
        <f t="shared" si="395"/>
        <v>84.20381259498177</v>
      </c>
      <c r="AL333" s="39">
        <f t="shared" si="396"/>
        <v>76.099351524239779</v>
      </c>
      <c r="AM333" s="39">
        <f t="shared" si="397"/>
        <v>77.853714941969429</v>
      </c>
      <c r="AN333" s="39">
        <f t="shared" si="398"/>
        <v>79.812266057456696</v>
      </c>
      <c r="AO333" s="39">
        <f t="shared" si="337"/>
        <v>0.62712694544300296</v>
      </c>
      <c r="AP333" s="39">
        <f t="shared" si="338"/>
        <v>2.5071798908950491</v>
      </c>
      <c r="AQ333" s="39">
        <f t="shared" si="339"/>
        <v>2.5820053323565753</v>
      </c>
      <c r="AR333" s="39">
        <f t="shared" si="340"/>
        <v>1.1466039043026215</v>
      </c>
      <c r="AS333" s="39">
        <f t="shared" si="341"/>
        <v>0</v>
      </c>
      <c r="AT333" s="39">
        <f t="shared" si="342"/>
        <v>0</v>
      </c>
      <c r="AU333" s="39">
        <f t="shared" si="343"/>
        <v>0</v>
      </c>
      <c r="AV333" s="39">
        <f t="shared" si="344"/>
        <v>0</v>
      </c>
      <c r="AW333" s="39">
        <f t="shared" si="345"/>
        <v>6.8629160729972494</v>
      </c>
      <c r="AX333" s="39">
        <f t="shared" si="346"/>
        <v>1.7337765120000002</v>
      </c>
      <c r="AY333" s="39">
        <f t="shared" si="347"/>
        <v>1.7337765120000002</v>
      </c>
      <c r="AZ333" s="39">
        <f t="shared" si="348"/>
        <v>0.15843089970595067</v>
      </c>
      <c r="BA333" s="39">
        <f t="shared" si="349"/>
        <v>0.63338813413379491</v>
      </c>
      <c r="BB333" s="39">
        <f t="shared" si="350"/>
        <v>0.65229126387138003</v>
      </c>
      <c r="BC333" s="39">
        <f t="shared" si="351"/>
        <v>0.28966621428887435</v>
      </c>
      <c r="BD333" s="39">
        <f t="shared" si="352"/>
        <v>0</v>
      </c>
      <c r="BE333" s="39">
        <f t="shared" si="353"/>
        <v>0</v>
      </c>
      <c r="BF333" s="39">
        <f t="shared" si="354"/>
        <v>0</v>
      </c>
      <c r="BG333" s="39">
        <f t="shared" si="355"/>
        <v>0</v>
      </c>
      <c r="BH333" s="84">
        <f t="shared" si="356"/>
        <v>0</v>
      </c>
      <c r="BI333" s="84">
        <f t="shared" si="357"/>
        <v>3.8129787903999999</v>
      </c>
      <c r="BJ333" s="84">
        <f t="shared" si="358"/>
        <v>0.62294255597615866</v>
      </c>
      <c r="BK333" s="39">
        <f t="shared" si="359"/>
        <v>38.917546165412318</v>
      </c>
      <c r="BL333" s="39">
        <f t="shared" si="360"/>
        <v>62.438410774816695</v>
      </c>
      <c r="BM333" s="39">
        <f t="shared" si="361"/>
        <v>61.167762059694354</v>
      </c>
      <c r="BN333" s="39">
        <f t="shared" si="362"/>
        <v>86.557191606974669</v>
      </c>
      <c r="BO333" s="39">
        <f t="shared" si="363"/>
        <v>84.20381259498177</v>
      </c>
      <c r="BP333" s="39">
        <f t="shared" si="364"/>
        <v>76.099351524239779</v>
      </c>
      <c r="BQ333" s="39">
        <f t="shared" si="365"/>
        <v>77.853714941969429</v>
      </c>
      <c r="BR333" s="39">
        <f t="shared" si="366"/>
        <v>79.812266057456696</v>
      </c>
      <c r="BS333" s="39">
        <f t="shared" si="367"/>
        <v>0</v>
      </c>
      <c r="BT333" s="39">
        <f t="shared" si="368"/>
        <v>0</v>
      </c>
      <c r="BU333" s="39">
        <f t="shared" si="369"/>
        <v>0</v>
      </c>
      <c r="BV333" s="39">
        <f t="shared" si="370"/>
        <v>0</v>
      </c>
      <c r="BW333" s="39">
        <f t="shared" si="371"/>
        <v>0.12228755698907036</v>
      </c>
      <c r="BX333" s="39">
        <f t="shared" si="372"/>
        <v>0.65961091454385889</v>
      </c>
      <c r="BY333" s="39">
        <f t="shared" si="373"/>
        <v>1.7122289651816487</v>
      </c>
      <c r="BZ333" s="39">
        <f t="shared" si="374"/>
        <v>2.8873596344740093</v>
      </c>
      <c r="CA333" s="39">
        <f t="shared" si="375"/>
        <v>38.917546165412318</v>
      </c>
      <c r="CB333" s="39">
        <f t="shared" si="376"/>
        <v>62.438410774816695</v>
      </c>
      <c r="CC333" s="39">
        <f t="shared" si="377"/>
        <v>61.167762059694354</v>
      </c>
      <c r="CD333" s="39">
        <f t="shared" si="378"/>
        <v>86.557191606974669</v>
      </c>
      <c r="CE333" s="39">
        <f t="shared" si="379"/>
        <v>84.081525037992705</v>
      </c>
      <c r="CF333" s="39">
        <f t="shared" si="380"/>
        <v>75.562028166684982</v>
      </c>
      <c r="CG333" s="39">
        <f t="shared" si="381"/>
        <v>76.801096891331639</v>
      </c>
      <c r="CH333" s="39">
        <f t="shared" si="382"/>
        <v>78.637135388164339</v>
      </c>
      <c r="CI333" s="39">
        <f t="shared" si="383"/>
        <v>0</v>
      </c>
      <c r="CJ333" s="39">
        <f t="shared" si="384"/>
        <v>0</v>
      </c>
      <c r="CK333" s="39">
        <f t="shared" si="385"/>
        <v>0</v>
      </c>
      <c r="CL333" s="39">
        <f t="shared" si="386"/>
        <v>0</v>
      </c>
      <c r="CM333" s="39">
        <f t="shared" si="387"/>
        <v>0</v>
      </c>
      <c r="CN333" s="39">
        <f t="shared" si="388"/>
        <v>0</v>
      </c>
      <c r="CO333" s="39">
        <f t="shared" si="389"/>
        <v>0</v>
      </c>
      <c r="CP333" s="39">
        <f t="shared" si="390"/>
        <v>0</v>
      </c>
    </row>
    <row r="334" spans="2:94" ht="16" customHeight="1" x14ac:dyDescent="0.2">
      <c r="L334" s="63">
        <v>30646</v>
      </c>
      <c r="M334" s="38">
        <v>0</v>
      </c>
      <c r="N334" s="38">
        <v>5.8</v>
      </c>
      <c r="O334" s="39">
        <v>0.70920000000000005</v>
      </c>
      <c r="P334" s="39">
        <v>0.28760606100000002</v>
      </c>
      <c r="Q334" s="46">
        <f t="shared" si="321"/>
        <v>0.13192389290794798</v>
      </c>
      <c r="R334" s="81">
        <f t="shared" si="322"/>
        <v>0</v>
      </c>
      <c r="S334" s="82">
        <f t="shared" si="323"/>
        <v>0</v>
      </c>
      <c r="T334" s="39">
        <f t="shared" si="324"/>
        <v>2.1822812328985948</v>
      </c>
      <c r="U334" s="83">
        <f t="shared" si="325"/>
        <v>1.6681151538000001</v>
      </c>
      <c r="V334" s="84">
        <f t="shared" si="326"/>
        <v>3.3055078769600001</v>
      </c>
      <c r="W334" s="52">
        <f t="shared" si="327"/>
        <v>100.08091060689804</v>
      </c>
      <c r="X334" s="52">
        <f t="shared" si="328"/>
        <v>174.08178548417368</v>
      </c>
      <c r="Y334" s="52">
        <f t="shared" si="329"/>
        <v>274.16269609107172</v>
      </c>
      <c r="Z334" s="53">
        <f t="shared" si="330"/>
        <v>0.78188211411639097</v>
      </c>
      <c r="AA334" s="53">
        <f t="shared" si="331"/>
        <v>1.0362011040724624</v>
      </c>
      <c r="AB334" s="53">
        <f t="shared" si="332"/>
        <v>0.92622532463199903</v>
      </c>
      <c r="AC334" s="39" t="str">
        <f t="shared" si="333"/>
        <v>No</v>
      </c>
      <c r="AD334" s="85">
        <f t="shared" si="334"/>
        <v>2.7000000000000024E-2</v>
      </c>
      <c r="AE334" s="46">
        <f t="shared" si="335"/>
        <v>1</v>
      </c>
      <c r="AF334" s="46">
        <f t="shared" si="336"/>
        <v>0.70920000000000005</v>
      </c>
      <c r="AG334" s="39">
        <f t="shared" si="391"/>
        <v>38.917546165412318</v>
      </c>
      <c r="AH334" s="39">
        <f t="shared" si="392"/>
        <v>62.438410774816695</v>
      </c>
      <c r="AI334" s="39">
        <f t="shared" si="393"/>
        <v>61.167762059694354</v>
      </c>
      <c r="AJ334" s="39">
        <f t="shared" si="394"/>
        <v>86.557191606974669</v>
      </c>
      <c r="AK334" s="39">
        <f t="shared" si="395"/>
        <v>84.081525037992705</v>
      </c>
      <c r="AL334" s="39">
        <f t="shared" si="396"/>
        <v>75.562028166684982</v>
      </c>
      <c r="AM334" s="39">
        <f t="shared" si="397"/>
        <v>76.801096891331639</v>
      </c>
      <c r="AN334" s="39">
        <f t="shared" si="398"/>
        <v>78.637135388164339</v>
      </c>
      <c r="AO334" s="39">
        <f t="shared" si="337"/>
        <v>0.53015086408173295</v>
      </c>
      <c r="AP334" s="39">
        <f t="shared" si="338"/>
        <v>2.4438410774816699</v>
      </c>
      <c r="AQ334" s="39">
        <f t="shared" si="339"/>
        <v>2.5167762059694372</v>
      </c>
      <c r="AR334" s="39">
        <f t="shared" si="340"/>
        <v>1.5126817744938788</v>
      </c>
      <c r="AS334" s="39">
        <f t="shared" si="341"/>
        <v>0</v>
      </c>
      <c r="AT334" s="39">
        <f t="shared" si="342"/>
        <v>0</v>
      </c>
      <c r="AU334" s="39">
        <f t="shared" si="343"/>
        <v>0</v>
      </c>
      <c r="AV334" s="39">
        <f t="shared" si="344"/>
        <v>0</v>
      </c>
      <c r="AW334" s="39">
        <f t="shared" si="345"/>
        <v>7.0034499220267188</v>
      </c>
      <c r="AX334" s="39">
        <f t="shared" si="346"/>
        <v>1.6681151538000001</v>
      </c>
      <c r="AY334" s="39">
        <f t="shared" si="347"/>
        <v>1.6681151538000001</v>
      </c>
      <c r="AZ334" s="39">
        <f t="shared" si="348"/>
        <v>0.12627386502664978</v>
      </c>
      <c r="BA334" s="39">
        <f t="shared" si="349"/>
        <v>0.58208574062972229</v>
      </c>
      <c r="BB334" s="39">
        <f t="shared" si="350"/>
        <v>0.59945777790125987</v>
      </c>
      <c r="BC334" s="39">
        <f t="shared" si="351"/>
        <v>0.36029777024236809</v>
      </c>
      <c r="BD334" s="39">
        <f t="shared" si="352"/>
        <v>0</v>
      </c>
      <c r="BE334" s="39">
        <f t="shared" si="353"/>
        <v>0</v>
      </c>
      <c r="BF334" s="39">
        <f t="shared" si="354"/>
        <v>0</v>
      </c>
      <c r="BG334" s="39">
        <f t="shared" si="355"/>
        <v>0</v>
      </c>
      <c r="BH334" s="84">
        <f t="shared" si="356"/>
        <v>0</v>
      </c>
      <c r="BI334" s="84">
        <f t="shared" si="357"/>
        <v>3.3055078769600001</v>
      </c>
      <c r="BJ334" s="84">
        <f t="shared" si="358"/>
        <v>0.47704532974906833</v>
      </c>
      <c r="BK334" s="39">
        <f t="shared" si="359"/>
        <v>38.314226970636604</v>
      </c>
      <c r="BL334" s="39">
        <f t="shared" si="360"/>
        <v>61.856325034186973</v>
      </c>
      <c r="BM334" s="39">
        <f t="shared" si="361"/>
        <v>60.568304281793097</v>
      </c>
      <c r="BN334" s="39">
        <f t="shared" si="362"/>
        <v>86.196893836732301</v>
      </c>
      <c r="BO334" s="39">
        <f t="shared" si="363"/>
        <v>84.081525037992705</v>
      </c>
      <c r="BP334" s="39">
        <f t="shared" si="364"/>
        <v>75.562028166684982</v>
      </c>
      <c r="BQ334" s="39">
        <f t="shared" si="365"/>
        <v>76.801096891331639</v>
      </c>
      <c r="BR334" s="39">
        <f t="shared" si="366"/>
        <v>78.637135388164339</v>
      </c>
      <c r="BS334" s="39">
        <f t="shared" si="367"/>
        <v>0</v>
      </c>
      <c r="BT334" s="39">
        <f t="shared" si="368"/>
        <v>0</v>
      </c>
      <c r="BU334" s="39">
        <f t="shared" si="369"/>
        <v>0</v>
      </c>
      <c r="BV334" s="39">
        <f t="shared" si="370"/>
        <v>0</v>
      </c>
      <c r="BW334" s="39">
        <f t="shared" si="371"/>
        <v>4.8915022795631556E-2</v>
      </c>
      <c r="BX334" s="39">
        <f t="shared" si="372"/>
        <v>0.33721690001098065</v>
      </c>
      <c r="BY334" s="39">
        <f t="shared" si="373"/>
        <v>1.0806581347989748</v>
      </c>
      <c r="BZ334" s="39">
        <f t="shared" si="374"/>
        <v>2.1822812328985948</v>
      </c>
      <c r="CA334" s="39">
        <f t="shared" si="375"/>
        <v>38.314226970636604</v>
      </c>
      <c r="CB334" s="39">
        <f t="shared" si="376"/>
        <v>61.856325034186973</v>
      </c>
      <c r="CC334" s="39">
        <f t="shared" si="377"/>
        <v>60.568304281793097</v>
      </c>
      <c r="CD334" s="39">
        <f t="shared" si="378"/>
        <v>86.196893836732301</v>
      </c>
      <c r="CE334" s="39">
        <f t="shared" si="379"/>
        <v>84.032610015197079</v>
      </c>
      <c r="CF334" s="39">
        <f t="shared" si="380"/>
        <v>75.273726289469622</v>
      </c>
      <c r="CG334" s="39">
        <f t="shared" si="381"/>
        <v>76.057655656543645</v>
      </c>
      <c r="CH334" s="39">
        <f t="shared" si="382"/>
        <v>77.53551229006473</v>
      </c>
      <c r="CI334" s="39">
        <f t="shared" si="383"/>
        <v>0</v>
      </c>
      <c r="CJ334" s="39">
        <f t="shared" si="384"/>
        <v>0</v>
      </c>
      <c r="CK334" s="39">
        <f t="shared" si="385"/>
        <v>0</v>
      </c>
      <c r="CL334" s="39">
        <f t="shared" si="386"/>
        <v>0</v>
      </c>
      <c r="CM334" s="39">
        <f t="shared" si="387"/>
        <v>0</v>
      </c>
      <c r="CN334" s="39">
        <f t="shared" si="388"/>
        <v>0</v>
      </c>
      <c r="CO334" s="39">
        <f t="shared" si="389"/>
        <v>0</v>
      </c>
      <c r="CP334" s="39">
        <f t="shared" si="390"/>
        <v>0</v>
      </c>
    </row>
    <row r="335" spans="2:94" ht="16" customHeight="1" x14ac:dyDescent="0.2">
      <c r="L335" s="63">
        <v>30647</v>
      </c>
      <c r="M335" s="38">
        <v>0</v>
      </c>
      <c r="N335" s="38">
        <v>2.4</v>
      </c>
      <c r="O335" s="39">
        <v>0.74019999999999997</v>
      </c>
      <c r="P335" s="39">
        <v>0.31135606100000002</v>
      </c>
      <c r="Q335" s="46">
        <f t="shared" si="321"/>
        <v>0.13314683722168255</v>
      </c>
      <c r="R335" s="81">
        <f t="shared" si="322"/>
        <v>0</v>
      </c>
      <c r="S335" s="82">
        <f t="shared" si="323"/>
        <v>0</v>
      </c>
      <c r="T335" s="39">
        <f t="shared" si="324"/>
        <v>1.5213073740388297</v>
      </c>
      <c r="U335" s="83">
        <f t="shared" si="325"/>
        <v>0.7472545464</v>
      </c>
      <c r="V335" s="84">
        <f t="shared" si="326"/>
        <v>1.32219636288</v>
      </c>
      <c r="W335" s="52">
        <f t="shared" si="327"/>
        <v>97.935750123348981</v>
      </c>
      <c r="X335" s="52">
        <f t="shared" si="328"/>
        <v>171.89950425127506</v>
      </c>
      <c r="Y335" s="52">
        <f t="shared" si="329"/>
        <v>269.83525437462401</v>
      </c>
      <c r="Z335" s="53">
        <f t="shared" si="330"/>
        <v>0.76512304783866392</v>
      </c>
      <c r="AA335" s="53">
        <f t="shared" si="331"/>
        <v>1.0232113348290182</v>
      </c>
      <c r="AB335" s="53">
        <f t="shared" si="332"/>
        <v>0.91160558910345946</v>
      </c>
      <c r="AC335" s="39" t="str">
        <f t="shared" si="333"/>
        <v>No</v>
      </c>
      <c r="AD335" s="85">
        <f t="shared" si="334"/>
        <v>3.0999999999999917E-2</v>
      </c>
      <c r="AE335" s="46">
        <f t="shared" si="335"/>
        <v>1</v>
      </c>
      <c r="AF335" s="46">
        <f t="shared" si="336"/>
        <v>0.74019999999999997</v>
      </c>
      <c r="AG335" s="39">
        <f t="shared" si="391"/>
        <v>38.314226970636604</v>
      </c>
      <c r="AH335" s="39">
        <f t="shared" si="392"/>
        <v>61.856325034186973</v>
      </c>
      <c r="AI335" s="39">
        <f t="shared" si="393"/>
        <v>60.568304281793097</v>
      </c>
      <c r="AJ335" s="39">
        <f t="shared" si="394"/>
        <v>86.196893836732301</v>
      </c>
      <c r="AK335" s="39">
        <f t="shared" si="395"/>
        <v>84.032610015197079</v>
      </c>
      <c r="AL335" s="39">
        <f t="shared" si="396"/>
        <v>75.273726289469622</v>
      </c>
      <c r="AM335" s="39">
        <f t="shared" si="397"/>
        <v>76.057655656543645</v>
      </c>
      <c r="AN335" s="39">
        <f t="shared" si="398"/>
        <v>77.53551229006473</v>
      </c>
      <c r="AO335" s="39">
        <f t="shared" si="337"/>
        <v>0.46084246746174085</v>
      </c>
      <c r="AP335" s="39">
        <f t="shared" si="338"/>
        <v>2.3856325034186976</v>
      </c>
      <c r="AQ335" s="39">
        <f t="shared" si="339"/>
        <v>2.4568304281793112</v>
      </c>
      <c r="AR335" s="39">
        <f t="shared" si="340"/>
        <v>1.9252681719699554</v>
      </c>
      <c r="AS335" s="39">
        <f t="shared" si="341"/>
        <v>0</v>
      </c>
      <c r="AT335" s="39">
        <f t="shared" si="342"/>
        <v>0</v>
      </c>
      <c r="AU335" s="39">
        <f t="shared" si="343"/>
        <v>0</v>
      </c>
      <c r="AV335" s="39">
        <f t="shared" si="344"/>
        <v>0</v>
      </c>
      <c r="AW335" s="39">
        <f t="shared" si="345"/>
        <v>7.2285735710297052</v>
      </c>
      <c r="AX335" s="39">
        <f t="shared" si="346"/>
        <v>0.7472545464</v>
      </c>
      <c r="AY335" s="39">
        <f t="shared" si="347"/>
        <v>0.7472545464</v>
      </c>
      <c r="AZ335" s="39">
        <f t="shared" si="348"/>
        <v>4.7639638111330054E-2</v>
      </c>
      <c r="BA335" s="39">
        <f t="shared" si="349"/>
        <v>0.24661500871537709</v>
      </c>
      <c r="BB335" s="39">
        <f t="shared" si="350"/>
        <v>0.25397510160906195</v>
      </c>
      <c r="BC335" s="39">
        <f t="shared" si="351"/>
        <v>0.19902479796423089</v>
      </c>
      <c r="BD335" s="39">
        <f t="shared" si="352"/>
        <v>0</v>
      </c>
      <c r="BE335" s="39">
        <f t="shared" si="353"/>
        <v>0</v>
      </c>
      <c r="BF335" s="39">
        <f t="shared" si="354"/>
        <v>0</v>
      </c>
      <c r="BG335" s="39">
        <f t="shared" si="355"/>
        <v>0</v>
      </c>
      <c r="BH335" s="84">
        <f t="shared" si="356"/>
        <v>0</v>
      </c>
      <c r="BI335" s="84">
        <f t="shared" si="357"/>
        <v>1.32219636288</v>
      </c>
      <c r="BJ335" s="84">
        <f t="shared" si="358"/>
        <v>0.17453297346444951</v>
      </c>
      <c r="BK335" s="39">
        <f t="shared" si="359"/>
        <v>38.092054359060825</v>
      </c>
      <c r="BL335" s="39">
        <f t="shared" si="360"/>
        <v>61.6097100254716</v>
      </c>
      <c r="BM335" s="39">
        <f t="shared" si="361"/>
        <v>60.314329180184032</v>
      </c>
      <c r="BN335" s="39">
        <f t="shared" si="362"/>
        <v>85.997869038768073</v>
      </c>
      <c r="BO335" s="39">
        <f t="shared" si="363"/>
        <v>84.032610015197079</v>
      </c>
      <c r="BP335" s="39">
        <f t="shared" si="364"/>
        <v>75.273726289469622</v>
      </c>
      <c r="BQ335" s="39">
        <f t="shared" si="365"/>
        <v>76.057655656543645</v>
      </c>
      <c r="BR335" s="39">
        <f t="shared" si="366"/>
        <v>77.53551229006473</v>
      </c>
      <c r="BS335" s="39">
        <f t="shared" si="367"/>
        <v>0</v>
      </c>
      <c r="BT335" s="39">
        <f t="shared" si="368"/>
        <v>0</v>
      </c>
      <c r="BU335" s="39">
        <f t="shared" si="369"/>
        <v>0</v>
      </c>
      <c r="BV335" s="39">
        <f t="shared" si="370"/>
        <v>0</v>
      </c>
      <c r="BW335" s="39">
        <f t="shared" si="371"/>
        <v>1.9566009118256032E-2</v>
      </c>
      <c r="BX335" s="39">
        <f t="shared" si="372"/>
        <v>0.16423577368176437</v>
      </c>
      <c r="BY335" s="39">
        <f t="shared" si="373"/>
        <v>0.63459339392617831</v>
      </c>
      <c r="BZ335" s="39">
        <f t="shared" si="374"/>
        <v>1.5213073740388297</v>
      </c>
      <c r="CA335" s="39">
        <f t="shared" si="375"/>
        <v>38.092054359060825</v>
      </c>
      <c r="CB335" s="39">
        <f t="shared" si="376"/>
        <v>61.6097100254716</v>
      </c>
      <c r="CC335" s="39">
        <f t="shared" si="377"/>
        <v>60.314329180184032</v>
      </c>
      <c r="CD335" s="39">
        <f t="shared" si="378"/>
        <v>85.997869038768073</v>
      </c>
      <c r="CE335" s="39">
        <f t="shared" si="379"/>
        <v>84.013044006078829</v>
      </c>
      <c r="CF335" s="39">
        <f t="shared" si="380"/>
        <v>75.129056524906105</v>
      </c>
      <c r="CG335" s="39">
        <f t="shared" si="381"/>
        <v>75.587298036299231</v>
      </c>
      <c r="CH335" s="39">
        <f t="shared" si="382"/>
        <v>76.648798309952085</v>
      </c>
      <c r="CI335" s="39">
        <f t="shared" si="383"/>
        <v>0</v>
      </c>
      <c r="CJ335" s="39">
        <f t="shared" si="384"/>
        <v>0</v>
      </c>
      <c r="CK335" s="39">
        <f t="shared" si="385"/>
        <v>0</v>
      </c>
      <c r="CL335" s="39">
        <f t="shared" si="386"/>
        <v>0</v>
      </c>
      <c r="CM335" s="39">
        <f t="shared" si="387"/>
        <v>0</v>
      </c>
      <c r="CN335" s="39">
        <f t="shared" si="388"/>
        <v>0</v>
      </c>
      <c r="CO335" s="39">
        <f t="shared" si="389"/>
        <v>0</v>
      </c>
      <c r="CP335" s="39">
        <f t="shared" si="390"/>
        <v>0</v>
      </c>
    </row>
    <row r="336" spans="2:94" ht="16" customHeight="1" x14ac:dyDescent="0.2">
      <c r="L336" s="63">
        <v>30648</v>
      </c>
      <c r="M336" s="38">
        <v>0</v>
      </c>
      <c r="N336" s="38">
        <v>5.7</v>
      </c>
      <c r="O336" s="39">
        <v>0.77339999999999998</v>
      </c>
      <c r="P336" s="39">
        <v>0.33668939399999998</v>
      </c>
      <c r="Q336" s="46">
        <f t="shared" si="321"/>
        <v>0.13359718711001184</v>
      </c>
      <c r="R336" s="81">
        <f t="shared" si="322"/>
        <v>0</v>
      </c>
      <c r="S336" s="82">
        <f t="shared" si="323"/>
        <v>0</v>
      </c>
      <c r="T336" s="39">
        <f t="shared" si="324"/>
        <v>0.9892789859712422</v>
      </c>
      <c r="U336" s="83">
        <f t="shared" si="325"/>
        <v>1.9191295457999999</v>
      </c>
      <c r="V336" s="84">
        <f t="shared" si="326"/>
        <v>3.0246963633600004</v>
      </c>
      <c r="W336" s="52">
        <f t="shared" si="327"/>
        <v>97.013962603484543</v>
      </c>
      <c r="X336" s="52">
        <f t="shared" si="328"/>
        <v>170.37819687723623</v>
      </c>
      <c r="Y336" s="52">
        <f t="shared" si="329"/>
        <v>267.39215948072081</v>
      </c>
      <c r="Z336" s="53">
        <f t="shared" si="330"/>
        <v>0.757921582839723</v>
      </c>
      <c r="AA336" s="53">
        <f t="shared" si="331"/>
        <v>1.0141559337930728</v>
      </c>
      <c r="AB336" s="53">
        <f t="shared" si="332"/>
        <v>0.90335189013757033</v>
      </c>
      <c r="AC336" s="39" t="str">
        <f t="shared" si="333"/>
        <v>No</v>
      </c>
      <c r="AD336" s="85">
        <f t="shared" si="334"/>
        <v>3.3200000000000007E-2</v>
      </c>
      <c r="AE336" s="46">
        <f t="shared" si="335"/>
        <v>1</v>
      </c>
      <c r="AF336" s="46">
        <f t="shared" si="336"/>
        <v>0.77339999999999998</v>
      </c>
      <c r="AG336" s="39">
        <f t="shared" si="391"/>
        <v>38.092054359060825</v>
      </c>
      <c r="AH336" s="39">
        <f t="shared" si="392"/>
        <v>61.6097100254716</v>
      </c>
      <c r="AI336" s="39">
        <f t="shared" si="393"/>
        <v>60.314329180184032</v>
      </c>
      <c r="AJ336" s="39">
        <f t="shared" si="394"/>
        <v>85.997869038768073</v>
      </c>
      <c r="AK336" s="39">
        <f t="shared" si="395"/>
        <v>84.013044006078829</v>
      </c>
      <c r="AL336" s="39">
        <f t="shared" si="396"/>
        <v>75.129056524906105</v>
      </c>
      <c r="AM336" s="39">
        <f t="shared" si="397"/>
        <v>75.587298036299231</v>
      </c>
      <c r="AN336" s="39">
        <f t="shared" si="398"/>
        <v>76.648798309952085</v>
      </c>
      <c r="AO336" s="39">
        <f t="shared" si="337"/>
        <v>0.43654229166663527</v>
      </c>
      <c r="AP336" s="39">
        <f t="shared" si="338"/>
        <v>2.36097100254716</v>
      </c>
      <c r="AQ336" s="39">
        <f t="shared" si="339"/>
        <v>2.4314329180184049</v>
      </c>
      <c r="AR336" s="39">
        <f t="shared" si="340"/>
        <v>2.3696768304407945</v>
      </c>
      <c r="AS336" s="39">
        <f t="shared" si="341"/>
        <v>0</v>
      </c>
      <c r="AT336" s="39">
        <f t="shared" si="342"/>
        <v>0</v>
      </c>
      <c r="AU336" s="39">
        <f t="shared" si="343"/>
        <v>0</v>
      </c>
      <c r="AV336" s="39">
        <f t="shared" si="344"/>
        <v>0</v>
      </c>
      <c r="AW336" s="39">
        <f t="shared" si="345"/>
        <v>7.5986230426729948</v>
      </c>
      <c r="AX336" s="39">
        <f t="shared" si="346"/>
        <v>1.9191295457999999</v>
      </c>
      <c r="AY336" s="39">
        <f t="shared" si="347"/>
        <v>1.9191295457999999</v>
      </c>
      <c r="AZ336" s="39">
        <f t="shared" si="348"/>
        <v>0.11025434545493279</v>
      </c>
      <c r="BA336" s="39">
        <f t="shared" si="349"/>
        <v>0.59629345768564568</v>
      </c>
      <c r="BB336" s="39">
        <f t="shared" si="350"/>
        <v>0.61408951666568945</v>
      </c>
      <c r="BC336" s="39">
        <f t="shared" si="351"/>
        <v>0.59849222599373197</v>
      </c>
      <c r="BD336" s="39">
        <f t="shared" si="352"/>
        <v>0</v>
      </c>
      <c r="BE336" s="39">
        <f t="shared" si="353"/>
        <v>0</v>
      </c>
      <c r="BF336" s="39">
        <f t="shared" si="354"/>
        <v>0</v>
      </c>
      <c r="BG336" s="39">
        <f t="shared" si="355"/>
        <v>0</v>
      </c>
      <c r="BH336" s="84">
        <f t="shared" si="356"/>
        <v>0</v>
      </c>
      <c r="BI336" s="84">
        <f t="shared" si="357"/>
        <v>3.0246963633600004</v>
      </c>
      <c r="BJ336" s="84">
        <f t="shared" si="358"/>
        <v>0.38007449747861727</v>
      </c>
      <c r="BK336" s="39">
        <f t="shared" si="359"/>
        <v>37.601725516127274</v>
      </c>
      <c r="BL336" s="39">
        <f t="shared" si="360"/>
        <v>61.013416567785953</v>
      </c>
      <c r="BM336" s="39">
        <f t="shared" si="361"/>
        <v>59.700239663518346</v>
      </c>
      <c r="BN336" s="39">
        <f t="shared" si="362"/>
        <v>85.399376812774335</v>
      </c>
      <c r="BO336" s="39">
        <f t="shared" si="363"/>
        <v>84.013044006078829</v>
      </c>
      <c r="BP336" s="39">
        <f t="shared" si="364"/>
        <v>75.129056524906105</v>
      </c>
      <c r="BQ336" s="39">
        <f t="shared" si="365"/>
        <v>75.587298036299231</v>
      </c>
      <c r="BR336" s="39">
        <f t="shared" si="366"/>
        <v>76.648798309952085</v>
      </c>
      <c r="BS336" s="39">
        <f t="shared" si="367"/>
        <v>0</v>
      </c>
      <c r="BT336" s="39">
        <f t="shared" si="368"/>
        <v>0</v>
      </c>
      <c r="BU336" s="39">
        <f t="shared" si="369"/>
        <v>0</v>
      </c>
      <c r="BV336" s="39">
        <f t="shared" si="370"/>
        <v>0</v>
      </c>
      <c r="BW336" s="39">
        <f t="shared" si="371"/>
        <v>7.8264036473058244E-3</v>
      </c>
      <c r="BX336" s="39">
        <f t="shared" si="372"/>
        <v>7.7433914943654258E-2</v>
      </c>
      <c r="BY336" s="39">
        <f t="shared" si="373"/>
        <v>0.35237882177952995</v>
      </c>
      <c r="BZ336" s="39">
        <f t="shared" si="374"/>
        <v>0.9892789859712422</v>
      </c>
      <c r="CA336" s="39">
        <f t="shared" si="375"/>
        <v>37.601725516127274</v>
      </c>
      <c r="CB336" s="39">
        <f t="shared" si="376"/>
        <v>61.013416567785953</v>
      </c>
      <c r="CC336" s="39">
        <f t="shared" si="377"/>
        <v>59.700239663518346</v>
      </c>
      <c r="CD336" s="39">
        <f t="shared" si="378"/>
        <v>85.399376812774335</v>
      </c>
      <c r="CE336" s="39">
        <f t="shared" si="379"/>
        <v>84.005217602431529</v>
      </c>
      <c r="CF336" s="39">
        <f t="shared" si="380"/>
        <v>75.059449013609751</v>
      </c>
      <c r="CG336" s="39">
        <f t="shared" si="381"/>
        <v>75.312353129463361</v>
      </c>
      <c r="CH336" s="39">
        <f t="shared" si="382"/>
        <v>76.01189814576037</v>
      </c>
      <c r="CI336" s="39">
        <f t="shared" si="383"/>
        <v>0</v>
      </c>
      <c r="CJ336" s="39">
        <f t="shared" si="384"/>
        <v>0</v>
      </c>
      <c r="CK336" s="39">
        <f t="shared" si="385"/>
        <v>0</v>
      </c>
      <c r="CL336" s="39">
        <f t="shared" si="386"/>
        <v>0</v>
      </c>
      <c r="CM336" s="39">
        <f t="shared" si="387"/>
        <v>0</v>
      </c>
      <c r="CN336" s="39">
        <f t="shared" si="388"/>
        <v>0</v>
      </c>
      <c r="CO336" s="39">
        <f t="shared" si="389"/>
        <v>0</v>
      </c>
      <c r="CP336" s="39">
        <f t="shared" si="390"/>
        <v>0</v>
      </c>
    </row>
    <row r="337" spans="12:94" ht="16" customHeight="1" x14ac:dyDescent="0.2">
      <c r="L337" s="63">
        <v>30649</v>
      </c>
      <c r="M337" s="38">
        <v>0</v>
      </c>
      <c r="N337" s="38">
        <v>7.2</v>
      </c>
      <c r="O337" s="39">
        <v>0.81240000000000001</v>
      </c>
      <c r="P337" s="39">
        <v>0.36547727299999999</v>
      </c>
      <c r="Q337" s="46">
        <f t="shared" si="321"/>
        <v>0.13459109692676904</v>
      </c>
      <c r="R337" s="81">
        <f t="shared" si="322"/>
        <v>0</v>
      </c>
      <c r="S337" s="82">
        <f t="shared" si="323"/>
        <v>0</v>
      </c>
      <c r="T337" s="39">
        <f t="shared" si="324"/>
        <v>0.60713888745621314</v>
      </c>
      <c r="U337" s="83">
        <f t="shared" si="325"/>
        <v>2.6314363655999999</v>
      </c>
      <c r="V337" s="84">
        <f t="shared" si="326"/>
        <v>3.6548509075200002</v>
      </c>
      <c r="W337" s="52">
        <f t="shared" si="327"/>
        <v>94.714758560205894</v>
      </c>
      <c r="X337" s="52">
        <f t="shared" si="328"/>
        <v>169.38891789126501</v>
      </c>
      <c r="Y337" s="52">
        <f t="shared" si="329"/>
        <v>264.1036764514709</v>
      </c>
      <c r="Z337" s="53">
        <f t="shared" si="330"/>
        <v>0.73995905125160855</v>
      </c>
      <c r="AA337" s="53">
        <f t="shared" si="331"/>
        <v>1.0082673684003869</v>
      </c>
      <c r="AB337" s="53">
        <f t="shared" si="332"/>
        <v>0.89224215017388819</v>
      </c>
      <c r="AC337" s="39" t="str">
        <f t="shared" si="333"/>
        <v>No</v>
      </c>
      <c r="AD337" s="85">
        <f t="shared" si="334"/>
        <v>3.9000000000000035E-2</v>
      </c>
      <c r="AE337" s="46">
        <f t="shared" si="335"/>
        <v>1</v>
      </c>
      <c r="AF337" s="46">
        <f t="shared" si="336"/>
        <v>0.81240000000000001</v>
      </c>
      <c r="AG337" s="39">
        <f t="shared" si="391"/>
        <v>37.601725516127274</v>
      </c>
      <c r="AH337" s="39">
        <f t="shared" si="392"/>
        <v>61.013416567785953</v>
      </c>
      <c r="AI337" s="39">
        <f t="shared" si="393"/>
        <v>59.700239663518346</v>
      </c>
      <c r="AJ337" s="39">
        <f t="shared" si="394"/>
        <v>85.399376812774335</v>
      </c>
      <c r="AK337" s="39">
        <f t="shared" si="395"/>
        <v>84.005217602431529</v>
      </c>
      <c r="AL337" s="39">
        <f t="shared" si="396"/>
        <v>75.059449013609751</v>
      </c>
      <c r="AM337" s="39">
        <f t="shared" si="397"/>
        <v>75.312353129463361</v>
      </c>
      <c r="AN337" s="39">
        <f t="shared" si="398"/>
        <v>76.01189814576037</v>
      </c>
      <c r="AO337" s="39">
        <f t="shared" si="337"/>
        <v>0.38524153881693651</v>
      </c>
      <c r="AP337" s="39">
        <f t="shared" si="338"/>
        <v>2.3013416567785954</v>
      </c>
      <c r="AQ337" s="39">
        <f t="shared" si="339"/>
        <v>2.3700239663518361</v>
      </c>
      <c r="AR337" s="39">
        <f t="shared" si="340"/>
        <v>2.8602758783444222</v>
      </c>
      <c r="AS337" s="39">
        <f t="shared" si="341"/>
        <v>0</v>
      </c>
      <c r="AT337" s="39">
        <f t="shared" si="342"/>
        <v>0</v>
      </c>
      <c r="AU337" s="39">
        <f t="shared" si="343"/>
        <v>0</v>
      </c>
      <c r="AV337" s="39">
        <f t="shared" si="344"/>
        <v>0</v>
      </c>
      <c r="AW337" s="39">
        <f t="shared" si="345"/>
        <v>7.9168830402917898</v>
      </c>
      <c r="AX337" s="39">
        <f t="shared" si="346"/>
        <v>2.6314363655999999</v>
      </c>
      <c r="AY337" s="39">
        <f t="shared" si="347"/>
        <v>2.6314363655999999</v>
      </c>
      <c r="AZ337" s="39">
        <f t="shared" si="348"/>
        <v>0.12804769119656309</v>
      </c>
      <c r="BA337" s="39">
        <f t="shared" si="349"/>
        <v>0.76492656194326591</v>
      </c>
      <c r="BB337" s="39">
        <f t="shared" si="350"/>
        <v>0.78775538563115022</v>
      </c>
      <c r="BC337" s="39">
        <f t="shared" si="351"/>
        <v>0.9507067268290208</v>
      </c>
      <c r="BD337" s="39">
        <f t="shared" si="352"/>
        <v>0</v>
      </c>
      <c r="BE337" s="39">
        <f t="shared" si="353"/>
        <v>0</v>
      </c>
      <c r="BF337" s="39">
        <f t="shared" si="354"/>
        <v>0</v>
      </c>
      <c r="BG337" s="39">
        <f t="shared" si="355"/>
        <v>0</v>
      </c>
      <c r="BH337" s="84">
        <f t="shared" si="356"/>
        <v>0</v>
      </c>
      <c r="BI337" s="84">
        <f t="shared" si="357"/>
        <v>3.6548509075200002</v>
      </c>
      <c r="BJ337" s="84">
        <f t="shared" si="358"/>
        <v>0.41996882141464081</v>
      </c>
      <c r="BK337" s="39">
        <f t="shared" si="359"/>
        <v>37.053709003516069</v>
      </c>
      <c r="BL337" s="39">
        <f t="shared" si="360"/>
        <v>60.24849000584269</v>
      </c>
      <c r="BM337" s="39">
        <f t="shared" si="361"/>
        <v>58.912484277887195</v>
      </c>
      <c r="BN337" s="39">
        <f t="shared" si="362"/>
        <v>84.448670085945309</v>
      </c>
      <c r="BO337" s="39">
        <f t="shared" si="363"/>
        <v>84.005217602431529</v>
      </c>
      <c r="BP337" s="39">
        <f t="shared" si="364"/>
        <v>75.059449013609751</v>
      </c>
      <c r="BQ337" s="39">
        <f t="shared" si="365"/>
        <v>75.312353129463361</v>
      </c>
      <c r="BR337" s="39">
        <f t="shared" si="366"/>
        <v>76.01189814576037</v>
      </c>
      <c r="BS337" s="39">
        <f t="shared" si="367"/>
        <v>0</v>
      </c>
      <c r="BT337" s="39">
        <f t="shared" si="368"/>
        <v>0</v>
      </c>
      <c r="BU337" s="39">
        <f t="shared" si="369"/>
        <v>0</v>
      </c>
      <c r="BV337" s="39">
        <f t="shared" si="370"/>
        <v>0</v>
      </c>
      <c r="BW337" s="39">
        <f t="shared" si="371"/>
        <v>3.1305614589257403E-3</v>
      </c>
      <c r="BX337" s="39">
        <f t="shared" si="372"/>
        <v>3.5669408165841784E-2</v>
      </c>
      <c r="BY337" s="39">
        <f t="shared" si="373"/>
        <v>0.18741187767800796</v>
      </c>
      <c r="BZ337" s="39">
        <f t="shared" si="374"/>
        <v>0.60713888745621314</v>
      </c>
      <c r="CA337" s="39">
        <f t="shared" si="375"/>
        <v>37.053709003516069</v>
      </c>
      <c r="CB337" s="39">
        <f t="shared" si="376"/>
        <v>60.24849000584269</v>
      </c>
      <c r="CC337" s="39">
        <f t="shared" si="377"/>
        <v>58.912484277887195</v>
      </c>
      <c r="CD337" s="39">
        <f t="shared" si="378"/>
        <v>84.448670085945309</v>
      </c>
      <c r="CE337" s="39">
        <f t="shared" si="379"/>
        <v>84.002087040972597</v>
      </c>
      <c r="CF337" s="39">
        <f t="shared" si="380"/>
        <v>75.026910166902837</v>
      </c>
      <c r="CG337" s="39">
        <f t="shared" si="381"/>
        <v>75.160610659951203</v>
      </c>
      <c r="CH337" s="39">
        <f t="shared" si="382"/>
        <v>75.592171135982156</v>
      </c>
      <c r="CI337" s="39">
        <f t="shared" si="383"/>
        <v>0</v>
      </c>
      <c r="CJ337" s="39">
        <f t="shared" si="384"/>
        <v>0</v>
      </c>
      <c r="CK337" s="39">
        <f t="shared" si="385"/>
        <v>0</v>
      </c>
      <c r="CL337" s="39">
        <f t="shared" si="386"/>
        <v>0</v>
      </c>
      <c r="CM337" s="39">
        <f t="shared" si="387"/>
        <v>0</v>
      </c>
      <c r="CN337" s="39">
        <f t="shared" si="388"/>
        <v>0</v>
      </c>
      <c r="CO337" s="39">
        <f t="shared" si="389"/>
        <v>0</v>
      </c>
      <c r="CP337" s="39">
        <f t="shared" si="390"/>
        <v>0</v>
      </c>
    </row>
    <row r="338" spans="12:94" ht="16" customHeight="1" x14ac:dyDescent="0.2">
      <c r="L338" s="63">
        <v>30650</v>
      </c>
      <c r="M338" s="38">
        <v>4.0999999999999996</v>
      </c>
      <c r="N338" s="38">
        <v>5.9</v>
      </c>
      <c r="O338" s="39">
        <v>0.84719999999999995</v>
      </c>
      <c r="P338" s="39">
        <v>0.391962121</v>
      </c>
      <c r="Q338" s="46">
        <f t="shared" si="321"/>
        <v>0.13570194120908902</v>
      </c>
      <c r="R338" s="81">
        <f t="shared" si="322"/>
        <v>0</v>
      </c>
      <c r="S338" s="82">
        <f t="shared" si="323"/>
        <v>4.0999999999999996</v>
      </c>
      <c r="T338" s="39">
        <f t="shared" si="324"/>
        <v>0.35530268158928491</v>
      </c>
      <c r="U338" s="83">
        <f t="shared" si="325"/>
        <v>2.3125765139000003</v>
      </c>
      <c r="V338" s="84">
        <f t="shared" si="326"/>
        <v>2.8699387888800008</v>
      </c>
      <c r="W338" s="52">
        <f t="shared" si="327"/>
        <v>91.663353373191256</v>
      </c>
      <c r="X338" s="52">
        <f t="shared" si="328"/>
        <v>168.78177900380877</v>
      </c>
      <c r="Y338" s="52">
        <f t="shared" si="329"/>
        <v>260.44513237700005</v>
      </c>
      <c r="Z338" s="53">
        <f t="shared" si="330"/>
        <v>0.71611994822805669</v>
      </c>
      <c r="AA338" s="53">
        <f t="shared" si="331"/>
        <v>1.0046534464512427</v>
      </c>
      <c r="AB338" s="53">
        <f t="shared" si="332"/>
        <v>0.87988220397635153</v>
      </c>
      <c r="AC338" s="39" t="str">
        <f t="shared" si="333"/>
        <v>No</v>
      </c>
      <c r="AD338" s="85">
        <f t="shared" si="334"/>
        <v>3.4799999999999942E-2</v>
      </c>
      <c r="AE338" s="46">
        <f t="shared" si="335"/>
        <v>1</v>
      </c>
      <c r="AF338" s="46">
        <f t="shared" si="336"/>
        <v>0.84719999999999995</v>
      </c>
      <c r="AG338" s="39">
        <f t="shared" si="391"/>
        <v>37.053709003516069</v>
      </c>
      <c r="AH338" s="39">
        <f t="shared" si="392"/>
        <v>60.24849000584269</v>
      </c>
      <c r="AI338" s="39">
        <f t="shared" si="393"/>
        <v>58.912484277887195</v>
      </c>
      <c r="AJ338" s="39">
        <f t="shared" si="394"/>
        <v>84.448670085945309</v>
      </c>
      <c r="AK338" s="39">
        <f t="shared" si="395"/>
        <v>84.002087040972597</v>
      </c>
      <c r="AL338" s="39">
        <f t="shared" si="396"/>
        <v>75.026910166902837</v>
      </c>
      <c r="AM338" s="39">
        <f t="shared" si="397"/>
        <v>75.160610659951203</v>
      </c>
      <c r="AN338" s="39">
        <f t="shared" si="398"/>
        <v>75.592171135982156</v>
      </c>
      <c r="AO338" s="39">
        <f t="shared" si="337"/>
        <v>0.33169873804189104</v>
      </c>
      <c r="AP338" s="39">
        <f t="shared" si="338"/>
        <v>2.2248490005842689</v>
      </c>
      <c r="AQ338" s="39">
        <f t="shared" si="339"/>
        <v>2.2912484277887208</v>
      </c>
      <c r="AR338" s="39">
        <f t="shared" si="340"/>
        <v>3.2505704150818922</v>
      </c>
      <c r="AS338" s="39">
        <f t="shared" si="341"/>
        <v>0</v>
      </c>
      <c r="AT338" s="39">
        <f t="shared" si="342"/>
        <v>0</v>
      </c>
      <c r="AU338" s="39">
        <f t="shared" si="343"/>
        <v>0</v>
      </c>
      <c r="AV338" s="39">
        <f t="shared" si="344"/>
        <v>0</v>
      </c>
      <c r="AW338" s="39">
        <f t="shared" si="345"/>
        <v>8.0983665814967729</v>
      </c>
      <c r="AX338" s="39">
        <f t="shared" si="346"/>
        <v>2.3125765139000003</v>
      </c>
      <c r="AY338" s="39">
        <f t="shared" si="347"/>
        <v>0</v>
      </c>
      <c r="AZ338" s="39">
        <f t="shared" si="348"/>
        <v>0</v>
      </c>
      <c r="BA338" s="39">
        <f t="shared" si="349"/>
        <v>0</v>
      </c>
      <c r="BB338" s="39">
        <f t="shared" si="350"/>
        <v>0</v>
      </c>
      <c r="BC338" s="39">
        <f t="shared" si="351"/>
        <v>0</v>
      </c>
      <c r="BD338" s="39">
        <f t="shared" si="352"/>
        <v>0</v>
      </c>
      <c r="BE338" s="39">
        <f t="shared" si="353"/>
        <v>0</v>
      </c>
      <c r="BF338" s="39">
        <f t="shared" si="354"/>
        <v>0</v>
      </c>
      <c r="BG338" s="39">
        <f t="shared" si="355"/>
        <v>0</v>
      </c>
      <c r="BH338" s="84">
        <f t="shared" si="356"/>
        <v>1.7874234860999993</v>
      </c>
      <c r="BI338" s="84">
        <f t="shared" si="357"/>
        <v>1.0825153027800014</v>
      </c>
      <c r="BJ338" s="84">
        <f t="shared" si="358"/>
        <v>1.9593101335852419</v>
      </c>
      <c r="BK338" s="39">
        <f t="shared" si="359"/>
        <v>35.094398869930828</v>
      </c>
      <c r="BL338" s="39">
        <f t="shared" si="360"/>
        <v>60.24849000584269</v>
      </c>
      <c r="BM338" s="39">
        <f t="shared" si="361"/>
        <v>58.912484277887195</v>
      </c>
      <c r="BN338" s="39">
        <f t="shared" si="362"/>
        <v>84.448670085945309</v>
      </c>
      <c r="BO338" s="39">
        <f t="shared" si="363"/>
        <v>84.002087040972597</v>
      </c>
      <c r="BP338" s="39">
        <f t="shared" si="364"/>
        <v>75.026910166902837</v>
      </c>
      <c r="BQ338" s="39">
        <f t="shared" si="365"/>
        <v>75.160610659951203</v>
      </c>
      <c r="BR338" s="39">
        <f t="shared" si="366"/>
        <v>75.592171135982156</v>
      </c>
      <c r="BS338" s="39">
        <f t="shared" si="367"/>
        <v>0</v>
      </c>
      <c r="BT338" s="39">
        <f t="shared" si="368"/>
        <v>0</v>
      </c>
      <c r="BU338" s="39">
        <f t="shared" si="369"/>
        <v>0</v>
      </c>
      <c r="BV338" s="39">
        <f t="shared" si="370"/>
        <v>0</v>
      </c>
      <c r="BW338" s="39">
        <f t="shared" si="371"/>
        <v>1.2522245835668855E-3</v>
      </c>
      <c r="BX338" s="39">
        <f t="shared" si="372"/>
        <v>1.6146100141693865E-2</v>
      </c>
      <c r="BY338" s="39">
        <f t="shared" si="373"/>
        <v>9.6366395970713364E-2</v>
      </c>
      <c r="BZ338" s="39">
        <f t="shared" si="374"/>
        <v>0.35530268158928491</v>
      </c>
      <c r="CA338" s="39">
        <f t="shared" si="375"/>
        <v>37.235088736345588</v>
      </c>
      <c r="CB338" s="39">
        <f t="shared" si="376"/>
        <v>60.24849000584269</v>
      </c>
      <c r="CC338" s="39">
        <f t="shared" si="377"/>
        <v>58.912484277887195</v>
      </c>
      <c r="CD338" s="39">
        <f t="shared" si="378"/>
        <v>84.448670085945309</v>
      </c>
      <c r="CE338" s="39">
        <f t="shared" si="379"/>
        <v>84.00083481638903</v>
      </c>
      <c r="CF338" s="39">
        <f t="shared" si="380"/>
        <v>75.012016291344707</v>
      </c>
      <c r="CG338" s="39">
        <f t="shared" si="381"/>
        <v>75.080390364122181</v>
      </c>
      <c r="CH338" s="39">
        <f t="shared" si="382"/>
        <v>75.333234850363596</v>
      </c>
      <c r="CI338" s="39">
        <f t="shared" si="383"/>
        <v>0</v>
      </c>
      <c r="CJ338" s="39">
        <f t="shared" si="384"/>
        <v>0</v>
      </c>
      <c r="CK338" s="39">
        <f t="shared" si="385"/>
        <v>0</v>
      </c>
      <c r="CL338" s="39">
        <f t="shared" si="386"/>
        <v>0</v>
      </c>
      <c r="CM338" s="39">
        <f t="shared" si="387"/>
        <v>0</v>
      </c>
      <c r="CN338" s="39">
        <f t="shared" si="388"/>
        <v>0</v>
      </c>
      <c r="CO338" s="39">
        <f t="shared" si="389"/>
        <v>0</v>
      </c>
      <c r="CP338" s="39">
        <f t="shared" si="390"/>
        <v>0</v>
      </c>
    </row>
    <row r="339" spans="12:94" ht="16" customHeight="1" x14ac:dyDescent="0.2">
      <c r="L339" s="63">
        <v>30651</v>
      </c>
      <c r="M339" s="38">
        <v>0</v>
      </c>
      <c r="N339" s="38">
        <v>5.8</v>
      </c>
      <c r="O339" s="39">
        <v>0.87139999999999995</v>
      </c>
      <c r="P339" s="39">
        <v>0.41081818199999998</v>
      </c>
      <c r="Q339" s="46">
        <f t="shared" si="321"/>
        <v>0.13533427958848868</v>
      </c>
      <c r="R339" s="81">
        <f t="shared" si="322"/>
        <v>0</v>
      </c>
      <c r="S339" s="82">
        <f t="shared" si="323"/>
        <v>0</v>
      </c>
      <c r="T339" s="39">
        <f t="shared" si="324"/>
        <v>0.1999409102181488</v>
      </c>
      <c r="U339" s="83">
        <f t="shared" si="325"/>
        <v>2.3827454555999998</v>
      </c>
      <c r="V339" s="84">
        <f t="shared" si="326"/>
        <v>2.7338036355200002</v>
      </c>
      <c r="W339" s="52">
        <f t="shared" si="327"/>
        <v>91.844733106020783</v>
      </c>
      <c r="X339" s="52">
        <f t="shared" si="328"/>
        <v>168.42647632221951</v>
      </c>
      <c r="Y339" s="52">
        <f t="shared" si="329"/>
        <v>260.2712094282403</v>
      </c>
      <c r="Z339" s="53">
        <f t="shared" si="330"/>
        <v>0.71753697739078737</v>
      </c>
      <c r="AA339" s="53">
        <f t="shared" si="331"/>
        <v>1.0025385495370209</v>
      </c>
      <c r="AB339" s="53">
        <f t="shared" si="332"/>
        <v>0.87929462644675771</v>
      </c>
      <c r="AC339" s="39" t="str">
        <f t="shared" si="333"/>
        <v>No</v>
      </c>
      <c r="AD339" s="85">
        <f t="shared" si="334"/>
        <v>2.4199999999999999E-2</v>
      </c>
      <c r="AE339" s="46">
        <f t="shared" si="335"/>
        <v>1</v>
      </c>
      <c r="AF339" s="46">
        <f t="shared" si="336"/>
        <v>0.87139999999999995</v>
      </c>
      <c r="AG339" s="39">
        <f t="shared" si="391"/>
        <v>37.235088736345588</v>
      </c>
      <c r="AH339" s="39">
        <f t="shared" si="392"/>
        <v>60.24849000584269</v>
      </c>
      <c r="AI339" s="39">
        <f t="shared" si="393"/>
        <v>58.912484277887195</v>
      </c>
      <c r="AJ339" s="39">
        <f t="shared" si="394"/>
        <v>84.448670085945309</v>
      </c>
      <c r="AK339" s="39">
        <f t="shared" si="395"/>
        <v>84.00083481638903</v>
      </c>
      <c r="AL339" s="39">
        <f t="shared" si="396"/>
        <v>75.012016291344707</v>
      </c>
      <c r="AM339" s="39">
        <f t="shared" si="397"/>
        <v>75.080390364122181</v>
      </c>
      <c r="AN339" s="39">
        <f t="shared" si="398"/>
        <v>75.333234850363596</v>
      </c>
      <c r="AO339" s="39">
        <f t="shared" si="337"/>
        <v>0.34897672681863201</v>
      </c>
      <c r="AP339" s="39">
        <f t="shared" si="338"/>
        <v>2.2248490005842689</v>
      </c>
      <c r="AQ339" s="39">
        <f t="shared" si="339"/>
        <v>2.2912484277887208</v>
      </c>
      <c r="AR339" s="39">
        <f t="shared" si="340"/>
        <v>3.5687896871085174</v>
      </c>
      <c r="AS339" s="39">
        <f t="shared" si="341"/>
        <v>0</v>
      </c>
      <c r="AT339" s="39">
        <f t="shared" si="342"/>
        <v>0</v>
      </c>
      <c r="AU339" s="39">
        <f t="shared" si="343"/>
        <v>0</v>
      </c>
      <c r="AV339" s="39">
        <f t="shared" si="344"/>
        <v>0</v>
      </c>
      <c r="AW339" s="39">
        <f t="shared" si="345"/>
        <v>8.4338638423001377</v>
      </c>
      <c r="AX339" s="39">
        <f t="shared" si="346"/>
        <v>2.3827454555999998</v>
      </c>
      <c r="AY339" s="39">
        <f t="shared" si="347"/>
        <v>2.3827454555999998</v>
      </c>
      <c r="AZ339" s="39">
        <f t="shared" si="348"/>
        <v>9.8593328690788976E-2</v>
      </c>
      <c r="BA339" s="39">
        <f t="shared" si="349"/>
        <v>0.628567041709862</v>
      </c>
      <c r="BB339" s="39">
        <f t="shared" si="350"/>
        <v>0.6473262885253408</v>
      </c>
      <c r="BC339" s="39">
        <f t="shared" si="351"/>
        <v>1.0082587966740084</v>
      </c>
      <c r="BD339" s="39">
        <f t="shared" si="352"/>
        <v>0</v>
      </c>
      <c r="BE339" s="39">
        <f t="shared" si="353"/>
        <v>0</v>
      </c>
      <c r="BF339" s="39">
        <f t="shared" si="354"/>
        <v>0</v>
      </c>
      <c r="BG339" s="39">
        <f t="shared" si="355"/>
        <v>0</v>
      </c>
      <c r="BH339" s="84">
        <f t="shared" si="356"/>
        <v>0</v>
      </c>
      <c r="BI339" s="84">
        <f t="shared" si="357"/>
        <v>2.7338036355200002</v>
      </c>
      <c r="BJ339" s="84">
        <f t="shared" si="358"/>
        <v>0.29570152240719666</v>
      </c>
      <c r="BK339" s="39">
        <f t="shared" si="359"/>
        <v>36.840793885247599</v>
      </c>
      <c r="BL339" s="39">
        <f t="shared" si="360"/>
        <v>59.619922964132826</v>
      </c>
      <c r="BM339" s="39">
        <f t="shared" si="361"/>
        <v>58.265157989361853</v>
      </c>
      <c r="BN339" s="39">
        <f t="shared" si="362"/>
        <v>83.440411289271296</v>
      </c>
      <c r="BO339" s="39">
        <f t="shared" si="363"/>
        <v>84.00083481638903</v>
      </c>
      <c r="BP339" s="39">
        <f t="shared" si="364"/>
        <v>75.012016291344707</v>
      </c>
      <c r="BQ339" s="39">
        <f t="shared" si="365"/>
        <v>75.080390364122181</v>
      </c>
      <c r="BR339" s="39">
        <f t="shared" si="366"/>
        <v>75.333234850363596</v>
      </c>
      <c r="BS339" s="39">
        <f t="shared" si="367"/>
        <v>0</v>
      </c>
      <c r="BT339" s="39">
        <f t="shared" si="368"/>
        <v>0</v>
      </c>
      <c r="BU339" s="39">
        <f t="shared" si="369"/>
        <v>0</v>
      </c>
      <c r="BV339" s="39">
        <f t="shared" si="370"/>
        <v>0</v>
      </c>
      <c r="BW339" s="39">
        <f t="shared" si="371"/>
        <v>5.0088983342675417E-4</v>
      </c>
      <c r="BX339" s="39">
        <f t="shared" si="372"/>
        <v>7.2097748068159712E-3</v>
      </c>
      <c r="BY339" s="39">
        <f t="shared" si="373"/>
        <v>4.8234218473299957E-2</v>
      </c>
      <c r="BZ339" s="39">
        <f t="shared" si="374"/>
        <v>0.1999409102181488</v>
      </c>
      <c r="CA339" s="39">
        <f t="shared" si="375"/>
        <v>36.840793885247599</v>
      </c>
      <c r="CB339" s="39">
        <f t="shared" si="376"/>
        <v>59.619922964132826</v>
      </c>
      <c r="CC339" s="39">
        <f t="shared" si="377"/>
        <v>58.265157989361853</v>
      </c>
      <c r="CD339" s="39">
        <f t="shared" si="378"/>
        <v>83.440411289271296</v>
      </c>
      <c r="CE339" s="39">
        <f t="shared" si="379"/>
        <v>84.000333926555598</v>
      </c>
      <c r="CF339" s="39">
        <f t="shared" si="380"/>
        <v>75.00530740637133</v>
      </c>
      <c r="CG339" s="39">
        <f t="shared" si="381"/>
        <v>75.039365920455694</v>
      </c>
      <c r="CH339" s="39">
        <f t="shared" si="382"/>
        <v>75.181528158618747</v>
      </c>
      <c r="CI339" s="39">
        <f t="shared" si="383"/>
        <v>0</v>
      </c>
      <c r="CJ339" s="39">
        <f t="shared" si="384"/>
        <v>0</v>
      </c>
      <c r="CK339" s="39">
        <f t="shared" si="385"/>
        <v>0</v>
      </c>
      <c r="CL339" s="39">
        <f t="shared" si="386"/>
        <v>0</v>
      </c>
      <c r="CM339" s="39">
        <f t="shared" si="387"/>
        <v>0</v>
      </c>
      <c r="CN339" s="39">
        <f t="shared" si="388"/>
        <v>0</v>
      </c>
      <c r="CO339" s="39">
        <f t="shared" si="389"/>
        <v>0</v>
      </c>
      <c r="CP339" s="39">
        <f t="shared" si="390"/>
        <v>0</v>
      </c>
    </row>
    <row r="340" spans="12:94" ht="16" customHeight="1" x14ac:dyDescent="0.2">
      <c r="L340" s="63">
        <v>30652</v>
      </c>
      <c r="M340" s="38">
        <v>0</v>
      </c>
      <c r="N340" s="38">
        <v>6.2</v>
      </c>
      <c r="O340" s="39">
        <v>0.89580000000000004</v>
      </c>
      <c r="P340" s="39">
        <v>0.42981818199999999</v>
      </c>
      <c r="Q340" s="46">
        <f t="shared" si="321"/>
        <v>0.1361335259082819</v>
      </c>
      <c r="R340" s="81">
        <f t="shared" si="322"/>
        <v>0</v>
      </c>
      <c r="S340" s="82">
        <f t="shared" si="323"/>
        <v>0</v>
      </c>
      <c r="T340" s="39">
        <f t="shared" si="324"/>
        <v>0.10891689517123949</v>
      </c>
      <c r="U340" s="83">
        <f t="shared" si="325"/>
        <v>2.6648727284000002</v>
      </c>
      <c r="V340" s="84">
        <f t="shared" si="326"/>
        <v>2.8281018172800003</v>
      </c>
      <c r="W340" s="52">
        <f t="shared" si="327"/>
        <v>89.166286128013553</v>
      </c>
      <c r="X340" s="52">
        <f t="shared" si="328"/>
        <v>168.22653541200134</v>
      </c>
      <c r="Y340" s="52">
        <f t="shared" si="329"/>
        <v>257.39282154001489</v>
      </c>
      <c r="Z340" s="53">
        <f t="shared" si="330"/>
        <v>0.69661161037510588</v>
      </c>
      <c r="AA340" s="53">
        <f t="shared" si="331"/>
        <v>1.0013484250714366</v>
      </c>
      <c r="AB340" s="53">
        <f t="shared" si="332"/>
        <v>0.86957034304059089</v>
      </c>
      <c r="AC340" s="39" t="str">
        <f t="shared" si="333"/>
        <v>No</v>
      </c>
      <c r="AD340" s="85">
        <f t="shared" si="334"/>
        <v>2.4400000000000088E-2</v>
      </c>
      <c r="AE340" s="46">
        <f t="shared" si="335"/>
        <v>1</v>
      </c>
      <c r="AF340" s="46">
        <f t="shared" si="336"/>
        <v>0.89580000000000004</v>
      </c>
      <c r="AG340" s="39">
        <f t="shared" si="391"/>
        <v>36.840793885247599</v>
      </c>
      <c r="AH340" s="39">
        <f t="shared" si="392"/>
        <v>59.619922964132826</v>
      </c>
      <c r="AI340" s="39">
        <f t="shared" si="393"/>
        <v>58.265157989361853</v>
      </c>
      <c r="AJ340" s="39">
        <f t="shared" si="394"/>
        <v>83.440411289271296</v>
      </c>
      <c r="AK340" s="39">
        <f t="shared" si="395"/>
        <v>84.000333926555598</v>
      </c>
      <c r="AL340" s="39">
        <f t="shared" si="396"/>
        <v>75.00530740637133</v>
      </c>
      <c r="AM340" s="39">
        <f t="shared" si="397"/>
        <v>75.039365920455694</v>
      </c>
      <c r="AN340" s="39">
        <f t="shared" si="398"/>
        <v>75.181528158618747</v>
      </c>
      <c r="AO340" s="39">
        <f t="shared" si="337"/>
        <v>0.31197640653627301</v>
      </c>
      <c r="AP340" s="39">
        <f t="shared" si="338"/>
        <v>2.1619922964132825</v>
      </c>
      <c r="AQ340" s="39">
        <f t="shared" si="339"/>
        <v>2.226515798936187</v>
      </c>
      <c r="AR340" s="39">
        <f t="shared" si="340"/>
        <v>3.7902245531221497</v>
      </c>
      <c r="AS340" s="39">
        <f t="shared" si="341"/>
        <v>0</v>
      </c>
      <c r="AT340" s="39">
        <f t="shared" si="342"/>
        <v>0</v>
      </c>
      <c r="AU340" s="39">
        <f t="shared" si="343"/>
        <v>0</v>
      </c>
      <c r="AV340" s="39">
        <f t="shared" si="344"/>
        <v>0</v>
      </c>
      <c r="AW340" s="39">
        <f t="shared" si="345"/>
        <v>8.4907090550078923</v>
      </c>
      <c r="AX340" s="39">
        <f t="shared" si="346"/>
        <v>2.6648727284000002</v>
      </c>
      <c r="AY340" s="39">
        <f t="shared" si="347"/>
        <v>2.6648727284000002</v>
      </c>
      <c r="AZ340" s="39">
        <f t="shared" si="348"/>
        <v>9.7916135424802014E-2</v>
      </c>
      <c r="BA340" s="39">
        <f t="shared" si="349"/>
        <v>0.6785575000152082</v>
      </c>
      <c r="BB340" s="39">
        <f t="shared" si="350"/>
        <v>0.69880868529315876</v>
      </c>
      <c r="BC340" s="39">
        <f t="shared" si="351"/>
        <v>1.1895904076668313</v>
      </c>
      <c r="BD340" s="39">
        <f t="shared" si="352"/>
        <v>0</v>
      </c>
      <c r="BE340" s="39">
        <f t="shared" si="353"/>
        <v>0</v>
      </c>
      <c r="BF340" s="39">
        <f t="shared" si="354"/>
        <v>0</v>
      </c>
      <c r="BG340" s="39">
        <f t="shared" si="355"/>
        <v>0</v>
      </c>
      <c r="BH340" s="84">
        <f t="shared" si="356"/>
        <v>0</v>
      </c>
      <c r="BI340" s="84">
        <f t="shared" si="357"/>
        <v>2.8281018172800003</v>
      </c>
      <c r="BJ340" s="84">
        <f t="shared" si="358"/>
        <v>0.28471734046677077</v>
      </c>
      <c r="BK340" s="39">
        <f t="shared" si="359"/>
        <v>36.458160409356026</v>
      </c>
      <c r="BL340" s="39">
        <f t="shared" si="360"/>
        <v>58.941365464117617</v>
      </c>
      <c r="BM340" s="39">
        <f t="shared" si="361"/>
        <v>57.566349304068694</v>
      </c>
      <c r="BN340" s="39">
        <f t="shared" si="362"/>
        <v>82.250820881604469</v>
      </c>
      <c r="BO340" s="39">
        <f t="shared" si="363"/>
        <v>84.000333926555598</v>
      </c>
      <c r="BP340" s="39">
        <f t="shared" si="364"/>
        <v>75.00530740637133</v>
      </c>
      <c r="BQ340" s="39">
        <f t="shared" si="365"/>
        <v>75.039365920455694</v>
      </c>
      <c r="BR340" s="39">
        <f t="shared" si="366"/>
        <v>75.181528158618747</v>
      </c>
      <c r="BS340" s="39">
        <f t="shared" si="367"/>
        <v>0</v>
      </c>
      <c r="BT340" s="39">
        <f t="shared" si="368"/>
        <v>0</v>
      </c>
      <c r="BU340" s="39">
        <f t="shared" si="369"/>
        <v>0</v>
      </c>
      <c r="BV340" s="39">
        <f t="shared" si="370"/>
        <v>0</v>
      </c>
      <c r="BW340" s="39">
        <f t="shared" si="371"/>
        <v>2.0035593336729108E-4</v>
      </c>
      <c r="BX340" s="39">
        <f t="shared" si="372"/>
        <v>3.1844438227892624E-3</v>
      </c>
      <c r="BY340" s="39">
        <f t="shared" si="373"/>
        <v>2.3619552273407861E-2</v>
      </c>
      <c r="BZ340" s="39">
        <f t="shared" si="374"/>
        <v>0.10891689517123949</v>
      </c>
      <c r="CA340" s="39">
        <f t="shared" si="375"/>
        <v>36.458160409356026</v>
      </c>
      <c r="CB340" s="39">
        <f t="shared" si="376"/>
        <v>58.941365464117617</v>
      </c>
      <c r="CC340" s="39">
        <f t="shared" si="377"/>
        <v>57.566349304068694</v>
      </c>
      <c r="CD340" s="39">
        <f t="shared" si="378"/>
        <v>82.250820881604469</v>
      </c>
      <c r="CE340" s="39">
        <f t="shared" si="379"/>
        <v>84.000133570622225</v>
      </c>
      <c r="CF340" s="39">
        <f t="shared" si="380"/>
        <v>75.002323318481913</v>
      </c>
      <c r="CG340" s="39">
        <f t="shared" si="381"/>
        <v>75.018930812005081</v>
      </c>
      <c r="CH340" s="39">
        <f t="shared" si="382"/>
        <v>75.096230815720915</v>
      </c>
      <c r="CI340" s="39">
        <f t="shared" si="383"/>
        <v>0</v>
      </c>
      <c r="CJ340" s="39">
        <f t="shared" si="384"/>
        <v>0</v>
      </c>
      <c r="CK340" s="39">
        <f t="shared" si="385"/>
        <v>0</v>
      </c>
      <c r="CL340" s="39">
        <f t="shared" si="386"/>
        <v>0</v>
      </c>
      <c r="CM340" s="39">
        <f t="shared" si="387"/>
        <v>0</v>
      </c>
      <c r="CN340" s="39">
        <f t="shared" si="388"/>
        <v>0</v>
      </c>
      <c r="CO340" s="39">
        <f t="shared" si="389"/>
        <v>0</v>
      </c>
      <c r="CP340" s="39">
        <f t="shared" si="390"/>
        <v>0</v>
      </c>
    </row>
    <row r="341" spans="12:94" ht="16" customHeight="1" x14ac:dyDescent="0.2">
      <c r="L341" s="63">
        <v>30653</v>
      </c>
      <c r="M341" s="38">
        <v>0</v>
      </c>
      <c r="N341" s="38">
        <v>5.8</v>
      </c>
      <c r="O341" s="39">
        <v>0.92479999999999996</v>
      </c>
      <c r="P341" s="39">
        <v>0.452128788</v>
      </c>
      <c r="Q341" s="46">
        <f t="shared" si="321"/>
        <v>0.13690913430535942</v>
      </c>
      <c r="R341" s="81">
        <f t="shared" si="322"/>
        <v>0</v>
      </c>
      <c r="S341" s="82">
        <f t="shared" si="323"/>
        <v>0</v>
      </c>
      <c r="T341" s="39">
        <f t="shared" si="324"/>
        <v>5.7738489432540514E-2</v>
      </c>
      <c r="U341" s="83">
        <f t="shared" si="325"/>
        <v>2.6223469703999998</v>
      </c>
      <c r="V341" s="84">
        <f t="shared" si="326"/>
        <v>2.5421224236800004</v>
      </c>
      <c r="W341" s="52">
        <f t="shared" si="327"/>
        <v>86.216696059146784</v>
      </c>
      <c r="X341" s="52">
        <f t="shared" si="328"/>
        <v>168.11761851683013</v>
      </c>
      <c r="Y341" s="52">
        <f t="shared" si="329"/>
        <v>254.33431457597692</v>
      </c>
      <c r="Z341" s="53">
        <f t="shared" si="330"/>
        <v>0.67356793796208425</v>
      </c>
      <c r="AA341" s="53">
        <f t="shared" si="331"/>
        <v>1.000700110219227</v>
      </c>
      <c r="AB341" s="53">
        <f t="shared" si="332"/>
        <v>0.85923754924316531</v>
      </c>
      <c r="AC341" s="39" t="str">
        <f t="shared" si="333"/>
        <v>No</v>
      </c>
      <c r="AD341" s="85">
        <f t="shared" si="334"/>
        <v>2.8999999999999915E-2</v>
      </c>
      <c r="AE341" s="46">
        <f t="shared" si="335"/>
        <v>1</v>
      </c>
      <c r="AF341" s="46">
        <f t="shared" si="336"/>
        <v>0.92479999999999996</v>
      </c>
      <c r="AG341" s="39">
        <f t="shared" si="391"/>
        <v>36.458160409356026</v>
      </c>
      <c r="AH341" s="39">
        <f t="shared" si="392"/>
        <v>58.941365464117617</v>
      </c>
      <c r="AI341" s="39">
        <f t="shared" si="393"/>
        <v>57.566349304068694</v>
      </c>
      <c r="AJ341" s="39">
        <f t="shared" si="394"/>
        <v>82.250820881604469</v>
      </c>
      <c r="AK341" s="39">
        <f t="shared" si="395"/>
        <v>84.000133570622225</v>
      </c>
      <c r="AL341" s="39">
        <f t="shared" si="396"/>
        <v>75.002323318481913</v>
      </c>
      <c r="AM341" s="39">
        <f t="shared" si="397"/>
        <v>75.018930812005081</v>
      </c>
      <c r="AN341" s="39">
        <f t="shared" si="398"/>
        <v>75.096230815720915</v>
      </c>
      <c r="AO341" s="39">
        <f t="shared" si="337"/>
        <v>0.2780522391531573</v>
      </c>
      <c r="AP341" s="39">
        <f t="shared" si="338"/>
        <v>2.0941365464117618</v>
      </c>
      <c r="AQ341" s="39">
        <f t="shared" si="339"/>
        <v>2.156634930406871</v>
      </c>
      <c r="AR341" s="39">
        <f t="shared" si="340"/>
        <v>3.7250820881604465</v>
      </c>
      <c r="AS341" s="39">
        <f t="shared" si="341"/>
        <v>0.34720110418380962</v>
      </c>
      <c r="AT341" s="39">
        <f t="shared" si="342"/>
        <v>0</v>
      </c>
      <c r="AU341" s="39">
        <f t="shared" si="343"/>
        <v>0</v>
      </c>
      <c r="AV341" s="39">
        <f t="shared" si="344"/>
        <v>0</v>
      </c>
      <c r="AW341" s="39">
        <f t="shared" si="345"/>
        <v>8.6011069083160478</v>
      </c>
      <c r="AX341" s="39">
        <f t="shared" si="346"/>
        <v>2.6223469703999998</v>
      </c>
      <c r="AY341" s="39">
        <f t="shared" si="347"/>
        <v>2.6223469703999998</v>
      </c>
      <c r="AZ341" s="39">
        <f t="shared" si="348"/>
        <v>8.4773908140966636E-2</v>
      </c>
      <c r="BA341" s="39">
        <f t="shared" si="349"/>
        <v>0.63847045346887288</v>
      </c>
      <c r="BB341" s="39">
        <f t="shared" si="350"/>
        <v>0.65752526230586206</v>
      </c>
      <c r="BC341" s="39">
        <f t="shared" si="351"/>
        <v>1.1357209987628618</v>
      </c>
      <c r="BD341" s="39">
        <f t="shared" si="352"/>
        <v>0.10585634772143587</v>
      </c>
      <c r="BE341" s="39">
        <f t="shared" si="353"/>
        <v>0</v>
      </c>
      <c r="BF341" s="39">
        <f t="shared" si="354"/>
        <v>0</v>
      </c>
      <c r="BG341" s="39">
        <f t="shared" si="355"/>
        <v>0</v>
      </c>
      <c r="BH341" s="84">
        <f t="shared" si="356"/>
        <v>0</v>
      </c>
      <c r="BI341" s="84">
        <f t="shared" si="357"/>
        <v>2.5421224236800004</v>
      </c>
      <c r="BJ341" s="84">
        <f t="shared" si="358"/>
        <v>0.23896846836146846</v>
      </c>
      <c r="BK341" s="39">
        <f t="shared" si="359"/>
        <v>36.134418032853588</v>
      </c>
      <c r="BL341" s="39">
        <f t="shared" si="360"/>
        <v>58.302895010648747</v>
      </c>
      <c r="BM341" s="39">
        <f t="shared" si="361"/>
        <v>56.908824041762834</v>
      </c>
      <c r="BN341" s="39">
        <f t="shared" si="362"/>
        <v>81.115099882841605</v>
      </c>
      <c r="BO341" s="39">
        <f t="shared" si="363"/>
        <v>83.894277222900783</v>
      </c>
      <c r="BP341" s="39">
        <f t="shared" si="364"/>
        <v>75.002323318481913</v>
      </c>
      <c r="BQ341" s="39">
        <f t="shared" si="365"/>
        <v>75.018930812005081</v>
      </c>
      <c r="BR341" s="39">
        <f t="shared" si="366"/>
        <v>75.096230815720915</v>
      </c>
      <c r="BS341" s="39">
        <f t="shared" si="367"/>
        <v>0</v>
      </c>
      <c r="BT341" s="39">
        <f t="shared" si="368"/>
        <v>0</v>
      </c>
      <c r="BU341" s="39">
        <f t="shared" si="369"/>
        <v>0</v>
      </c>
      <c r="BV341" s="39">
        <f t="shared" si="370"/>
        <v>0</v>
      </c>
      <c r="BW341" s="39">
        <f t="shared" si="371"/>
        <v>0</v>
      </c>
      <c r="BX341" s="39">
        <f t="shared" si="372"/>
        <v>1.3939910891394901E-3</v>
      </c>
      <c r="BY341" s="39">
        <f t="shared" si="373"/>
        <v>1.1358487203040113E-2</v>
      </c>
      <c r="BZ341" s="39">
        <f t="shared" si="374"/>
        <v>5.7738489432540514E-2</v>
      </c>
      <c r="CA341" s="39">
        <f t="shared" si="375"/>
        <v>36.134418032853588</v>
      </c>
      <c r="CB341" s="39">
        <f t="shared" si="376"/>
        <v>58.302895010648747</v>
      </c>
      <c r="CC341" s="39">
        <f t="shared" si="377"/>
        <v>56.908824041762834</v>
      </c>
      <c r="CD341" s="39">
        <f t="shared" si="378"/>
        <v>81.115099882841605</v>
      </c>
      <c r="CE341" s="39">
        <f t="shared" si="379"/>
        <v>83.894277222900783</v>
      </c>
      <c r="CF341" s="39">
        <f t="shared" si="380"/>
        <v>75.000929327392768</v>
      </c>
      <c r="CG341" s="39">
        <f t="shared" si="381"/>
        <v>75.008966315891186</v>
      </c>
      <c r="CH341" s="39">
        <f t="shared" si="382"/>
        <v>75.049850813491418</v>
      </c>
      <c r="CI341" s="39">
        <f t="shared" si="383"/>
        <v>0</v>
      </c>
      <c r="CJ341" s="39">
        <f t="shared" si="384"/>
        <v>0</v>
      </c>
      <c r="CK341" s="39">
        <f t="shared" si="385"/>
        <v>0</v>
      </c>
      <c r="CL341" s="39">
        <f t="shared" si="386"/>
        <v>0</v>
      </c>
      <c r="CM341" s="39">
        <f t="shared" si="387"/>
        <v>0</v>
      </c>
      <c r="CN341" s="39">
        <f t="shared" si="388"/>
        <v>0</v>
      </c>
      <c r="CO341" s="39">
        <f t="shared" si="389"/>
        <v>0</v>
      </c>
      <c r="CP341" s="39">
        <f t="shared" si="390"/>
        <v>0</v>
      </c>
    </row>
    <row r="342" spans="12:94" ht="16" customHeight="1" x14ac:dyDescent="0.2">
      <c r="L342" s="63">
        <v>30654</v>
      </c>
      <c r="M342" s="38">
        <v>0</v>
      </c>
      <c r="N342" s="38">
        <v>6.2</v>
      </c>
      <c r="O342" s="39">
        <v>0.95520000000000005</v>
      </c>
      <c r="P342" s="39">
        <v>0.47544697000000002</v>
      </c>
      <c r="Q342" s="46">
        <f t="shared" si="321"/>
        <v>0.13756536885232379</v>
      </c>
      <c r="R342" s="81">
        <f t="shared" si="322"/>
        <v>0</v>
      </c>
      <c r="S342" s="82">
        <f t="shared" si="323"/>
        <v>0</v>
      </c>
      <c r="T342" s="39">
        <f t="shared" si="324"/>
        <v>2.991048809484198E-2</v>
      </c>
      <c r="U342" s="83">
        <f t="shared" si="325"/>
        <v>2.9477712140000003</v>
      </c>
      <c r="V342" s="84">
        <f t="shared" si="326"/>
        <v>2.6017830287999999</v>
      </c>
      <c r="W342" s="52">
        <f t="shared" si="327"/>
        <v>83.461236968106789</v>
      </c>
      <c r="X342" s="52">
        <f t="shared" si="328"/>
        <v>167.9540236796762</v>
      </c>
      <c r="Y342" s="52">
        <f t="shared" si="329"/>
        <v>251.41526064778299</v>
      </c>
      <c r="Z342" s="53">
        <f t="shared" si="330"/>
        <v>0.65204091381333429</v>
      </c>
      <c r="AA342" s="53">
        <f t="shared" si="331"/>
        <v>0.99972633142664402</v>
      </c>
      <c r="AB342" s="53">
        <f t="shared" si="332"/>
        <v>0.84937588056683444</v>
      </c>
      <c r="AC342" s="39" t="str">
        <f t="shared" si="333"/>
        <v>No</v>
      </c>
      <c r="AD342" s="85">
        <f t="shared" si="334"/>
        <v>3.0400000000000094E-2</v>
      </c>
      <c r="AE342" s="46">
        <f t="shared" si="335"/>
        <v>1</v>
      </c>
      <c r="AF342" s="46">
        <f t="shared" si="336"/>
        <v>0.95520000000000005</v>
      </c>
      <c r="AG342" s="39">
        <f t="shared" si="391"/>
        <v>36.134418032853588</v>
      </c>
      <c r="AH342" s="39">
        <f t="shared" si="392"/>
        <v>58.302895010648747</v>
      </c>
      <c r="AI342" s="39">
        <f t="shared" si="393"/>
        <v>56.908824041762834</v>
      </c>
      <c r="AJ342" s="39">
        <f t="shared" si="394"/>
        <v>81.115099882841605</v>
      </c>
      <c r="AK342" s="39">
        <f t="shared" si="395"/>
        <v>83.894277222900783</v>
      </c>
      <c r="AL342" s="39">
        <f t="shared" si="396"/>
        <v>75.000929327392768</v>
      </c>
      <c r="AM342" s="39">
        <f t="shared" si="397"/>
        <v>75.008966315891186</v>
      </c>
      <c r="AN342" s="39">
        <f t="shared" si="398"/>
        <v>75.049850813491418</v>
      </c>
      <c r="AO342" s="39">
        <f t="shared" si="337"/>
        <v>0.25087389734532861</v>
      </c>
      <c r="AP342" s="39">
        <f t="shared" si="338"/>
        <v>2.0302895010648747</v>
      </c>
      <c r="AQ342" s="39">
        <f t="shared" si="339"/>
        <v>2.090882404176285</v>
      </c>
      <c r="AR342" s="39">
        <f t="shared" si="340"/>
        <v>3.6115099882841601</v>
      </c>
      <c r="AS342" s="39">
        <f t="shared" si="341"/>
        <v>0.7708547009013752</v>
      </c>
      <c r="AT342" s="39">
        <f t="shared" si="342"/>
        <v>0</v>
      </c>
      <c r="AU342" s="39">
        <f t="shared" si="343"/>
        <v>0</v>
      </c>
      <c r="AV342" s="39">
        <f t="shared" si="344"/>
        <v>0</v>
      </c>
      <c r="AW342" s="39">
        <f t="shared" si="345"/>
        <v>8.754410491772024</v>
      </c>
      <c r="AX342" s="39">
        <f t="shared" si="346"/>
        <v>2.9477712140000003</v>
      </c>
      <c r="AY342" s="39">
        <f t="shared" si="347"/>
        <v>2.9477712140000003</v>
      </c>
      <c r="AZ342" s="39">
        <f t="shared" si="348"/>
        <v>8.4473860762366543E-2</v>
      </c>
      <c r="BA342" s="39">
        <f t="shared" si="349"/>
        <v>0.68363586022729916</v>
      </c>
      <c r="BB342" s="39">
        <f t="shared" si="350"/>
        <v>0.70403860644674821</v>
      </c>
      <c r="BC342" s="39">
        <f t="shared" si="351"/>
        <v>1.2160619144536635</v>
      </c>
      <c r="BD342" s="39">
        <f t="shared" si="352"/>
        <v>0.25956097210992279</v>
      </c>
      <c r="BE342" s="39">
        <f t="shared" si="353"/>
        <v>0</v>
      </c>
      <c r="BF342" s="39">
        <f t="shared" si="354"/>
        <v>0</v>
      </c>
      <c r="BG342" s="39">
        <f t="shared" si="355"/>
        <v>0</v>
      </c>
      <c r="BH342" s="84">
        <f t="shared" si="356"/>
        <v>0</v>
      </c>
      <c r="BI342" s="84">
        <f t="shared" si="357"/>
        <v>2.6017830287999999</v>
      </c>
      <c r="BJ342" s="84">
        <f t="shared" si="358"/>
        <v>0.23010478572103765</v>
      </c>
      <c r="BK342" s="39">
        <f t="shared" si="359"/>
        <v>35.819839386370184</v>
      </c>
      <c r="BL342" s="39">
        <f t="shared" si="360"/>
        <v>57.619259150421449</v>
      </c>
      <c r="BM342" s="39">
        <f t="shared" si="361"/>
        <v>56.204785435316083</v>
      </c>
      <c r="BN342" s="39">
        <f t="shared" si="362"/>
        <v>79.899037968387944</v>
      </c>
      <c r="BO342" s="39">
        <f t="shared" si="363"/>
        <v>83.634716250790859</v>
      </c>
      <c r="BP342" s="39">
        <f t="shared" si="364"/>
        <v>75.000929327392768</v>
      </c>
      <c r="BQ342" s="39">
        <f t="shared" si="365"/>
        <v>75.008966315891186</v>
      </c>
      <c r="BR342" s="39">
        <f t="shared" si="366"/>
        <v>75.049850813491418</v>
      </c>
      <c r="BS342" s="39">
        <f t="shared" si="367"/>
        <v>0</v>
      </c>
      <c r="BT342" s="39">
        <f t="shared" si="368"/>
        <v>0</v>
      </c>
      <c r="BU342" s="39">
        <f t="shared" si="369"/>
        <v>0</v>
      </c>
      <c r="BV342" s="39">
        <f t="shared" si="370"/>
        <v>0</v>
      </c>
      <c r="BW342" s="39">
        <f t="shared" si="371"/>
        <v>0</v>
      </c>
      <c r="BX342" s="39">
        <f t="shared" si="372"/>
        <v>5.5759643565238542E-4</v>
      </c>
      <c r="BY342" s="39">
        <f t="shared" si="373"/>
        <v>5.3797895347031501E-3</v>
      </c>
      <c r="BZ342" s="39">
        <f t="shared" si="374"/>
        <v>2.991048809484198E-2</v>
      </c>
      <c r="CA342" s="39">
        <f t="shared" si="375"/>
        <v>35.819839386370184</v>
      </c>
      <c r="CB342" s="39">
        <f t="shared" si="376"/>
        <v>57.619259150421449</v>
      </c>
      <c r="CC342" s="39">
        <f t="shared" si="377"/>
        <v>56.204785435316083</v>
      </c>
      <c r="CD342" s="39">
        <f t="shared" si="378"/>
        <v>79.899037968387944</v>
      </c>
      <c r="CE342" s="39">
        <f t="shared" si="379"/>
        <v>83.634716250790859</v>
      </c>
      <c r="CF342" s="39">
        <f t="shared" si="380"/>
        <v>75.000371730957113</v>
      </c>
      <c r="CG342" s="39">
        <f t="shared" si="381"/>
        <v>75.004144122792141</v>
      </c>
      <c r="CH342" s="39">
        <f t="shared" si="382"/>
        <v>75.025320114931276</v>
      </c>
      <c r="CI342" s="39">
        <f t="shared" si="383"/>
        <v>0</v>
      </c>
      <c r="CJ342" s="39">
        <f t="shared" si="384"/>
        <v>0</v>
      </c>
      <c r="CK342" s="39">
        <f t="shared" si="385"/>
        <v>0</v>
      </c>
      <c r="CL342" s="39">
        <f t="shared" si="386"/>
        <v>0</v>
      </c>
      <c r="CM342" s="39">
        <f t="shared" si="387"/>
        <v>0</v>
      </c>
      <c r="CN342" s="39">
        <f t="shared" si="388"/>
        <v>0</v>
      </c>
      <c r="CO342" s="39">
        <f t="shared" si="389"/>
        <v>0</v>
      </c>
      <c r="CP342" s="39">
        <f t="shared" si="390"/>
        <v>0</v>
      </c>
    </row>
    <row r="343" spans="12:94" ht="16" customHeight="1" x14ac:dyDescent="0.2">
      <c r="L343" s="63">
        <v>30655</v>
      </c>
      <c r="M343" s="38">
        <v>0</v>
      </c>
      <c r="N343" s="38">
        <v>6.2</v>
      </c>
      <c r="O343" s="39">
        <v>0.98960000000000004</v>
      </c>
      <c r="P343" s="39">
        <v>0.50164393900000004</v>
      </c>
      <c r="Q343" s="46">
        <f t="shared" si="321"/>
        <v>0.13820302827087128</v>
      </c>
      <c r="R343" s="81">
        <f t="shared" si="322"/>
        <v>0</v>
      </c>
      <c r="S343" s="82">
        <f t="shared" si="323"/>
        <v>0</v>
      </c>
      <c r="T343" s="39">
        <f t="shared" si="324"/>
        <v>1.5192068958756976E-2</v>
      </c>
      <c r="U343" s="83">
        <f t="shared" si="325"/>
        <v>3.1101924218000003</v>
      </c>
      <c r="V343" s="84">
        <f t="shared" si="326"/>
        <v>2.4718460625600001</v>
      </c>
      <c r="W343" s="52">
        <f t="shared" si="327"/>
        <v>80.54292194049566</v>
      </c>
      <c r="X343" s="52">
        <f t="shared" si="328"/>
        <v>167.66455221947137</v>
      </c>
      <c r="Y343" s="52">
        <f t="shared" si="329"/>
        <v>248.20747415996703</v>
      </c>
      <c r="Z343" s="53">
        <f t="shared" si="330"/>
        <v>0.62924157766012234</v>
      </c>
      <c r="AA343" s="53">
        <f t="shared" si="331"/>
        <v>0.99800328702066299</v>
      </c>
      <c r="AB343" s="53">
        <f t="shared" si="332"/>
        <v>0.83853876405394268</v>
      </c>
      <c r="AC343" s="39" t="str">
        <f t="shared" si="333"/>
        <v>No</v>
      </c>
      <c r="AD343" s="85">
        <f t="shared" si="334"/>
        <v>3.4399999999999986E-2</v>
      </c>
      <c r="AE343" s="46">
        <f t="shared" si="335"/>
        <v>1</v>
      </c>
      <c r="AF343" s="46">
        <f t="shared" si="336"/>
        <v>0.98960000000000004</v>
      </c>
      <c r="AG343" s="39">
        <f t="shared" si="391"/>
        <v>35.819839386370184</v>
      </c>
      <c r="AH343" s="39">
        <f t="shared" si="392"/>
        <v>57.619259150421449</v>
      </c>
      <c r="AI343" s="39">
        <f t="shared" si="393"/>
        <v>56.204785435316083</v>
      </c>
      <c r="AJ343" s="39">
        <f t="shared" si="394"/>
        <v>79.899037968387944</v>
      </c>
      <c r="AK343" s="39">
        <f t="shared" si="395"/>
        <v>83.634716250790859</v>
      </c>
      <c r="AL343" s="39">
        <f t="shared" si="396"/>
        <v>75.000371730957113</v>
      </c>
      <c r="AM343" s="39">
        <f t="shared" si="397"/>
        <v>75.004144122792141</v>
      </c>
      <c r="AN343" s="39">
        <f t="shared" si="398"/>
        <v>75.025320114931276</v>
      </c>
      <c r="AO343" s="39">
        <f t="shared" si="337"/>
        <v>0.22580353655430452</v>
      </c>
      <c r="AP343" s="39">
        <f t="shared" si="338"/>
        <v>1.9619259150421451</v>
      </c>
      <c r="AQ343" s="39">
        <f t="shared" si="339"/>
        <v>2.0204785435316097</v>
      </c>
      <c r="AR343" s="39">
        <f t="shared" si="340"/>
        <v>3.489903796838794</v>
      </c>
      <c r="AS343" s="39">
        <f t="shared" si="341"/>
        <v>1.2434901920236212</v>
      </c>
      <c r="AT343" s="39">
        <f t="shared" si="342"/>
        <v>0</v>
      </c>
      <c r="AU343" s="39">
        <f t="shared" si="343"/>
        <v>0</v>
      </c>
      <c r="AV343" s="39">
        <f t="shared" si="344"/>
        <v>0</v>
      </c>
      <c r="AW343" s="39">
        <f t="shared" si="345"/>
        <v>8.9416019839904752</v>
      </c>
      <c r="AX343" s="39">
        <f t="shared" si="346"/>
        <v>3.1101924218000003</v>
      </c>
      <c r="AY343" s="39">
        <f t="shared" si="347"/>
        <v>3.1101924218000003</v>
      </c>
      <c r="AZ343" s="39">
        <f t="shared" si="348"/>
        <v>7.8542128073275846E-2</v>
      </c>
      <c r="BA343" s="39">
        <f t="shared" si="349"/>
        <v>0.68242437138472511</v>
      </c>
      <c r="BB343" s="39">
        <f t="shared" si="350"/>
        <v>0.70279096136831676</v>
      </c>
      <c r="BC343" s="39">
        <f t="shared" si="351"/>
        <v>1.2139068995883666</v>
      </c>
      <c r="BD343" s="39">
        <f t="shared" si="352"/>
        <v>0.4325280613853158</v>
      </c>
      <c r="BE343" s="39">
        <f t="shared" si="353"/>
        <v>0</v>
      </c>
      <c r="BF343" s="39">
        <f t="shared" si="354"/>
        <v>0</v>
      </c>
      <c r="BG343" s="39">
        <f t="shared" si="355"/>
        <v>0</v>
      </c>
      <c r="BH343" s="84">
        <f t="shared" si="356"/>
        <v>0</v>
      </c>
      <c r="BI343" s="84">
        <f t="shared" si="357"/>
        <v>2.4718460625600001</v>
      </c>
      <c r="BJ343" s="84">
        <f t="shared" si="358"/>
        <v>0.20607051914863148</v>
      </c>
      <c r="BK343" s="39">
        <f t="shared" si="359"/>
        <v>35.535226739148278</v>
      </c>
      <c r="BL343" s="39">
        <f t="shared" si="360"/>
        <v>56.936834779036722</v>
      </c>
      <c r="BM343" s="39">
        <f t="shared" si="361"/>
        <v>55.501994473947768</v>
      </c>
      <c r="BN343" s="39">
        <f t="shared" si="362"/>
        <v>78.685131068799578</v>
      </c>
      <c r="BO343" s="39">
        <f t="shared" si="363"/>
        <v>83.202188189405547</v>
      </c>
      <c r="BP343" s="39">
        <f t="shared" si="364"/>
        <v>75.000371730957113</v>
      </c>
      <c r="BQ343" s="39">
        <f t="shared" si="365"/>
        <v>75.004144122792141</v>
      </c>
      <c r="BR343" s="39">
        <f t="shared" si="366"/>
        <v>75.025320114931276</v>
      </c>
      <c r="BS343" s="39">
        <f t="shared" si="367"/>
        <v>0</v>
      </c>
      <c r="BT343" s="39">
        <f t="shared" si="368"/>
        <v>0</v>
      </c>
      <c r="BU343" s="39">
        <f t="shared" si="369"/>
        <v>0</v>
      </c>
      <c r="BV343" s="39">
        <f t="shared" si="370"/>
        <v>0</v>
      </c>
      <c r="BW343" s="39">
        <f t="shared" si="371"/>
        <v>0</v>
      </c>
      <c r="BX343" s="39">
        <f t="shared" si="372"/>
        <v>2.2303857425924888E-4</v>
      </c>
      <c r="BY343" s="39">
        <f t="shared" si="373"/>
        <v>2.4864736752761019E-3</v>
      </c>
      <c r="BZ343" s="39">
        <f t="shared" si="374"/>
        <v>1.5192068958756976E-2</v>
      </c>
      <c r="CA343" s="39">
        <f t="shared" si="375"/>
        <v>35.535226739148278</v>
      </c>
      <c r="CB343" s="39">
        <f t="shared" si="376"/>
        <v>56.936834779036722</v>
      </c>
      <c r="CC343" s="39">
        <f t="shared" si="377"/>
        <v>55.501994473947768</v>
      </c>
      <c r="CD343" s="39">
        <f t="shared" si="378"/>
        <v>78.685131068799578</v>
      </c>
      <c r="CE343" s="39">
        <f t="shared" si="379"/>
        <v>83.202188189405547</v>
      </c>
      <c r="CF343" s="39">
        <f t="shared" si="380"/>
        <v>75.000148692382851</v>
      </c>
      <c r="CG343" s="39">
        <f t="shared" si="381"/>
        <v>75.001880687691127</v>
      </c>
      <c r="CH343" s="39">
        <f t="shared" si="382"/>
        <v>75.012614519647798</v>
      </c>
      <c r="CI343" s="39">
        <f t="shared" si="383"/>
        <v>0</v>
      </c>
      <c r="CJ343" s="39">
        <f t="shared" si="384"/>
        <v>0</v>
      </c>
      <c r="CK343" s="39">
        <f t="shared" si="385"/>
        <v>0</v>
      </c>
      <c r="CL343" s="39">
        <f t="shared" si="386"/>
        <v>0</v>
      </c>
      <c r="CM343" s="39">
        <f t="shared" si="387"/>
        <v>0</v>
      </c>
      <c r="CN343" s="39">
        <f t="shared" si="388"/>
        <v>0</v>
      </c>
      <c r="CO343" s="39">
        <f t="shared" si="389"/>
        <v>0</v>
      </c>
      <c r="CP343" s="39">
        <f t="shared" si="390"/>
        <v>0</v>
      </c>
    </row>
    <row r="344" spans="12:94" ht="16" customHeight="1" x14ac:dyDescent="0.2">
      <c r="L344" s="63">
        <v>30656</v>
      </c>
      <c r="M344" s="38">
        <v>0</v>
      </c>
      <c r="N344" s="38">
        <v>3.5</v>
      </c>
      <c r="O344" s="39">
        <v>1.0254000000000001</v>
      </c>
      <c r="P344" s="39">
        <v>0.52884848500000003</v>
      </c>
      <c r="Q344" s="46">
        <f t="shared" si="321"/>
        <v>0.13877994579902378</v>
      </c>
      <c r="R344" s="81">
        <f t="shared" si="322"/>
        <v>0</v>
      </c>
      <c r="S344" s="82">
        <f t="shared" si="323"/>
        <v>0</v>
      </c>
      <c r="T344" s="39">
        <f t="shared" si="324"/>
        <v>7.5687117886701566E-3</v>
      </c>
      <c r="U344" s="83">
        <f t="shared" si="325"/>
        <v>1.8509696975000001</v>
      </c>
      <c r="V344" s="84">
        <f t="shared" si="326"/>
        <v>1.319224242</v>
      </c>
      <c r="W344" s="52">
        <f t="shared" si="327"/>
        <v>77.659187060932368</v>
      </c>
      <c r="X344" s="52">
        <f t="shared" si="328"/>
        <v>167.21683208912731</v>
      </c>
      <c r="Y344" s="52">
        <f t="shared" si="329"/>
        <v>244.87601915005968</v>
      </c>
      <c r="Z344" s="53">
        <f t="shared" si="330"/>
        <v>0.60671239891353412</v>
      </c>
      <c r="AA344" s="53">
        <f t="shared" si="331"/>
        <v>0.99533828624480536</v>
      </c>
      <c r="AB344" s="53">
        <f t="shared" si="332"/>
        <v>0.82728384847993131</v>
      </c>
      <c r="AC344" s="39" t="str">
        <f t="shared" si="333"/>
        <v>No</v>
      </c>
      <c r="AD344" s="85">
        <f t="shared" si="334"/>
        <v>3.5800000000000054E-2</v>
      </c>
      <c r="AE344" s="46">
        <f t="shared" si="335"/>
        <v>1</v>
      </c>
      <c r="AF344" s="46">
        <f t="shared" si="336"/>
        <v>1.0254000000000001</v>
      </c>
      <c r="AG344" s="39">
        <f t="shared" si="391"/>
        <v>35.535226739148278</v>
      </c>
      <c r="AH344" s="39">
        <f t="shared" si="392"/>
        <v>56.936834779036722</v>
      </c>
      <c r="AI344" s="39">
        <f t="shared" si="393"/>
        <v>55.501994473947768</v>
      </c>
      <c r="AJ344" s="39">
        <f t="shared" si="394"/>
        <v>78.685131068799578</v>
      </c>
      <c r="AK344" s="39">
        <f t="shared" si="395"/>
        <v>83.202188189405547</v>
      </c>
      <c r="AL344" s="39">
        <f t="shared" si="396"/>
        <v>75.000148692382851</v>
      </c>
      <c r="AM344" s="39">
        <f t="shared" si="397"/>
        <v>75.001880687691127</v>
      </c>
      <c r="AN344" s="39">
        <f t="shared" si="398"/>
        <v>75.012614519647798</v>
      </c>
      <c r="AO344" s="39">
        <f t="shared" si="337"/>
        <v>0.20425823369188059</v>
      </c>
      <c r="AP344" s="39">
        <f t="shared" si="338"/>
        <v>1.8936834779036724</v>
      </c>
      <c r="AQ344" s="39">
        <f t="shared" si="339"/>
        <v>1.9501994473947784</v>
      </c>
      <c r="AR344" s="39">
        <f t="shared" si="340"/>
        <v>3.3685131068799574</v>
      </c>
      <c r="AS344" s="39">
        <f t="shared" si="341"/>
        <v>1.7222514663171535</v>
      </c>
      <c r="AT344" s="39">
        <f t="shared" si="342"/>
        <v>0</v>
      </c>
      <c r="AU344" s="39">
        <f t="shared" si="343"/>
        <v>0</v>
      </c>
      <c r="AV344" s="39">
        <f t="shared" si="344"/>
        <v>0</v>
      </c>
      <c r="AW344" s="39">
        <f t="shared" si="345"/>
        <v>9.1389057321874425</v>
      </c>
      <c r="AX344" s="39">
        <f t="shared" si="346"/>
        <v>1.8509696975000001</v>
      </c>
      <c r="AY344" s="39">
        <f t="shared" si="347"/>
        <v>1.8509696975000001</v>
      </c>
      <c r="AZ344" s="39">
        <f t="shared" si="348"/>
        <v>4.1369920218889293E-2</v>
      </c>
      <c r="BA344" s="39">
        <f t="shared" si="349"/>
        <v>0.38354162270334891</v>
      </c>
      <c r="BB344" s="39">
        <f t="shared" si="350"/>
        <v>0.39498821707891346</v>
      </c>
      <c r="BC344" s="39">
        <f t="shared" si="351"/>
        <v>0.68224969916327161</v>
      </c>
      <c r="BD344" s="39">
        <f t="shared" si="352"/>
        <v>0.3488202383355769</v>
      </c>
      <c r="BE344" s="39">
        <f t="shared" si="353"/>
        <v>0</v>
      </c>
      <c r="BF344" s="39">
        <f t="shared" si="354"/>
        <v>0</v>
      </c>
      <c r="BG344" s="39">
        <f t="shared" si="355"/>
        <v>0</v>
      </c>
      <c r="BH344" s="84">
        <f t="shared" si="356"/>
        <v>0</v>
      </c>
      <c r="BI344" s="84">
        <f t="shared" si="357"/>
        <v>1.319224242</v>
      </c>
      <c r="BJ344" s="84">
        <f t="shared" si="358"/>
        <v>0.10482483688074359</v>
      </c>
      <c r="BK344" s="39">
        <f t="shared" si="359"/>
        <v>35.389031982048643</v>
      </c>
      <c r="BL344" s="39">
        <f t="shared" si="360"/>
        <v>56.553293156333375</v>
      </c>
      <c r="BM344" s="39">
        <f t="shared" si="361"/>
        <v>55.107006256868857</v>
      </c>
      <c r="BN344" s="39">
        <f t="shared" si="362"/>
        <v>78.002881369636313</v>
      </c>
      <c r="BO344" s="39">
        <f t="shared" si="363"/>
        <v>82.85336795106997</v>
      </c>
      <c r="BP344" s="39">
        <f t="shared" si="364"/>
        <v>75.000148692382851</v>
      </c>
      <c r="BQ344" s="39">
        <f t="shared" si="365"/>
        <v>75.001880687691127</v>
      </c>
      <c r="BR344" s="39">
        <f t="shared" si="366"/>
        <v>75.012614519647798</v>
      </c>
      <c r="BS344" s="39">
        <f t="shared" si="367"/>
        <v>0</v>
      </c>
      <c r="BT344" s="39">
        <f t="shared" si="368"/>
        <v>0</v>
      </c>
      <c r="BU344" s="39">
        <f t="shared" si="369"/>
        <v>0</v>
      </c>
      <c r="BV344" s="39">
        <f t="shared" si="370"/>
        <v>0</v>
      </c>
      <c r="BW344" s="39">
        <f t="shared" si="371"/>
        <v>0</v>
      </c>
      <c r="BX344" s="39">
        <f t="shared" si="372"/>
        <v>8.9215429701994248E-5</v>
      </c>
      <c r="BY344" s="39">
        <f t="shared" si="373"/>
        <v>1.1284126146676953E-3</v>
      </c>
      <c r="BZ344" s="39">
        <f t="shared" si="374"/>
        <v>7.5687117886701566E-3</v>
      </c>
      <c r="CA344" s="39">
        <f t="shared" si="375"/>
        <v>35.389031982048643</v>
      </c>
      <c r="CB344" s="39">
        <f t="shared" si="376"/>
        <v>56.553293156333375</v>
      </c>
      <c r="CC344" s="39">
        <f t="shared" si="377"/>
        <v>55.107006256868857</v>
      </c>
      <c r="CD344" s="39">
        <f t="shared" si="378"/>
        <v>78.002881369636313</v>
      </c>
      <c r="CE344" s="39">
        <f t="shared" si="379"/>
        <v>82.85336795106997</v>
      </c>
      <c r="CF344" s="39">
        <f t="shared" si="380"/>
        <v>75.000059476953155</v>
      </c>
      <c r="CG344" s="39">
        <f t="shared" si="381"/>
        <v>75.000841490506161</v>
      </c>
      <c r="CH344" s="39">
        <f t="shared" si="382"/>
        <v>75.006174220473795</v>
      </c>
      <c r="CI344" s="39">
        <f t="shared" si="383"/>
        <v>0</v>
      </c>
      <c r="CJ344" s="39">
        <f t="shared" si="384"/>
        <v>0</v>
      </c>
      <c r="CK344" s="39">
        <f t="shared" si="385"/>
        <v>0</v>
      </c>
      <c r="CL344" s="39">
        <f t="shared" si="386"/>
        <v>0</v>
      </c>
      <c r="CM344" s="39">
        <f t="shared" si="387"/>
        <v>0</v>
      </c>
      <c r="CN344" s="39">
        <f t="shared" si="388"/>
        <v>0</v>
      </c>
      <c r="CO344" s="39">
        <f t="shared" si="389"/>
        <v>0</v>
      </c>
      <c r="CP344" s="39">
        <f t="shared" si="390"/>
        <v>0</v>
      </c>
    </row>
    <row r="345" spans="12:94" ht="16" customHeight="1" x14ac:dyDescent="0.2">
      <c r="L345" s="63">
        <v>30657</v>
      </c>
      <c r="M345" s="38">
        <v>0</v>
      </c>
      <c r="N345" s="38">
        <v>7.8</v>
      </c>
      <c r="O345" s="39">
        <v>1.0611999999999999</v>
      </c>
      <c r="P345" s="39">
        <v>0.55605302999999995</v>
      </c>
      <c r="Q345" s="46">
        <f t="shared" si="321"/>
        <v>0.13907628652287438</v>
      </c>
      <c r="R345" s="81">
        <f t="shared" si="322"/>
        <v>0</v>
      </c>
      <c r="S345" s="82">
        <f t="shared" si="323"/>
        <v>0</v>
      </c>
      <c r="T345" s="39">
        <f t="shared" si="324"/>
        <v>3.7045322842686797E-3</v>
      </c>
      <c r="U345" s="83">
        <f t="shared" si="325"/>
        <v>4.3372136339999994</v>
      </c>
      <c r="V345" s="84">
        <f t="shared" si="326"/>
        <v>2.7702290928000006</v>
      </c>
      <c r="W345" s="52">
        <f t="shared" si="327"/>
        <v>76.052212764887202</v>
      </c>
      <c r="X345" s="52">
        <f t="shared" si="328"/>
        <v>166.86044313900305</v>
      </c>
      <c r="Y345" s="52">
        <f t="shared" si="329"/>
        <v>242.91265590389025</v>
      </c>
      <c r="Z345" s="53">
        <f t="shared" si="330"/>
        <v>0.59415791222568126</v>
      </c>
      <c r="AA345" s="53">
        <f t="shared" si="331"/>
        <v>0.99321692344644674</v>
      </c>
      <c r="AB345" s="53">
        <f t="shared" si="332"/>
        <v>0.82065086454016978</v>
      </c>
      <c r="AC345" s="39" t="str">
        <f t="shared" si="333"/>
        <v>No</v>
      </c>
      <c r="AD345" s="85">
        <f t="shared" si="334"/>
        <v>3.5799999999999832E-2</v>
      </c>
      <c r="AE345" s="46">
        <f t="shared" si="335"/>
        <v>1</v>
      </c>
      <c r="AF345" s="46">
        <f t="shared" si="336"/>
        <v>1.0611999999999999</v>
      </c>
      <c r="AG345" s="39">
        <f t="shared" si="391"/>
        <v>35.389031982048643</v>
      </c>
      <c r="AH345" s="39">
        <f t="shared" si="392"/>
        <v>56.553293156333375</v>
      </c>
      <c r="AI345" s="39">
        <f t="shared" si="393"/>
        <v>55.107006256868857</v>
      </c>
      <c r="AJ345" s="39">
        <f t="shared" si="394"/>
        <v>78.002881369636313</v>
      </c>
      <c r="AK345" s="39">
        <f t="shared" si="395"/>
        <v>82.85336795106997</v>
      </c>
      <c r="AL345" s="39">
        <f t="shared" si="396"/>
        <v>75.000059476953155</v>
      </c>
      <c r="AM345" s="39">
        <f t="shared" si="397"/>
        <v>75.000841490506161</v>
      </c>
      <c r="AN345" s="39">
        <f t="shared" si="398"/>
        <v>75.006174220473795</v>
      </c>
      <c r="AO345" s="39">
        <f t="shared" si="337"/>
        <v>0.1936111046902875</v>
      </c>
      <c r="AP345" s="39">
        <f t="shared" si="338"/>
        <v>1.8553293156333375</v>
      </c>
      <c r="AQ345" s="39">
        <f t="shared" si="339"/>
        <v>1.9107006256868873</v>
      </c>
      <c r="AR345" s="39">
        <f t="shared" si="340"/>
        <v>3.3002881369636308</v>
      </c>
      <c r="AS345" s="39">
        <f t="shared" si="341"/>
        <v>2.1951876379041591</v>
      </c>
      <c r="AT345" s="39">
        <f t="shared" si="342"/>
        <v>0</v>
      </c>
      <c r="AU345" s="39">
        <f t="shared" si="343"/>
        <v>0</v>
      </c>
      <c r="AV345" s="39">
        <f t="shared" si="344"/>
        <v>0</v>
      </c>
      <c r="AW345" s="39">
        <f t="shared" si="345"/>
        <v>9.4551168208783025</v>
      </c>
      <c r="AX345" s="39">
        <f t="shared" si="346"/>
        <v>4.3372136339999994</v>
      </c>
      <c r="AY345" s="39">
        <f t="shared" si="347"/>
        <v>4.3372136339999994</v>
      </c>
      <c r="AZ345" s="39">
        <f t="shared" si="348"/>
        <v>8.8812516954022355E-2</v>
      </c>
      <c r="BA345" s="39">
        <f t="shared" si="349"/>
        <v>0.85106929462319469</v>
      </c>
      <c r="BB345" s="39">
        <f t="shared" si="350"/>
        <v>0.87646900204578237</v>
      </c>
      <c r="BC345" s="39">
        <f t="shared" si="351"/>
        <v>1.513895066019656</v>
      </c>
      <c r="BD345" s="39">
        <f t="shared" si="352"/>
        <v>1.0069677543573439</v>
      </c>
      <c r="BE345" s="39">
        <f t="shared" si="353"/>
        <v>0</v>
      </c>
      <c r="BF345" s="39">
        <f t="shared" si="354"/>
        <v>0</v>
      </c>
      <c r="BG345" s="39">
        <f t="shared" si="355"/>
        <v>0</v>
      </c>
      <c r="BH345" s="84">
        <f t="shared" si="356"/>
        <v>0</v>
      </c>
      <c r="BI345" s="84">
        <f t="shared" si="357"/>
        <v>2.7702290928000006</v>
      </c>
      <c r="BJ345" s="84">
        <f t="shared" si="358"/>
        <v>0.21191875777254024</v>
      </c>
      <c r="BK345" s="39">
        <f t="shared" si="359"/>
        <v>35.088300707322084</v>
      </c>
      <c r="BL345" s="39">
        <f t="shared" si="360"/>
        <v>55.702223861710181</v>
      </c>
      <c r="BM345" s="39">
        <f t="shared" si="361"/>
        <v>54.230537254823076</v>
      </c>
      <c r="BN345" s="39">
        <f t="shared" si="362"/>
        <v>76.488986303616656</v>
      </c>
      <c r="BO345" s="39">
        <f t="shared" si="363"/>
        <v>81.846400196712622</v>
      </c>
      <c r="BP345" s="39">
        <f t="shared" si="364"/>
        <v>75.000059476953155</v>
      </c>
      <c r="BQ345" s="39">
        <f t="shared" si="365"/>
        <v>75.000841490506161</v>
      </c>
      <c r="BR345" s="39">
        <f t="shared" si="366"/>
        <v>75.006174220473795</v>
      </c>
      <c r="BS345" s="39">
        <f t="shared" si="367"/>
        <v>0</v>
      </c>
      <c r="BT345" s="39">
        <f t="shared" si="368"/>
        <v>0</v>
      </c>
      <c r="BU345" s="39">
        <f t="shared" si="369"/>
        <v>0</v>
      </c>
      <c r="BV345" s="39">
        <f t="shared" si="370"/>
        <v>0</v>
      </c>
      <c r="BW345" s="39">
        <f t="shared" si="371"/>
        <v>0</v>
      </c>
      <c r="BX345" s="39">
        <f t="shared" si="372"/>
        <v>3.5686171884208306E-5</v>
      </c>
      <c r="BY345" s="39">
        <f t="shared" si="373"/>
        <v>5.048943036882747E-4</v>
      </c>
      <c r="BZ345" s="39">
        <f t="shared" si="374"/>
        <v>3.7045322842686797E-3</v>
      </c>
      <c r="CA345" s="39">
        <f t="shared" si="375"/>
        <v>35.088300707322084</v>
      </c>
      <c r="CB345" s="39">
        <f t="shared" si="376"/>
        <v>55.702223861710181</v>
      </c>
      <c r="CC345" s="39">
        <f t="shared" si="377"/>
        <v>54.230537254823076</v>
      </c>
      <c r="CD345" s="39">
        <f t="shared" si="378"/>
        <v>76.488986303616656</v>
      </c>
      <c r="CE345" s="39">
        <f t="shared" si="379"/>
        <v>81.846400196712622</v>
      </c>
      <c r="CF345" s="39">
        <f t="shared" si="380"/>
        <v>75.00002379078127</v>
      </c>
      <c r="CG345" s="39">
        <f t="shared" si="381"/>
        <v>75.000372282374357</v>
      </c>
      <c r="CH345" s="39">
        <f t="shared" si="382"/>
        <v>75.002974582493209</v>
      </c>
      <c r="CI345" s="39">
        <f t="shared" si="383"/>
        <v>0</v>
      </c>
      <c r="CJ345" s="39">
        <f t="shared" si="384"/>
        <v>0</v>
      </c>
      <c r="CK345" s="39">
        <f t="shared" si="385"/>
        <v>0</v>
      </c>
      <c r="CL345" s="39">
        <f t="shared" si="386"/>
        <v>0</v>
      </c>
      <c r="CM345" s="39">
        <f t="shared" si="387"/>
        <v>0</v>
      </c>
      <c r="CN345" s="39">
        <f t="shared" si="388"/>
        <v>0</v>
      </c>
      <c r="CO345" s="39">
        <f t="shared" si="389"/>
        <v>0</v>
      </c>
      <c r="CP345" s="39">
        <f t="shared" si="390"/>
        <v>0</v>
      </c>
    </row>
    <row r="346" spans="12:94" ht="16" customHeight="1" x14ac:dyDescent="0.2">
      <c r="L346" s="63">
        <v>30658</v>
      </c>
      <c r="M346" s="38">
        <v>0.1</v>
      </c>
      <c r="N346" s="38">
        <v>6.2</v>
      </c>
      <c r="O346" s="39">
        <v>1.0973999999999999</v>
      </c>
      <c r="P346" s="39">
        <v>0.58354545499999999</v>
      </c>
      <c r="Q346" s="46">
        <f t="shared" si="321"/>
        <v>0.1396858769446174</v>
      </c>
      <c r="R346" s="81">
        <f t="shared" si="322"/>
        <v>0</v>
      </c>
      <c r="S346" s="82">
        <f t="shared" si="323"/>
        <v>0.1</v>
      </c>
      <c r="T346" s="39">
        <f t="shared" si="324"/>
        <v>1.7847494959170262E-3</v>
      </c>
      <c r="U346" s="83">
        <f t="shared" si="325"/>
        <v>3.6179818209999999</v>
      </c>
      <c r="V346" s="84">
        <f t="shared" si="326"/>
        <v>2.0656145432000002</v>
      </c>
      <c r="W346" s="52">
        <f t="shared" si="327"/>
        <v>72.510048127472004</v>
      </c>
      <c r="X346" s="52">
        <f t="shared" si="328"/>
        <v>165.84977085236147</v>
      </c>
      <c r="Y346" s="52">
        <f t="shared" si="329"/>
        <v>238.35981897983348</v>
      </c>
      <c r="Z346" s="53">
        <f t="shared" si="330"/>
        <v>0.56648475099587503</v>
      </c>
      <c r="AA346" s="53">
        <f t="shared" si="331"/>
        <v>0.98720101697834206</v>
      </c>
      <c r="AB346" s="53">
        <f t="shared" si="332"/>
        <v>0.80526965871565359</v>
      </c>
      <c r="AC346" s="39" t="str">
        <f t="shared" si="333"/>
        <v>No</v>
      </c>
      <c r="AD346" s="85">
        <f t="shared" si="334"/>
        <v>3.620000000000001E-2</v>
      </c>
      <c r="AE346" s="46">
        <f t="shared" si="335"/>
        <v>1</v>
      </c>
      <c r="AF346" s="46">
        <f t="shared" si="336"/>
        <v>1.0973999999999999</v>
      </c>
      <c r="AG346" s="39">
        <f t="shared" si="391"/>
        <v>35.088300707322084</v>
      </c>
      <c r="AH346" s="39">
        <f t="shared" si="392"/>
        <v>55.702223861710181</v>
      </c>
      <c r="AI346" s="39">
        <f t="shared" si="393"/>
        <v>54.230537254823076</v>
      </c>
      <c r="AJ346" s="39">
        <f t="shared" si="394"/>
        <v>76.488986303616656</v>
      </c>
      <c r="AK346" s="39">
        <f t="shared" si="395"/>
        <v>81.846400196712622</v>
      </c>
      <c r="AL346" s="39">
        <f t="shared" si="396"/>
        <v>75.00002379078127</v>
      </c>
      <c r="AM346" s="39">
        <f t="shared" si="397"/>
        <v>75.000372282374357</v>
      </c>
      <c r="AN346" s="39">
        <f t="shared" si="398"/>
        <v>75.002974582493209</v>
      </c>
      <c r="AO346" s="39">
        <f t="shared" si="337"/>
        <v>0.17260536058756279</v>
      </c>
      <c r="AP346" s="39">
        <f t="shared" si="338"/>
        <v>1.7702223861710182</v>
      </c>
      <c r="AQ346" s="39">
        <f t="shared" si="339"/>
        <v>1.8230537254823092</v>
      </c>
      <c r="AR346" s="39">
        <f t="shared" si="340"/>
        <v>3.1488986303616651</v>
      </c>
      <c r="AS346" s="39">
        <f t="shared" si="341"/>
        <v>2.6218931329436903</v>
      </c>
      <c r="AT346" s="39">
        <f t="shared" si="342"/>
        <v>0</v>
      </c>
      <c r="AU346" s="39">
        <f t="shared" si="343"/>
        <v>0</v>
      </c>
      <c r="AV346" s="39">
        <f t="shared" si="344"/>
        <v>0</v>
      </c>
      <c r="AW346" s="39">
        <f t="shared" si="345"/>
        <v>9.536673235546246</v>
      </c>
      <c r="AX346" s="39">
        <f t="shared" si="346"/>
        <v>3.6179818209999999</v>
      </c>
      <c r="AY346" s="39">
        <f t="shared" si="347"/>
        <v>3.5179818209999998</v>
      </c>
      <c r="AZ346" s="39">
        <f t="shared" si="348"/>
        <v>6.3672363072154167E-2</v>
      </c>
      <c r="BA346" s="39">
        <f t="shared" si="349"/>
        <v>0.65301704481858303</v>
      </c>
      <c r="BB346" s="39">
        <f t="shared" si="350"/>
        <v>0.67250598888593816</v>
      </c>
      <c r="BC346" s="39">
        <f t="shared" si="351"/>
        <v>1.1615966977345658</v>
      </c>
      <c r="BD346" s="39">
        <f t="shared" si="352"/>
        <v>0.96718972648875845</v>
      </c>
      <c r="BE346" s="39">
        <f t="shared" si="353"/>
        <v>0</v>
      </c>
      <c r="BF346" s="39">
        <f t="shared" si="354"/>
        <v>0</v>
      </c>
      <c r="BG346" s="39">
        <f t="shared" si="355"/>
        <v>0</v>
      </c>
      <c r="BH346" s="84">
        <f t="shared" si="356"/>
        <v>0</v>
      </c>
      <c r="BI346" s="84">
        <f t="shared" si="357"/>
        <v>2.0656145432000002</v>
      </c>
      <c r="BJ346" s="84">
        <f t="shared" si="358"/>
        <v>0.1526200314488308</v>
      </c>
      <c r="BK346" s="39">
        <f t="shared" si="359"/>
        <v>34.872008312801093</v>
      </c>
      <c r="BL346" s="39">
        <f t="shared" si="360"/>
        <v>55.049206816891598</v>
      </c>
      <c r="BM346" s="39">
        <f t="shared" si="361"/>
        <v>53.558031265937139</v>
      </c>
      <c r="BN346" s="39">
        <f t="shared" si="362"/>
        <v>75.32738960588209</v>
      </c>
      <c r="BO346" s="39">
        <f t="shared" si="363"/>
        <v>80.879210470223867</v>
      </c>
      <c r="BP346" s="39">
        <f t="shared" si="364"/>
        <v>75.00002379078127</v>
      </c>
      <c r="BQ346" s="39">
        <f t="shared" si="365"/>
        <v>75.000372282374357</v>
      </c>
      <c r="BR346" s="39">
        <f t="shared" si="366"/>
        <v>75.002974582493209</v>
      </c>
      <c r="BS346" s="39">
        <f t="shared" si="367"/>
        <v>0</v>
      </c>
      <c r="BT346" s="39">
        <f t="shared" si="368"/>
        <v>0</v>
      </c>
      <c r="BU346" s="39">
        <f t="shared" si="369"/>
        <v>0</v>
      </c>
      <c r="BV346" s="39">
        <f t="shared" si="370"/>
        <v>0</v>
      </c>
      <c r="BW346" s="39">
        <f t="shared" si="371"/>
        <v>0</v>
      </c>
      <c r="BX346" s="39">
        <f t="shared" si="372"/>
        <v>1.4274468753683323E-5</v>
      </c>
      <c r="BY346" s="39">
        <f t="shared" si="373"/>
        <v>2.2336942460583485E-4</v>
      </c>
      <c r="BZ346" s="39">
        <f t="shared" si="374"/>
        <v>1.7847494959170262E-3</v>
      </c>
      <c r="CA346" s="39">
        <f t="shared" si="375"/>
        <v>34.872008312801093</v>
      </c>
      <c r="CB346" s="39">
        <f t="shared" si="376"/>
        <v>55.049206816891598</v>
      </c>
      <c r="CC346" s="39">
        <f t="shared" si="377"/>
        <v>53.558031265937139</v>
      </c>
      <c r="CD346" s="39">
        <f t="shared" si="378"/>
        <v>75.32738960588209</v>
      </c>
      <c r="CE346" s="39">
        <f t="shared" si="379"/>
        <v>80.879210470223867</v>
      </c>
      <c r="CF346" s="39">
        <f t="shared" si="380"/>
        <v>75.000009516312517</v>
      </c>
      <c r="CG346" s="39">
        <f t="shared" si="381"/>
        <v>75.000163187418508</v>
      </c>
      <c r="CH346" s="39">
        <f t="shared" si="382"/>
        <v>75.001413202421901</v>
      </c>
      <c r="CI346" s="39">
        <f t="shared" si="383"/>
        <v>0</v>
      </c>
      <c r="CJ346" s="39">
        <f t="shared" si="384"/>
        <v>0</v>
      </c>
      <c r="CK346" s="39">
        <f t="shared" si="385"/>
        <v>0</v>
      </c>
      <c r="CL346" s="39">
        <f t="shared" si="386"/>
        <v>0</v>
      </c>
      <c r="CM346" s="39">
        <f t="shared" si="387"/>
        <v>0</v>
      </c>
      <c r="CN346" s="39">
        <f t="shared" si="388"/>
        <v>0</v>
      </c>
      <c r="CO346" s="39">
        <f t="shared" si="389"/>
        <v>0</v>
      </c>
      <c r="CP346" s="39">
        <f t="shared" si="390"/>
        <v>0</v>
      </c>
    </row>
    <row r="347" spans="12:94" ht="16" customHeight="1" x14ac:dyDescent="0.2">
      <c r="L347" s="63">
        <v>30659</v>
      </c>
      <c r="M347" s="38">
        <v>0.4</v>
      </c>
      <c r="N347" s="38">
        <v>6.2</v>
      </c>
      <c r="O347" s="39">
        <v>1.1299999999999999</v>
      </c>
      <c r="P347" s="39">
        <v>0.60844697000000003</v>
      </c>
      <c r="Q347" s="46">
        <f t="shared" si="321"/>
        <v>0.14012430747405186</v>
      </c>
      <c r="R347" s="81">
        <f t="shared" si="322"/>
        <v>0</v>
      </c>
      <c r="S347" s="82">
        <f t="shared" si="323"/>
        <v>0.4</v>
      </c>
      <c r="T347" s="39">
        <f t="shared" si="324"/>
        <v>8.4792145313201668E-4</v>
      </c>
      <c r="U347" s="83">
        <f t="shared" si="325"/>
        <v>3.7723712140000001</v>
      </c>
      <c r="V347" s="84">
        <f t="shared" si="326"/>
        <v>1.9421030288000001</v>
      </c>
      <c r="W347" s="52">
        <f t="shared" si="327"/>
        <v>69.80663600151189</v>
      </c>
      <c r="X347" s="52">
        <f t="shared" si="328"/>
        <v>164.88079637637679</v>
      </c>
      <c r="Y347" s="52">
        <f t="shared" si="329"/>
        <v>234.68743237788868</v>
      </c>
      <c r="Z347" s="53">
        <f t="shared" si="330"/>
        <v>0.54536434376181164</v>
      </c>
      <c r="AA347" s="53">
        <f t="shared" si="331"/>
        <v>0.98143331176414761</v>
      </c>
      <c r="AB347" s="53">
        <f t="shared" si="332"/>
        <v>0.79286294722259687</v>
      </c>
      <c r="AC347" s="39" t="str">
        <f t="shared" si="333"/>
        <v>No</v>
      </c>
      <c r="AD347" s="85">
        <f t="shared" si="334"/>
        <v>3.2599999999999962E-2</v>
      </c>
      <c r="AE347" s="46">
        <f t="shared" si="335"/>
        <v>1</v>
      </c>
      <c r="AF347" s="46">
        <f t="shared" si="336"/>
        <v>1.1299999999999999</v>
      </c>
      <c r="AG347" s="39">
        <f t="shared" si="391"/>
        <v>34.872008312801093</v>
      </c>
      <c r="AH347" s="39">
        <f t="shared" si="392"/>
        <v>55.049206816891598</v>
      </c>
      <c r="AI347" s="39">
        <f t="shared" si="393"/>
        <v>53.558031265937139</v>
      </c>
      <c r="AJ347" s="39">
        <f t="shared" si="394"/>
        <v>75.32738960588209</v>
      </c>
      <c r="AK347" s="39">
        <f t="shared" si="395"/>
        <v>80.879210470223867</v>
      </c>
      <c r="AL347" s="39">
        <f t="shared" si="396"/>
        <v>75.000009516312517</v>
      </c>
      <c r="AM347" s="39">
        <f t="shared" si="397"/>
        <v>75.000163187418508</v>
      </c>
      <c r="AN347" s="39">
        <f t="shared" si="398"/>
        <v>75.001413202421901</v>
      </c>
      <c r="AO347" s="39">
        <f t="shared" si="337"/>
        <v>0.15824310000001968</v>
      </c>
      <c r="AP347" s="39">
        <f t="shared" si="338"/>
        <v>1.7049206816891598</v>
      </c>
      <c r="AQ347" s="39">
        <f t="shared" si="339"/>
        <v>1.7558031265937153</v>
      </c>
      <c r="AR347" s="39">
        <f t="shared" si="340"/>
        <v>3.0327389605882082</v>
      </c>
      <c r="AS347" s="39">
        <f t="shared" si="341"/>
        <v>2.9807394693838294</v>
      </c>
      <c r="AT347" s="39">
        <f t="shared" si="342"/>
        <v>0</v>
      </c>
      <c r="AU347" s="39">
        <f t="shared" si="343"/>
        <v>0</v>
      </c>
      <c r="AV347" s="39">
        <f t="shared" si="344"/>
        <v>0</v>
      </c>
      <c r="AW347" s="39">
        <f t="shared" si="345"/>
        <v>9.6324453382549322</v>
      </c>
      <c r="AX347" s="39">
        <f t="shared" si="346"/>
        <v>3.7723712140000001</v>
      </c>
      <c r="AY347" s="39">
        <f t="shared" si="347"/>
        <v>3.3723712140000002</v>
      </c>
      <c r="AZ347" s="39">
        <f t="shared" si="348"/>
        <v>5.5401765233465593E-2</v>
      </c>
      <c r="BA347" s="39">
        <f t="shared" si="349"/>
        <v>0.59690195243022415</v>
      </c>
      <c r="BB347" s="39">
        <f t="shared" si="350"/>
        <v>0.61471617161012249</v>
      </c>
      <c r="BC347" s="39">
        <f t="shared" si="351"/>
        <v>1.0617783139288315</v>
      </c>
      <c r="BD347" s="39">
        <f t="shared" si="352"/>
        <v>1.0435730107973564</v>
      </c>
      <c r="BE347" s="39">
        <f t="shared" si="353"/>
        <v>0</v>
      </c>
      <c r="BF347" s="39">
        <f t="shared" si="354"/>
        <v>0</v>
      </c>
      <c r="BG347" s="39">
        <f t="shared" si="355"/>
        <v>0</v>
      </c>
      <c r="BH347" s="84">
        <f t="shared" si="356"/>
        <v>0</v>
      </c>
      <c r="BI347" s="84">
        <f t="shared" si="357"/>
        <v>1.9421030288000001</v>
      </c>
      <c r="BJ347" s="84">
        <f t="shared" si="358"/>
        <v>0.1461356187950896</v>
      </c>
      <c r="BK347" s="39">
        <f t="shared" si="359"/>
        <v>34.670470928772538</v>
      </c>
      <c r="BL347" s="39">
        <f t="shared" si="360"/>
        <v>54.452304864461375</v>
      </c>
      <c r="BM347" s="39">
        <f t="shared" si="361"/>
        <v>52.943315094327019</v>
      </c>
      <c r="BN347" s="39">
        <f t="shared" si="362"/>
        <v>74.265611291953263</v>
      </c>
      <c r="BO347" s="39">
        <f t="shared" si="363"/>
        <v>79.835637459426508</v>
      </c>
      <c r="BP347" s="39">
        <f t="shared" si="364"/>
        <v>75.000009516312517</v>
      </c>
      <c r="BQ347" s="39">
        <f t="shared" si="365"/>
        <v>75.000163187418508</v>
      </c>
      <c r="BR347" s="39">
        <f t="shared" si="366"/>
        <v>75.001413202421901</v>
      </c>
      <c r="BS347" s="39">
        <f t="shared" si="367"/>
        <v>0</v>
      </c>
      <c r="BT347" s="39">
        <f t="shared" si="368"/>
        <v>0</v>
      </c>
      <c r="BU347" s="39">
        <f t="shared" si="369"/>
        <v>0</v>
      </c>
      <c r="BV347" s="39">
        <f t="shared" si="370"/>
        <v>0</v>
      </c>
      <c r="BW347" s="39">
        <f t="shared" si="371"/>
        <v>0</v>
      </c>
      <c r="BX347" s="39">
        <f t="shared" si="372"/>
        <v>5.709787501473329E-6</v>
      </c>
      <c r="BY347" s="39">
        <f t="shared" si="373"/>
        <v>9.7912451096249242E-5</v>
      </c>
      <c r="BZ347" s="39">
        <f t="shared" si="374"/>
        <v>8.4792145313201668E-4</v>
      </c>
      <c r="CA347" s="39">
        <f t="shared" si="375"/>
        <v>34.670470928772538</v>
      </c>
      <c r="CB347" s="39">
        <f t="shared" si="376"/>
        <v>54.452304864461375</v>
      </c>
      <c r="CC347" s="39">
        <f t="shared" si="377"/>
        <v>52.943315094327019</v>
      </c>
      <c r="CD347" s="39">
        <f t="shared" si="378"/>
        <v>74.265611291953263</v>
      </c>
      <c r="CE347" s="39">
        <f t="shared" si="379"/>
        <v>79.835637459426508</v>
      </c>
      <c r="CF347" s="39">
        <f t="shared" si="380"/>
        <v>75.000003806525015</v>
      </c>
      <c r="CG347" s="39">
        <f t="shared" si="381"/>
        <v>75.000070984754913</v>
      </c>
      <c r="CH347" s="39">
        <f t="shared" si="382"/>
        <v>75.000663193419868</v>
      </c>
      <c r="CI347" s="39">
        <f t="shared" si="383"/>
        <v>0</v>
      </c>
      <c r="CJ347" s="39">
        <f t="shared" si="384"/>
        <v>0</v>
      </c>
      <c r="CK347" s="39">
        <f t="shared" si="385"/>
        <v>0</v>
      </c>
      <c r="CL347" s="39">
        <f t="shared" si="386"/>
        <v>0</v>
      </c>
      <c r="CM347" s="39">
        <f t="shared" si="387"/>
        <v>0</v>
      </c>
      <c r="CN347" s="39">
        <f t="shared" si="388"/>
        <v>0</v>
      </c>
      <c r="CO347" s="39">
        <f t="shared" si="389"/>
        <v>0</v>
      </c>
      <c r="CP347" s="39">
        <f t="shared" si="390"/>
        <v>0</v>
      </c>
    </row>
    <row r="348" spans="12:94" ht="16" customHeight="1" x14ac:dyDescent="0.2">
      <c r="L348" s="63">
        <v>30660</v>
      </c>
      <c r="M348" s="38">
        <v>6</v>
      </c>
      <c r="N348" s="38">
        <v>6.5</v>
      </c>
      <c r="O348" s="39">
        <v>1.1624000000000001</v>
      </c>
      <c r="P348" s="39">
        <v>0.63320454500000001</v>
      </c>
      <c r="Q348" s="46">
        <f t="shared" si="321"/>
        <v>0.14053282919843404</v>
      </c>
      <c r="R348" s="81">
        <f t="shared" si="322"/>
        <v>0</v>
      </c>
      <c r="S348" s="82">
        <f t="shared" si="323"/>
        <v>6</v>
      </c>
      <c r="T348" s="39">
        <f t="shared" si="324"/>
        <v>3.9791605191226155E-4</v>
      </c>
      <c r="U348" s="83">
        <f t="shared" si="325"/>
        <v>4.1158295425000002</v>
      </c>
      <c r="V348" s="84">
        <f t="shared" si="326"/>
        <v>1.907336366</v>
      </c>
      <c r="W348" s="52">
        <f t="shared" si="327"/>
        <v>67.331702179514195</v>
      </c>
      <c r="X348" s="52">
        <f t="shared" si="328"/>
        <v>163.8363754441263</v>
      </c>
      <c r="Y348" s="52">
        <f t="shared" si="329"/>
        <v>231.1680776236405</v>
      </c>
      <c r="Z348" s="53">
        <f t="shared" si="330"/>
        <v>0.52602892327745465</v>
      </c>
      <c r="AA348" s="53">
        <f t="shared" si="331"/>
        <v>0.9752165205007518</v>
      </c>
      <c r="AB348" s="53">
        <f t="shared" si="332"/>
        <v>0.78097323521500173</v>
      </c>
      <c r="AC348" s="39" t="str">
        <f t="shared" si="333"/>
        <v>No</v>
      </c>
      <c r="AD348" s="85">
        <f t="shared" si="334"/>
        <v>3.2400000000000206E-2</v>
      </c>
      <c r="AE348" s="46">
        <f t="shared" si="335"/>
        <v>1</v>
      </c>
      <c r="AF348" s="46">
        <f t="shared" si="336"/>
        <v>1.1624000000000001</v>
      </c>
      <c r="AG348" s="39">
        <f t="shared" si="391"/>
        <v>34.670470928772538</v>
      </c>
      <c r="AH348" s="39">
        <f t="shared" si="392"/>
        <v>54.452304864461375</v>
      </c>
      <c r="AI348" s="39">
        <f t="shared" si="393"/>
        <v>52.943315094327019</v>
      </c>
      <c r="AJ348" s="39">
        <f t="shared" si="394"/>
        <v>74.265611291953263</v>
      </c>
      <c r="AK348" s="39">
        <f t="shared" si="395"/>
        <v>79.835637459426508</v>
      </c>
      <c r="AL348" s="39">
        <f t="shared" si="396"/>
        <v>75.000003806525015</v>
      </c>
      <c r="AM348" s="39">
        <f t="shared" si="397"/>
        <v>75.000070984754913</v>
      </c>
      <c r="AN348" s="39">
        <f t="shared" si="398"/>
        <v>75.000663193419868</v>
      </c>
      <c r="AO348" s="39">
        <f t="shared" si="337"/>
        <v>0.14542199131006278</v>
      </c>
      <c r="AP348" s="39">
        <f t="shared" si="338"/>
        <v>1.6452304864461376</v>
      </c>
      <c r="AQ348" s="39">
        <f t="shared" si="339"/>
        <v>1.6943315094327034</v>
      </c>
      <c r="AR348" s="39">
        <f t="shared" si="340"/>
        <v>2.926561129195326</v>
      </c>
      <c r="AS348" s="39">
        <f t="shared" si="341"/>
        <v>3.3093570897845077</v>
      </c>
      <c r="AT348" s="39">
        <f t="shared" si="342"/>
        <v>0</v>
      </c>
      <c r="AU348" s="39">
        <f t="shared" si="343"/>
        <v>0</v>
      </c>
      <c r="AV348" s="39">
        <f t="shared" si="344"/>
        <v>0</v>
      </c>
      <c r="AW348" s="39">
        <f t="shared" si="345"/>
        <v>9.7209022061687378</v>
      </c>
      <c r="AX348" s="39">
        <f t="shared" si="346"/>
        <v>4.1158295425000002</v>
      </c>
      <c r="AY348" s="39">
        <f t="shared" si="347"/>
        <v>0</v>
      </c>
      <c r="AZ348" s="39">
        <f t="shared" si="348"/>
        <v>0</v>
      </c>
      <c r="BA348" s="39">
        <f t="shared" si="349"/>
        <v>0</v>
      </c>
      <c r="BB348" s="39">
        <f t="shared" si="350"/>
        <v>0</v>
      </c>
      <c r="BC348" s="39">
        <f t="shared" si="351"/>
        <v>0</v>
      </c>
      <c r="BD348" s="39">
        <f t="shared" si="352"/>
        <v>0</v>
      </c>
      <c r="BE348" s="39">
        <f t="shared" si="353"/>
        <v>0</v>
      </c>
      <c r="BF348" s="39">
        <f t="shared" si="354"/>
        <v>0</v>
      </c>
      <c r="BG348" s="39">
        <f t="shared" si="355"/>
        <v>0</v>
      </c>
      <c r="BH348" s="84">
        <f t="shared" si="356"/>
        <v>1.8841704574999998</v>
      </c>
      <c r="BI348" s="84">
        <f t="shared" si="357"/>
        <v>2.3165908500000221E-2</v>
      </c>
      <c r="BJ348" s="84">
        <f t="shared" si="358"/>
        <v>1.8875109286130825</v>
      </c>
      <c r="BK348" s="39">
        <f t="shared" si="359"/>
        <v>32.782960000159456</v>
      </c>
      <c r="BL348" s="39">
        <f t="shared" si="360"/>
        <v>54.452304864461375</v>
      </c>
      <c r="BM348" s="39">
        <f t="shared" si="361"/>
        <v>52.943315094327019</v>
      </c>
      <c r="BN348" s="39">
        <f t="shared" si="362"/>
        <v>74.265611291953263</v>
      </c>
      <c r="BO348" s="39">
        <f t="shared" si="363"/>
        <v>79.835637459426508</v>
      </c>
      <c r="BP348" s="39">
        <f t="shared" si="364"/>
        <v>75.000003806525015</v>
      </c>
      <c r="BQ348" s="39">
        <f t="shared" si="365"/>
        <v>75.000070984754913</v>
      </c>
      <c r="BR348" s="39">
        <f t="shared" si="366"/>
        <v>75.000663193419868</v>
      </c>
      <c r="BS348" s="39">
        <f t="shared" si="367"/>
        <v>0</v>
      </c>
      <c r="BT348" s="39">
        <f t="shared" si="368"/>
        <v>0</v>
      </c>
      <c r="BU348" s="39">
        <f t="shared" si="369"/>
        <v>0</v>
      </c>
      <c r="BV348" s="39">
        <f t="shared" si="370"/>
        <v>0</v>
      </c>
      <c r="BW348" s="39">
        <f t="shared" si="371"/>
        <v>0</v>
      </c>
      <c r="BX348" s="39">
        <f t="shared" si="372"/>
        <v>2.2839150005893317E-6</v>
      </c>
      <c r="BY348" s="39">
        <f t="shared" si="373"/>
        <v>4.259085293938369E-5</v>
      </c>
      <c r="BZ348" s="39">
        <f t="shared" si="374"/>
        <v>3.9791605191226155E-4</v>
      </c>
      <c r="CA348" s="39">
        <f t="shared" si="375"/>
        <v>36.895449071546373</v>
      </c>
      <c r="CB348" s="39">
        <f t="shared" si="376"/>
        <v>54.452304864461375</v>
      </c>
      <c r="CC348" s="39">
        <f t="shared" si="377"/>
        <v>52.943315094327019</v>
      </c>
      <c r="CD348" s="39">
        <f t="shared" si="378"/>
        <v>74.265611291953263</v>
      </c>
      <c r="CE348" s="39">
        <f t="shared" si="379"/>
        <v>79.835637459426508</v>
      </c>
      <c r="CF348" s="39">
        <f t="shared" si="380"/>
        <v>75.00000152261002</v>
      </c>
      <c r="CG348" s="39">
        <f t="shared" si="381"/>
        <v>75.000030677816966</v>
      </c>
      <c r="CH348" s="39">
        <f t="shared" si="382"/>
        <v>75.000307868220901</v>
      </c>
      <c r="CI348" s="39">
        <f t="shared" si="383"/>
        <v>0</v>
      </c>
      <c r="CJ348" s="39">
        <f t="shared" si="384"/>
        <v>0</v>
      </c>
      <c r="CK348" s="39">
        <f t="shared" si="385"/>
        <v>0</v>
      </c>
      <c r="CL348" s="39">
        <f t="shared" si="386"/>
        <v>0</v>
      </c>
      <c r="CM348" s="39">
        <f t="shared" si="387"/>
        <v>0</v>
      </c>
      <c r="CN348" s="39">
        <f t="shared" si="388"/>
        <v>0</v>
      </c>
      <c r="CO348" s="39">
        <f t="shared" si="389"/>
        <v>0</v>
      </c>
      <c r="CP348" s="39">
        <f t="shared" si="390"/>
        <v>0</v>
      </c>
    </row>
    <row r="349" spans="12:94" ht="16" customHeight="1" x14ac:dyDescent="0.2">
      <c r="L349" s="63">
        <v>30661</v>
      </c>
      <c r="M349" s="38">
        <v>0</v>
      </c>
      <c r="N349" s="38">
        <v>5.8</v>
      </c>
      <c r="O349" s="39">
        <v>1.1948000000000001</v>
      </c>
      <c r="P349" s="39">
        <v>0.65796212099999996</v>
      </c>
      <c r="Q349" s="46">
        <f t="shared" si="321"/>
        <v>0.13602273836848705</v>
      </c>
      <c r="R349" s="81">
        <f t="shared" si="322"/>
        <v>0</v>
      </c>
      <c r="S349" s="82">
        <f t="shared" si="323"/>
        <v>0</v>
      </c>
      <c r="T349" s="39">
        <f t="shared" si="324"/>
        <v>1.8472093253194544E-4</v>
      </c>
      <c r="U349" s="83">
        <f t="shared" si="325"/>
        <v>3.8161803017999998</v>
      </c>
      <c r="V349" s="84">
        <f t="shared" si="326"/>
        <v>1.5870557585600003</v>
      </c>
      <c r="W349" s="52">
        <f t="shared" si="327"/>
        <v>69.556680322288031</v>
      </c>
      <c r="X349" s="52">
        <f t="shared" si="328"/>
        <v>163.83597752807441</v>
      </c>
      <c r="Y349" s="52">
        <f t="shared" si="329"/>
        <v>233.39265785036244</v>
      </c>
      <c r="Z349" s="53">
        <f t="shared" si="330"/>
        <v>0.54341156501787524</v>
      </c>
      <c r="AA349" s="53">
        <f t="shared" si="331"/>
        <v>0.9752141519528239</v>
      </c>
      <c r="AB349" s="53">
        <f t="shared" si="332"/>
        <v>0.7884887089539272</v>
      </c>
      <c r="AC349" s="39" t="str">
        <f t="shared" si="333"/>
        <v>No</v>
      </c>
      <c r="AD349" s="85">
        <f t="shared" si="334"/>
        <v>3.2399999999999984E-2</v>
      </c>
      <c r="AE349" s="46">
        <f t="shared" si="335"/>
        <v>1</v>
      </c>
      <c r="AF349" s="46">
        <f t="shared" si="336"/>
        <v>1.1948000000000001</v>
      </c>
      <c r="AG349" s="39">
        <f t="shared" si="391"/>
        <v>36.895449071546373</v>
      </c>
      <c r="AH349" s="39">
        <f t="shared" si="392"/>
        <v>54.452304864461375</v>
      </c>
      <c r="AI349" s="39">
        <f t="shared" si="393"/>
        <v>52.943315094327019</v>
      </c>
      <c r="AJ349" s="39">
        <f t="shared" si="394"/>
        <v>74.265611291953263</v>
      </c>
      <c r="AK349" s="39">
        <f t="shared" si="395"/>
        <v>79.835637459426508</v>
      </c>
      <c r="AL349" s="39">
        <f t="shared" si="396"/>
        <v>75.00000152261002</v>
      </c>
      <c r="AM349" s="39">
        <f t="shared" si="397"/>
        <v>75.000030677816966</v>
      </c>
      <c r="AN349" s="39">
        <f t="shared" si="398"/>
        <v>75.000307868220901</v>
      </c>
      <c r="AO349" s="39">
        <f t="shared" si="337"/>
        <v>0.31698145265526495</v>
      </c>
      <c r="AP349" s="39">
        <f t="shared" si="338"/>
        <v>1.6452304864461376</v>
      </c>
      <c r="AQ349" s="39">
        <f t="shared" si="339"/>
        <v>1.6943315094327034</v>
      </c>
      <c r="AR349" s="39">
        <f t="shared" si="340"/>
        <v>2.926561129195326</v>
      </c>
      <c r="AS349" s="39">
        <f t="shared" si="341"/>
        <v>3.7179819743463143</v>
      </c>
      <c r="AT349" s="39">
        <f t="shared" si="342"/>
        <v>0</v>
      </c>
      <c r="AU349" s="39">
        <f t="shared" si="343"/>
        <v>0</v>
      </c>
      <c r="AV349" s="39">
        <f t="shared" si="344"/>
        <v>0</v>
      </c>
      <c r="AW349" s="39">
        <f t="shared" si="345"/>
        <v>10.301086552075747</v>
      </c>
      <c r="AX349" s="39">
        <f t="shared" si="346"/>
        <v>3.8161803017999998</v>
      </c>
      <c r="AY349" s="39">
        <f t="shared" si="347"/>
        <v>3.8161803017999998</v>
      </c>
      <c r="AZ349" s="39">
        <f t="shared" si="348"/>
        <v>0.11743017297677361</v>
      </c>
      <c r="BA349" s="39">
        <f t="shared" si="349"/>
        <v>0.60949843907790657</v>
      </c>
      <c r="BB349" s="39">
        <f t="shared" si="350"/>
        <v>0.62768859365745455</v>
      </c>
      <c r="BC349" s="39">
        <f t="shared" si="351"/>
        <v>1.0841851368580406</v>
      </c>
      <c r="BD349" s="39">
        <f t="shared" si="352"/>
        <v>1.3773779592298241</v>
      </c>
      <c r="BE349" s="39">
        <f t="shared" si="353"/>
        <v>0</v>
      </c>
      <c r="BF349" s="39">
        <f t="shared" si="354"/>
        <v>0</v>
      </c>
      <c r="BG349" s="39">
        <f t="shared" si="355"/>
        <v>0</v>
      </c>
      <c r="BH349" s="84">
        <f t="shared" si="356"/>
        <v>0</v>
      </c>
      <c r="BI349" s="84">
        <f t="shared" si="357"/>
        <v>1.5870557585600003</v>
      </c>
      <c r="BJ349" s="84">
        <f t="shared" si="358"/>
        <v>0.16081125746721728</v>
      </c>
      <c r="BK349" s="39">
        <f t="shared" si="359"/>
        <v>36.617207641102382</v>
      </c>
      <c r="BL349" s="39">
        <f t="shared" si="360"/>
        <v>53.842806425383472</v>
      </c>
      <c r="BM349" s="39">
        <f t="shared" si="361"/>
        <v>52.315626500669566</v>
      </c>
      <c r="BN349" s="39">
        <f t="shared" si="362"/>
        <v>73.181426155095224</v>
      </c>
      <c r="BO349" s="39">
        <f t="shared" si="363"/>
        <v>78.458259500196689</v>
      </c>
      <c r="BP349" s="39">
        <f t="shared" si="364"/>
        <v>75.00000152261002</v>
      </c>
      <c r="BQ349" s="39">
        <f t="shared" si="365"/>
        <v>75.000030677816966</v>
      </c>
      <c r="BR349" s="39">
        <f t="shared" si="366"/>
        <v>75.000307868220901</v>
      </c>
      <c r="BS349" s="39">
        <f t="shared" si="367"/>
        <v>0</v>
      </c>
      <c r="BT349" s="39">
        <f t="shared" si="368"/>
        <v>0</v>
      </c>
      <c r="BU349" s="39">
        <f t="shared" si="369"/>
        <v>0</v>
      </c>
      <c r="BV349" s="39">
        <f t="shared" si="370"/>
        <v>0</v>
      </c>
      <c r="BW349" s="39">
        <f t="shared" si="371"/>
        <v>0</v>
      </c>
      <c r="BX349" s="39">
        <f t="shared" si="372"/>
        <v>9.1356600364633776E-7</v>
      </c>
      <c r="BY349" s="39">
        <f t="shared" si="373"/>
        <v>1.8406690170991168E-5</v>
      </c>
      <c r="BZ349" s="39">
        <f t="shared" si="374"/>
        <v>1.8472093253194544E-4</v>
      </c>
      <c r="CA349" s="39">
        <f t="shared" si="375"/>
        <v>36.617207641102382</v>
      </c>
      <c r="CB349" s="39">
        <f t="shared" si="376"/>
        <v>53.842806425383472</v>
      </c>
      <c r="CC349" s="39">
        <f t="shared" si="377"/>
        <v>52.315626500669566</v>
      </c>
      <c r="CD349" s="39">
        <f t="shared" si="378"/>
        <v>73.181426155095224</v>
      </c>
      <c r="CE349" s="39">
        <f t="shared" si="379"/>
        <v>78.458259500196689</v>
      </c>
      <c r="CF349" s="39">
        <f t="shared" si="380"/>
        <v>75.000000609044022</v>
      </c>
      <c r="CG349" s="39">
        <f t="shared" si="381"/>
        <v>75.00001318469279</v>
      </c>
      <c r="CH349" s="39">
        <f t="shared" si="382"/>
        <v>75.000141553978537</v>
      </c>
      <c r="CI349" s="39">
        <f t="shared" si="383"/>
        <v>0</v>
      </c>
      <c r="CJ349" s="39">
        <f t="shared" si="384"/>
        <v>0</v>
      </c>
      <c r="CK349" s="39">
        <f t="shared" si="385"/>
        <v>0</v>
      </c>
      <c r="CL349" s="39">
        <f t="shared" si="386"/>
        <v>0</v>
      </c>
      <c r="CM349" s="39">
        <f t="shared" si="387"/>
        <v>0</v>
      </c>
      <c r="CN349" s="39">
        <f t="shared" si="388"/>
        <v>0</v>
      </c>
      <c r="CO349" s="39">
        <f t="shared" si="389"/>
        <v>0</v>
      </c>
      <c r="CP349" s="39">
        <f t="shared" si="390"/>
        <v>0</v>
      </c>
    </row>
    <row r="350" spans="12:94" ht="16" customHeight="1" x14ac:dyDescent="0.2">
      <c r="L350" s="63">
        <v>30662</v>
      </c>
      <c r="M350" s="38">
        <v>0</v>
      </c>
      <c r="N350" s="38">
        <v>5.6</v>
      </c>
      <c r="O350" s="39">
        <v>1.2283999999999999</v>
      </c>
      <c r="P350" s="39">
        <v>0.68358333299999996</v>
      </c>
      <c r="Q350" s="46">
        <f t="shared" si="321"/>
        <v>0.13658674126803572</v>
      </c>
      <c r="R350" s="81">
        <f t="shared" si="322"/>
        <v>0</v>
      </c>
      <c r="S350" s="82">
        <f t="shared" si="323"/>
        <v>0</v>
      </c>
      <c r="T350" s="39">
        <f t="shared" si="324"/>
        <v>8.4932387113667571E-5</v>
      </c>
      <c r="U350" s="83">
        <f t="shared" si="325"/>
        <v>3.8280666647999997</v>
      </c>
      <c r="V350" s="84">
        <f t="shared" si="326"/>
        <v>1.4175466681600002</v>
      </c>
      <c r="W350" s="52">
        <f t="shared" si="327"/>
        <v>66.957066722250659</v>
      </c>
      <c r="X350" s="52">
        <f t="shared" si="328"/>
        <v>162.45841484791202</v>
      </c>
      <c r="Y350" s="52">
        <f t="shared" si="329"/>
        <v>229.41548157016268</v>
      </c>
      <c r="Z350" s="53">
        <f t="shared" si="330"/>
        <v>0.52310208376758327</v>
      </c>
      <c r="AA350" s="53">
        <f t="shared" si="331"/>
        <v>0.96701437409471447</v>
      </c>
      <c r="AB350" s="53">
        <f t="shared" si="332"/>
        <v>0.77505230260190094</v>
      </c>
      <c r="AC350" s="39" t="str">
        <f t="shared" si="333"/>
        <v>No</v>
      </c>
      <c r="AD350" s="85">
        <f t="shared" si="334"/>
        <v>3.3599999999999852E-2</v>
      </c>
      <c r="AE350" s="46">
        <f t="shared" si="335"/>
        <v>1</v>
      </c>
      <c r="AF350" s="46">
        <f t="shared" si="336"/>
        <v>1.2283999999999999</v>
      </c>
      <c r="AG350" s="39">
        <f t="shared" si="391"/>
        <v>36.617207641102382</v>
      </c>
      <c r="AH350" s="39">
        <f t="shared" si="392"/>
        <v>53.842806425383472</v>
      </c>
      <c r="AI350" s="39">
        <f t="shared" si="393"/>
        <v>52.315626500669566</v>
      </c>
      <c r="AJ350" s="39">
        <f t="shared" si="394"/>
        <v>73.181426155095224</v>
      </c>
      <c r="AK350" s="39">
        <f t="shared" si="395"/>
        <v>78.458259500196689</v>
      </c>
      <c r="AL350" s="39">
        <f t="shared" si="396"/>
        <v>75.000000609044022</v>
      </c>
      <c r="AM350" s="39">
        <f t="shared" si="397"/>
        <v>75.00001318469279</v>
      </c>
      <c r="AN350" s="39">
        <f t="shared" si="398"/>
        <v>75.000141553978537</v>
      </c>
      <c r="AO350" s="39">
        <f t="shared" si="337"/>
        <v>0.29191624643642505</v>
      </c>
      <c r="AP350" s="39">
        <f t="shared" si="338"/>
        <v>1.5842806425383473</v>
      </c>
      <c r="AQ350" s="39">
        <f t="shared" si="339"/>
        <v>1.6315626500669582</v>
      </c>
      <c r="AR350" s="39">
        <f t="shared" si="340"/>
        <v>2.8181426155095219</v>
      </c>
      <c r="AS350" s="39">
        <f t="shared" si="341"/>
        <v>3.6458259500196699</v>
      </c>
      <c r="AT350" s="39">
        <f t="shared" si="342"/>
        <v>0.39760000576561638</v>
      </c>
      <c r="AU350" s="39">
        <f t="shared" si="343"/>
        <v>0</v>
      </c>
      <c r="AV350" s="39">
        <f t="shared" si="344"/>
        <v>0</v>
      </c>
      <c r="AW350" s="39">
        <f t="shared" si="345"/>
        <v>10.369328110336539</v>
      </c>
      <c r="AX350" s="39">
        <f t="shared" si="346"/>
        <v>3.8280666647999997</v>
      </c>
      <c r="AY350" s="39">
        <f t="shared" si="347"/>
        <v>3.8280666647999997</v>
      </c>
      <c r="AZ350" s="39">
        <f t="shared" si="348"/>
        <v>0.10776733458582327</v>
      </c>
      <c r="BA350" s="39">
        <f t="shared" si="349"/>
        <v>0.5848722164884933</v>
      </c>
      <c r="BB350" s="39">
        <f t="shared" si="350"/>
        <v>0.6023274146401143</v>
      </c>
      <c r="BC350" s="39">
        <f t="shared" si="351"/>
        <v>1.0403796358155895</v>
      </c>
      <c r="BD350" s="39">
        <f t="shared" si="352"/>
        <v>1.3459372330036268</v>
      </c>
      <c r="BE350" s="39">
        <f t="shared" si="353"/>
        <v>0.14678283026635228</v>
      </c>
      <c r="BF350" s="39">
        <f t="shared" si="354"/>
        <v>0</v>
      </c>
      <c r="BG350" s="39">
        <f t="shared" si="355"/>
        <v>0</v>
      </c>
      <c r="BH350" s="84">
        <f t="shared" si="356"/>
        <v>0</v>
      </c>
      <c r="BI350" s="84">
        <f t="shared" si="357"/>
        <v>1.4175466681600002</v>
      </c>
      <c r="BJ350" s="84">
        <f t="shared" si="358"/>
        <v>0.13667987916779503</v>
      </c>
      <c r="BK350" s="39">
        <f t="shared" si="359"/>
        <v>36.372760427348766</v>
      </c>
      <c r="BL350" s="39">
        <f t="shared" si="360"/>
        <v>53.25793420889498</v>
      </c>
      <c r="BM350" s="39">
        <f t="shared" si="361"/>
        <v>51.713299086029451</v>
      </c>
      <c r="BN350" s="39">
        <f t="shared" si="362"/>
        <v>72.141046519279641</v>
      </c>
      <c r="BO350" s="39">
        <f t="shared" si="363"/>
        <v>77.112322267193065</v>
      </c>
      <c r="BP350" s="39">
        <f t="shared" si="364"/>
        <v>74.853217778777676</v>
      </c>
      <c r="BQ350" s="39">
        <f t="shared" si="365"/>
        <v>75.00001318469279</v>
      </c>
      <c r="BR350" s="39">
        <f t="shared" si="366"/>
        <v>75.000141553978537</v>
      </c>
      <c r="BS350" s="39">
        <f t="shared" si="367"/>
        <v>0</v>
      </c>
      <c r="BT350" s="39">
        <f t="shared" si="368"/>
        <v>0</v>
      </c>
      <c r="BU350" s="39">
        <f t="shared" si="369"/>
        <v>0</v>
      </c>
      <c r="BV350" s="39">
        <f t="shared" si="370"/>
        <v>0</v>
      </c>
      <c r="BW350" s="39">
        <f t="shared" si="371"/>
        <v>0</v>
      </c>
      <c r="BX350" s="39">
        <f t="shared" si="372"/>
        <v>0</v>
      </c>
      <c r="BY350" s="39">
        <f t="shared" si="373"/>
        <v>7.9108156654683619E-6</v>
      </c>
      <c r="BZ350" s="39">
        <f t="shared" si="374"/>
        <v>8.4932387113667571E-5</v>
      </c>
      <c r="CA350" s="39">
        <f t="shared" si="375"/>
        <v>36.372760427348766</v>
      </c>
      <c r="CB350" s="39">
        <f t="shared" si="376"/>
        <v>53.25793420889498</v>
      </c>
      <c r="CC350" s="39">
        <f t="shared" si="377"/>
        <v>51.713299086029451</v>
      </c>
      <c r="CD350" s="39">
        <f t="shared" si="378"/>
        <v>72.141046519279641</v>
      </c>
      <c r="CE350" s="39">
        <f t="shared" si="379"/>
        <v>77.112322267193065</v>
      </c>
      <c r="CF350" s="39">
        <f t="shared" si="380"/>
        <v>74.853217778777676</v>
      </c>
      <c r="CG350" s="39">
        <f t="shared" si="381"/>
        <v>75.000005273877122</v>
      </c>
      <c r="CH350" s="39">
        <f t="shared" si="382"/>
        <v>75.000064532407094</v>
      </c>
      <c r="CI350" s="39">
        <f t="shared" si="383"/>
        <v>0</v>
      </c>
      <c r="CJ350" s="39">
        <f t="shared" si="384"/>
        <v>0</v>
      </c>
      <c r="CK350" s="39">
        <f t="shared" si="385"/>
        <v>0</v>
      </c>
      <c r="CL350" s="39">
        <f t="shared" si="386"/>
        <v>0</v>
      </c>
      <c r="CM350" s="39">
        <f t="shared" si="387"/>
        <v>0</v>
      </c>
      <c r="CN350" s="39">
        <f t="shared" si="388"/>
        <v>0</v>
      </c>
      <c r="CO350" s="39">
        <f t="shared" si="389"/>
        <v>0</v>
      </c>
      <c r="CP350" s="39">
        <f t="shared" si="390"/>
        <v>0</v>
      </c>
    </row>
    <row r="351" spans="12:94" ht="16" customHeight="1" x14ac:dyDescent="0.2">
      <c r="L351" s="63">
        <v>30663</v>
      </c>
      <c r="M351" s="38">
        <v>0</v>
      </c>
      <c r="N351" s="38">
        <v>2.8</v>
      </c>
      <c r="O351" s="39">
        <v>1.2647999999999999</v>
      </c>
      <c r="P351" s="39">
        <v>0.71121969699999998</v>
      </c>
      <c r="Q351" s="46">
        <f t="shared" si="321"/>
        <v>0.13708224237699573</v>
      </c>
      <c r="R351" s="81">
        <f t="shared" si="322"/>
        <v>0</v>
      </c>
      <c r="S351" s="82">
        <f t="shared" si="323"/>
        <v>0</v>
      </c>
      <c r="T351" s="39">
        <f t="shared" si="324"/>
        <v>3.8719444248158652E-5</v>
      </c>
      <c r="U351" s="83">
        <f t="shared" si="325"/>
        <v>1.9914151515999998</v>
      </c>
      <c r="V351" s="84">
        <f t="shared" si="326"/>
        <v>0.64686787872000007</v>
      </c>
      <c r="W351" s="52">
        <f t="shared" si="327"/>
        <v>64.485040241552838</v>
      </c>
      <c r="X351" s="52">
        <f t="shared" si="328"/>
        <v>160.96560985225494</v>
      </c>
      <c r="Y351" s="52">
        <f t="shared" si="329"/>
        <v>225.45065009380778</v>
      </c>
      <c r="Z351" s="53">
        <f t="shared" si="330"/>
        <v>0.50378937688713155</v>
      </c>
      <c r="AA351" s="53">
        <f t="shared" si="331"/>
        <v>0.95812863007294613</v>
      </c>
      <c r="AB351" s="53">
        <f t="shared" si="332"/>
        <v>0.76165760166826957</v>
      </c>
      <c r="AC351" s="39" t="str">
        <f t="shared" si="333"/>
        <v>No</v>
      </c>
      <c r="AD351" s="85">
        <f t="shared" si="334"/>
        <v>3.6399999999999988E-2</v>
      </c>
      <c r="AE351" s="46">
        <f t="shared" si="335"/>
        <v>1</v>
      </c>
      <c r="AF351" s="46">
        <f t="shared" si="336"/>
        <v>1.2647999999999999</v>
      </c>
      <c r="AG351" s="39">
        <f t="shared" si="391"/>
        <v>36.372760427348766</v>
      </c>
      <c r="AH351" s="39">
        <f t="shared" si="392"/>
        <v>53.25793420889498</v>
      </c>
      <c r="AI351" s="39">
        <f t="shared" si="393"/>
        <v>51.713299086029451</v>
      </c>
      <c r="AJ351" s="39">
        <f t="shared" si="394"/>
        <v>72.141046519279641</v>
      </c>
      <c r="AK351" s="39">
        <f t="shared" si="395"/>
        <v>77.112322267193065</v>
      </c>
      <c r="AL351" s="39">
        <f t="shared" si="396"/>
        <v>74.853217778777676</v>
      </c>
      <c r="AM351" s="39">
        <f t="shared" si="397"/>
        <v>75.000005273877122</v>
      </c>
      <c r="AN351" s="39">
        <f t="shared" si="398"/>
        <v>75.000064532407094</v>
      </c>
      <c r="AO351" s="39">
        <f t="shared" si="337"/>
        <v>0.27074716976254948</v>
      </c>
      <c r="AP351" s="39">
        <f t="shared" si="338"/>
        <v>1.5257934208894981</v>
      </c>
      <c r="AQ351" s="39">
        <f t="shared" si="339"/>
        <v>1.5713299086029466</v>
      </c>
      <c r="AR351" s="39">
        <f t="shared" si="340"/>
        <v>2.7141046519279635</v>
      </c>
      <c r="AS351" s="39">
        <f t="shared" si="341"/>
        <v>3.5112322267193075</v>
      </c>
      <c r="AT351" s="39">
        <f t="shared" si="342"/>
        <v>0.90402950402159699</v>
      </c>
      <c r="AU351" s="39">
        <f t="shared" si="343"/>
        <v>0</v>
      </c>
      <c r="AV351" s="39">
        <f t="shared" si="344"/>
        <v>0</v>
      </c>
      <c r="AW351" s="39">
        <f t="shared" si="345"/>
        <v>10.497236881923863</v>
      </c>
      <c r="AX351" s="39">
        <f t="shared" si="346"/>
        <v>1.9914151515999998</v>
      </c>
      <c r="AY351" s="39">
        <f t="shared" si="347"/>
        <v>1.9914151515999998</v>
      </c>
      <c r="AZ351" s="39">
        <f t="shared" si="348"/>
        <v>5.1363041739717598E-2</v>
      </c>
      <c r="BA351" s="39">
        <f t="shared" si="349"/>
        <v>0.28945599406289368</v>
      </c>
      <c r="BB351" s="39">
        <f t="shared" si="350"/>
        <v>0.29809465322656009</v>
      </c>
      <c r="BC351" s="39">
        <f t="shared" si="351"/>
        <v>0.51488874526444084</v>
      </c>
      <c r="BD351" s="39">
        <f t="shared" si="352"/>
        <v>0.66611062851365599</v>
      </c>
      <c r="BE351" s="39">
        <f t="shared" si="353"/>
        <v>0.17150208879273141</v>
      </c>
      <c r="BF351" s="39">
        <f t="shared" si="354"/>
        <v>0</v>
      </c>
      <c r="BG351" s="39">
        <f t="shared" si="355"/>
        <v>0</v>
      </c>
      <c r="BH351" s="84">
        <f t="shared" si="356"/>
        <v>0</v>
      </c>
      <c r="BI351" s="84">
        <f t="shared" si="357"/>
        <v>0.64686787872000007</v>
      </c>
      <c r="BJ351" s="84">
        <f t="shared" si="358"/>
        <v>6.0218374140583751E-2</v>
      </c>
      <c r="BK351" s="39">
        <f t="shared" si="359"/>
        <v>36.261179011468464</v>
      </c>
      <c r="BL351" s="39">
        <f t="shared" si="360"/>
        <v>52.968478214832089</v>
      </c>
      <c r="BM351" s="39">
        <f t="shared" si="361"/>
        <v>51.415204432802888</v>
      </c>
      <c r="BN351" s="39">
        <f t="shared" si="362"/>
        <v>71.626157774015198</v>
      </c>
      <c r="BO351" s="39">
        <f t="shared" si="363"/>
        <v>76.446211638679415</v>
      </c>
      <c r="BP351" s="39">
        <f t="shared" si="364"/>
        <v>74.681715689984941</v>
      </c>
      <c r="BQ351" s="39">
        <f t="shared" si="365"/>
        <v>75.000005273877122</v>
      </c>
      <c r="BR351" s="39">
        <f t="shared" si="366"/>
        <v>75.000064532407094</v>
      </c>
      <c r="BS351" s="39">
        <f t="shared" si="367"/>
        <v>0</v>
      </c>
      <c r="BT351" s="39">
        <f t="shared" si="368"/>
        <v>0</v>
      </c>
      <c r="BU351" s="39">
        <f t="shared" si="369"/>
        <v>0</v>
      </c>
      <c r="BV351" s="39">
        <f t="shared" si="370"/>
        <v>0</v>
      </c>
      <c r="BW351" s="39">
        <f t="shared" si="371"/>
        <v>0</v>
      </c>
      <c r="BX351" s="39">
        <f t="shared" si="372"/>
        <v>0</v>
      </c>
      <c r="BY351" s="39">
        <f t="shared" si="373"/>
        <v>3.1643262644820425E-6</v>
      </c>
      <c r="BZ351" s="39">
        <f t="shared" si="374"/>
        <v>3.8719444248158652E-5</v>
      </c>
      <c r="CA351" s="39">
        <f t="shared" si="375"/>
        <v>36.261179011468464</v>
      </c>
      <c r="CB351" s="39">
        <f t="shared" si="376"/>
        <v>52.968478214832089</v>
      </c>
      <c r="CC351" s="39">
        <f t="shared" si="377"/>
        <v>51.415204432802888</v>
      </c>
      <c r="CD351" s="39">
        <f t="shared" si="378"/>
        <v>71.626157774015198</v>
      </c>
      <c r="CE351" s="39">
        <f t="shared" si="379"/>
        <v>76.446211638679415</v>
      </c>
      <c r="CF351" s="39">
        <f t="shared" si="380"/>
        <v>74.681715689984941</v>
      </c>
      <c r="CG351" s="39">
        <f t="shared" si="381"/>
        <v>75.000002109550863</v>
      </c>
      <c r="CH351" s="39">
        <f t="shared" si="382"/>
        <v>75.000028977289105</v>
      </c>
      <c r="CI351" s="39">
        <f t="shared" si="383"/>
        <v>0</v>
      </c>
      <c r="CJ351" s="39">
        <f t="shared" si="384"/>
        <v>0</v>
      </c>
      <c r="CK351" s="39">
        <f t="shared" si="385"/>
        <v>0</v>
      </c>
      <c r="CL351" s="39">
        <f t="shared" si="386"/>
        <v>0</v>
      </c>
      <c r="CM351" s="39">
        <f t="shared" si="387"/>
        <v>0</v>
      </c>
      <c r="CN351" s="39">
        <f t="shared" si="388"/>
        <v>0</v>
      </c>
      <c r="CO351" s="39">
        <f t="shared" si="389"/>
        <v>0</v>
      </c>
      <c r="CP351" s="39">
        <f t="shared" si="390"/>
        <v>0</v>
      </c>
    </row>
    <row r="352" spans="12:94" ht="16" customHeight="1" x14ac:dyDescent="0.2">
      <c r="L352" s="63">
        <v>30664</v>
      </c>
      <c r="M352" s="38">
        <v>0</v>
      </c>
      <c r="N352" s="38">
        <v>5</v>
      </c>
      <c r="O352" s="39">
        <v>1.3016000000000001</v>
      </c>
      <c r="P352" s="39">
        <v>0.73914393899999997</v>
      </c>
      <c r="Q352" s="46">
        <f t="shared" si="321"/>
        <v>0.13730842092269904</v>
      </c>
      <c r="R352" s="81">
        <f t="shared" si="322"/>
        <v>0</v>
      </c>
      <c r="S352" s="82">
        <f t="shared" si="323"/>
        <v>0</v>
      </c>
      <c r="T352" s="39">
        <f t="shared" si="324"/>
        <v>1.738637345454208E-5</v>
      </c>
      <c r="U352" s="83">
        <f t="shared" si="325"/>
        <v>3.6957196949999997</v>
      </c>
      <c r="V352" s="84">
        <f t="shared" si="326"/>
        <v>1.0434242440000003</v>
      </c>
      <c r="W352" s="52">
        <f t="shared" si="327"/>
        <v>63.271019433118624</v>
      </c>
      <c r="X352" s="52">
        <f t="shared" si="328"/>
        <v>160.12795841550434</v>
      </c>
      <c r="Y352" s="52">
        <f t="shared" si="329"/>
        <v>223.39897784862296</v>
      </c>
      <c r="Z352" s="53">
        <f t="shared" si="330"/>
        <v>0.49430483932123925</v>
      </c>
      <c r="AA352" s="53">
        <f t="shared" si="331"/>
        <v>0.9531426096160972</v>
      </c>
      <c r="AB352" s="53">
        <f t="shared" si="332"/>
        <v>0.75472627651561808</v>
      </c>
      <c r="AC352" s="39" t="str">
        <f t="shared" si="333"/>
        <v>No</v>
      </c>
      <c r="AD352" s="85">
        <f t="shared" si="334"/>
        <v>3.6800000000000166E-2</v>
      </c>
      <c r="AE352" s="46">
        <f t="shared" si="335"/>
        <v>1</v>
      </c>
      <c r="AF352" s="46">
        <f t="shared" si="336"/>
        <v>1.3016000000000001</v>
      </c>
      <c r="AG352" s="39">
        <f t="shared" si="391"/>
        <v>36.261179011468464</v>
      </c>
      <c r="AH352" s="39">
        <f t="shared" si="392"/>
        <v>52.968478214832089</v>
      </c>
      <c r="AI352" s="39">
        <f t="shared" si="393"/>
        <v>51.415204432802888</v>
      </c>
      <c r="AJ352" s="39">
        <f t="shared" si="394"/>
        <v>71.626157774015198</v>
      </c>
      <c r="AK352" s="39">
        <f t="shared" si="395"/>
        <v>76.446211638679415</v>
      </c>
      <c r="AL352" s="39">
        <f t="shared" si="396"/>
        <v>74.681715689984941</v>
      </c>
      <c r="AM352" s="39">
        <f t="shared" si="397"/>
        <v>75.000002109550863</v>
      </c>
      <c r="AN352" s="39">
        <f t="shared" si="398"/>
        <v>75.000028977289105</v>
      </c>
      <c r="AO352" s="39">
        <f t="shared" si="337"/>
        <v>0.26134908409102137</v>
      </c>
      <c r="AP352" s="39">
        <f t="shared" si="338"/>
        <v>1.4968478214832091</v>
      </c>
      <c r="AQ352" s="39">
        <f t="shared" si="339"/>
        <v>1.5415204432802903</v>
      </c>
      <c r="AR352" s="39">
        <f t="shared" si="340"/>
        <v>2.6626157774015193</v>
      </c>
      <c r="AS352" s="39">
        <f t="shared" si="341"/>
        <v>3.4446211638679425</v>
      </c>
      <c r="AT352" s="39">
        <f t="shared" si="342"/>
        <v>1.4116207713674915</v>
      </c>
      <c r="AU352" s="39">
        <f t="shared" si="343"/>
        <v>0</v>
      </c>
      <c r="AV352" s="39">
        <f t="shared" si="344"/>
        <v>0</v>
      </c>
      <c r="AW352" s="39">
        <f t="shared" si="345"/>
        <v>10.818575061491474</v>
      </c>
      <c r="AX352" s="39">
        <f t="shared" si="346"/>
        <v>3.6957196949999997</v>
      </c>
      <c r="AY352" s="39">
        <f t="shared" si="347"/>
        <v>3.6957196949999997</v>
      </c>
      <c r="AZ352" s="39">
        <f t="shared" si="348"/>
        <v>8.9279128892251841E-2</v>
      </c>
      <c r="BA352" s="39">
        <f t="shared" si="349"/>
        <v>0.51133628438408174</v>
      </c>
      <c r="BB352" s="39">
        <f t="shared" si="350"/>
        <v>0.52659684201430246</v>
      </c>
      <c r="BC352" s="39">
        <f t="shared" si="351"/>
        <v>0.90957279612421771</v>
      </c>
      <c r="BD352" s="39">
        <f t="shared" si="352"/>
        <v>1.1767126636144576</v>
      </c>
      <c r="BE352" s="39">
        <f t="shared" si="353"/>
        <v>0.48222197997068839</v>
      </c>
      <c r="BF352" s="39">
        <f t="shared" si="354"/>
        <v>0</v>
      </c>
      <c r="BG352" s="39">
        <f t="shared" si="355"/>
        <v>0</v>
      </c>
      <c r="BH352" s="84">
        <f t="shared" si="356"/>
        <v>0</v>
      </c>
      <c r="BI352" s="84">
        <f t="shared" si="357"/>
        <v>1.0434242440000003</v>
      </c>
      <c r="BJ352" s="84">
        <f t="shared" si="358"/>
        <v>9.4438924208924413E-2</v>
      </c>
      <c r="BK352" s="39">
        <f t="shared" si="359"/>
        <v>36.07746095836729</v>
      </c>
      <c r="BL352" s="39">
        <f t="shared" si="360"/>
        <v>52.45714193044801</v>
      </c>
      <c r="BM352" s="39">
        <f t="shared" si="361"/>
        <v>50.888607590788588</v>
      </c>
      <c r="BN352" s="39">
        <f t="shared" si="362"/>
        <v>70.716584977890975</v>
      </c>
      <c r="BO352" s="39">
        <f t="shared" si="363"/>
        <v>75.269498975064963</v>
      </c>
      <c r="BP352" s="39">
        <f t="shared" si="364"/>
        <v>74.199493710014252</v>
      </c>
      <c r="BQ352" s="39">
        <f t="shared" si="365"/>
        <v>75.000002109550863</v>
      </c>
      <c r="BR352" s="39">
        <f t="shared" si="366"/>
        <v>75.000028977289105</v>
      </c>
      <c r="BS352" s="39">
        <f t="shared" si="367"/>
        <v>0</v>
      </c>
      <c r="BT352" s="39">
        <f t="shared" si="368"/>
        <v>0</v>
      </c>
      <c r="BU352" s="39">
        <f t="shared" si="369"/>
        <v>0</v>
      </c>
      <c r="BV352" s="39">
        <f t="shared" si="370"/>
        <v>0</v>
      </c>
      <c r="BW352" s="39">
        <f t="shared" si="371"/>
        <v>0</v>
      </c>
      <c r="BX352" s="39">
        <f t="shared" si="372"/>
        <v>0</v>
      </c>
      <c r="BY352" s="39">
        <f t="shared" si="373"/>
        <v>1.265730509203422E-6</v>
      </c>
      <c r="BZ352" s="39">
        <f t="shared" si="374"/>
        <v>1.738637345454208E-5</v>
      </c>
      <c r="CA352" s="39">
        <f t="shared" si="375"/>
        <v>36.07746095836729</v>
      </c>
      <c r="CB352" s="39">
        <f t="shared" si="376"/>
        <v>52.45714193044801</v>
      </c>
      <c r="CC352" s="39">
        <f t="shared" si="377"/>
        <v>50.888607590788588</v>
      </c>
      <c r="CD352" s="39">
        <f t="shared" si="378"/>
        <v>70.716584977890975</v>
      </c>
      <c r="CE352" s="39">
        <f t="shared" si="379"/>
        <v>75.269498975064963</v>
      </c>
      <c r="CF352" s="39">
        <f t="shared" si="380"/>
        <v>74.199493710014252</v>
      </c>
      <c r="CG352" s="39">
        <f t="shared" si="381"/>
        <v>75.000000843820359</v>
      </c>
      <c r="CH352" s="39">
        <f t="shared" si="382"/>
        <v>75.000012856646151</v>
      </c>
      <c r="CI352" s="39">
        <f t="shared" si="383"/>
        <v>0</v>
      </c>
      <c r="CJ352" s="39">
        <f t="shared" si="384"/>
        <v>0</v>
      </c>
      <c r="CK352" s="39">
        <f t="shared" si="385"/>
        <v>0</v>
      </c>
      <c r="CL352" s="39">
        <f t="shared" si="386"/>
        <v>0</v>
      </c>
      <c r="CM352" s="39">
        <f t="shared" si="387"/>
        <v>0</v>
      </c>
      <c r="CN352" s="39">
        <f t="shared" si="388"/>
        <v>0</v>
      </c>
      <c r="CO352" s="39">
        <f t="shared" si="389"/>
        <v>0</v>
      </c>
      <c r="CP352" s="39">
        <f t="shared" si="390"/>
        <v>0</v>
      </c>
    </row>
    <row r="353" spans="12:94" ht="16" customHeight="1" x14ac:dyDescent="0.2">
      <c r="L353" s="63">
        <v>30665</v>
      </c>
      <c r="M353" s="38">
        <v>25.6</v>
      </c>
      <c r="N353" s="38">
        <v>6.3</v>
      </c>
      <c r="O353" s="39">
        <v>1.34</v>
      </c>
      <c r="P353" s="39">
        <v>0.76793181799999999</v>
      </c>
      <c r="Q353" s="46">
        <f t="shared" si="321"/>
        <v>0.13768082238168794</v>
      </c>
      <c r="R353" s="81">
        <f t="shared" si="322"/>
        <v>2.5229305038905445</v>
      </c>
      <c r="S353" s="82">
        <f t="shared" si="323"/>
        <v>23.077069496109456</v>
      </c>
      <c r="T353" s="39">
        <f t="shared" si="324"/>
        <v>7.7139876822229774E-6</v>
      </c>
      <c r="U353" s="83">
        <f t="shared" si="325"/>
        <v>4.8379704533999996</v>
      </c>
      <c r="V353" s="84">
        <f t="shared" si="326"/>
        <v>1.16962363728</v>
      </c>
      <c r="W353" s="52">
        <f t="shared" si="327"/>
        <v>61.13979545749487</v>
      </c>
      <c r="X353" s="52">
        <f t="shared" si="328"/>
        <v>158.46900638554575</v>
      </c>
      <c r="Y353" s="52">
        <f t="shared" si="329"/>
        <v>219.60880184304062</v>
      </c>
      <c r="Z353" s="53">
        <f t="shared" si="330"/>
        <v>0.47765465201167867</v>
      </c>
      <c r="AA353" s="53">
        <f t="shared" si="331"/>
        <v>0.94326789515205811</v>
      </c>
      <c r="AB353" s="53">
        <f t="shared" si="332"/>
        <v>0.74192162784811022</v>
      </c>
      <c r="AC353" s="39" t="str">
        <f t="shared" si="333"/>
        <v>No</v>
      </c>
      <c r="AD353" s="85">
        <f t="shared" si="334"/>
        <v>3.839999999999999E-2</v>
      </c>
      <c r="AE353" s="46">
        <f t="shared" si="335"/>
        <v>1</v>
      </c>
      <c r="AF353" s="46">
        <f t="shared" si="336"/>
        <v>1.34</v>
      </c>
      <c r="AG353" s="39">
        <f t="shared" si="391"/>
        <v>36.07746095836729</v>
      </c>
      <c r="AH353" s="39">
        <f t="shared" si="392"/>
        <v>52.45714193044801</v>
      </c>
      <c r="AI353" s="39">
        <f t="shared" si="393"/>
        <v>50.888607590788588</v>
      </c>
      <c r="AJ353" s="39">
        <f t="shared" si="394"/>
        <v>70.716584977890975</v>
      </c>
      <c r="AK353" s="39">
        <f t="shared" si="395"/>
        <v>75.269498975064963</v>
      </c>
      <c r="AL353" s="39">
        <f t="shared" si="396"/>
        <v>74.199493710014252</v>
      </c>
      <c r="AM353" s="39">
        <f t="shared" si="397"/>
        <v>75.000000843820359</v>
      </c>
      <c r="AN353" s="39">
        <f t="shared" si="398"/>
        <v>75.000012856646151</v>
      </c>
      <c r="AO353" s="39">
        <f t="shared" si="337"/>
        <v>0.24623687800319105</v>
      </c>
      <c r="AP353" s="39">
        <f t="shared" si="338"/>
        <v>1.4457141930448012</v>
      </c>
      <c r="AQ353" s="39">
        <f t="shared" si="339"/>
        <v>1.4888607590788603</v>
      </c>
      <c r="AR353" s="39">
        <f t="shared" si="340"/>
        <v>2.5716584977890968</v>
      </c>
      <c r="AS353" s="39">
        <f t="shared" si="341"/>
        <v>3.3269498975064971</v>
      </c>
      <c r="AT353" s="39">
        <f t="shared" si="342"/>
        <v>1.9226430398006662</v>
      </c>
      <c r="AU353" s="39">
        <f t="shared" si="343"/>
        <v>0</v>
      </c>
      <c r="AV353" s="39">
        <f t="shared" si="344"/>
        <v>0</v>
      </c>
      <c r="AW353" s="39">
        <f t="shared" si="345"/>
        <v>11.002063265223113</v>
      </c>
      <c r="AX353" s="39">
        <f t="shared" si="346"/>
        <v>4.8379704533999996</v>
      </c>
      <c r="AY353" s="39">
        <f t="shared" si="347"/>
        <v>0</v>
      </c>
      <c r="AZ353" s="39">
        <f t="shared" si="348"/>
        <v>0</v>
      </c>
      <c r="BA353" s="39">
        <f t="shared" si="349"/>
        <v>0</v>
      </c>
      <c r="BB353" s="39">
        <f t="shared" si="350"/>
        <v>0</v>
      </c>
      <c r="BC353" s="39">
        <f t="shared" si="351"/>
        <v>0</v>
      </c>
      <c r="BD353" s="39">
        <f t="shared" si="352"/>
        <v>0</v>
      </c>
      <c r="BE353" s="39">
        <f t="shared" si="353"/>
        <v>0</v>
      </c>
      <c r="BF353" s="39">
        <f t="shared" si="354"/>
        <v>0</v>
      </c>
      <c r="BG353" s="39">
        <f t="shared" si="355"/>
        <v>0</v>
      </c>
      <c r="BH353" s="84">
        <f t="shared" si="356"/>
        <v>1.16962363728</v>
      </c>
      <c r="BI353" s="84">
        <f t="shared" si="357"/>
        <v>0</v>
      </c>
      <c r="BJ353" s="84">
        <f t="shared" si="358"/>
        <v>1.16962363728</v>
      </c>
      <c r="BK353" s="39">
        <f t="shared" si="359"/>
        <v>34.907837321087293</v>
      </c>
      <c r="BL353" s="39">
        <f t="shared" si="360"/>
        <v>52.45714193044801</v>
      </c>
      <c r="BM353" s="39">
        <f t="shared" si="361"/>
        <v>50.888607590788588</v>
      </c>
      <c r="BN353" s="39">
        <f t="shared" si="362"/>
        <v>70.716584977890975</v>
      </c>
      <c r="BO353" s="39">
        <f t="shared" si="363"/>
        <v>75.269498975064963</v>
      </c>
      <c r="BP353" s="39">
        <f t="shared" si="364"/>
        <v>74.199493710014252</v>
      </c>
      <c r="BQ353" s="39">
        <f t="shared" si="365"/>
        <v>75.000000843820359</v>
      </c>
      <c r="BR353" s="39">
        <f t="shared" si="366"/>
        <v>75.000012856646151</v>
      </c>
      <c r="BS353" s="39">
        <f t="shared" si="367"/>
        <v>0</v>
      </c>
      <c r="BT353" s="39">
        <f t="shared" si="368"/>
        <v>0</v>
      </c>
      <c r="BU353" s="39">
        <f t="shared" si="369"/>
        <v>0</v>
      </c>
      <c r="BV353" s="39">
        <f t="shared" si="370"/>
        <v>0</v>
      </c>
      <c r="BW353" s="39">
        <f t="shared" si="371"/>
        <v>0</v>
      </c>
      <c r="BX353" s="39">
        <f t="shared" si="372"/>
        <v>0</v>
      </c>
      <c r="BY353" s="39">
        <f t="shared" si="373"/>
        <v>5.0629220709197394E-7</v>
      </c>
      <c r="BZ353" s="39">
        <f t="shared" si="374"/>
        <v>7.7139876822229774E-6</v>
      </c>
      <c r="CA353" s="39">
        <f t="shared" si="375"/>
        <v>56.815283179916747</v>
      </c>
      <c r="CB353" s="39">
        <f t="shared" si="376"/>
        <v>52.45714193044801</v>
      </c>
      <c r="CC353" s="39">
        <f t="shared" si="377"/>
        <v>50.888607590788588</v>
      </c>
      <c r="CD353" s="39">
        <f t="shared" si="378"/>
        <v>70.716584977890975</v>
      </c>
      <c r="CE353" s="39">
        <f t="shared" si="379"/>
        <v>75.269498975064963</v>
      </c>
      <c r="CF353" s="39">
        <f t="shared" si="380"/>
        <v>74.199493710014252</v>
      </c>
      <c r="CG353" s="39">
        <f t="shared" si="381"/>
        <v>75.000000337528149</v>
      </c>
      <c r="CH353" s="39">
        <f t="shared" si="382"/>
        <v>75.000005648950676</v>
      </c>
      <c r="CI353" s="39">
        <f t="shared" si="383"/>
        <v>0</v>
      </c>
      <c r="CJ353" s="39">
        <f t="shared" si="384"/>
        <v>0</v>
      </c>
      <c r="CK353" s="39">
        <f t="shared" si="385"/>
        <v>0</v>
      </c>
      <c r="CL353" s="39">
        <f t="shared" si="386"/>
        <v>0</v>
      </c>
      <c r="CM353" s="39">
        <f t="shared" si="387"/>
        <v>0</v>
      </c>
      <c r="CN353" s="39">
        <f t="shared" si="388"/>
        <v>0</v>
      </c>
      <c r="CO353" s="39">
        <f t="shared" si="389"/>
        <v>0</v>
      </c>
      <c r="CP353" s="39">
        <f t="shared" si="390"/>
        <v>0</v>
      </c>
    </row>
    <row r="354" spans="12:94" ht="16" customHeight="1" x14ac:dyDescent="0.2">
      <c r="L354" s="63">
        <v>30666</v>
      </c>
      <c r="M354" s="38">
        <v>0</v>
      </c>
      <c r="N354" s="38">
        <v>5.0999999999999996</v>
      </c>
      <c r="O354" s="39">
        <v>1.3695999999999999</v>
      </c>
      <c r="P354" s="39">
        <v>0.79067424200000003</v>
      </c>
      <c r="Q354" s="46">
        <f t="shared" si="321"/>
        <v>9.564469625692551E-2</v>
      </c>
      <c r="R354" s="81">
        <f t="shared" si="322"/>
        <v>0</v>
      </c>
      <c r="S354" s="82">
        <f t="shared" si="323"/>
        <v>0</v>
      </c>
      <c r="T354" s="39">
        <f t="shared" si="324"/>
        <v>3.3893703971443757E-6</v>
      </c>
      <c r="U354" s="83">
        <f t="shared" si="325"/>
        <v>4.0324386342</v>
      </c>
      <c r="V354" s="84">
        <f t="shared" si="326"/>
        <v>0.85404909263999995</v>
      </c>
      <c r="W354" s="52">
        <f t="shared" si="327"/>
        <v>81.877617679044306</v>
      </c>
      <c r="X354" s="52">
        <f t="shared" si="328"/>
        <v>158.46899867155804</v>
      </c>
      <c r="Y354" s="52">
        <f t="shared" si="329"/>
        <v>240.34661635060235</v>
      </c>
      <c r="Z354" s="53">
        <f t="shared" si="330"/>
        <v>0.63966888811753364</v>
      </c>
      <c r="AA354" s="53">
        <f t="shared" si="331"/>
        <v>0.94326784923546447</v>
      </c>
      <c r="AB354" s="53">
        <f t="shared" si="332"/>
        <v>0.81198181199527819</v>
      </c>
      <c r="AC354" s="39" t="str">
        <f t="shared" si="333"/>
        <v>No</v>
      </c>
      <c r="AD354" s="85">
        <f t="shared" si="334"/>
        <v>2.9599999999999849E-2</v>
      </c>
      <c r="AE354" s="46">
        <f t="shared" si="335"/>
        <v>1</v>
      </c>
      <c r="AF354" s="46">
        <f t="shared" si="336"/>
        <v>1.3695999999999999</v>
      </c>
      <c r="AG354" s="39">
        <f t="shared" si="391"/>
        <v>56.815283179916747</v>
      </c>
      <c r="AH354" s="39">
        <f t="shared" si="392"/>
        <v>52.45714193044801</v>
      </c>
      <c r="AI354" s="39">
        <f t="shared" si="393"/>
        <v>50.888607590788588</v>
      </c>
      <c r="AJ354" s="39">
        <f t="shared" si="394"/>
        <v>70.716584977890975</v>
      </c>
      <c r="AK354" s="39">
        <f t="shared" si="395"/>
        <v>75.269498975064963</v>
      </c>
      <c r="AL354" s="39">
        <f t="shared" si="396"/>
        <v>74.199493710014252</v>
      </c>
      <c r="AM354" s="39">
        <f t="shared" si="397"/>
        <v>75.000000337528149</v>
      </c>
      <c r="AN354" s="39">
        <f t="shared" si="398"/>
        <v>75.000005648950676</v>
      </c>
      <c r="AO354" s="39">
        <f t="shared" si="337"/>
        <v>2.6815283179916749</v>
      </c>
      <c r="AP354" s="39">
        <f t="shared" si="338"/>
        <v>1.4457141930448012</v>
      </c>
      <c r="AQ354" s="39">
        <f t="shared" si="339"/>
        <v>1.4888607590788603</v>
      </c>
      <c r="AR354" s="39">
        <f t="shared" si="340"/>
        <v>2.5716584977890968</v>
      </c>
      <c r="AS354" s="39">
        <f t="shared" si="341"/>
        <v>3.3269498975064971</v>
      </c>
      <c r="AT354" s="39">
        <f t="shared" si="342"/>
        <v>2.3291447110728045</v>
      </c>
      <c r="AU354" s="39">
        <f t="shared" si="343"/>
        <v>0</v>
      </c>
      <c r="AV354" s="39">
        <f t="shared" si="344"/>
        <v>0</v>
      </c>
      <c r="AW354" s="39">
        <f t="shared" si="345"/>
        <v>13.843856376483735</v>
      </c>
      <c r="AX354" s="39">
        <f t="shared" si="346"/>
        <v>4.0324386342</v>
      </c>
      <c r="AY354" s="39">
        <f t="shared" si="347"/>
        <v>4.0324386342</v>
      </c>
      <c r="AZ354" s="39">
        <f t="shared" si="348"/>
        <v>0.78107559729808762</v>
      </c>
      <c r="BA354" s="39">
        <f t="shared" si="349"/>
        <v>0.4211076456953145</v>
      </c>
      <c r="BB354" s="39">
        <f t="shared" si="350"/>
        <v>0.43367537791365413</v>
      </c>
      <c r="BC354" s="39">
        <f t="shared" si="351"/>
        <v>0.74907271488809157</v>
      </c>
      <c r="BD354" s="39">
        <f t="shared" si="352"/>
        <v>0.96907400191914217</v>
      </c>
      <c r="BE354" s="39">
        <f t="shared" si="353"/>
        <v>0.67843329648570982</v>
      </c>
      <c r="BF354" s="39">
        <f t="shared" si="354"/>
        <v>0</v>
      </c>
      <c r="BG354" s="39">
        <f t="shared" si="355"/>
        <v>0</v>
      </c>
      <c r="BH354" s="84">
        <f t="shared" si="356"/>
        <v>0.85404909263999995</v>
      </c>
      <c r="BI354" s="84">
        <f t="shared" si="357"/>
        <v>0</v>
      </c>
      <c r="BJ354" s="84">
        <f t="shared" si="358"/>
        <v>0.85404909263999995</v>
      </c>
      <c r="BK354" s="39">
        <f t="shared" si="359"/>
        <v>55.180158489978666</v>
      </c>
      <c r="BL354" s="39">
        <f t="shared" si="360"/>
        <v>52.036034284752695</v>
      </c>
      <c r="BM354" s="39">
        <f t="shared" si="361"/>
        <v>50.454932212874937</v>
      </c>
      <c r="BN354" s="39">
        <f t="shared" si="362"/>
        <v>69.967512263002888</v>
      </c>
      <c r="BO354" s="39">
        <f t="shared" si="363"/>
        <v>74.300424973145823</v>
      </c>
      <c r="BP354" s="39">
        <f t="shared" si="364"/>
        <v>73.521060413528545</v>
      </c>
      <c r="BQ354" s="39">
        <f t="shared" si="365"/>
        <v>75.000000337528149</v>
      </c>
      <c r="BR354" s="39">
        <f t="shared" si="366"/>
        <v>75.000005648950676</v>
      </c>
      <c r="BS354" s="39">
        <f t="shared" si="367"/>
        <v>0</v>
      </c>
      <c r="BT354" s="39">
        <f t="shared" si="368"/>
        <v>0</v>
      </c>
      <c r="BU354" s="39">
        <f t="shared" si="369"/>
        <v>0</v>
      </c>
      <c r="BV354" s="39">
        <f t="shared" si="370"/>
        <v>0</v>
      </c>
      <c r="BW354" s="39">
        <f t="shared" si="371"/>
        <v>0</v>
      </c>
      <c r="BX354" s="39">
        <f t="shared" si="372"/>
        <v>0</v>
      </c>
      <c r="BY354" s="39">
        <f t="shared" si="373"/>
        <v>2.0251688113148702E-7</v>
      </c>
      <c r="BZ354" s="39">
        <f t="shared" si="374"/>
        <v>3.3893703971443757E-6</v>
      </c>
      <c r="CA354" s="39">
        <f t="shared" si="375"/>
        <v>55.180158489978666</v>
      </c>
      <c r="CB354" s="39">
        <f t="shared" si="376"/>
        <v>52.036034284752695</v>
      </c>
      <c r="CC354" s="39">
        <f t="shared" si="377"/>
        <v>50.454932212874937</v>
      </c>
      <c r="CD354" s="39">
        <f t="shared" si="378"/>
        <v>69.967512263002888</v>
      </c>
      <c r="CE354" s="39">
        <f t="shared" si="379"/>
        <v>74.300424973145823</v>
      </c>
      <c r="CF354" s="39">
        <f t="shared" si="380"/>
        <v>73.521060413528545</v>
      </c>
      <c r="CG354" s="39">
        <f t="shared" si="381"/>
        <v>75.000000135011263</v>
      </c>
      <c r="CH354" s="39">
        <f t="shared" si="382"/>
        <v>75.000002462097171</v>
      </c>
      <c r="CI354" s="39">
        <f t="shared" si="383"/>
        <v>0</v>
      </c>
      <c r="CJ354" s="39">
        <f t="shared" si="384"/>
        <v>0</v>
      </c>
      <c r="CK354" s="39">
        <f t="shared" si="385"/>
        <v>0</v>
      </c>
      <c r="CL354" s="39">
        <f t="shared" si="386"/>
        <v>0</v>
      </c>
      <c r="CM354" s="39">
        <f t="shared" si="387"/>
        <v>0</v>
      </c>
      <c r="CN354" s="39">
        <f t="shared" si="388"/>
        <v>0</v>
      </c>
      <c r="CO354" s="39">
        <f t="shared" si="389"/>
        <v>0</v>
      </c>
      <c r="CP354" s="39">
        <f t="shared" si="390"/>
        <v>0</v>
      </c>
    </row>
    <row r="355" spans="12:94" ht="16" customHeight="1" x14ac:dyDescent="0.2">
      <c r="L355" s="63">
        <v>30667</v>
      </c>
      <c r="M355" s="38">
        <v>3</v>
      </c>
      <c r="N355" s="38">
        <v>6.2</v>
      </c>
      <c r="O355" s="39">
        <v>1.4006000000000001</v>
      </c>
      <c r="P355" s="39">
        <v>0.81442424199999996</v>
      </c>
      <c r="Q355" s="46">
        <f t="shared" si="321"/>
        <v>9.8959138195989185E-2</v>
      </c>
      <c r="R355" s="81">
        <f t="shared" si="322"/>
        <v>0</v>
      </c>
      <c r="S355" s="82">
        <f t="shared" si="323"/>
        <v>3</v>
      </c>
      <c r="T355" s="39">
        <f t="shared" si="324"/>
        <v>1.4772582943578527E-6</v>
      </c>
      <c r="U355" s="83">
        <f t="shared" si="325"/>
        <v>5.0494303004000001</v>
      </c>
      <c r="V355" s="84">
        <f t="shared" si="326"/>
        <v>0.92045575968000026</v>
      </c>
      <c r="W355" s="52">
        <f t="shared" si="327"/>
        <v>78.638637250609179</v>
      </c>
      <c r="X355" s="52">
        <f t="shared" si="328"/>
        <v>156.82148798378284</v>
      </c>
      <c r="Y355" s="52">
        <f t="shared" si="329"/>
        <v>235.46012523439202</v>
      </c>
      <c r="Z355" s="53">
        <f t="shared" si="330"/>
        <v>0.61436435352038421</v>
      </c>
      <c r="AA355" s="53">
        <f t="shared" si="331"/>
        <v>0.93346123799870739</v>
      </c>
      <c r="AB355" s="53">
        <f t="shared" si="332"/>
        <v>0.79547339606213519</v>
      </c>
      <c r="AC355" s="39" t="str">
        <f t="shared" si="333"/>
        <v>No</v>
      </c>
      <c r="AD355" s="85">
        <f t="shared" si="334"/>
        <v>3.1000000000000139E-2</v>
      </c>
      <c r="AE355" s="46">
        <f t="shared" si="335"/>
        <v>1</v>
      </c>
      <c r="AF355" s="46">
        <f t="shared" si="336"/>
        <v>1.4006000000000001</v>
      </c>
      <c r="AG355" s="39">
        <f t="shared" si="391"/>
        <v>55.180158489978666</v>
      </c>
      <c r="AH355" s="39">
        <f t="shared" si="392"/>
        <v>52.036034284752695</v>
      </c>
      <c r="AI355" s="39">
        <f t="shared" si="393"/>
        <v>50.454932212874937</v>
      </c>
      <c r="AJ355" s="39">
        <f t="shared" si="394"/>
        <v>69.967512263002888</v>
      </c>
      <c r="AK355" s="39">
        <f t="shared" si="395"/>
        <v>74.300424973145823</v>
      </c>
      <c r="AL355" s="39">
        <f t="shared" si="396"/>
        <v>73.521060413528545</v>
      </c>
      <c r="AM355" s="39">
        <f t="shared" si="397"/>
        <v>75.000000135011263</v>
      </c>
      <c r="AN355" s="39">
        <f t="shared" si="398"/>
        <v>75.000002462097171</v>
      </c>
      <c r="AO355" s="39">
        <f t="shared" si="337"/>
        <v>2.5180158489978668</v>
      </c>
      <c r="AP355" s="39">
        <f t="shared" si="338"/>
        <v>1.4036034284752696</v>
      </c>
      <c r="AQ355" s="39">
        <f t="shared" si="339"/>
        <v>1.4454932212874951</v>
      </c>
      <c r="AR355" s="39">
        <f t="shared" si="340"/>
        <v>2.4967512263002885</v>
      </c>
      <c r="AS355" s="39">
        <f t="shared" si="341"/>
        <v>3.2300424973145834</v>
      </c>
      <c r="AT355" s="39">
        <f t="shared" si="342"/>
        <v>2.7095082396512762</v>
      </c>
      <c r="AU355" s="39">
        <f t="shared" si="343"/>
        <v>0</v>
      </c>
      <c r="AV355" s="39">
        <f t="shared" si="344"/>
        <v>0</v>
      </c>
      <c r="AW355" s="39">
        <f t="shared" si="345"/>
        <v>13.80341446202678</v>
      </c>
      <c r="AX355" s="39">
        <f t="shared" si="346"/>
        <v>5.0494303004000001</v>
      </c>
      <c r="AY355" s="39">
        <f t="shared" si="347"/>
        <v>2.0494303004000001</v>
      </c>
      <c r="AZ355" s="39">
        <f t="shared" si="348"/>
        <v>0.37385662743230669</v>
      </c>
      <c r="BA355" s="39">
        <f t="shared" si="349"/>
        <v>0.20839679950030043</v>
      </c>
      <c r="BB355" s="39">
        <f t="shared" si="350"/>
        <v>0.21461629040257152</v>
      </c>
      <c r="BC355" s="39">
        <f t="shared" si="351"/>
        <v>0.3706994113534241</v>
      </c>
      <c r="BD355" s="39">
        <f t="shared" si="352"/>
        <v>0.47957315081620783</v>
      </c>
      <c r="BE355" s="39">
        <f t="shared" si="353"/>
        <v>0.40228802089518956</v>
      </c>
      <c r="BF355" s="39">
        <f t="shared" si="354"/>
        <v>0</v>
      </c>
      <c r="BG355" s="39">
        <f t="shared" si="355"/>
        <v>0</v>
      </c>
      <c r="BH355" s="84">
        <f t="shared" si="356"/>
        <v>0.92045575968000026</v>
      </c>
      <c r="BI355" s="84">
        <f t="shared" si="357"/>
        <v>0</v>
      </c>
      <c r="BJ355" s="84">
        <f t="shared" si="358"/>
        <v>0.92045575968000026</v>
      </c>
      <c r="BK355" s="39">
        <f t="shared" si="359"/>
        <v>53.88584610286636</v>
      </c>
      <c r="BL355" s="39">
        <f t="shared" si="360"/>
        <v>51.827637485252396</v>
      </c>
      <c r="BM355" s="39">
        <f t="shared" si="361"/>
        <v>50.240315922472362</v>
      </c>
      <c r="BN355" s="39">
        <f t="shared" si="362"/>
        <v>69.59681285164946</v>
      </c>
      <c r="BO355" s="39">
        <f t="shared" si="363"/>
        <v>73.820851822329615</v>
      </c>
      <c r="BP355" s="39">
        <f t="shared" si="364"/>
        <v>73.11877239263336</v>
      </c>
      <c r="BQ355" s="39">
        <f t="shared" si="365"/>
        <v>75.000000135011263</v>
      </c>
      <c r="BR355" s="39">
        <f t="shared" si="366"/>
        <v>75.000002462097171</v>
      </c>
      <c r="BS355" s="39">
        <f t="shared" si="367"/>
        <v>0</v>
      </c>
      <c r="BT355" s="39">
        <f t="shared" si="368"/>
        <v>0</v>
      </c>
      <c r="BU355" s="39">
        <f t="shared" si="369"/>
        <v>0</v>
      </c>
      <c r="BV355" s="39">
        <f t="shared" si="370"/>
        <v>0</v>
      </c>
      <c r="BW355" s="39">
        <f t="shared" si="371"/>
        <v>0</v>
      </c>
      <c r="BX355" s="39">
        <f t="shared" si="372"/>
        <v>0</v>
      </c>
      <c r="BY355" s="39">
        <f t="shared" si="373"/>
        <v>8.1006749041989681E-8</v>
      </c>
      <c r="BZ355" s="39">
        <f t="shared" si="374"/>
        <v>1.4772582943578527E-6</v>
      </c>
      <c r="CA355" s="39">
        <f t="shared" si="375"/>
        <v>53.915960042786359</v>
      </c>
      <c r="CB355" s="39">
        <f t="shared" si="376"/>
        <v>51.827637485252396</v>
      </c>
      <c r="CC355" s="39">
        <f t="shared" si="377"/>
        <v>50.240315922472362</v>
      </c>
      <c r="CD355" s="39">
        <f t="shared" si="378"/>
        <v>69.59681285164946</v>
      </c>
      <c r="CE355" s="39">
        <f t="shared" si="379"/>
        <v>73.820851822329615</v>
      </c>
      <c r="CF355" s="39">
        <f t="shared" si="380"/>
        <v>73.11877239263336</v>
      </c>
      <c r="CG355" s="39">
        <f t="shared" si="381"/>
        <v>75.000000054004516</v>
      </c>
      <c r="CH355" s="39">
        <f t="shared" si="382"/>
        <v>75.000001065845623</v>
      </c>
      <c r="CI355" s="39">
        <f t="shared" si="383"/>
        <v>0</v>
      </c>
      <c r="CJ355" s="39">
        <f t="shared" si="384"/>
        <v>0</v>
      </c>
      <c r="CK355" s="39">
        <f t="shared" si="385"/>
        <v>0</v>
      </c>
      <c r="CL355" s="39">
        <f t="shared" si="386"/>
        <v>0</v>
      </c>
      <c r="CM355" s="39">
        <f t="shared" si="387"/>
        <v>0</v>
      </c>
      <c r="CN355" s="39">
        <f t="shared" si="388"/>
        <v>0</v>
      </c>
      <c r="CO355" s="39">
        <f t="shared" si="389"/>
        <v>0</v>
      </c>
      <c r="CP355" s="39">
        <f t="shared" si="390"/>
        <v>0</v>
      </c>
    </row>
    <row r="356" spans="12:94" ht="16" customHeight="1" x14ac:dyDescent="0.2">
      <c r="L356" s="63">
        <v>30668</v>
      </c>
      <c r="M356" s="38">
        <v>0</v>
      </c>
      <c r="N356" s="38">
        <v>6.2</v>
      </c>
      <c r="O356" s="39">
        <v>1.4348000000000001</v>
      </c>
      <c r="P356" s="39">
        <v>0.84047727299999997</v>
      </c>
      <c r="Q356" s="46">
        <f t="shared" si="321"/>
        <v>0.1015217026159736</v>
      </c>
      <c r="R356" s="81">
        <f t="shared" si="322"/>
        <v>0</v>
      </c>
      <c r="S356" s="82">
        <f t="shared" si="323"/>
        <v>0</v>
      </c>
      <c r="T356" s="39">
        <f t="shared" si="324"/>
        <v>6.3950736546303227E-7</v>
      </c>
      <c r="U356" s="83">
        <f t="shared" si="325"/>
        <v>5.2109590925999996</v>
      </c>
      <c r="V356" s="84">
        <f t="shared" si="326"/>
        <v>0.79123272592000016</v>
      </c>
      <c r="W356" s="52">
        <f t="shared" si="327"/>
        <v>76.580726302160599</v>
      </c>
      <c r="X356" s="52">
        <f t="shared" si="328"/>
        <v>155.93962533481312</v>
      </c>
      <c r="Y356" s="52">
        <f t="shared" si="329"/>
        <v>232.52035163697371</v>
      </c>
      <c r="Z356" s="53">
        <f t="shared" si="330"/>
        <v>0.59828692423562968</v>
      </c>
      <c r="AA356" s="53">
        <f t="shared" si="331"/>
        <v>0.92821205556436381</v>
      </c>
      <c r="AB356" s="53">
        <f t="shared" si="332"/>
        <v>0.78554172850328963</v>
      </c>
      <c r="AC356" s="39" t="str">
        <f t="shared" si="333"/>
        <v>No</v>
      </c>
      <c r="AD356" s="85">
        <f t="shared" si="334"/>
        <v>3.4200000000000008E-2</v>
      </c>
      <c r="AE356" s="46">
        <f t="shared" si="335"/>
        <v>1</v>
      </c>
      <c r="AF356" s="46">
        <f t="shared" si="336"/>
        <v>1.4348000000000001</v>
      </c>
      <c r="AG356" s="39">
        <f t="shared" si="391"/>
        <v>53.915960042786359</v>
      </c>
      <c r="AH356" s="39">
        <f t="shared" si="392"/>
        <v>51.827637485252396</v>
      </c>
      <c r="AI356" s="39">
        <f t="shared" si="393"/>
        <v>50.240315922472362</v>
      </c>
      <c r="AJ356" s="39">
        <f t="shared" si="394"/>
        <v>69.59681285164946</v>
      </c>
      <c r="AK356" s="39">
        <f t="shared" si="395"/>
        <v>73.820851822329615</v>
      </c>
      <c r="AL356" s="39">
        <f t="shared" si="396"/>
        <v>73.11877239263336</v>
      </c>
      <c r="AM356" s="39">
        <f t="shared" si="397"/>
        <v>75.000000054004516</v>
      </c>
      <c r="AN356" s="39">
        <f t="shared" si="398"/>
        <v>75.000001065845623</v>
      </c>
      <c r="AO356" s="39">
        <f t="shared" si="337"/>
        <v>2.3915960042786359</v>
      </c>
      <c r="AP356" s="39">
        <f t="shared" si="338"/>
        <v>1.3657397030254088</v>
      </c>
      <c r="AQ356" s="39">
        <f t="shared" si="339"/>
        <v>1.4240315922472377</v>
      </c>
      <c r="AR356" s="39">
        <f t="shared" si="340"/>
        <v>2.4596812851649457</v>
      </c>
      <c r="AS356" s="39">
        <f t="shared" si="341"/>
        <v>3.1820851822329623</v>
      </c>
      <c r="AT356" s="39">
        <f t="shared" si="342"/>
        <v>3.139962585930105</v>
      </c>
      <c r="AU356" s="39">
        <f t="shared" si="343"/>
        <v>0</v>
      </c>
      <c r="AV356" s="39">
        <f t="shared" si="344"/>
        <v>0</v>
      </c>
      <c r="AW356" s="39">
        <f t="shared" si="345"/>
        <v>13.963096352879296</v>
      </c>
      <c r="AX356" s="39">
        <f t="shared" si="346"/>
        <v>5.2109590925999996</v>
      </c>
      <c r="AY356" s="39">
        <f t="shared" si="347"/>
        <v>5.2109590925999996</v>
      </c>
      <c r="AZ356" s="39">
        <f t="shared" si="348"/>
        <v>0.89253190190524767</v>
      </c>
      <c r="BA356" s="39">
        <f t="shared" si="349"/>
        <v>0.50968736043546214</v>
      </c>
      <c r="BB356" s="39">
        <f t="shared" si="350"/>
        <v>0.53144160766606907</v>
      </c>
      <c r="BC356" s="39">
        <f t="shared" si="351"/>
        <v>0.91794099488436909</v>
      </c>
      <c r="BD356" s="39">
        <f t="shared" si="352"/>
        <v>1.1875385870531006</v>
      </c>
      <c r="BE356" s="39">
        <f t="shared" si="353"/>
        <v>1.1718186406557509</v>
      </c>
      <c r="BF356" s="39">
        <f t="shared" si="354"/>
        <v>0</v>
      </c>
      <c r="BG356" s="39">
        <f t="shared" si="355"/>
        <v>0</v>
      </c>
      <c r="BH356" s="84">
        <f t="shared" si="356"/>
        <v>0.31596004278635803</v>
      </c>
      <c r="BI356" s="84">
        <f t="shared" si="357"/>
        <v>0.47527268313364213</v>
      </c>
      <c r="BJ356" s="84">
        <f t="shared" si="358"/>
        <v>0.74877586025110654</v>
      </c>
      <c r="BK356" s="39">
        <f t="shared" si="359"/>
        <v>52.274652280630001</v>
      </c>
      <c r="BL356" s="39">
        <f t="shared" si="360"/>
        <v>51.317950124816932</v>
      </c>
      <c r="BM356" s="39">
        <f t="shared" si="361"/>
        <v>49.708874314806295</v>
      </c>
      <c r="BN356" s="39">
        <f t="shared" si="362"/>
        <v>68.678871856765085</v>
      </c>
      <c r="BO356" s="39">
        <f t="shared" si="363"/>
        <v>72.633313235276518</v>
      </c>
      <c r="BP356" s="39">
        <f t="shared" si="364"/>
        <v>71.946953751977603</v>
      </c>
      <c r="BQ356" s="39">
        <f t="shared" si="365"/>
        <v>75.000000054004516</v>
      </c>
      <c r="BR356" s="39">
        <f t="shared" si="366"/>
        <v>75.000001065845623</v>
      </c>
      <c r="BS356" s="39">
        <f t="shared" si="367"/>
        <v>0</v>
      </c>
      <c r="BT356" s="39">
        <f t="shared" si="368"/>
        <v>0</v>
      </c>
      <c r="BU356" s="39">
        <f t="shared" si="369"/>
        <v>0</v>
      </c>
      <c r="BV356" s="39">
        <f t="shared" si="370"/>
        <v>0</v>
      </c>
      <c r="BW356" s="39">
        <f t="shared" si="371"/>
        <v>0</v>
      </c>
      <c r="BX356" s="39">
        <f t="shared" si="372"/>
        <v>0</v>
      </c>
      <c r="BY356" s="39">
        <f t="shared" si="373"/>
        <v>3.2402701322098436E-8</v>
      </c>
      <c r="BZ356" s="39">
        <f t="shared" si="374"/>
        <v>6.3950736546303227E-7</v>
      </c>
      <c r="CA356" s="39">
        <f t="shared" si="375"/>
        <v>52.274652280630001</v>
      </c>
      <c r="CB356" s="39">
        <f t="shared" si="376"/>
        <v>51.317950124816932</v>
      </c>
      <c r="CC356" s="39">
        <f t="shared" si="377"/>
        <v>49.708874314806295</v>
      </c>
      <c r="CD356" s="39">
        <f t="shared" si="378"/>
        <v>68.678871856765085</v>
      </c>
      <c r="CE356" s="39">
        <f t="shared" si="379"/>
        <v>72.633313235276518</v>
      </c>
      <c r="CF356" s="39">
        <f t="shared" si="380"/>
        <v>71.946953751977603</v>
      </c>
      <c r="CG356" s="39">
        <f t="shared" si="381"/>
        <v>75.000000021601821</v>
      </c>
      <c r="CH356" s="39">
        <f t="shared" si="382"/>
        <v>75.000000458740956</v>
      </c>
      <c r="CI356" s="39">
        <f t="shared" si="383"/>
        <v>0</v>
      </c>
      <c r="CJ356" s="39">
        <f t="shared" si="384"/>
        <v>0</v>
      </c>
      <c r="CK356" s="39">
        <f t="shared" si="385"/>
        <v>0</v>
      </c>
      <c r="CL356" s="39">
        <f t="shared" si="386"/>
        <v>0</v>
      </c>
      <c r="CM356" s="39">
        <f t="shared" si="387"/>
        <v>0</v>
      </c>
      <c r="CN356" s="39">
        <f t="shared" si="388"/>
        <v>0</v>
      </c>
      <c r="CO356" s="39">
        <f t="shared" si="389"/>
        <v>0</v>
      </c>
      <c r="CP356" s="39">
        <f t="shared" si="390"/>
        <v>0</v>
      </c>
    </row>
    <row r="357" spans="12:94" ht="16" customHeight="1" x14ac:dyDescent="0.2">
      <c r="L357" s="63">
        <v>30669</v>
      </c>
      <c r="M357" s="38">
        <v>5.6</v>
      </c>
      <c r="N357" s="38">
        <v>6.7</v>
      </c>
      <c r="O357" s="39">
        <v>1.4661999999999999</v>
      </c>
      <c r="P357" s="39">
        <v>0.86451515199999995</v>
      </c>
      <c r="Q357" s="46">
        <f t="shared" si="321"/>
        <v>0.10484867780953377</v>
      </c>
      <c r="R357" s="81">
        <f t="shared" si="322"/>
        <v>0</v>
      </c>
      <c r="S357" s="82">
        <f t="shared" si="323"/>
        <v>5.6</v>
      </c>
      <c r="T357" s="39">
        <f t="shared" si="324"/>
        <v>2.7524456527316941E-7</v>
      </c>
      <c r="U357" s="83">
        <f t="shared" si="325"/>
        <v>5.7922515183999996</v>
      </c>
      <c r="V357" s="84">
        <f t="shared" si="326"/>
        <v>0.72619878528000026</v>
      </c>
      <c r="W357" s="52">
        <f t="shared" si="327"/>
        <v>72.980348577018304</v>
      </c>
      <c r="X357" s="52">
        <f t="shared" si="328"/>
        <v>153.58026746759685</v>
      </c>
      <c r="Y357" s="52">
        <f t="shared" si="329"/>
        <v>226.56061604461516</v>
      </c>
      <c r="Z357" s="53">
        <f t="shared" si="330"/>
        <v>0.5701589732579555</v>
      </c>
      <c r="AA357" s="53">
        <f t="shared" si="331"/>
        <v>0.91416825873569552</v>
      </c>
      <c r="AB357" s="53">
        <f t="shared" si="332"/>
        <v>0.76540748663721336</v>
      </c>
      <c r="AC357" s="39" t="str">
        <f t="shared" si="333"/>
        <v>No</v>
      </c>
      <c r="AD357" s="85">
        <f t="shared" si="334"/>
        <v>3.1399999999999872E-2</v>
      </c>
      <c r="AE357" s="46">
        <f t="shared" si="335"/>
        <v>1</v>
      </c>
      <c r="AF357" s="46">
        <f t="shared" si="336"/>
        <v>1.4661999999999999</v>
      </c>
      <c r="AG357" s="39">
        <f t="shared" si="391"/>
        <v>52.274652280630001</v>
      </c>
      <c r="AH357" s="39">
        <f t="shared" si="392"/>
        <v>51.317950124816932</v>
      </c>
      <c r="AI357" s="39">
        <f t="shared" si="393"/>
        <v>49.708874314806295</v>
      </c>
      <c r="AJ357" s="39">
        <f t="shared" si="394"/>
        <v>68.678871856765085</v>
      </c>
      <c r="AK357" s="39">
        <f t="shared" si="395"/>
        <v>72.633313235276518</v>
      </c>
      <c r="AL357" s="39">
        <f t="shared" si="396"/>
        <v>71.946953751977603</v>
      </c>
      <c r="AM357" s="39">
        <f t="shared" si="397"/>
        <v>75.000000021601821</v>
      </c>
      <c r="AN357" s="39">
        <f t="shared" si="398"/>
        <v>75.000000458740956</v>
      </c>
      <c r="AO357" s="39">
        <f t="shared" si="337"/>
        <v>2.2274652280630001</v>
      </c>
      <c r="AP357" s="39">
        <f t="shared" si="338"/>
        <v>1.2669128251936523</v>
      </c>
      <c r="AQ357" s="39">
        <f t="shared" si="339"/>
        <v>1.3423802498511153</v>
      </c>
      <c r="AR357" s="39">
        <f t="shared" si="340"/>
        <v>2.367887185676508</v>
      </c>
      <c r="AS357" s="39">
        <f t="shared" si="341"/>
        <v>3.0633313235276525</v>
      </c>
      <c r="AT357" s="39">
        <f t="shared" si="342"/>
        <v>3.4558930295921448</v>
      </c>
      <c r="AU357" s="39">
        <f t="shared" si="343"/>
        <v>0</v>
      </c>
      <c r="AV357" s="39">
        <f t="shared" si="344"/>
        <v>0</v>
      </c>
      <c r="AW357" s="39">
        <f t="shared" si="345"/>
        <v>13.723869841904074</v>
      </c>
      <c r="AX357" s="39">
        <f t="shared" si="346"/>
        <v>5.7922515183999996</v>
      </c>
      <c r="AY357" s="39">
        <f t="shared" si="347"/>
        <v>0.19225151839999999</v>
      </c>
      <c r="AZ357" s="39">
        <f t="shared" si="348"/>
        <v>3.120355826829236E-2</v>
      </c>
      <c r="BA357" s="39">
        <f t="shared" si="349"/>
        <v>1.7747611798256506E-2</v>
      </c>
      <c r="BB357" s="39">
        <f t="shared" si="350"/>
        <v>1.8804800998334339E-2</v>
      </c>
      <c r="BC357" s="39">
        <f t="shared" si="351"/>
        <v>3.3170666298235015E-2</v>
      </c>
      <c r="BD357" s="39">
        <f t="shared" si="352"/>
        <v>4.2912830352868137E-2</v>
      </c>
      <c r="BE357" s="39">
        <f t="shared" si="353"/>
        <v>4.8412050684013615E-2</v>
      </c>
      <c r="BF357" s="39">
        <f t="shared" si="354"/>
        <v>0</v>
      </c>
      <c r="BG357" s="39">
        <f t="shared" si="355"/>
        <v>0</v>
      </c>
      <c r="BH357" s="84">
        <f t="shared" si="356"/>
        <v>0</v>
      </c>
      <c r="BI357" s="84">
        <f t="shared" si="357"/>
        <v>0.72619878528000026</v>
      </c>
      <c r="BJ357" s="84">
        <f t="shared" si="358"/>
        <v>0.72619878528000026</v>
      </c>
      <c r="BK357" s="39">
        <f t="shared" si="359"/>
        <v>51.517249937081708</v>
      </c>
      <c r="BL357" s="39">
        <f t="shared" si="360"/>
        <v>51.300202513018675</v>
      </c>
      <c r="BM357" s="39">
        <f t="shared" si="361"/>
        <v>49.690069513807963</v>
      </c>
      <c r="BN357" s="39">
        <f t="shared" si="362"/>
        <v>68.645701190466852</v>
      </c>
      <c r="BO357" s="39">
        <f t="shared" si="363"/>
        <v>72.590400404923656</v>
      </c>
      <c r="BP357" s="39">
        <f t="shared" si="364"/>
        <v>71.898541701293595</v>
      </c>
      <c r="BQ357" s="39">
        <f t="shared" si="365"/>
        <v>75.000000021601821</v>
      </c>
      <c r="BR357" s="39">
        <f t="shared" si="366"/>
        <v>75.000000458740956</v>
      </c>
      <c r="BS357" s="39">
        <f t="shared" si="367"/>
        <v>0</v>
      </c>
      <c r="BT357" s="39">
        <f t="shared" si="368"/>
        <v>0</v>
      </c>
      <c r="BU357" s="39">
        <f t="shared" si="369"/>
        <v>0</v>
      </c>
      <c r="BV357" s="39">
        <f t="shared" si="370"/>
        <v>0</v>
      </c>
      <c r="BW357" s="39">
        <f t="shared" si="371"/>
        <v>0</v>
      </c>
      <c r="BX357" s="39">
        <f t="shared" si="372"/>
        <v>0</v>
      </c>
      <c r="BY357" s="39">
        <f t="shared" si="373"/>
        <v>1.2961083939444506E-8</v>
      </c>
      <c r="BZ357" s="39">
        <f t="shared" si="374"/>
        <v>2.7524456527316941E-7</v>
      </c>
      <c r="CA357" s="39">
        <f t="shared" si="375"/>
        <v>56.198799633401705</v>
      </c>
      <c r="CB357" s="39">
        <f t="shared" si="376"/>
        <v>51.300202513018675</v>
      </c>
      <c r="CC357" s="39">
        <f t="shared" si="377"/>
        <v>49.690069513807963</v>
      </c>
      <c r="CD357" s="39">
        <f t="shared" si="378"/>
        <v>68.645701190466852</v>
      </c>
      <c r="CE357" s="39">
        <f t="shared" si="379"/>
        <v>72.590400404923656</v>
      </c>
      <c r="CF357" s="39">
        <f t="shared" si="380"/>
        <v>71.898541701293595</v>
      </c>
      <c r="CG357" s="39">
        <f t="shared" si="381"/>
        <v>75.00000000864074</v>
      </c>
      <c r="CH357" s="39">
        <f t="shared" si="382"/>
        <v>75.000000196457478</v>
      </c>
      <c r="CI357" s="39">
        <f t="shared" si="383"/>
        <v>0</v>
      </c>
      <c r="CJ357" s="39">
        <f t="shared" si="384"/>
        <v>0</v>
      </c>
      <c r="CK357" s="39">
        <f t="shared" si="385"/>
        <v>0</v>
      </c>
      <c r="CL357" s="39">
        <f t="shared" si="386"/>
        <v>0</v>
      </c>
      <c r="CM357" s="39">
        <f t="shared" si="387"/>
        <v>0</v>
      </c>
      <c r="CN357" s="39">
        <f t="shared" si="388"/>
        <v>0</v>
      </c>
      <c r="CO357" s="39">
        <f t="shared" si="389"/>
        <v>0</v>
      </c>
      <c r="CP357" s="39">
        <f t="shared" si="390"/>
        <v>0</v>
      </c>
    </row>
    <row r="358" spans="12:94" ht="16" customHeight="1" x14ac:dyDescent="0.2">
      <c r="L358" s="63">
        <v>30670</v>
      </c>
      <c r="M358" s="38">
        <v>0</v>
      </c>
      <c r="N358" s="38">
        <v>7.5</v>
      </c>
      <c r="O358" s="39">
        <v>1.4992000000000001</v>
      </c>
      <c r="P358" s="39">
        <v>0.88970454499999996</v>
      </c>
      <c r="Q358" s="46">
        <f t="shared" si="321"/>
        <v>9.6894325067428969E-2</v>
      </c>
      <c r="R358" s="81">
        <f t="shared" si="322"/>
        <v>0</v>
      </c>
      <c r="S358" s="82">
        <f t="shared" si="323"/>
        <v>0</v>
      </c>
      <c r="T358" s="39">
        <f t="shared" si="324"/>
        <v>1.1787447817823704E-7</v>
      </c>
      <c r="U358" s="83">
        <f t="shared" si="325"/>
        <v>6.6727840874999993</v>
      </c>
      <c r="V358" s="84">
        <f t="shared" si="326"/>
        <v>0.66177273000000025</v>
      </c>
      <c r="W358" s="52">
        <f t="shared" si="327"/>
        <v>76.834772850695174</v>
      </c>
      <c r="X358" s="52">
        <f t="shared" si="328"/>
        <v>153.48894231131544</v>
      </c>
      <c r="Y358" s="52">
        <f t="shared" si="329"/>
        <v>230.32371516201061</v>
      </c>
      <c r="Z358" s="53">
        <f t="shared" si="330"/>
        <v>0.60027166289605605</v>
      </c>
      <c r="AA358" s="53">
        <f t="shared" si="331"/>
        <v>0.91362465661497283</v>
      </c>
      <c r="AB358" s="53">
        <f t="shared" si="332"/>
        <v>0.77812065933111696</v>
      </c>
      <c r="AC358" s="39" t="str">
        <f t="shared" si="333"/>
        <v>No</v>
      </c>
      <c r="AD358" s="85">
        <f t="shared" si="334"/>
        <v>3.300000000000014E-2</v>
      </c>
      <c r="AE358" s="46">
        <f t="shared" si="335"/>
        <v>1</v>
      </c>
      <c r="AF358" s="46">
        <f t="shared" si="336"/>
        <v>1.4992000000000001</v>
      </c>
      <c r="AG358" s="39">
        <f t="shared" si="391"/>
        <v>56.198799633401705</v>
      </c>
      <c r="AH358" s="39">
        <f t="shared" si="392"/>
        <v>51.300202513018675</v>
      </c>
      <c r="AI358" s="39">
        <f t="shared" si="393"/>
        <v>49.690069513807963</v>
      </c>
      <c r="AJ358" s="39">
        <f t="shared" si="394"/>
        <v>68.645701190466852</v>
      </c>
      <c r="AK358" s="39">
        <f t="shared" si="395"/>
        <v>72.590400404923656</v>
      </c>
      <c r="AL358" s="39">
        <f t="shared" si="396"/>
        <v>71.898541701293595</v>
      </c>
      <c r="AM358" s="39">
        <f t="shared" si="397"/>
        <v>75.00000000864074</v>
      </c>
      <c r="AN358" s="39">
        <f t="shared" si="398"/>
        <v>75.000000196457478</v>
      </c>
      <c r="AO358" s="39">
        <f t="shared" si="337"/>
        <v>2.6198799633401708</v>
      </c>
      <c r="AP358" s="39">
        <f t="shared" si="338"/>
        <v>1.2635384777664878</v>
      </c>
      <c r="AQ358" s="39">
        <f t="shared" si="339"/>
        <v>1.3387000235206756</v>
      </c>
      <c r="AR358" s="39">
        <f t="shared" si="340"/>
        <v>2.3645701190466846</v>
      </c>
      <c r="AS358" s="39">
        <f t="shared" si="341"/>
        <v>3.0590400404923663</v>
      </c>
      <c r="AT358" s="39">
        <f t="shared" si="342"/>
        <v>3.8794812256756819</v>
      </c>
      <c r="AU358" s="39">
        <f t="shared" si="343"/>
        <v>0</v>
      </c>
      <c r="AV358" s="39">
        <f t="shared" si="344"/>
        <v>0</v>
      </c>
      <c r="AW358" s="39">
        <f t="shared" si="345"/>
        <v>14.525209849842067</v>
      </c>
      <c r="AX358" s="39">
        <f t="shared" si="346"/>
        <v>6.6727840874999993</v>
      </c>
      <c r="AY358" s="39">
        <f t="shared" si="347"/>
        <v>6.6727840874999993</v>
      </c>
      <c r="AZ358" s="39">
        <f t="shared" si="348"/>
        <v>1.2035553022131693</v>
      </c>
      <c r="BA358" s="39">
        <f t="shared" si="349"/>
        <v>0.5804611110989123</v>
      </c>
      <c r="BB358" s="39">
        <f t="shared" si="350"/>
        <v>0.61498982164321481</v>
      </c>
      <c r="BC358" s="39">
        <f t="shared" si="351"/>
        <v>1.0862676702962919</v>
      </c>
      <c r="BD358" s="39">
        <f t="shared" si="352"/>
        <v>1.4053024993263528</v>
      </c>
      <c r="BE358" s="39">
        <f t="shared" si="353"/>
        <v>1.7822076829220581</v>
      </c>
      <c r="BF358" s="39">
        <f t="shared" si="354"/>
        <v>0</v>
      </c>
      <c r="BG358" s="39">
        <f t="shared" si="355"/>
        <v>0</v>
      </c>
      <c r="BH358" s="84">
        <f t="shared" si="356"/>
        <v>0.66177273000000025</v>
      </c>
      <c r="BI358" s="84">
        <f t="shared" si="357"/>
        <v>0</v>
      </c>
      <c r="BJ358" s="84">
        <f t="shared" si="358"/>
        <v>0.66177273000000025</v>
      </c>
      <c r="BK358" s="39">
        <f t="shared" si="359"/>
        <v>54.333471601188535</v>
      </c>
      <c r="BL358" s="39">
        <f t="shared" si="360"/>
        <v>50.719741401919762</v>
      </c>
      <c r="BM358" s="39">
        <f t="shared" si="361"/>
        <v>49.075079692164749</v>
      </c>
      <c r="BN358" s="39">
        <f t="shared" si="362"/>
        <v>67.559433520170558</v>
      </c>
      <c r="BO358" s="39">
        <f t="shared" si="363"/>
        <v>71.185097905597303</v>
      </c>
      <c r="BP358" s="39">
        <f t="shared" si="364"/>
        <v>70.116334018371532</v>
      </c>
      <c r="BQ358" s="39">
        <f t="shared" si="365"/>
        <v>75.00000000864074</v>
      </c>
      <c r="BR358" s="39">
        <f t="shared" si="366"/>
        <v>75.000000196457478</v>
      </c>
      <c r="BS358" s="39">
        <f t="shared" si="367"/>
        <v>0</v>
      </c>
      <c r="BT358" s="39">
        <f t="shared" si="368"/>
        <v>0</v>
      </c>
      <c r="BU358" s="39">
        <f t="shared" si="369"/>
        <v>0</v>
      </c>
      <c r="BV358" s="39">
        <f t="shared" si="370"/>
        <v>0</v>
      </c>
      <c r="BW358" s="39">
        <f t="shared" si="371"/>
        <v>0</v>
      </c>
      <c r="BX358" s="39">
        <f t="shared" si="372"/>
        <v>0</v>
      </c>
      <c r="BY358" s="39">
        <f t="shared" si="373"/>
        <v>5.1844352810803686E-9</v>
      </c>
      <c r="BZ358" s="39">
        <f t="shared" si="374"/>
        <v>1.1787447817823704E-7</v>
      </c>
      <c r="CA358" s="39">
        <f t="shared" si="375"/>
        <v>54.333471601188535</v>
      </c>
      <c r="CB358" s="39">
        <f t="shared" si="376"/>
        <v>50.719741401919762</v>
      </c>
      <c r="CC358" s="39">
        <f t="shared" si="377"/>
        <v>49.075079692164749</v>
      </c>
      <c r="CD358" s="39">
        <f t="shared" si="378"/>
        <v>67.559433520170558</v>
      </c>
      <c r="CE358" s="39">
        <f t="shared" si="379"/>
        <v>71.185097905597303</v>
      </c>
      <c r="CF358" s="39">
        <f t="shared" si="380"/>
        <v>70.116334018371532</v>
      </c>
      <c r="CG358" s="39">
        <f t="shared" si="381"/>
        <v>75.000000003456307</v>
      </c>
      <c r="CH358" s="39">
        <f t="shared" si="382"/>
        <v>75.000000083767432</v>
      </c>
      <c r="CI358" s="39">
        <f t="shared" si="383"/>
        <v>0</v>
      </c>
      <c r="CJ358" s="39">
        <f t="shared" si="384"/>
        <v>0</v>
      </c>
      <c r="CK358" s="39">
        <f t="shared" si="385"/>
        <v>0</v>
      </c>
      <c r="CL358" s="39">
        <f t="shared" si="386"/>
        <v>0</v>
      </c>
      <c r="CM358" s="39">
        <f t="shared" si="387"/>
        <v>0</v>
      </c>
      <c r="CN358" s="39">
        <f t="shared" si="388"/>
        <v>0</v>
      </c>
      <c r="CO358" s="39">
        <f t="shared" si="389"/>
        <v>0</v>
      </c>
      <c r="CP358" s="39">
        <f t="shared" si="390"/>
        <v>0</v>
      </c>
    </row>
    <row r="359" spans="12:94" ht="16" customHeight="1" x14ac:dyDescent="0.2">
      <c r="L359" s="63">
        <v>30671</v>
      </c>
      <c r="M359" s="38">
        <v>0</v>
      </c>
      <c r="N359" s="38">
        <v>6.7</v>
      </c>
      <c r="O359" s="39">
        <v>1.5256000000000001</v>
      </c>
      <c r="P359" s="39">
        <v>0.91014393900000001</v>
      </c>
      <c r="Q359" s="46">
        <f t="shared" si="321"/>
        <v>0.10067539540299621</v>
      </c>
      <c r="R359" s="81">
        <f t="shared" si="322"/>
        <v>0</v>
      </c>
      <c r="S359" s="82">
        <f t="shared" si="323"/>
        <v>0</v>
      </c>
      <c r="T359" s="39">
        <f t="shared" si="324"/>
        <v>5.0260450734640469E-8</v>
      </c>
      <c r="U359" s="83">
        <f t="shared" si="325"/>
        <v>6.0979643913000006</v>
      </c>
      <c r="V359" s="84">
        <f t="shared" si="326"/>
        <v>0.48162848695999999</v>
      </c>
      <c r="W359" s="52">
        <f t="shared" si="327"/>
        <v>72.687726215443604</v>
      </c>
      <c r="X359" s="52">
        <f t="shared" si="328"/>
        <v>150.30143201119256</v>
      </c>
      <c r="Y359" s="52">
        <f t="shared" si="329"/>
        <v>222.98915822663616</v>
      </c>
      <c r="Z359" s="53">
        <f t="shared" si="330"/>
        <v>0.56787286105815316</v>
      </c>
      <c r="AA359" s="53">
        <f t="shared" si="331"/>
        <v>0.89465138101900332</v>
      </c>
      <c r="AB359" s="53">
        <f t="shared" si="332"/>
        <v>0.75334175076566268</v>
      </c>
      <c r="AC359" s="39" t="str">
        <f t="shared" si="333"/>
        <v>No</v>
      </c>
      <c r="AD359" s="85">
        <f t="shared" si="334"/>
        <v>2.6399999999999979E-2</v>
      </c>
      <c r="AE359" s="46">
        <f t="shared" si="335"/>
        <v>1</v>
      </c>
      <c r="AF359" s="46">
        <f t="shared" si="336"/>
        <v>1.5256000000000001</v>
      </c>
      <c r="AG359" s="39">
        <f t="shared" si="391"/>
        <v>54.333471601188535</v>
      </c>
      <c r="AH359" s="39">
        <f t="shared" si="392"/>
        <v>50.719741401919762</v>
      </c>
      <c r="AI359" s="39">
        <f t="shared" si="393"/>
        <v>49.075079692164749</v>
      </c>
      <c r="AJ359" s="39">
        <f t="shared" si="394"/>
        <v>67.559433520170558</v>
      </c>
      <c r="AK359" s="39">
        <f t="shared" si="395"/>
        <v>71.185097905597303</v>
      </c>
      <c r="AL359" s="39">
        <f t="shared" si="396"/>
        <v>70.116334018371532</v>
      </c>
      <c r="AM359" s="39">
        <f t="shared" si="397"/>
        <v>75.000000003456307</v>
      </c>
      <c r="AN359" s="39">
        <f t="shared" si="398"/>
        <v>75.000000083767432</v>
      </c>
      <c r="AO359" s="39">
        <f t="shared" si="337"/>
        <v>2.4333471601188537</v>
      </c>
      <c r="AP359" s="39">
        <f t="shared" si="338"/>
        <v>1.1556558666550838</v>
      </c>
      <c r="AQ359" s="39">
        <f t="shared" si="339"/>
        <v>1.2211264925461385</v>
      </c>
      <c r="AR359" s="39">
        <f t="shared" si="340"/>
        <v>2.2559433520170553</v>
      </c>
      <c r="AS359" s="39">
        <f t="shared" si="341"/>
        <v>2.9185097905597313</v>
      </c>
      <c r="AT359" s="39">
        <f t="shared" si="342"/>
        <v>3.7116334018371528</v>
      </c>
      <c r="AU359" s="39">
        <f t="shared" si="343"/>
        <v>0.35840000002949468</v>
      </c>
      <c r="AV359" s="39">
        <f t="shared" si="344"/>
        <v>0</v>
      </c>
      <c r="AW359" s="39">
        <f t="shared" si="345"/>
        <v>14.054616063763511</v>
      </c>
      <c r="AX359" s="39">
        <f t="shared" si="346"/>
        <v>6.0979643913000006</v>
      </c>
      <c r="AY359" s="39">
        <f t="shared" si="347"/>
        <v>6.0979643913000006</v>
      </c>
      <c r="AZ359" s="39">
        <f t="shared" si="348"/>
        <v>1.0557715889751842</v>
      </c>
      <c r="BA359" s="39">
        <f t="shared" si="349"/>
        <v>0.5014116566036293</v>
      </c>
      <c r="BB359" s="39">
        <f t="shared" si="350"/>
        <v>0.52981780754709873</v>
      </c>
      <c r="BC359" s="39">
        <f t="shared" si="351"/>
        <v>0.97880028646661155</v>
      </c>
      <c r="BD359" s="39">
        <f t="shared" si="352"/>
        <v>1.2662721413200977</v>
      </c>
      <c r="BE359" s="39">
        <f t="shared" si="353"/>
        <v>1.6103896552761416</v>
      </c>
      <c r="BF359" s="39">
        <f t="shared" si="354"/>
        <v>0.15550125511123689</v>
      </c>
      <c r="BG359" s="39">
        <f t="shared" si="355"/>
        <v>0</v>
      </c>
      <c r="BH359" s="84">
        <f t="shared" si="356"/>
        <v>0.48162848695999999</v>
      </c>
      <c r="BI359" s="84">
        <f t="shared" si="357"/>
        <v>0</v>
      </c>
      <c r="BJ359" s="84">
        <f t="shared" si="358"/>
        <v>0.48162848695999999</v>
      </c>
      <c r="BK359" s="39">
        <f t="shared" si="359"/>
        <v>52.796071525253353</v>
      </c>
      <c r="BL359" s="39">
        <f t="shared" si="360"/>
        <v>50.218329745316133</v>
      </c>
      <c r="BM359" s="39">
        <f t="shared" si="361"/>
        <v>48.545261884617652</v>
      </c>
      <c r="BN359" s="39">
        <f t="shared" si="362"/>
        <v>66.580633233703949</v>
      </c>
      <c r="BO359" s="39">
        <f t="shared" si="363"/>
        <v>69.918825764277202</v>
      </c>
      <c r="BP359" s="39">
        <f t="shared" si="364"/>
        <v>68.505944363095395</v>
      </c>
      <c r="BQ359" s="39">
        <f t="shared" si="365"/>
        <v>74.844498748345075</v>
      </c>
      <c r="BR359" s="39">
        <f t="shared" si="366"/>
        <v>75.000000083767432</v>
      </c>
      <c r="BS359" s="39">
        <f t="shared" si="367"/>
        <v>0</v>
      </c>
      <c r="BT359" s="39">
        <f t="shared" si="368"/>
        <v>0</v>
      </c>
      <c r="BU359" s="39">
        <f t="shared" si="369"/>
        <v>0</v>
      </c>
      <c r="BV359" s="39">
        <f t="shared" si="370"/>
        <v>0</v>
      </c>
      <c r="BW359" s="39">
        <f t="shared" si="371"/>
        <v>0</v>
      </c>
      <c r="BX359" s="39">
        <f t="shared" si="372"/>
        <v>0</v>
      </c>
      <c r="BY359" s="39">
        <f t="shared" si="373"/>
        <v>0</v>
      </c>
      <c r="BZ359" s="39">
        <f t="shared" si="374"/>
        <v>5.0260450734640469E-8</v>
      </c>
      <c r="CA359" s="39">
        <f t="shared" si="375"/>
        <v>52.796071525253353</v>
      </c>
      <c r="CB359" s="39">
        <f t="shared" si="376"/>
        <v>50.218329745316133</v>
      </c>
      <c r="CC359" s="39">
        <f t="shared" si="377"/>
        <v>48.545261884617652</v>
      </c>
      <c r="CD359" s="39">
        <f t="shared" si="378"/>
        <v>66.580633233703949</v>
      </c>
      <c r="CE359" s="39">
        <f t="shared" si="379"/>
        <v>69.918825764277202</v>
      </c>
      <c r="CF359" s="39">
        <f t="shared" si="380"/>
        <v>68.505944363095395</v>
      </c>
      <c r="CG359" s="39">
        <f t="shared" si="381"/>
        <v>74.844498748345075</v>
      </c>
      <c r="CH359" s="39">
        <f t="shared" si="382"/>
        <v>75.000000033506979</v>
      </c>
      <c r="CI359" s="39">
        <f t="shared" si="383"/>
        <v>0</v>
      </c>
      <c r="CJ359" s="39">
        <f t="shared" si="384"/>
        <v>0</v>
      </c>
      <c r="CK359" s="39">
        <f t="shared" si="385"/>
        <v>0</v>
      </c>
      <c r="CL359" s="39">
        <f t="shared" si="386"/>
        <v>0</v>
      </c>
      <c r="CM359" s="39">
        <f t="shared" si="387"/>
        <v>0</v>
      </c>
      <c r="CN359" s="39">
        <f t="shared" si="388"/>
        <v>0</v>
      </c>
      <c r="CO359" s="39">
        <f t="shared" si="389"/>
        <v>0</v>
      </c>
      <c r="CP359" s="39">
        <f t="shared" si="390"/>
        <v>0</v>
      </c>
    </row>
    <row r="360" spans="12:94" ht="16" customHeight="1" x14ac:dyDescent="0.2">
      <c r="L360" s="63">
        <v>30672</v>
      </c>
      <c r="M360" s="38">
        <v>0</v>
      </c>
      <c r="N360" s="38">
        <v>6.3</v>
      </c>
      <c r="O360" s="39">
        <v>1.5549999999999999</v>
      </c>
      <c r="P360" s="39">
        <v>0.93274242399999996</v>
      </c>
      <c r="Q360" s="46">
        <f t="shared" si="321"/>
        <v>0.10379174690827023</v>
      </c>
      <c r="R360" s="81">
        <f t="shared" si="322"/>
        <v>0</v>
      </c>
      <c r="S360" s="82">
        <f t="shared" si="323"/>
        <v>0</v>
      </c>
      <c r="T360" s="39">
        <f t="shared" si="324"/>
        <v>2.0104178588553623E-8</v>
      </c>
      <c r="U360" s="83">
        <f t="shared" si="325"/>
        <v>5.8762772711999993</v>
      </c>
      <c r="V360" s="84">
        <f t="shared" si="326"/>
        <v>0.33897818304000021</v>
      </c>
      <c r="W360" s="52">
        <f t="shared" si="327"/>
        <v>69.140296388891102</v>
      </c>
      <c r="X360" s="52">
        <f t="shared" si="328"/>
        <v>147.26926890922465</v>
      </c>
      <c r="Y360" s="52">
        <f t="shared" si="329"/>
        <v>216.40956529811575</v>
      </c>
      <c r="Z360" s="53">
        <f t="shared" si="330"/>
        <v>0.54015856553821173</v>
      </c>
      <c r="AA360" s="53">
        <f t="shared" si="331"/>
        <v>0.87660279112633721</v>
      </c>
      <c r="AB360" s="53">
        <f t="shared" si="332"/>
        <v>0.73111339627741811</v>
      </c>
      <c r="AC360" s="39" t="str">
        <f t="shared" si="333"/>
        <v>No</v>
      </c>
      <c r="AD360" s="85">
        <f t="shared" si="334"/>
        <v>2.9399999999999871E-2</v>
      </c>
      <c r="AE360" s="46">
        <f t="shared" si="335"/>
        <v>1</v>
      </c>
      <c r="AF360" s="46">
        <f t="shared" si="336"/>
        <v>1.5549999999999999</v>
      </c>
      <c r="AG360" s="39">
        <f t="shared" si="391"/>
        <v>52.796071525253353</v>
      </c>
      <c r="AH360" s="39">
        <f t="shared" si="392"/>
        <v>50.218329745316133</v>
      </c>
      <c r="AI360" s="39">
        <f t="shared" si="393"/>
        <v>48.545261884617652</v>
      </c>
      <c r="AJ360" s="39">
        <f t="shared" si="394"/>
        <v>66.580633233703949</v>
      </c>
      <c r="AK360" s="39">
        <f t="shared" si="395"/>
        <v>69.918825764277202</v>
      </c>
      <c r="AL360" s="39">
        <f t="shared" si="396"/>
        <v>68.505944363095395</v>
      </c>
      <c r="AM360" s="39">
        <f t="shared" si="397"/>
        <v>74.844498748345075</v>
      </c>
      <c r="AN360" s="39">
        <f t="shared" si="398"/>
        <v>75.000000033506979</v>
      </c>
      <c r="AO360" s="39">
        <f t="shared" si="337"/>
        <v>2.2796071525253354</v>
      </c>
      <c r="AP360" s="39">
        <f t="shared" si="338"/>
        <v>1.0663398697519786</v>
      </c>
      <c r="AQ360" s="39">
        <f t="shared" si="339"/>
        <v>1.1241685410974342</v>
      </c>
      <c r="AR360" s="39">
        <f t="shared" si="340"/>
        <v>2.1580633233703943</v>
      </c>
      <c r="AS360" s="39">
        <f t="shared" si="341"/>
        <v>2.7918825764277209</v>
      </c>
      <c r="AT360" s="39">
        <f t="shared" si="342"/>
        <v>3.550594436309539</v>
      </c>
      <c r="AU360" s="39">
        <f t="shared" si="343"/>
        <v>0.76714914371965859</v>
      </c>
      <c r="AV360" s="39">
        <f t="shared" si="344"/>
        <v>0</v>
      </c>
      <c r="AW360" s="39">
        <f t="shared" si="345"/>
        <v>13.73780504320206</v>
      </c>
      <c r="AX360" s="39">
        <f t="shared" si="346"/>
        <v>5.8762772711999993</v>
      </c>
      <c r="AY360" s="39">
        <f t="shared" si="347"/>
        <v>5.8762772711999993</v>
      </c>
      <c r="AZ360" s="39">
        <f t="shared" si="348"/>
        <v>0.97509053706350157</v>
      </c>
      <c r="BA360" s="39">
        <f t="shared" si="349"/>
        <v>0.45612153617645096</v>
      </c>
      <c r="BB360" s="39">
        <f t="shared" si="350"/>
        <v>0.48085746058230422</v>
      </c>
      <c r="BC360" s="39">
        <f t="shared" si="351"/>
        <v>0.92310077316222838</v>
      </c>
      <c r="BD360" s="39">
        <f t="shared" si="352"/>
        <v>1.1942137827789094</v>
      </c>
      <c r="BE360" s="39">
        <f t="shared" si="353"/>
        <v>1.5187489791652913</v>
      </c>
      <c r="BF360" s="39">
        <f t="shared" si="354"/>
        <v>0.32814420227131375</v>
      </c>
      <c r="BG360" s="39">
        <f t="shared" si="355"/>
        <v>0</v>
      </c>
      <c r="BH360" s="84">
        <f t="shared" si="356"/>
        <v>0</v>
      </c>
      <c r="BI360" s="84">
        <f t="shared" si="357"/>
        <v>0.33897818304000021</v>
      </c>
      <c r="BJ360" s="84">
        <f t="shared" si="358"/>
        <v>0.28067514014087058</v>
      </c>
      <c r="BK360" s="39">
        <f t="shared" si="359"/>
        <v>51.54030584804898</v>
      </c>
      <c r="BL360" s="39">
        <f t="shared" si="360"/>
        <v>49.762208209139679</v>
      </c>
      <c r="BM360" s="39">
        <f t="shared" si="361"/>
        <v>48.064404424035345</v>
      </c>
      <c r="BN360" s="39">
        <f t="shared" si="362"/>
        <v>65.657532460541717</v>
      </c>
      <c r="BO360" s="39">
        <f t="shared" si="363"/>
        <v>68.724611981498299</v>
      </c>
      <c r="BP360" s="39">
        <f t="shared" si="364"/>
        <v>66.9871953839301</v>
      </c>
      <c r="BQ360" s="39">
        <f t="shared" si="365"/>
        <v>74.516354546073757</v>
      </c>
      <c r="BR360" s="39">
        <f t="shared" si="366"/>
        <v>75.000000033506979</v>
      </c>
      <c r="BS360" s="39">
        <f t="shared" si="367"/>
        <v>0</v>
      </c>
      <c r="BT360" s="39">
        <f t="shared" si="368"/>
        <v>0</v>
      </c>
      <c r="BU360" s="39">
        <f t="shared" si="369"/>
        <v>0</v>
      </c>
      <c r="BV360" s="39">
        <f t="shared" si="370"/>
        <v>0</v>
      </c>
      <c r="BW360" s="39">
        <f t="shared" si="371"/>
        <v>0</v>
      </c>
      <c r="BX360" s="39">
        <f t="shared" si="372"/>
        <v>0</v>
      </c>
      <c r="BY360" s="39">
        <f t="shared" si="373"/>
        <v>0</v>
      </c>
      <c r="BZ360" s="39">
        <f t="shared" si="374"/>
        <v>2.0104178588553623E-8</v>
      </c>
      <c r="CA360" s="39">
        <f t="shared" si="375"/>
        <v>51.54030584804898</v>
      </c>
      <c r="CB360" s="39">
        <f t="shared" si="376"/>
        <v>49.762208209139679</v>
      </c>
      <c r="CC360" s="39">
        <f t="shared" si="377"/>
        <v>48.064404424035345</v>
      </c>
      <c r="CD360" s="39">
        <f t="shared" si="378"/>
        <v>65.657532460541717</v>
      </c>
      <c r="CE360" s="39">
        <f t="shared" si="379"/>
        <v>68.724611981498299</v>
      </c>
      <c r="CF360" s="39">
        <f t="shared" si="380"/>
        <v>66.9871953839301</v>
      </c>
      <c r="CG360" s="39">
        <f t="shared" si="381"/>
        <v>74.516354546073757</v>
      </c>
      <c r="CH360" s="39">
        <f t="shared" si="382"/>
        <v>75.000000013402797</v>
      </c>
      <c r="CI360" s="39">
        <f t="shared" si="383"/>
        <v>0</v>
      </c>
      <c r="CJ360" s="39">
        <f t="shared" si="384"/>
        <v>0</v>
      </c>
      <c r="CK360" s="39">
        <f t="shared" si="385"/>
        <v>0</v>
      </c>
      <c r="CL360" s="39">
        <f t="shared" si="386"/>
        <v>0</v>
      </c>
      <c r="CM360" s="39">
        <f t="shared" si="387"/>
        <v>0</v>
      </c>
      <c r="CN360" s="39">
        <f t="shared" si="388"/>
        <v>0</v>
      </c>
      <c r="CO360" s="39">
        <f t="shared" si="389"/>
        <v>0</v>
      </c>
      <c r="CP360" s="39">
        <f t="shared" si="390"/>
        <v>0</v>
      </c>
    </row>
    <row r="361" spans="12:94" ht="16" customHeight="1" x14ac:dyDescent="0.2">
      <c r="L361" s="63">
        <v>30673</v>
      </c>
      <c r="M361" s="38">
        <v>0</v>
      </c>
      <c r="N361" s="38">
        <v>7</v>
      </c>
      <c r="O361" s="39">
        <v>1.5902000000000001</v>
      </c>
      <c r="P361" s="39">
        <v>0.95951515200000004</v>
      </c>
      <c r="Q361" s="46">
        <f t="shared" si="321"/>
        <v>0.10633721787557639</v>
      </c>
      <c r="R361" s="81">
        <f t="shared" si="322"/>
        <v>0</v>
      </c>
      <c r="S361" s="82">
        <f t="shared" si="323"/>
        <v>0</v>
      </c>
      <c r="T361" s="39">
        <f t="shared" si="324"/>
        <v>8.0416697301188826E-9</v>
      </c>
      <c r="U361" s="83">
        <f t="shared" si="325"/>
        <v>6.7166060640000005</v>
      </c>
      <c r="V361" s="84">
        <f t="shared" si="326"/>
        <v>0.22671514879999979</v>
      </c>
      <c r="W361" s="52">
        <f t="shared" si="327"/>
        <v>66.024450941765707</v>
      </c>
      <c r="X361" s="52">
        <f t="shared" si="328"/>
        <v>144.22816192490495</v>
      </c>
      <c r="Y361" s="52">
        <f t="shared" si="329"/>
        <v>210.25261286667066</v>
      </c>
      <c r="Z361" s="53">
        <f t="shared" si="330"/>
        <v>0.51581602298254459</v>
      </c>
      <c r="AA361" s="53">
        <f t="shared" si="331"/>
        <v>0.85850096383871999</v>
      </c>
      <c r="AB361" s="53">
        <f t="shared" si="332"/>
        <v>0.71031288130631975</v>
      </c>
      <c r="AC361" s="39" t="str">
        <f t="shared" si="333"/>
        <v>No</v>
      </c>
      <c r="AD361" s="85">
        <f t="shared" si="334"/>
        <v>3.520000000000012E-2</v>
      </c>
      <c r="AE361" s="46">
        <f t="shared" si="335"/>
        <v>1</v>
      </c>
      <c r="AF361" s="46">
        <f t="shared" si="336"/>
        <v>1.5902000000000001</v>
      </c>
      <c r="AG361" s="39">
        <f t="shared" si="391"/>
        <v>51.54030584804898</v>
      </c>
      <c r="AH361" s="39">
        <f t="shared" si="392"/>
        <v>49.762208209139679</v>
      </c>
      <c r="AI361" s="39">
        <f t="shared" si="393"/>
        <v>48.064404424035345</v>
      </c>
      <c r="AJ361" s="39">
        <f t="shared" si="394"/>
        <v>65.657532460541717</v>
      </c>
      <c r="AK361" s="39">
        <f t="shared" si="395"/>
        <v>68.724611981498299</v>
      </c>
      <c r="AL361" s="39">
        <f t="shared" si="396"/>
        <v>66.9871953839301</v>
      </c>
      <c r="AM361" s="39">
        <f t="shared" si="397"/>
        <v>74.516354546073757</v>
      </c>
      <c r="AN361" s="39">
        <f t="shared" si="398"/>
        <v>75.000000013402797</v>
      </c>
      <c r="AO361" s="39">
        <f t="shared" si="337"/>
        <v>2.154030584804898</v>
      </c>
      <c r="AP361" s="39">
        <f t="shared" si="338"/>
        <v>0.98821101396537758</v>
      </c>
      <c r="AQ361" s="39">
        <f t="shared" si="339"/>
        <v>1.0396418150477427</v>
      </c>
      <c r="AR361" s="39">
        <f t="shared" si="340"/>
        <v>2.03206498742064</v>
      </c>
      <c r="AS361" s="39">
        <f t="shared" si="341"/>
        <v>2.672461198149831</v>
      </c>
      <c r="AT361" s="39">
        <f t="shared" si="342"/>
        <v>3.3987195383930096</v>
      </c>
      <c r="AU361" s="39">
        <f t="shared" si="343"/>
        <v>1.2482583933519515</v>
      </c>
      <c r="AV361" s="39">
        <f t="shared" si="344"/>
        <v>0</v>
      </c>
      <c r="AW361" s="39">
        <f t="shared" si="345"/>
        <v>13.533387531133451</v>
      </c>
      <c r="AX361" s="39">
        <f t="shared" si="346"/>
        <v>6.7166060640000005</v>
      </c>
      <c r="AY361" s="39">
        <f t="shared" si="347"/>
        <v>6.7166060640000005</v>
      </c>
      <c r="AZ361" s="39">
        <f t="shared" si="348"/>
        <v>1.0690431242480156</v>
      </c>
      <c r="BA361" s="39">
        <f t="shared" si="349"/>
        <v>0.49044809170225134</v>
      </c>
      <c r="BB361" s="39">
        <f t="shared" si="350"/>
        <v>0.51597314443805076</v>
      </c>
      <c r="BC361" s="39">
        <f t="shared" si="351"/>
        <v>1.0085117259483707</v>
      </c>
      <c r="BD361" s="39">
        <f t="shared" si="352"/>
        <v>1.3263396949214916</v>
      </c>
      <c r="BE361" s="39">
        <f t="shared" si="353"/>
        <v>1.6867809488858911</v>
      </c>
      <c r="BF361" s="39">
        <f t="shared" si="354"/>
        <v>0.61950933385592866</v>
      </c>
      <c r="BG361" s="39">
        <f t="shared" si="355"/>
        <v>0</v>
      </c>
      <c r="BH361" s="84">
        <f t="shared" si="356"/>
        <v>0</v>
      </c>
      <c r="BI361" s="84">
        <f t="shared" si="357"/>
        <v>0.22671514879999979</v>
      </c>
      <c r="BJ361" s="84">
        <f t="shared" si="358"/>
        <v>0.16167315640821503</v>
      </c>
      <c r="BK361" s="39">
        <f t="shared" si="359"/>
        <v>50.309589567392749</v>
      </c>
      <c r="BL361" s="39">
        <f t="shared" si="360"/>
        <v>49.271760117437431</v>
      </c>
      <c r="BM361" s="39">
        <f t="shared" si="361"/>
        <v>47.548431279597295</v>
      </c>
      <c r="BN361" s="39">
        <f t="shared" si="362"/>
        <v>64.64902073459335</v>
      </c>
      <c r="BO361" s="39">
        <f t="shared" si="363"/>
        <v>67.398272286576812</v>
      </c>
      <c r="BP361" s="39">
        <f t="shared" si="364"/>
        <v>65.300414435044203</v>
      </c>
      <c r="BQ361" s="39">
        <f t="shared" si="365"/>
        <v>73.896845212217826</v>
      </c>
      <c r="BR361" s="39">
        <f t="shared" si="366"/>
        <v>75.000000013402797</v>
      </c>
      <c r="BS361" s="39">
        <f t="shared" si="367"/>
        <v>0</v>
      </c>
      <c r="BT361" s="39">
        <f t="shared" si="368"/>
        <v>0</v>
      </c>
      <c r="BU361" s="39">
        <f t="shared" si="369"/>
        <v>0</v>
      </c>
      <c r="BV361" s="39">
        <f t="shared" si="370"/>
        <v>0</v>
      </c>
      <c r="BW361" s="39">
        <f t="shared" si="371"/>
        <v>0</v>
      </c>
      <c r="BX361" s="39">
        <f t="shared" si="372"/>
        <v>0</v>
      </c>
      <c r="BY361" s="39">
        <f t="shared" si="373"/>
        <v>0</v>
      </c>
      <c r="BZ361" s="39">
        <f t="shared" si="374"/>
        <v>8.0416697301188826E-9</v>
      </c>
      <c r="CA361" s="39">
        <f t="shared" si="375"/>
        <v>50.309589567392749</v>
      </c>
      <c r="CB361" s="39">
        <f t="shared" si="376"/>
        <v>49.271760117437431</v>
      </c>
      <c r="CC361" s="39">
        <f t="shared" si="377"/>
        <v>47.548431279597295</v>
      </c>
      <c r="CD361" s="39">
        <f t="shared" si="378"/>
        <v>64.64902073459335</v>
      </c>
      <c r="CE361" s="39">
        <f t="shared" si="379"/>
        <v>67.398272286576812</v>
      </c>
      <c r="CF361" s="39">
        <f t="shared" si="380"/>
        <v>65.300414435044203</v>
      </c>
      <c r="CG361" s="39">
        <f t="shared" si="381"/>
        <v>73.896845212217826</v>
      </c>
      <c r="CH361" s="39">
        <f t="shared" si="382"/>
        <v>75.00000000536113</v>
      </c>
      <c r="CI361" s="39">
        <f t="shared" si="383"/>
        <v>0</v>
      </c>
      <c r="CJ361" s="39">
        <f t="shared" si="384"/>
        <v>0</v>
      </c>
      <c r="CK361" s="39">
        <f t="shared" si="385"/>
        <v>0</v>
      </c>
      <c r="CL361" s="39">
        <f t="shared" si="386"/>
        <v>0</v>
      </c>
      <c r="CM361" s="39">
        <f t="shared" si="387"/>
        <v>0</v>
      </c>
      <c r="CN361" s="39">
        <f t="shared" si="388"/>
        <v>0</v>
      </c>
      <c r="CO361" s="39">
        <f t="shared" si="389"/>
        <v>0</v>
      </c>
      <c r="CP361" s="39">
        <f t="shared" si="390"/>
        <v>0</v>
      </c>
    </row>
    <row r="362" spans="12:94" ht="16" customHeight="1" x14ac:dyDescent="0.2">
      <c r="L362" s="63">
        <v>30674</v>
      </c>
      <c r="M362" s="38">
        <v>0</v>
      </c>
      <c r="N362" s="38">
        <v>7.2</v>
      </c>
      <c r="O362" s="39">
        <v>1.63</v>
      </c>
      <c r="P362" s="39">
        <v>0.98830302999999997</v>
      </c>
      <c r="Q362" s="46">
        <f t="shared" si="321"/>
        <v>0.10883191303906874</v>
      </c>
      <c r="R362" s="81">
        <f t="shared" si="322"/>
        <v>0</v>
      </c>
      <c r="S362" s="82">
        <f t="shared" si="323"/>
        <v>0</v>
      </c>
      <c r="T362" s="39">
        <f t="shared" si="324"/>
        <v>3.2166695973501191E-9</v>
      </c>
      <c r="U362" s="83">
        <f t="shared" si="325"/>
        <v>7.1157818160000001</v>
      </c>
      <c r="V362" s="84">
        <f t="shared" si="326"/>
        <v>6.7374547200000176E-2</v>
      </c>
      <c r="W362" s="52">
        <f t="shared" si="327"/>
        <v>62.778801699020846</v>
      </c>
      <c r="X362" s="52">
        <f t="shared" si="328"/>
        <v>140.59553193919999</v>
      </c>
      <c r="Y362" s="52">
        <f t="shared" si="329"/>
        <v>203.37433363822083</v>
      </c>
      <c r="Z362" s="53">
        <f t="shared" si="330"/>
        <v>0.49045938827360036</v>
      </c>
      <c r="AA362" s="53">
        <f t="shared" si="331"/>
        <v>0.83687816630476186</v>
      </c>
      <c r="AB362" s="53">
        <f t="shared" si="332"/>
        <v>0.68707545148047577</v>
      </c>
      <c r="AC362" s="39" t="str">
        <f t="shared" si="333"/>
        <v>No</v>
      </c>
      <c r="AD362" s="85">
        <f t="shared" si="334"/>
        <v>3.9799999999999836E-2</v>
      </c>
      <c r="AE362" s="46">
        <f t="shared" si="335"/>
        <v>1</v>
      </c>
      <c r="AF362" s="46">
        <f t="shared" si="336"/>
        <v>1.63</v>
      </c>
      <c r="AG362" s="39">
        <f t="shared" si="391"/>
        <v>50.309589567392749</v>
      </c>
      <c r="AH362" s="39">
        <f t="shared" si="392"/>
        <v>49.271760117437431</v>
      </c>
      <c r="AI362" s="39">
        <f t="shared" si="393"/>
        <v>47.548431279597295</v>
      </c>
      <c r="AJ362" s="39">
        <f t="shared" si="394"/>
        <v>64.64902073459335</v>
      </c>
      <c r="AK362" s="39">
        <f t="shared" si="395"/>
        <v>67.398272286576812</v>
      </c>
      <c r="AL362" s="39">
        <f t="shared" si="396"/>
        <v>65.300414435044203</v>
      </c>
      <c r="AM362" s="39">
        <f t="shared" si="397"/>
        <v>73.896845212217826</v>
      </c>
      <c r="AN362" s="39">
        <f t="shared" si="398"/>
        <v>75.00000000536113</v>
      </c>
      <c r="AO362" s="39">
        <f t="shared" si="337"/>
        <v>2.030958956739275</v>
      </c>
      <c r="AP362" s="39">
        <f t="shared" si="338"/>
        <v>0.90751840103609338</v>
      </c>
      <c r="AQ362" s="39">
        <f t="shared" si="339"/>
        <v>0.952616178711297</v>
      </c>
      <c r="AR362" s="39">
        <f t="shared" si="340"/>
        <v>1.8384953134689479</v>
      </c>
      <c r="AS362" s="39">
        <f t="shared" si="341"/>
        <v>2.539827228657682</v>
      </c>
      <c r="AT362" s="39">
        <f t="shared" si="342"/>
        <v>3.2300414435044198</v>
      </c>
      <c r="AU362" s="39">
        <f t="shared" si="343"/>
        <v>1.7721966258627706</v>
      </c>
      <c r="AV362" s="39">
        <f t="shared" si="344"/>
        <v>0</v>
      </c>
      <c r="AW362" s="39">
        <f t="shared" si="345"/>
        <v>13.271654147980486</v>
      </c>
      <c r="AX362" s="39">
        <f t="shared" si="346"/>
        <v>7.1157818160000001</v>
      </c>
      <c r="AY362" s="39">
        <f t="shared" si="347"/>
        <v>7.1157818160000001</v>
      </c>
      <c r="AZ362" s="39">
        <f t="shared" si="348"/>
        <v>1.0889268701751671</v>
      </c>
      <c r="BA362" s="39">
        <f t="shared" si="349"/>
        <v>0.48657860307192241</v>
      </c>
      <c r="BB362" s="39">
        <f t="shared" si="350"/>
        <v>0.51075840332478362</v>
      </c>
      <c r="BC362" s="39">
        <f t="shared" si="351"/>
        <v>0.98573481304696786</v>
      </c>
      <c r="BD362" s="39">
        <f t="shared" si="352"/>
        <v>1.3617636662280044</v>
      </c>
      <c r="BE362" s="39">
        <f t="shared" si="353"/>
        <v>1.7318316098609756</v>
      </c>
      <c r="BF362" s="39">
        <f t="shared" si="354"/>
        <v>0.950187850292179</v>
      </c>
      <c r="BG362" s="39">
        <f t="shared" si="355"/>
        <v>0</v>
      </c>
      <c r="BH362" s="84">
        <f t="shared" si="356"/>
        <v>0</v>
      </c>
      <c r="BI362" s="84">
        <f t="shared" si="357"/>
        <v>6.7374547200000176E-2</v>
      </c>
      <c r="BJ362" s="84">
        <f t="shared" si="358"/>
        <v>4.1619830108206246E-2</v>
      </c>
      <c r="BK362" s="39">
        <f t="shared" si="359"/>
        <v>49.179042867109381</v>
      </c>
      <c r="BL362" s="39">
        <f t="shared" si="360"/>
        <v>48.785181514365512</v>
      </c>
      <c r="BM362" s="39">
        <f t="shared" si="361"/>
        <v>47.037672876272509</v>
      </c>
      <c r="BN362" s="39">
        <f t="shared" si="362"/>
        <v>63.663285921546382</v>
      </c>
      <c r="BO362" s="39">
        <f t="shared" si="363"/>
        <v>66.036508620348812</v>
      </c>
      <c r="BP362" s="39">
        <f t="shared" si="364"/>
        <v>63.568582825183228</v>
      </c>
      <c r="BQ362" s="39">
        <f t="shared" si="365"/>
        <v>72.946657361925645</v>
      </c>
      <c r="BR362" s="39">
        <f t="shared" si="366"/>
        <v>75.00000000536113</v>
      </c>
      <c r="BS362" s="39">
        <f t="shared" si="367"/>
        <v>0</v>
      </c>
      <c r="BT362" s="39">
        <f t="shared" si="368"/>
        <v>0</v>
      </c>
      <c r="BU362" s="39">
        <f t="shared" si="369"/>
        <v>0</v>
      </c>
      <c r="BV362" s="39">
        <f t="shared" si="370"/>
        <v>0</v>
      </c>
      <c r="BW362" s="39">
        <f t="shared" si="371"/>
        <v>0</v>
      </c>
      <c r="BX362" s="39">
        <f t="shared" si="372"/>
        <v>0</v>
      </c>
      <c r="BY362" s="39">
        <f t="shared" si="373"/>
        <v>0</v>
      </c>
      <c r="BZ362" s="39">
        <f t="shared" si="374"/>
        <v>3.2166695973501191E-9</v>
      </c>
      <c r="CA362" s="39">
        <f t="shared" si="375"/>
        <v>49.179042867109381</v>
      </c>
      <c r="CB362" s="39">
        <f t="shared" si="376"/>
        <v>48.785181514365512</v>
      </c>
      <c r="CC362" s="39">
        <f t="shared" si="377"/>
        <v>47.037672876272509</v>
      </c>
      <c r="CD362" s="39">
        <f t="shared" si="378"/>
        <v>63.663285921546382</v>
      </c>
      <c r="CE362" s="39">
        <f t="shared" si="379"/>
        <v>66.036508620348812</v>
      </c>
      <c r="CF362" s="39">
        <f t="shared" si="380"/>
        <v>63.568582825183228</v>
      </c>
      <c r="CG362" s="39">
        <f t="shared" si="381"/>
        <v>72.946657361925645</v>
      </c>
      <c r="CH362" s="39">
        <f t="shared" si="382"/>
        <v>75.000000002144461</v>
      </c>
      <c r="CI362" s="39">
        <f t="shared" si="383"/>
        <v>0</v>
      </c>
      <c r="CJ362" s="39">
        <f t="shared" si="384"/>
        <v>0</v>
      </c>
      <c r="CK362" s="39">
        <f t="shared" si="385"/>
        <v>0</v>
      </c>
      <c r="CL362" s="39">
        <f t="shared" si="386"/>
        <v>0</v>
      </c>
      <c r="CM362" s="39">
        <f t="shared" si="387"/>
        <v>0</v>
      </c>
      <c r="CN362" s="39">
        <f t="shared" si="388"/>
        <v>0</v>
      </c>
      <c r="CO362" s="39">
        <f t="shared" si="389"/>
        <v>0</v>
      </c>
      <c r="CP362" s="39">
        <f t="shared" si="390"/>
        <v>0</v>
      </c>
    </row>
    <row r="363" spans="12:94" ht="16" customHeight="1" x14ac:dyDescent="0.2">
      <c r="L363" s="63">
        <v>30675</v>
      </c>
      <c r="M363" s="38">
        <v>0</v>
      </c>
      <c r="N363" s="38">
        <v>7.3</v>
      </c>
      <c r="O363" s="39">
        <v>1.6739999999999999</v>
      </c>
      <c r="P363" s="39">
        <v>1.017090909</v>
      </c>
      <c r="Q363" s="46">
        <f t="shared" si="321"/>
        <v>0.11112356175585936</v>
      </c>
      <c r="R363" s="81">
        <f t="shared" si="322"/>
        <v>0</v>
      </c>
      <c r="S363" s="82">
        <f t="shared" si="323"/>
        <v>0</v>
      </c>
      <c r="T363" s="39">
        <f t="shared" si="324"/>
        <v>1.2866678389400476E-9</v>
      </c>
      <c r="U363" s="83">
        <f t="shared" si="325"/>
        <v>7.4247636356999998</v>
      </c>
      <c r="V363" s="84">
        <f t="shared" si="326"/>
        <v>0</v>
      </c>
      <c r="W363" s="52">
        <f t="shared" si="327"/>
        <v>59.665183179293791</v>
      </c>
      <c r="X363" s="52">
        <f t="shared" si="328"/>
        <v>136.55174880960215</v>
      </c>
      <c r="Y363" s="52">
        <f t="shared" si="329"/>
        <v>196.21693198889594</v>
      </c>
      <c r="Z363" s="53">
        <f t="shared" si="330"/>
        <v>0.46613424358823274</v>
      </c>
      <c r="AA363" s="53">
        <f t="shared" si="331"/>
        <v>0.81280802862858414</v>
      </c>
      <c r="AB363" s="53">
        <f t="shared" si="332"/>
        <v>0.66289504050302683</v>
      </c>
      <c r="AC363" s="39" t="str">
        <f t="shared" si="333"/>
        <v>No</v>
      </c>
      <c r="AD363" s="85">
        <f t="shared" si="334"/>
        <v>4.4000000000000039E-2</v>
      </c>
      <c r="AE363" s="46">
        <f t="shared" si="335"/>
        <v>1</v>
      </c>
      <c r="AF363" s="46">
        <f t="shared" si="336"/>
        <v>1.6739999999999999</v>
      </c>
      <c r="AG363" s="39">
        <f t="shared" si="391"/>
        <v>49.179042867109381</v>
      </c>
      <c r="AH363" s="39">
        <f t="shared" si="392"/>
        <v>48.785181514365512</v>
      </c>
      <c r="AI363" s="39">
        <f t="shared" si="393"/>
        <v>47.037672876272509</v>
      </c>
      <c r="AJ363" s="39">
        <f t="shared" si="394"/>
        <v>63.663285921546382</v>
      </c>
      <c r="AK363" s="39">
        <f t="shared" si="395"/>
        <v>66.036508620348812</v>
      </c>
      <c r="AL363" s="39">
        <f t="shared" si="396"/>
        <v>63.568582825183228</v>
      </c>
      <c r="AM363" s="39">
        <f t="shared" si="397"/>
        <v>72.946657361925645</v>
      </c>
      <c r="AN363" s="39">
        <f t="shared" si="398"/>
        <v>75.000000002144461</v>
      </c>
      <c r="AO363" s="39">
        <f t="shared" si="337"/>
        <v>1.9179042867109382</v>
      </c>
      <c r="AP363" s="39">
        <f t="shared" si="338"/>
        <v>0.83085814498436827</v>
      </c>
      <c r="AQ363" s="39">
        <f t="shared" si="339"/>
        <v>0.87021587516858689</v>
      </c>
      <c r="AR363" s="39">
        <f t="shared" si="340"/>
        <v>1.6586582923304338</v>
      </c>
      <c r="AS363" s="39">
        <f t="shared" si="341"/>
        <v>2.403650862034882</v>
      </c>
      <c r="AT363" s="39">
        <f t="shared" si="342"/>
        <v>3.0568582825183221</v>
      </c>
      <c r="AU363" s="39">
        <f t="shared" si="343"/>
        <v>2.316906126991686</v>
      </c>
      <c r="AV363" s="39">
        <f t="shared" si="344"/>
        <v>0</v>
      </c>
      <c r="AW363" s="39">
        <f t="shared" si="345"/>
        <v>13.055051870739216</v>
      </c>
      <c r="AX363" s="39">
        <f t="shared" si="346"/>
        <v>7.4247636356999998</v>
      </c>
      <c r="AY363" s="39">
        <f t="shared" si="347"/>
        <v>7.4247636356999998</v>
      </c>
      <c r="AZ363" s="39">
        <f t="shared" si="348"/>
        <v>1.0907644140917696</v>
      </c>
      <c r="BA363" s="39">
        <f t="shared" si="349"/>
        <v>0.47253166072298364</v>
      </c>
      <c r="BB363" s="39">
        <f t="shared" si="350"/>
        <v>0.49491547403516561</v>
      </c>
      <c r="BC363" s="39">
        <f t="shared" si="351"/>
        <v>0.9433241548851804</v>
      </c>
      <c r="BD363" s="39">
        <f t="shared" si="352"/>
        <v>1.3670217238550906</v>
      </c>
      <c r="BE363" s="39">
        <f t="shared" si="353"/>
        <v>1.7385185781146386</v>
      </c>
      <c r="BF363" s="39">
        <f t="shared" si="354"/>
        <v>1.3176876299951721</v>
      </c>
      <c r="BG363" s="39">
        <f t="shared" si="355"/>
        <v>0</v>
      </c>
      <c r="BH363" s="84">
        <f t="shared" si="356"/>
        <v>0</v>
      </c>
      <c r="BI363" s="84">
        <f t="shared" si="357"/>
        <v>0</v>
      </c>
      <c r="BJ363" s="84">
        <f t="shared" si="358"/>
        <v>0</v>
      </c>
      <c r="BK363" s="39">
        <f t="shared" si="359"/>
        <v>48.088278453017608</v>
      </c>
      <c r="BL363" s="39">
        <f t="shared" si="360"/>
        <v>48.312649853642526</v>
      </c>
      <c r="BM363" s="39">
        <f t="shared" si="361"/>
        <v>46.542757402237342</v>
      </c>
      <c r="BN363" s="39">
        <f t="shared" si="362"/>
        <v>62.7199617666612</v>
      </c>
      <c r="BO363" s="39">
        <f t="shared" si="363"/>
        <v>64.669486896493723</v>
      </c>
      <c r="BP363" s="39">
        <f t="shared" si="364"/>
        <v>61.830064247068591</v>
      </c>
      <c r="BQ363" s="39">
        <f t="shared" si="365"/>
        <v>71.628969731930468</v>
      </c>
      <c r="BR363" s="39">
        <f t="shared" si="366"/>
        <v>75.000000002144461</v>
      </c>
      <c r="BS363" s="39">
        <f t="shared" si="367"/>
        <v>0</v>
      </c>
      <c r="BT363" s="39">
        <f t="shared" si="368"/>
        <v>0</v>
      </c>
      <c r="BU363" s="39">
        <f t="shared" si="369"/>
        <v>0</v>
      </c>
      <c r="BV363" s="39">
        <f t="shared" si="370"/>
        <v>0</v>
      </c>
      <c r="BW363" s="39">
        <f t="shared" si="371"/>
        <v>0</v>
      </c>
      <c r="BX363" s="39">
        <f t="shared" si="372"/>
        <v>0</v>
      </c>
      <c r="BY363" s="39">
        <f t="shared" si="373"/>
        <v>0</v>
      </c>
      <c r="BZ363" s="39">
        <f t="shared" si="374"/>
        <v>1.2866678389400476E-9</v>
      </c>
      <c r="CA363" s="39">
        <f t="shared" si="375"/>
        <v>48.088278453017608</v>
      </c>
      <c r="CB363" s="39">
        <f t="shared" si="376"/>
        <v>48.312649853642526</v>
      </c>
      <c r="CC363" s="39">
        <f t="shared" si="377"/>
        <v>46.542757402237342</v>
      </c>
      <c r="CD363" s="39">
        <f t="shared" si="378"/>
        <v>62.7199617666612</v>
      </c>
      <c r="CE363" s="39">
        <f t="shared" si="379"/>
        <v>64.669486896493723</v>
      </c>
      <c r="CF363" s="39">
        <f t="shared" si="380"/>
        <v>61.830064247068591</v>
      </c>
      <c r="CG363" s="39">
        <f t="shared" si="381"/>
        <v>71.628969731930468</v>
      </c>
      <c r="CH363" s="39">
        <f t="shared" si="382"/>
        <v>75.000000000857796</v>
      </c>
      <c r="CI363" s="39">
        <f t="shared" si="383"/>
        <v>0</v>
      </c>
      <c r="CJ363" s="39">
        <f t="shared" si="384"/>
        <v>0</v>
      </c>
      <c r="CK363" s="39">
        <f t="shared" si="385"/>
        <v>0</v>
      </c>
      <c r="CL363" s="39">
        <f t="shared" si="386"/>
        <v>0</v>
      </c>
      <c r="CM363" s="39">
        <f t="shared" si="387"/>
        <v>0</v>
      </c>
      <c r="CN363" s="39">
        <f t="shared" si="388"/>
        <v>0</v>
      </c>
      <c r="CO363" s="39">
        <f t="shared" si="389"/>
        <v>0</v>
      </c>
      <c r="CP363" s="39">
        <f t="shared" si="390"/>
        <v>0</v>
      </c>
    </row>
    <row r="364" spans="12:94" ht="16" customHeight="1" x14ac:dyDescent="0.2">
      <c r="L364" s="63">
        <v>30676</v>
      </c>
      <c r="M364" s="38">
        <v>0</v>
      </c>
      <c r="N364" s="38">
        <v>8.1999999999999993</v>
      </c>
      <c r="O364" s="39">
        <v>1.7176</v>
      </c>
      <c r="P364" s="39">
        <v>1.045878788</v>
      </c>
      <c r="Q364" s="46">
        <f t="shared" si="321"/>
        <v>0.11333457070334267</v>
      </c>
      <c r="R364" s="81">
        <f t="shared" si="322"/>
        <v>0</v>
      </c>
      <c r="S364" s="82">
        <f t="shared" si="323"/>
        <v>0</v>
      </c>
      <c r="T364" s="39">
        <f t="shared" si="324"/>
        <v>5.1466884087858487E-10</v>
      </c>
      <c r="U364" s="83">
        <f t="shared" si="325"/>
        <v>8.5762060615999989</v>
      </c>
      <c r="V364" s="84">
        <f t="shared" si="326"/>
        <v>0</v>
      </c>
      <c r="W364" s="52">
        <f t="shared" si="327"/>
        <v>56.663647475558662</v>
      </c>
      <c r="X364" s="52">
        <f t="shared" si="328"/>
        <v>132.12852087635054</v>
      </c>
      <c r="Y364" s="52">
        <f t="shared" si="329"/>
        <v>188.7921683519092</v>
      </c>
      <c r="Z364" s="53">
        <f t="shared" si="330"/>
        <v>0.44268474590280205</v>
      </c>
      <c r="AA364" s="53">
        <f t="shared" si="331"/>
        <v>0.78647929093065794</v>
      </c>
      <c r="AB364" s="53">
        <f t="shared" si="332"/>
        <v>0.63781137956726075</v>
      </c>
      <c r="AC364" s="39" t="str">
        <f t="shared" si="333"/>
        <v>No</v>
      </c>
      <c r="AD364" s="85">
        <f t="shared" si="334"/>
        <v>4.3600000000000083E-2</v>
      </c>
      <c r="AE364" s="46">
        <f t="shared" si="335"/>
        <v>1</v>
      </c>
      <c r="AF364" s="46">
        <f t="shared" si="336"/>
        <v>1.7176</v>
      </c>
      <c r="AG364" s="39">
        <f t="shared" si="391"/>
        <v>48.088278453017608</v>
      </c>
      <c r="AH364" s="39">
        <f t="shared" si="392"/>
        <v>48.312649853642526</v>
      </c>
      <c r="AI364" s="39">
        <f t="shared" si="393"/>
        <v>46.542757402237342</v>
      </c>
      <c r="AJ364" s="39">
        <f t="shared" si="394"/>
        <v>62.7199617666612</v>
      </c>
      <c r="AK364" s="39">
        <f t="shared" si="395"/>
        <v>64.669486896493723</v>
      </c>
      <c r="AL364" s="39">
        <f t="shared" si="396"/>
        <v>61.830064247068591</v>
      </c>
      <c r="AM364" s="39">
        <f t="shared" si="397"/>
        <v>71.628969731930468</v>
      </c>
      <c r="AN364" s="39">
        <f t="shared" si="398"/>
        <v>75.000000000857796</v>
      </c>
      <c r="AO364" s="39">
        <f t="shared" si="337"/>
        <v>1.808827845301761</v>
      </c>
      <c r="AP364" s="39">
        <f t="shared" si="338"/>
        <v>0.7596481928845229</v>
      </c>
      <c r="AQ364" s="39">
        <f t="shared" si="339"/>
        <v>0.79392666887450403</v>
      </c>
      <c r="AR364" s="39">
        <f t="shared" si="340"/>
        <v>1.4952240238663546</v>
      </c>
      <c r="AS364" s="39">
        <f t="shared" si="341"/>
        <v>2.2669486896493729</v>
      </c>
      <c r="AT364" s="39">
        <f t="shared" si="342"/>
        <v>2.8830064247068585</v>
      </c>
      <c r="AU364" s="39">
        <f t="shared" si="343"/>
        <v>2.8018879378893562</v>
      </c>
      <c r="AV364" s="39">
        <f t="shared" si="344"/>
        <v>0</v>
      </c>
      <c r="AW364" s="39">
        <f t="shared" si="345"/>
        <v>12.80946978317273</v>
      </c>
      <c r="AX364" s="39">
        <f t="shared" si="346"/>
        <v>8.5762060615999989</v>
      </c>
      <c r="AY364" s="39">
        <f t="shared" si="347"/>
        <v>8.5762060615999989</v>
      </c>
      <c r="AZ364" s="39">
        <f t="shared" si="348"/>
        <v>1.2110478102416431</v>
      </c>
      <c r="BA364" s="39">
        <f t="shared" si="349"/>
        <v>0.50860024238146717</v>
      </c>
      <c r="BB364" s="39">
        <f t="shared" si="350"/>
        <v>0.53155039399147952</v>
      </c>
      <c r="BC364" s="39">
        <f t="shared" si="351"/>
        <v>1.0010835385066503</v>
      </c>
      <c r="BD364" s="39">
        <f t="shared" si="352"/>
        <v>1.5177692303117056</v>
      </c>
      <c r="BE364" s="39">
        <f t="shared" si="353"/>
        <v>1.9302326789265896</v>
      </c>
      <c r="BF364" s="39">
        <f t="shared" si="354"/>
        <v>1.8759221672404636</v>
      </c>
      <c r="BG364" s="39">
        <f t="shared" si="355"/>
        <v>0</v>
      </c>
      <c r="BH364" s="84">
        <f t="shared" si="356"/>
        <v>0</v>
      </c>
      <c r="BI364" s="84">
        <f t="shared" si="357"/>
        <v>0</v>
      </c>
      <c r="BJ364" s="84">
        <f t="shared" si="358"/>
        <v>0</v>
      </c>
      <c r="BK364" s="39">
        <f t="shared" si="359"/>
        <v>46.877230642775963</v>
      </c>
      <c r="BL364" s="39">
        <f t="shared" si="360"/>
        <v>47.804049611261057</v>
      </c>
      <c r="BM364" s="39">
        <f t="shared" si="361"/>
        <v>46.011207008245862</v>
      </c>
      <c r="BN364" s="39">
        <f t="shared" si="362"/>
        <v>61.718878228154551</v>
      </c>
      <c r="BO364" s="39">
        <f t="shared" si="363"/>
        <v>63.151717666182016</v>
      </c>
      <c r="BP364" s="39">
        <f t="shared" si="364"/>
        <v>59.899831568142005</v>
      </c>
      <c r="BQ364" s="39">
        <f t="shared" si="365"/>
        <v>69.753047564690007</v>
      </c>
      <c r="BR364" s="39">
        <f t="shared" si="366"/>
        <v>75.000000000857796</v>
      </c>
      <c r="BS364" s="39">
        <f t="shared" si="367"/>
        <v>0</v>
      </c>
      <c r="BT364" s="39">
        <f t="shared" si="368"/>
        <v>0</v>
      </c>
      <c r="BU364" s="39">
        <f t="shared" si="369"/>
        <v>0</v>
      </c>
      <c r="BV364" s="39">
        <f t="shared" si="370"/>
        <v>0</v>
      </c>
      <c r="BW364" s="39">
        <f t="shared" si="371"/>
        <v>0</v>
      </c>
      <c r="BX364" s="39">
        <f t="shared" si="372"/>
        <v>0</v>
      </c>
      <c r="BY364" s="39">
        <f t="shared" si="373"/>
        <v>0</v>
      </c>
      <c r="BZ364" s="39">
        <f t="shared" si="374"/>
        <v>5.1466884087858487E-10</v>
      </c>
      <c r="CA364" s="39">
        <f t="shared" si="375"/>
        <v>46.877230642775963</v>
      </c>
      <c r="CB364" s="39">
        <f t="shared" si="376"/>
        <v>47.804049611261057</v>
      </c>
      <c r="CC364" s="39">
        <f t="shared" si="377"/>
        <v>46.011207008245862</v>
      </c>
      <c r="CD364" s="39">
        <f t="shared" si="378"/>
        <v>61.718878228154551</v>
      </c>
      <c r="CE364" s="39">
        <f t="shared" si="379"/>
        <v>63.151717666182016</v>
      </c>
      <c r="CF364" s="39">
        <f t="shared" si="380"/>
        <v>59.899831568142005</v>
      </c>
      <c r="CG364" s="39">
        <f t="shared" si="381"/>
        <v>69.753047564690007</v>
      </c>
      <c r="CH364" s="39">
        <f t="shared" si="382"/>
        <v>75.000000000343121</v>
      </c>
      <c r="CI364" s="39">
        <f t="shared" si="383"/>
        <v>0</v>
      </c>
      <c r="CJ364" s="39">
        <f t="shared" si="384"/>
        <v>0</v>
      </c>
      <c r="CK364" s="39">
        <f t="shared" si="385"/>
        <v>0</v>
      </c>
      <c r="CL364" s="39">
        <f t="shared" si="386"/>
        <v>0</v>
      </c>
      <c r="CM364" s="39">
        <f t="shared" si="387"/>
        <v>0</v>
      </c>
      <c r="CN364" s="39">
        <f t="shared" si="388"/>
        <v>0</v>
      </c>
      <c r="CO364" s="39">
        <f t="shared" si="389"/>
        <v>0</v>
      </c>
      <c r="CP364" s="39">
        <f t="shared" si="390"/>
        <v>0</v>
      </c>
    </row>
    <row r="365" spans="12:94" ht="16" customHeight="1" x14ac:dyDescent="0.2">
      <c r="L365" s="63">
        <v>30677</v>
      </c>
      <c r="M365" s="38">
        <v>0</v>
      </c>
      <c r="N365" s="38">
        <v>6.9</v>
      </c>
      <c r="O365" s="39">
        <v>1.764</v>
      </c>
      <c r="P365" s="39">
        <v>1.074666667</v>
      </c>
      <c r="Q365" s="46">
        <f t="shared" si="321"/>
        <v>0.1157893973457244</v>
      </c>
      <c r="R365" s="81">
        <f t="shared" si="322"/>
        <v>0</v>
      </c>
      <c r="S365" s="82">
        <f t="shared" si="323"/>
        <v>0</v>
      </c>
      <c r="T365" s="39">
        <f t="shared" si="324"/>
        <v>2.058641257463023E-10</v>
      </c>
      <c r="U365" s="83">
        <f t="shared" si="325"/>
        <v>7.4152000023000006</v>
      </c>
      <c r="V365" s="84">
        <f t="shared" si="326"/>
        <v>0</v>
      </c>
      <c r="W365" s="52">
        <f t="shared" si="327"/>
        <v>53.411365490437447</v>
      </c>
      <c r="X365" s="52">
        <f t="shared" si="328"/>
        <v>126.80459679935717</v>
      </c>
      <c r="Y365" s="52">
        <f t="shared" si="329"/>
        <v>180.21596228979462</v>
      </c>
      <c r="Z365" s="53">
        <f t="shared" si="330"/>
        <v>0.41727629289404256</v>
      </c>
      <c r="AA365" s="53">
        <f t="shared" si="331"/>
        <v>0.7547892666628403</v>
      </c>
      <c r="AB365" s="53">
        <f t="shared" si="332"/>
        <v>0.60883771043849533</v>
      </c>
      <c r="AC365" s="39" t="str">
        <f t="shared" si="333"/>
        <v>No</v>
      </c>
      <c r="AD365" s="85">
        <f t="shared" si="334"/>
        <v>4.6399999999999997E-2</v>
      </c>
      <c r="AE365" s="46">
        <f t="shared" si="335"/>
        <v>1</v>
      </c>
      <c r="AF365" s="46">
        <f t="shared" si="336"/>
        <v>1.764</v>
      </c>
      <c r="AG365" s="39">
        <f t="shared" si="391"/>
        <v>46.877230642775963</v>
      </c>
      <c r="AH365" s="39">
        <f t="shared" si="392"/>
        <v>47.804049611261057</v>
      </c>
      <c r="AI365" s="39">
        <f t="shared" si="393"/>
        <v>46.011207008245862</v>
      </c>
      <c r="AJ365" s="39">
        <f t="shared" si="394"/>
        <v>61.718878228154551</v>
      </c>
      <c r="AK365" s="39">
        <f t="shared" si="395"/>
        <v>63.151717666182016</v>
      </c>
      <c r="AL365" s="39">
        <f t="shared" si="396"/>
        <v>59.899831568142005</v>
      </c>
      <c r="AM365" s="39">
        <f t="shared" si="397"/>
        <v>69.753047564690007</v>
      </c>
      <c r="AN365" s="39">
        <f t="shared" si="398"/>
        <v>75.000000000343121</v>
      </c>
      <c r="AO365" s="39">
        <f t="shared" si="337"/>
        <v>1.6877230642775964</v>
      </c>
      <c r="AP365" s="39">
        <f t="shared" si="338"/>
        <v>0.68656706271477197</v>
      </c>
      <c r="AQ365" s="39">
        <f t="shared" si="339"/>
        <v>0.71588761258536671</v>
      </c>
      <c r="AR365" s="39">
        <f t="shared" si="340"/>
        <v>1.3310518533707618</v>
      </c>
      <c r="AS365" s="39">
        <f t="shared" si="341"/>
        <v>2.1151717666182024</v>
      </c>
      <c r="AT365" s="39">
        <f t="shared" si="342"/>
        <v>2.6899831568142001</v>
      </c>
      <c r="AU365" s="39">
        <f t="shared" si="343"/>
        <v>3.2342681856927196</v>
      </c>
      <c r="AV365" s="39">
        <f t="shared" si="344"/>
        <v>0</v>
      </c>
      <c r="AW365" s="39">
        <f t="shared" si="345"/>
        <v>12.46065270207362</v>
      </c>
      <c r="AX365" s="39">
        <f t="shared" si="346"/>
        <v>7.4152000023000006</v>
      </c>
      <c r="AY365" s="39">
        <f t="shared" si="347"/>
        <v>7.4152000023000006</v>
      </c>
      <c r="AZ365" s="39">
        <f t="shared" si="348"/>
        <v>1.004345789047661</v>
      </c>
      <c r="BA365" s="39">
        <f t="shared" si="349"/>
        <v>0.40856865260151787</v>
      </c>
      <c r="BB365" s="39">
        <f t="shared" si="350"/>
        <v>0.42601699553075223</v>
      </c>
      <c r="BC365" s="39">
        <f t="shared" si="351"/>
        <v>0.79209459906813628</v>
      </c>
      <c r="BD365" s="39">
        <f t="shared" si="352"/>
        <v>1.2587159006592079</v>
      </c>
      <c r="BE365" s="39">
        <f t="shared" si="353"/>
        <v>1.6007799581217934</v>
      </c>
      <c r="BF365" s="39">
        <f t="shared" si="354"/>
        <v>1.9246781072709314</v>
      </c>
      <c r="BG365" s="39">
        <f t="shared" si="355"/>
        <v>0</v>
      </c>
      <c r="BH365" s="84">
        <f t="shared" si="356"/>
        <v>0</v>
      </c>
      <c r="BI365" s="84">
        <f t="shared" si="357"/>
        <v>0</v>
      </c>
      <c r="BJ365" s="84">
        <f t="shared" si="358"/>
        <v>0</v>
      </c>
      <c r="BK365" s="39">
        <f t="shared" si="359"/>
        <v>45.872884853728301</v>
      </c>
      <c r="BL365" s="39">
        <f t="shared" si="360"/>
        <v>47.39548095865954</v>
      </c>
      <c r="BM365" s="39">
        <f t="shared" si="361"/>
        <v>45.58519001271511</v>
      </c>
      <c r="BN365" s="39">
        <f t="shared" si="362"/>
        <v>60.926783629086415</v>
      </c>
      <c r="BO365" s="39">
        <f t="shared" si="363"/>
        <v>61.893001765522811</v>
      </c>
      <c r="BP365" s="39">
        <f t="shared" si="364"/>
        <v>58.299051610020214</v>
      </c>
      <c r="BQ365" s="39">
        <f t="shared" si="365"/>
        <v>67.828369457419072</v>
      </c>
      <c r="BR365" s="39">
        <f t="shared" si="366"/>
        <v>75.000000000343121</v>
      </c>
      <c r="BS365" s="39">
        <f t="shared" si="367"/>
        <v>0</v>
      </c>
      <c r="BT365" s="39">
        <f t="shared" si="368"/>
        <v>0</v>
      </c>
      <c r="BU365" s="39">
        <f t="shared" si="369"/>
        <v>0</v>
      </c>
      <c r="BV365" s="39">
        <f t="shared" si="370"/>
        <v>0</v>
      </c>
      <c r="BW365" s="39">
        <f t="shared" si="371"/>
        <v>0</v>
      </c>
      <c r="BX365" s="39">
        <f t="shared" si="372"/>
        <v>0</v>
      </c>
      <c r="BY365" s="39">
        <f t="shared" si="373"/>
        <v>0</v>
      </c>
      <c r="BZ365" s="39">
        <f t="shared" si="374"/>
        <v>2.058641257463023E-10</v>
      </c>
      <c r="CA365" s="39">
        <f t="shared" si="375"/>
        <v>45.872884853728301</v>
      </c>
      <c r="CB365" s="39">
        <f t="shared" si="376"/>
        <v>47.39548095865954</v>
      </c>
      <c r="CC365" s="39">
        <f t="shared" si="377"/>
        <v>45.58519001271511</v>
      </c>
      <c r="CD365" s="39">
        <f t="shared" si="378"/>
        <v>60.926783629086415</v>
      </c>
      <c r="CE365" s="39">
        <f t="shared" si="379"/>
        <v>61.893001765522811</v>
      </c>
      <c r="CF365" s="39">
        <f t="shared" si="380"/>
        <v>58.299051610020214</v>
      </c>
      <c r="CG365" s="39">
        <f t="shared" si="381"/>
        <v>67.828369457419072</v>
      </c>
      <c r="CH365" s="39">
        <f t="shared" si="382"/>
        <v>75.000000000137263</v>
      </c>
      <c r="CI365" s="39">
        <f t="shared" si="383"/>
        <v>0</v>
      </c>
      <c r="CJ365" s="39">
        <f t="shared" si="384"/>
        <v>0</v>
      </c>
      <c r="CK365" s="39">
        <f t="shared" si="385"/>
        <v>0</v>
      </c>
      <c r="CL365" s="39">
        <f t="shared" si="386"/>
        <v>0</v>
      </c>
      <c r="CM365" s="39">
        <f t="shared" si="387"/>
        <v>0</v>
      </c>
      <c r="CN365" s="39">
        <f t="shared" si="388"/>
        <v>0</v>
      </c>
      <c r="CO365" s="39">
        <f t="shared" si="389"/>
        <v>0</v>
      </c>
      <c r="CP365" s="39">
        <f t="shared" si="390"/>
        <v>0</v>
      </c>
    </row>
    <row r="366" spans="12:94" ht="16" customHeight="1" x14ac:dyDescent="0.2">
      <c r="L366" s="63">
        <v>30678</v>
      </c>
      <c r="M366" s="38">
        <v>0</v>
      </c>
      <c r="N366" s="38">
        <v>4.9000000000000004</v>
      </c>
      <c r="O366" s="39">
        <v>1.8068</v>
      </c>
      <c r="P366" s="39">
        <v>1.1000000000000001</v>
      </c>
      <c r="Q366" s="46">
        <f t="shared" si="321"/>
        <v>0.1178252334046048</v>
      </c>
      <c r="R366" s="81">
        <f t="shared" si="322"/>
        <v>0</v>
      </c>
      <c r="S366" s="82">
        <f t="shared" si="323"/>
        <v>0</v>
      </c>
      <c r="T366" s="39">
        <f t="shared" si="324"/>
        <v>0</v>
      </c>
      <c r="U366" s="83">
        <f t="shared" si="325"/>
        <v>5.3900000000000006</v>
      </c>
      <c r="V366" s="84">
        <f t="shared" si="326"/>
        <v>0</v>
      </c>
      <c r="W366" s="52">
        <f t="shared" si="327"/>
        <v>50.780339454189345</v>
      </c>
      <c r="X366" s="52">
        <f t="shared" si="328"/>
        <v>122.02042283309936</v>
      </c>
      <c r="Y366" s="52">
        <f t="shared" si="329"/>
        <v>172.80076228728871</v>
      </c>
      <c r="Z366" s="53">
        <f t="shared" si="330"/>
        <v>0.39672140198585426</v>
      </c>
      <c r="AA366" s="53">
        <f t="shared" si="331"/>
        <v>0.72631204067321042</v>
      </c>
      <c r="AB366" s="53">
        <f t="shared" si="332"/>
        <v>0.58378635907867804</v>
      </c>
      <c r="AC366" s="39" t="str">
        <f t="shared" si="333"/>
        <v>No</v>
      </c>
      <c r="AD366" s="85">
        <f t="shared" si="334"/>
        <v>4.2799999999999949E-2</v>
      </c>
      <c r="AE366" s="46">
        <f t="shared" si="335"/>
        <v>1</v>
      </c>
      <c r="AF366" s="46">
        <f t="shared" si="336"/>
        <v>1.8068</v>
      </c>
      <c r="AG366" s="39">
        <f t="shared" si="391"/>
        <v>45.872884853728301</v>
      </c>
      <c r="AH366" s="39">
        <f t="shared" si="392"/>
        <v>47.39548095865954</v>
      </c>
      <c r="AI366" s="39">
        <f t="shared" si="393"/>
        <v>45.58519001271511</v>
      </c>
      <c r="AJ366" s="39">
        <f t="shared" si="394"/>
        <v>60.926783629086415</v>
      </c>
      <c r="AK366" s="39">
        <f t="shared" si="395"/>
        <v>61.893001765522811</v>
      </c>
      <c r="AL366" s="39">
        <f t="shared" si="396"/>
        <v>58.299051610020214</v>
      </c>
      <c r="AM366" s="39">
        <f t="shared" si="397"/>
        <v>67.828369457419072</v>
      </c>
      <c r="AN366" s="39">
        <f t="shared" si="398"/>
        <v>75.000000000137263</v>
      </c>
      <c r="AO366" s="39">
        <f t="shared" si="337"/>
        <v>1.5872884853728302</v>
      </c>
      <c r="AP366" s="39">
        <f t="shared" si="338"/>
        <v>0.6305361603181</v>
      </c>
      <c r="AQ366" s="39">
        <f t="shared" si="339"/>
        <v>0.65625619699895543</v>
      </c>
      <c r="AR366" s="39">
        <f t="shared" si="340"/>
        <v>1.207916365560642</v>
      </c>
      <c r="AS366" s="39">
        <f t="shared" si="341"/>
        <v>1.8844358059194954</v>
      </c>
      <c r="AT366" s="39">
        <f t="shared" si="342"/>
        <v>2.5299051610020209</v>
      </c>
      <c r="AU366" s="39">
        <f t="shared" si="343"/>
        <v>3.4828369457419068</v>
      </c>
      <c r="AV366" s="39">
        <f t="shared" si="344"/>
        <v>9.5200000000309953E-2</v>
      </c>
      <c r="AW366" s="39">
        <f t="shared" si="345"/>
        <v>12.07437512091426</v>
      </c>
      <c r="AX366" s="39">
        <f t="shared" si="346"/>
        <v>5.3900000000000006</v>
      </c>
      <c r="AY366" s="39">
        <f t="shared" si="347"/>
        <v>5.3900000000000006</v>
      </c>
      <c r="AZ366" s="39">
        <f t="shared" si="348"/>
        <v>0.70856544131550414</v>
      </c>
      <c r="BA366" s="39">
        <f t="shared" si="349"/>
        <v>0.2814712869262937</v>
      </c>
      <c r="BB366" s="39">
        <f t="shared" si="350"/>
        <v>0.29295270905551718</v>
      </c>
      <c r="BC366" s="39">
        <f t="shared" si="351"/>
        <v>0.53921376014685873</v>
      </c>
      <c r="BD366" s="39">
        <f t="shared" si="352"/>
        <v>0.84121197926944935</v>
      </c>
      <c r="BE366" s="39">
        <f t="shared" si="353"/>
        <v>1.1293494430350592</v>
      </c>
      <c r="BF366" s="39">
        <f t="shared" si="354"/>
        <v>1.5547381085612193</v>
      </c>
      <c r="BG366" s="39">
        <f t="shared" si="355"/>
        <v>4.2497271690099453E-2</v>
      </c>
      <c r="BH366" s="84">
        <f t="shared" si="356"/>
        <v>0</v>
      </c>
      <c r="BI366" s="84">
        <f t="shared" si="357"/>
        <v>0</v>
      </c>
      <c r="BJ366" s="84">
        <f t="shared" si="358"/>
        <v>0</v>
      </c>
      <c r="BK366" s="39">
        <f t="shared" si="359"/>
        <v>45.164319412412794</v>
      </c>
      <c r="BL366" s="39">
        <f t="shared" si="360"/>
        <v>47.11400967173325</v>
      </c>
      <c r="BM366" s="39">
        <f t="shared" si="361"/>
        <v>45.29223730365959</v>
      </c>
      <c r="BN366" s="39">
        <f t="shared" si="362"/>
        <v>60.387569868939558</v>
      </c>
      <c r="BO366" s="39">
        <f t="shared" si="363"/>
        <v>61.051789786253359</v>
      </c>
      <c r="BP366" s="39">
        <f t="shared" si="364"/>
        <v>57.169702166985154</v>
      </c>
      <c r="BQ366" s="39">
        <f t="shared" si="365"/>
        <v>66.273631348857847</v>
      </c>
      <c r="BR366" s="39">
        <f t="shared" si="366"/>
        <v>74.957502728447167</v>
      </c>
      <c r="BS366" s="39">
        <f t="shared" si="367"/>
        <v>0</v>
      </c>
      <c r="BT366" s="39">
        <f t="shared" si="368"/>
        <v>0</v>
      </c>
      <c r="BU366" s="39">
        <f t="shared" si="369"/>
        <v>0</v>
      </c>
      <c r="BV366" s="39">
        <f t="shared" si="370"/>
        <v>0</v>
      </c>
      <c r="BW366" s="39">
        <f t="shared" si="371"/>
        <v>0</v>
      </c>
      <c r="BX366" s="39">
        <f t="shared" si="372"/>
        <v>0</v>
      </c>
      <c r="BY366" s="39">
        <f t="shared" si="373"/>
        <v>0</v>
      </c>
      <c r="BZ366" s="39">
        <f t="shared" si="374"/>
        <v>0</v>
      </c>
      <c r="CA366" s="39">
        <f t="shared" si="375"/>
        <v>45.164319412412794</v>
      </c>
      <c r="CB366" s="39">
        <f t="shared" si="376"/>
        <v>47.11400967173325</v>
      </c>
      <c r="CC366" s="39">
        <f t="shared" si="377"/>
        <v>45.29223730365959</v>
      </c>
      <c r="CD366" s="39">
        <f t="shared" si="378"/>
        <v>60.387569868939558</v>
      </c>
      <c r="CE366" s="39">
        <f t="shared" si="379"/>
        <v>61.051789786253359</v>
      </c>
      <c r="CF366" s="39">
        <f t="shared" si="380"/>
        <v>57.169702166985154</v>
      </c>
      <c r="CG366" s="39">
        <f t="shared" si="381"/>
        <v>66.273631348857847</v>
      </c>
      <c r="CH366" s="39">
        <f t="shared" si="382"/>
        <v>74.957502728447167</v>
      </c>
      <c r="CI366" s="39">
        <f t="shared" si="383"/>
        <v>0</v>
      </c>
      <c r="CJ366" s="39">
        <f t="shared" si="384"/>
        <v>0</v>
      </c>
      <c r="CK366" s="39">
        <f t="shared" si="385"/>
        <v>0</v>
      </c>
      <c r="CL366" s="39">
        <f t="shared" si="386"/>
        <v>0</v>
      </c>
      <c r="CM366" s="39">
        <f t="shared" si="387"/>
        <v>0</v>
      </c>
      <c r="CN366" s="39">
        <f t="shared" si="388"/>
        <v>0</v>
      </c>
      <c r="CO366" s="39">
        <f t="shared" si="389"/>
        <v>0</v>
      </c>
      <c r="CP366" s="39">
        <f t="shared" si="390"/>
        <v>0</v>
      </c>
    </row>
    <row r="367" spans="12:94" ht="16" customHeight="1" x14ac:dyDescent="0.2">
      <c r="L367" s="63">
        <v>30679</v>
      </c>
      <c r="M367" s="38">
        <v>19.2</v>
      </c>
      <c r="N367" s="38">
        <v>7.6</v>
      </c>
      <c r="O367" s="39">
        <v>1.8502000000000001</v>
      </c>
      <c r="P367" s="39">
        <v>1.1000000000000001</v>
      </c>
      <c r="Q367" s="46">
        <f t="shared" si="321"/>
        <v>0.11926151470456865</v>
      </c>
      <c r="R367" s="81">
        <f t="shared" si="322"/>
        <v>1.1980140198361431</v>
      </c>
      <c r="S367" s="82">
        <f t="shared" si="323"/>
        <v>18.001985980163855</v>
      </c>
      <c r="T367" s="39">
        <f t="shared" si="324"/>
        <v>0</v>
      </c>
      <c r="U367" s="83">
        <f t="shared" si="325"/>
        <v>8.36</v>
      </c>
      <c r="V367" s="84">
        <f t="shared" si="326"/>
        <v>0</v>
      </c>
      <c r="W367" s="52">
        <f t="shared" si="327"/>
        <v>48.958136256745178</v>
      </c>
      <c r="X367" s="52">
        <f t="shared" si="328"/>
        <v>118.45262603054357</v>
      </c>
      <c r="Y367" s="52">
        <f t="shared" si="329"/>
        <v>167.41076228728875</v>
      </c>
      <c r="Z367" s="53">
        <f t="shared" si="330"/>
        <v>0.3824854395058217</v>
      </c>
      <c r="AA367" s="53">
        <f t="shared" si="331"/>
        <v>0.70507515494371176</v>
      </c>
      <c r="AB367" s="53">
        <f t="shared" si="332"/>
        <v>0.56557689961921875</v>
      </c>
      <c r="AC367" s="39" t="str">
        <f t="shared" si="333"/>
        <v>No</v>
      </c>
      <c r="AD367" s="85">
        <f t="shared" si="334"/>
        <v>4.3400000000000105E-2</v>
      </c>
      <c r="AE367" s="46">
        <f t="shared" si="335"/>
        <v>1</v>
      </c>
      <c r="AF367" s="46">
        <f t="shared" si="336"/>
        <v>1.8502000000000001</v>
      </c>
      <c r="AG367" s="39">
        <f t="shared" si="391"/>
        <v>45.164319412412794</v>
      </c>
      <c r="AH367" s="39">
        <f t="shared" si="392"/>
        <v>47.11400967173325</v>
      </c>
      <c r="AI367" s="39">
        <f t="shared" si="393"/>
        <v>45.29223730365959</v>
      </c>
      <c r="AJ367" s="39">
        <f t="shared" si="394"/>
        <v>60.387569868939558</v>
      </c>
      <c r="AK367" s="39">
        <f t="shared" si="395"/>
        <v>61.051789786253359</v>
      </c>
      <c r="AL367" s="39">
        <f t="shared" si="396"/>
        <v>57.169702166985154</v>
      </c>
      <c r="AM367" s="39">
        <f t="shared" si="397"/>
        <v>66.273631348857847</v>
      </c>
      <c r="AN367" s="39">
        <f t="shared" si="398"/>
        <v>74.957502728447167</v>
      </c>
      <c r="AO367" s="39">
        <f t="shared" si="337"/>
        <v>1.5164319412412794</v>
      </c>
      <c r="AP367" s="39">
        <f t="shared" si="338"/>
        <v>0.59332265926033734</v>
      </c>
      <c r="AQ367" s="39">
        <f t="shared" si="339"/>
        <v>0.61675481505373664</v>
      </c>
      <c r="AR367" s="39">
        <f t="shared" si="340"/>
        <v>1.1275109831976016</v>
      </c>
      <c r="AS367" s="39">
        <f t="shared" si="341"/>
        <v>1.7284318764742292</v>
      </c>
      <c r="AT367" s="39">
        <f t="shared" si="342"/>
        <v>2.4169702166985148</v>
      </c>
      <c r="AU367" s="39">
        <f t="shared" si="343"/>
        <v>3.3273631348857844</v>
      </c>
      <c r="AV367" s="39">
        <f t="shared" si="344"/>
        <v>0.70208887898934935</v>
      </c>
      <c r="AW367" s="39">
        <f t="shared" si="345"/>
        <v>12.028874505800832</v>
      </c>
      <c r="AX367" s="39">
        <f t="shared" si="346"/>
        <v>8.36</v>
      </c>
      <c r="AY367" s="39">
        <f t="shared" si="347"/>
        <v>0</v>
      </c>
      <c r="AZ367" s="39">
        <f t="shared" si="348"/>
        <v>0</v>
      </c>
      <c r="BA367" s="39">
        <f t="shared" si="349"/>
        <v>0</v>
      </c>
      <c r="BB367" s="39">
        <f t="shared" si="350"/>
        <v>0</v>
      </c>
      <c r="BC367" s="39">
        <f t="shared" si="351"/>
        <v>0</v>
      </c>
      <c r="BD367" s="39">
        <f t="shared" si="352"/>
        <v>0</v>
      </c>
      <c r="BE367" s="39">
        <f t="shared" si="353"/>
        <v>0</v>
      </c>
      <c r="BF367" s="39">
        <f t="shared" si="354"/>
        <v>0</v>
      </c>
      <c r="BG367" s="39">
        <f t="shared" si="355"/>
        <v>0</v>
      </c>
      <c r="BH367" s="84">
        <f t="shared" si="356"/>
        <v>0</v>
      </c>
      <c r="BI367" s="84">
        <f t="shared" si="357"/>
        <v>0</v>
      </c>
      <c r="BJ367" s="84">
        <f t="shared" si="358"/>
        <v>0</v>
      </c>
      <c r="BK367" s="39">
        <f t="shared" si="359"/>
        <v>45.164319412412794</v>
      </c>
      <c r="BL367" s="39">
        <f t="shared" si="360"/>
        <v>47.11400967173325</v>
      </c>
      <c r="BM367" s="39">
        <f t="shared" si="361"/>
        <v>45.29223730365959</v>
      </c>
      <c r="BN367" s="39">
        <f t="shared" si="362"/>
        <v>60.387569868939558</v>
      </c>
      <c r="BO367" s="39">
        <f t="shared" si="363"/>
        <v>61.051789786253359</v>
      </c>
      <c r="BP367" s="39">
        <f t="shared" si="364"/>
        <v>57.169702166985154</v>
      </c>
      <c r="BQ367" s="39">
        <f t="shared" si="365"/>
        <v>66.273631348857847</v>
      </c>
      <c r="BR367" s="39">
        <f t="shared" si="366"/>
        <v>74.957502728447167</v>
      </c>
      <c r="BS367" s="39">
        <f t="shared" si="367"/>
        <v>0</v>
      </c>
      <c r="BT367" s="39">
        <f t="shared" si="368"/>
        <v>0</v>
      </c>
      <c r="BU367" s="39">
        <f t="shared" si="369"/>
        <v>0</v>
      </c>
      <c r="BV367" s="39">
        <f t="shared" si="370"/>
        <v>0</v>
      </c>
      <c r="BW367" s="39">
        <f t="shared" si="371"/>
        <v>0</v>
      </c>
      <c r="BX367" s="39">
        <f t="shared" si="372"/>
        <v>0</v>
      </c>
      <c r="BY367" s="39">
        <f t="shared" si="373"/>
        <v>0</v>
      </c>
      <c r="BZ367" s="39">
        <f t="shared" si="374"/>
        <v>0</v>
      </c>
      <c r="CA367" s="39">
        <f t="shared" si="375"/>
        <v>63.166305392576646</v>
      </c>
      <c r="CB367" s="39">
        <f t="shared" si="376"/>
        <v>47.11400967173325</v>
      </c>
      <c r="CC367" s="39">
        <f t="shared" si="377"/>
        <v>45.29223730365959</v>
      </c>
      <c r="CD367" s="39">
        <f t="shared" si="378"/>
        <v>60.387569868939558</v>
      </c>
      <c r="CE367" s="39">
        <f t="shared" si="379"/>
        <v>61.051789786253359</v>
      </c>
      <c r="CF367" s="39">
        <f t="shared" si="380"/>
        <v>57.169702166985154</v>
      </c>
      <c r="CG367" s="39">
        <f t="shared" si="381"/>
        <v>66.273631348857847</v>
      </c>
      <c r="CH367" s="39">
        <f t="shared" si="382"/>
        <v>74.957502728447167</v>
      </c>
      <c r="CI367" s="39">
        <f t="shared" si="383"/>
        <v>0</v>
      </c>
      <c r="CJ367" s="39">
        <f t="shared" si="384"/>
        <v>0</v>
      </c>
      <c r="CK367" s="39">
        <f t="shared" si="385"/>
        <v>0</v>
      </c>
      <c r="CL367" s="39">
        <f t="shared" si="386"/>
        <v>0</v>
      </c>
      <c r="CM367" s="39">
        <f t="shared" si="387"/>
        <v>0</v>
      </c>
      <c r="CN367" s="39">
        <f t="shared" si="388"/>
        <v>0</v>
      </c>
      <c r="CO367" s="39">
        <f t="shared" si="389"/>
        <v>0</v>
      </c>
      <c r="CP367" s="39">
        <f t="shared" si="390"/>
        <v>0</v>
      </c>
    </row>
    <row r="368" spans="12:94" ht="16" customHeight="1" x14ac:dyDescent="0.2">
      <c r="L368" s="63">
        <v>30680</v>
      </c>
      <c r="M368" s="38">
        <v>13</v>
      </c>
      <c r="N368" s="38">
        <v>4.0999999999999996</v>
      </c>
      <c r="O368" s="39">
        <v>1.88</v>
      </c>
      <c r="P368" s="39">
        <v>1.1000000000000001</v>
      </c>
      <c r="Q368" s="46">
        <f t="shared" si="321"/>
        <v>8.2771002582614911E-2</v>
      </c>
      <c r="R368" s="81">
        <f t="shared" si="322"/>
        <v>0.54680113014755272</v>
      </c>
      <c r="S368" s="82">
        <f t="shared" si="323"/>
        <v>12.453198869852447</v>
      </c>
      <c r="T368" s="39">
        <f t="shared" si="324"/>
        <v>0</v>
      </c>
      <c r="U368" s="83">
        <f t="shared" si="325"/>
        <v>4.51</v>
      </c>
      <c r="V368" s="84">
        <f t="shared" si="326"/>
        <v>0</v>
      </c>
      <c r="W368" s="52">
        <f t="shared" si="327"/>
        <v>66.960122236909029</v>
      </c>
      <c r="X368" s="52">
        <f t="shared" si="328"/>
        <v>118.45262603054357</v>
      </c>
      <c r="Y368" s="52">
        <f t="shared" si="329"/>
        <v>185.4127482674526</v>
      </c>
      <c r="Z368" s="53">
        <f t="shared" si="330"/>
        <v>0.52312595497585179</v>
      </c>
      <c r="AA368" s="53">
        <f t="shared" si="331"/>
        <v>0.70507515494371176</v>
      </c>
      <c r="AB368" s="53">
        <f t="shared" si="332"/>
        <v>0.62639441982247501</v>
      </c>
      <c r="AC368" s="39" t="str">
        <f t="shared" si="333"/>
        <v>No</v>
      </c>
      <c r="AD368" s="85">
        <f t="shared" si="334"/>
        <v>2.9799999999999827E-2</v>
      </c>
      <c r="AE368" s="46">
        <f t="shared" si="335"/>
        <v>1</v>
      </c>
      <c r="AF368" s="46">
        <f t="shared" si="336"/>
        <v>1.88</v>
      </c>
      <c r="AG368" s="39">
        <f t="shared" si="391"/>
        <v>63.166305392576646</v>
      </c>
      <c r="AH368" s="39">
        <f t="shared" si="392"/>
        <v>47.11400967173325</v>
      </c>
      <c r="AI368" s="39">
        <f t="shared" si="393"/>
        <v>45.29223730365959</v>
      </c>
      <c r="AJ368" s="39">
        <f t="shared" si="394"/>
        <v>60.387569868939558</v>
      </c>
      <c r="AK368" s="39">
        <f t="shared" si="395"/>
        <v>61.051789786253359</v>
      </c>
      <c r="AL368" s="39">
        <f t="shared" si="396"/>
        <v>57.169702166985154</v>
      </c>
      <c r="AM368" s="39">
        <f t="shared" si="397"/>
        <v>66.273631348857847</v>
      </c>
      <c r="AN368" s="39">
        <f t="shared" si="398"/>
        <v>74.957502728447167</v>
      </c>
      <c r="AO368" s="39">
        <f t="shared" si="337"/>
        <v>3.3166305392576647</v>
      </c>
      <c r="AP368" s="39">
        <f t="shared" si="338"/>
        <v>0.59332265926033734</v>
      </c>
      <c r="AQ368" s="39">
        <f t="shared" si="339"/>
        <v>0.61675481505373664</v>
      </c>
      <c r="AR368" s="39">
        <f t="shared" si="340"/>
        <v>1.1275109831976016</v>
      </c>
      <c r="AS368" s="39">
        <f t="shared" si="341"/>
        <v>1.7284318764742292</v>
      </c>
      <c r="AT368" s="39">
        <f t="shared" si="342"/>
        <v>2.4169702166985148</v>
      </c>
      <c r="AU368" s="39">
        <f t="shared" si="343"/>
        <v>3.3273631348857844</v>
      </c>
      <c r="AV368" s="39">
        <f t="shared" si="344"/>
        <v>1.1188667394252552</v>
      </c>
      <c r="AW368" s="39">
        <f t="shared" si="345"/>
        <v>14.245850964253124</v>
      </c>
      <c r="AX368" s="39">
        <f t="shared" si="346"/>
        <v>4.51</v>
      </c>
      <c r="AY368" s="39">
        <f t="shared" si="347"/>
        <v>0</v>
      </c>
      <c r="AZ368" s="39">
        <f t="shared" si="348"/>
        <v>0</v>
      </c>
      <c r="BA368" s="39">
        <f t="shared" si="349"/>
        <v>0</v>
      </c>
      <c r="BB368" s="39">
        <f t="shared" si="350"/>
        <v>0</v>
      </c>
      <c r="BC368" s="39">
        <f t="shared" si="351"/>
        <v>0</v>
      </c>
      <c r="BD368" s="39">
        <f t="shared" si="352"/>
        <v>0</v>
      </c>
      <c r="BE368" s="39">
        <f t="shared" si="353"/>
        <v>0</v>
      </c>
      <c r="BF368" s="39">
        <f t="shared" si="354"/>
        <v>0</v>
      </c>
      <c r="BG368" s="39">
        <f t="shared" si="355"/>
        <v>0</v>
      </c>
      <c r="BH368" s="84">
        <f t="shared" si="356"/>
        <v>0</v>
      </c>
      <c r="BI368" s="84">
        <f t="shared" si="357"/>
        <v>0</v>
      </c>
      <c r="BJ368" s="84">
        <f t="shared" si="358"/>
        <v>0</v>
      </c>
      <c r="BK368" s="39">
        <f t="shared" si="359"/>
        <v>63.166305392576646</v>
      </c>
      <c r="BL368" s="39">
        <f t="shared" si="360"/>
        <v>47.11400967173325</v>
      </c>
      <c r="BM368" s="39">
        <f t="shared" si="361"/>
        <v>45.29223730365959</v>
      </c>
      <c r="BN368" s="39">
        <f t="shared" si="362"/>
        <v>60.387569868939558</v>
      </c>
      <c r="BO368" s="39">
        <f t="shared" si="363"/>
        <v>61.051789786253359</v>
      </c>
      <c r="BP368" s="39">
        <f t="shared" si="364"/>
        <v>57.169702166985154</v>
      </c>
      <c r="BQ368" s="39">
        <f t="shared" si="365"/>
        <v>66.273631348857847</v>
      </c>
      <c r="BR368" s="39">
        <f t="shared" si="366"/>
        <v>74.957502728447167</v>
      </c>
      <c r="BS368" s="39">
        <f t="shared" si="367"/>
        <v>1.8997832355459876</v>
      </c>
      <c r="BT368" s="39">
        <f t="shared" si="368"/>
        <v>0</v>
      </c>
      <c r="BU368" s="39">
        <f t="shared" si="369"/>
        <v>0</v>
      </c>
      <c r="BV368" s="39">
        <f t="shared" si="370"/>
        <v>0</v>
      </c>
      <c r="BW368" s="39">
        <f t="shared" si="371"/>
        <v>0</v>
      </c>
      <c r="BX368" s="39">
        <f t="shared" si="372"/>
        <v>0</v>
      </c>
      <c r="BY368" s="39">
        <f t="shared" si="373"/>
        <v>0</v>
      </c>
      <c r="BZ368" s="39">
        <f t="shared" si="374"/>
        <v>0</v>
      </c>
      <c r="CA368" s="39">
        <f t="shared" si="375"/>
        <v>73.719721026883107</v>
      </c>
      <c r="CB368" s="39">
        <f t="shared" si="376"/>
        <v>49.013792907279239</v>
      </c>
      <c r="CC368" s="39">
        <f t="shared" si="377"/>
        <v>45.29223730365959</v>
      </c>
      <c r="CD368" s="39">
        <f t="shared" si="378"/>
        <v>60.387569868939558</v>
      </c>
      <c r="CE368" s="39">
        <f t="shared" si="379"/>
        <v>61.051789786253359</v>
      </c>
      <c r="CF368" s="39">
        <f t="shared" si="380"/>
        <v>57.169702166985154</v>
      </c>
      <c r="CG368" s="39">
        <f t="shared" si="381"/>
        <v>66.273631348857847</v>
      </c>
      <c r="CH368" s="39">
        <f t="shared" si="382"/>
        <v>74.957502728447167</v>
      </c>
      <c r="CI368" s="39">
        <f t="shared" si="383"/>
        <v>0</v>
      </c>
      <c r="CJ368" s="39">
        <f t="shared" si="384"/>
        <v>0</v>
      </c>
      <c r="CK368" s="39">
        <f t="shared" si="385"/>
        <v>0</v>
      </c>
      <c r="CL368" s="39">
        <f t="shared" si="386"/>
        <v>0</v>
      </c>
      <c r="CM368" s="39">
        <f t="shared" si="387"/>
        <v>0</v>
      </c>
      <c r="CN368" s="39">
        <f t="shared" si="388"/>
        <v>0</v>
      </c>
      <c r="CO368" s="39">
        <f t="shared" si="389"/>
        <v>0</v>
      </c>
      <c r="CP368" s="39">
        <f t="shared" si="390"/>
        <v>0</v>
      </c>
    </row>
    <row r="369" spans="12:94" ht="16" customHeight="1" x14ac:dyDescent="0.2">
      <c r="L369" s="63">
        <v>30681</v>
      </c>
      <c r="M369" s="38">
        <v>15.5</v>
      </c>
      <c r="N369" s="38">
        <v>1.6</v>
      </c>
      <c r="O369" s="39">
        <v>1.9059999999999999</v>
      </c>
      <c r="P369" s="39">
        <v>1.1000000000000001</v>
      </c>
      <c r="Q369" s="46">
        <f t="shared" si="321"/>
        <v>6.1378943864426126E-2</v>
      </c>
      <c r="R369" s="81">
        <f t="shared" si="322"/>
        <v>1.3558977399547627</v>
      </c>
      <c r="S369" s="82">
        <f t="shared" si="323"/>
        <v>14.144102260045237</v>
      </c>
      <c r="T369" s="39">
        <f t="shared" si="324"/>
        <v>0</v>
      </c>
      <c r="U369" s="83">
        <f t="shared" si="325"/>
        <v>1.7600000000000002</v>
      </c>
      <c r="V369" s="84">
        <f t="shared" si="326"/>
        <v>0</v>
      </c>
      <c r="W369" s="52">
        <f t="shared" si="327"/>
        <v>79.413321106761487</v>
      </c>
      <c r="X369" s="52">
        <f t="shared" si="328"/>
        <v>118.45262603054357</v>
      </c>
      <c r="Y369" s="52">
        <f t="shared" si="329"/>
        <v>197.86594713730506</v>
      </c>
      <c r="Z369" s="53">
        <f t="shared" si="330"/>
        <v>0.62041657114657411</v>
      </c>
      <c r="AA369" s="53">
        <f t="shared" si="331"/>
        <v>0.70507515494371176</v>
      </c>
      <c r="AB369" s="53">
        <f t="shared" si="332"/>
        <v>0.66846603762603063</v>
      </c>
      <c r="AC369" s="39" t="str">
        <f t="shared" si="333"/>
        <v>No</v>
      </c>
      <c r="AD369" s="85">
        <f t="shared" si="334"/>
        <v>2.6000000000000023E-2</v>
      </c>
      <c r="AE369" s="46">
        <f t="shared" si="335"/>
        <v>1</v>
      </c>
      <c r="AF369" s="46">
        <f t="shared" si="336"/>
        <v>1.9059999999999999</v>
      </c>
      <c r="AG369" s="39">
        <f t="shared" si="391"/>
        <v>73.719721026883107</v>
      </c>
      <c r="AH369" s="39">
        <f t="shared" si="392"/>
        <v>49.013792907279239</v>
      </c>
      <c r="AI369" s="39">
        <f t="shared" si="393"/>
        <v>45.29223730365959</v>
      </c>
      <c r="AJ369" s="39">
        <f t="shared" si="394"/>
        <v>60.387569868939558</v>
      </c>
      <c r="AK369" s="39">
        <f t="shared" si="395"/>
        <v>61.051789786253359</v>
      </c>
      <c r="AL369" s="39">
        <f t="shared" si="396"/>
        <v>57.169702166985154</v>
      </c>
      <c r="AM369" s="39">
        <f t="shared" si="397"/>
        <v>66.273631348857847</v>
      </c>
      <c r="AN369" s="39">
        <f t="shared" si="398"/>
        <v>74.957502728447167</v>
      </c>
      <c r="AO369" s="39">
        <f t="shared" si="337"/>
        <v>4.3719721026883107</v>
      </c>
      <c r="AP369" s="39">
        <f t="shared" si="338"/>
        <v>0.86645453003167472</v>
      </c>
      <c r="AQ369" s="39">
        <f t="shared" si="339"/>
        <v>0.61675481505373664</v>
      </c>
      <c r="AR369" s="39">
        <f t="shared" si="340"/>
        <v>1.1275109831976016</v>
      </c>
      <c r="AS369" s="39">
        <f t="shared" si="341"/>
        <v>1.7284318764742292</v>
      </c>
      <c r="AT369" s="39">
        <f t="shared" si="342"/>
        <v>2.4169702166985148</v>
      </c>
      <c r="AU369" s="39">
        <f t="shared" si="343"/>
        <v>3.3273631348857844</v>
      </c>
      <c r="AV369" s="39">
        <f t="shared" si="344"/>
        <v>1.4824984297384642</v>
      </c>
      <c r="AW369" s="39">
        <f t="shared" si="345"/>
        <v>15.937956088768317</v>
      </c>
      <c r="AX369" s="39">
        <f t="shared" si="346"/>
        <v>1.7600000000000002</v>
      </c>
      <c r="AY369" s="39">
        <f t="shared" si="347"/>
        <v>0</v>
      </c>
      <c r="AZ369" s="39">
        <f t="shared" si="348"/>
        <v>0</v>
      </c>
      <c r="BA369" s="39">
        <f t="shared" si="349"/>
        <v>0</v>
      </c>
      <c r="BB369" s="39">
        <f t="shared" si="350"/>
        <v>0</v>
      </c>
      <c r="BC369" s="39">
        <f t="shared" si="351"/>
        <v>0</v>
      </c>
      <c r="BD369" s="39">
        <f t="shared" si="352"/>
        <v>0</v>
      </c>
      <c r="BE369" s="39">
        <f t="shared" si="353"/>
        <v>0</v>
      </c>
      <c r="BF369" s="39">
        <f t="shared" si="354"/>
        <v>0</v>
      </c>
      <c r="BG369" s="39">
        <f t="shared" si="355"/>
        <v>0</v>
      </c>
      <c r="BH369" s="84">
        <f t="shared" si="356"/>
        <v>0</v>
      </c>
      <c r="BI369" s="84">
        <f t="shared" si="357"/>
        <v>0</v>
      </c>
      <c r="BJ369" s="84">
        <f t="shared" si="358"/>
        <v>0</v>
      </c>
      <c r="BK369" s="39">
        <f t="shared" si="359"/>
        <v>73.719721026883107</v>
      </c>
      <c r="BL369" s="39">
        <f t="shared" si="360"/>
        <v>49.013792907279239</v>
      </c>
      <c r="BM369" s="39">
        <f t="shared" si="361"/>
        <v>45.29223730365959</v>
      </c>
      <c r="BN369" s="39">
        <f t="shared" si="362"/>
        <v>60.387569868939558</v>
      </c>
      <c r="BO369" s="39">
        <f t="shared" si="363"/>
        <v>61.051789786253359</v>
      </c>
      <c r="BP369" s="39">
        <f t="shared" si="364"/>
        <v>57.169702166985154</v>
      </c>
      <c r="BQ369" s="39">
        <f t="shared" si="365"/>
        <v>66.273631348857847</v>
      </c>
      <c r="BR369" s="39">
        <f t="shared" si="366"/>
        <v>74.957502728447167</v>
      </c>
      <c r="BS369" s="39">
        <f t="shared" si="367"/>
        <v>8.2318326161298643</v>
      </c>
      <c r="BT369" s="39">
        <f t="shared" si="368"/>
        <v>0</v>
      </c>
      <c r="BU369" s="39">
        <f t="shared" si="369"/>
        <v>0</v>
      </c>
      <c r="BV369" s="39">
        <f t="shared" si="370"/>
        <v>0</v>
      </c>
      <c r="BW369" s="39">
        <f t="shared" si="371"/>
        <v>0</v>
      </c>
      <c r="BX369" s="39">
        <f t="shared" si="372"/>
        <v>0</v>
      </c>
      <c r="BY369" s="39">
        <f t="shared" si="373"/>
        <v>0</v>
      </c>
      <c r="BZ369" s="39">
        <f t="shared" si="374"/>
        <v>0</v>
      </c>
      <c r="CA369" s="39">
        <f t="shared" si="375"/>
        <v>79.631990670798473</v>
      </c>
      <c r="CB369" s="39">
        <f t="shared" si="376"/>
        <v>57.245625523409103</v>
      </c>
      <c r="CC369" s="39">
        <f t="shared" si="377"/>
        <v>45.29223730365959</v>
      </c>
      <c r="CD369" s="39">
        <f t="shared" si="378"/>
        <v>60.387569868939558</v>
      </c>
      <c r="CE369" s="39">
        <f t="shared" si="379"/>
        <v>61.051789786253359</v>
      </c>
      <c r="CF369" s="39">
        <f t="shared" si="380"/>
        <v>57.169702166985154</v>
      </c>
      <c r="CG369" s="39">
        <f t="shared" si="381"/>
        <v>66.273631348857847</v>
      </c>
      <c r="CH369" s="39">
        <f t="shared" si="382"/>
        <v>74.957502728447167</v>
      </c>
      <c r="CI369" s="39">
        <f t="shared" si="383"/>
        <v>0</v>
      </c>
      <c r="CJ369" s="39">
        <f t="shared" si="384"/>
        <v>0</v>
      </c>
      <c r="CK369" s="39">
        <f t="shared" si="385"/>
        <v>0</v>
      </c>
      <c r="CL369" s="39">
        <f t="shared" si="386"/>
        <v>0</v>
      </c>
      <c r="CM369" s="39">
        <f t="shared" si="387"/>
        <v>0</v>
      </c>
      <c r="CN369" s="39">
        <f t="shared" si="388"/>
        <v>0</v>
      </c>
      <c r="CO369" s="39">
        <f t="shared" si="389"/>
        <v>0</v>
      </c>
      <c r="CP369" s="39">
        <f t="shared" si="390"/>
        <v>0</v>
      </c>
    </row>
    <row r="370" spans="12:94" ht="16" customHeight="1" x14ac:dyDescent="0.2">
      <c r="L370" s="63">
        <v>30682</v>
      </c>
      <c r="M370" s="38">
        <v>2</v>
      </c>
      <c r="N370" s="38">
        <v>2.9</v>
      </c>
      <c r="O370" s="39">
        <v>1.9374</v>
      </c>
      <c r="P370" s="39">
        <v>1.1000000000000001</v>
      </c>
      <c r="Q370" s="46">
        <f t="shared" si="321"/>
        <v>4.9394613505138227E-2</v>
      </c>
      <c r="R370" s="81">
        <f t="shared" si="322"/>
        <v>0</v>
      </c>
      <c r="S370" s="82">
        <f t="shared" si="323"/>
        <v>2</v>
      </c>
      <c r="T370" s="39">
        <f t="shared" si="324"/>
        <v>0</v>
      </c>
      <c r="U370" s="83">
        <f t="shared" si="325"/>
        <v>3.19</v>
      </c>
      <c r="V370" s="84">
        <f t="shared" si="326"/>
        <v>0</v>
      </c>
      <c r="W370" s="52">
        <f t="shared" si="327"/>
        <v>93.557423366806717</v>
      </c>
      <c r="X370" s="52">
        <f t="shared" si="328"/>
        <v>118.45262603054357</v>
      </c>
      <c r="Y370" s="52">
        <f t="shared" si="329"/>
        <v>212.01004939735029</v>
      </c>
      <c r="Z370" s="53">
        <f t="shared" si="330"/>
        <v>0.73091737005317747</v>
      </c>
      <c r="AA370" s="53">
        <f t="shared" si="331"/>
        <v>0.70507515494371176</v>
      </c>
      <c r="AB370" s="53">
        <f t="shared" si="332"/>
        <v>0.71625016688294019</v>
      </c>
      <c r="AC370" s="39" t="str">
        <f t="shared" si="333"/>
        <v>No</v>
      </c>
      <c r="AD370" s="85">
        <f t="shared" si="334"/>
        <v>3.1400000000000095E-2</v>
      </c>
      <c r="AE370" s="46">
        <f t="shared" si="335"/>
        <v>1</v>
      </c>
      <c r="AF370" s="46">
        <f t="shared" si="336"/>
        <v>1.9374</v>
      </c>
      <c r="AG370" s="39">
        <f t="shared" si="391"/>
        <v>79.631990670798473</v>
      </c>
      <c r="AH370" s="39">
        <f t="shared" si="392"/>
        <v>57.245625523409103</v>
      </c>
      <c r="AI370" s="39">
        <f t="shared" si="393"/>
        <v>45.29223730365959</v>
      </c>
      <c r="AJ370" s="39">
        <f t="shared" si="394"/>
        <v>60.387569868939558</v>
      </c>
      <c r="AK370" s="39">
        <f t="shared" si="395"/>
        <v>61.051789786253359</v>
      </c>
      <c r="AL370" s="39">
        <f t="shared" si="396"/>
        <v>57.169702166985154</v>
      </c>
      <c r="AM370" s="39">
        <f t="shared" si="397"/>
        <v>66.273631348857847</v>
      </c>
      <c r="AN370" s="39">
        <f t="shared" si="398"/>
        <v>74.957502728447167</v>
      </c>
      <c r="AO370" s="39">
        <f t="shared" si="337"/>
        <v>4.9631990670798478</v>
      </c>
      <c r="AP370" s="39">
        <f t="shared" si="338"/>
        <v>1.9245625523409104</v>
      </c>
      <c r="AQ370" s="39">
        <f t="shared" si="339"/>
        <v>0.61675481505373664</v>
      </c>
      <c r="AR370" s="39">
        <f t="shared" si="340"/>
        <v>1.1275109831976016</v>
      </c>
      <c r="AS370" s="39">
        <f t="shared" si="341"/>
        <v>1.7284318764742292</v>
      </c>
      <c r="AT370" s="39">
        <f t="shared" si="342"/>
        <v>2.4169702166985148</v>
      </c>
      <c r="AU370" s="39">
        <f t="shared" si="343"/>
        <v>3.3273631348857844</v>
      </c>
      <c r="AV370" s="39">
        <f t="shared" si="344"/>
        <v>1.9216536249628791</v>
      </c>
      <c r="AW370" s="39">
        <f t="shared" si="345"/>
        <v>18.026446270693505</v>
      </c>
      <c r="AX370" s="39">
        <f t="shared" si="346"/>
        <v>3.19</v>
      </c>
      <c r="AY370" s="39">
        <f t="shared" si="347"/>
        <v>1.19</v>
      </c>
      <c r="AZ370" s="39">
        <f t="shared" si="348"/>
        <v>0.32764122229832032</v>
      </c>
      <c r="BA370" s="39">
        <f t="shared" si="349"/>
        <v>0.12704830463500863</v>
      </c>
      <c r="BB370" s="39">
        <f t="shared" si="350"/>
        <v>4.071452680649245E-2</v>
      </c>
      <c r="BC370" s="39">
        <f t="shared" si="351"/>
        <v>7.4431646141285002E-2</v>
      </c>
      <c r="BD370" s="39">
        <f t="shared" si="352"/>
        <v>0.11410091052434614</v>
      </c>
      <c r="BE370" s="39">
        <f t="shared" si="353"/>
        <v>0.15955416362609448</v>
      </c>
      <c r="BF370" s="39">
        <f t="shared" si="354"/>
        <v>0.21965295161650031</v>
      </c>
      <c r="BG370" s="39">
        <f t="shared" si="355"/>
        <v>0.12685627435195249</v>
      </c>
      <c r="BH370" s="84">
        <f t="shared" si="356"/>
        <v>0</v>
      </c>
      <c r="BI370" s="84">
        <f t="shared" si="357"/>
        <v>0</v>
      </c>
      <c r="BJ370" s="84">
        <f t="shared" si="358"/>
        <v>0</v>
      </c>
      <c r="BK370" s="39">
        <f t="shared" si="359"/>
        <v>79.304349448500147</v>
      </c>
      <c r="BL370" s="39">
        <f t="shared" si="360"/>
        <v>57.118577218774092</v>
      </c>
      <c r="BM370" s="39">
        <f t="shared" si="361"/>
        <v>45.251522776853101</v>
      </c>
      <c r="BN370" s="39">
        <f t="shared" si="362"/>
        <v>60.313138222798273</v>
      </c>
      <c r="BO370" s="39">
        <f t="shared" si="363"/>
        <v>60.937688875729016</v>
      </c>
      <c r="BP370" s="39">
        <f t="shared" si="364"/>
        <v>57.010148003359056</v>
      </c>
      <c r="BQ370" s="39">
        <f t="shared" si="365"/>
        <v>66.053978397241352</v>
      </c>
      <c r="BR370" s="39">
        <f t="shared" si="366"/>
        <v>74.830646454095216</v>
      </c>
      <c r="BS370" s="39">
        <f t="shared" si="367"/>
        <v>11.582609669100089</v>
      </c>
      <c r="BT370" s="39">
        <f t="shared" si="368"/>
        <v>0</v>
      </c>
      <c r="BU370" s="39">
        <f t="shared" si="369"/>
        <v>0</v>
      </c>
      <c r="BV370" s="39">
        <f t="shared" si="370"/>
        <v>0</v>
      </c>
      <c r="BW370" s="39">
        <f t="shared" si="371"/>
        <v>0</v>
      </c>
      <c r="BX370" s="39">
        <f t="shared" si="372"/>
        <v>0</v>
      </c>
      <c r="BY370" s="39">
        <f t="shared" si="373"/>
        <v>0</v>
      </c>
      <c r="BZ370" s="39">
        <f t="shared" si="374"/>
        <v>0</v>
      </c>
      <c r="CA370" s="39">
        <f t="shared" si="375"/>
        <v>68.531739779400056</v>
      </c>
      <c r="CB370" s="39">
        <f t="shared" si="376"/>
        <v>68.701186887874186</v>
      </c>
      <c r="CC370" s="39">
        <f t="shared" si="377"/>
        <v>45.251522776853101</v>
      </c>
      <c r="CD370" s="39">
        <f t="shared" si="378"/>
        <v>60.313138222798273</v>
      </c>
      <c r="CE370" s="39">
        <f t="shared" si="379"/>
        <v>60.937688875729016</v>
      </c>
      <c r="CF370" s="39">
        <f t="shared" si="380"/>
        <v>57.010148003359056</v>
      </c>
      <c r="CG370" s="39">
        <f t="shared" si="381"/>
        <v>66.053978397241352</v>
      </c>
      <c r="CH370" s="39">
        <f t="shared" si="382"/>
        <v>74.830646454095216</v>
      </c>
      <c r="CI370" s="39">
        <f t="shared" si="383"/>
        <v>0</v>
      </c>
      <c r="CJ370" s="39">
        <f t="shared" si="384"/>
        <v>0</v>
      </c>
      <c r="CK370" s="39">
        <f t="shared" si="385"/>
        <v>0</v>
      </c>
      <c r="CL370" s="39">
        <f t="shared" si="386"/>
        <v>0</v>
      </c>
      <c r="CM370" s="39">
        <f t="shared" si="387"/>
        <v>0</v>
      </c>
      <c r="CN370" s="39">
        <f t="shared" si="388"/>
        <v>0</v>
      </c>
      <c r="CO370" s="39">
        <f t="shared" si="389"/>
        <v>0</v>
      </c>
      <c r="CP370" s="39">
        <f t="shared" si="390"/>
        <v>0</v>
      </c>
    </row>
    <row r="371" spans="12:94" ht="16" customHeight="1" x14ac:dyDescent="0.2">
      <c r="L371" s="63">
        <v>30683</v>
      </c>
      <c r="M371" s="38">
        <v>0.4</v>
      </c>
      <c r="N371" s="38">
        <v>5.7</v>
      </c>
      <c r="O371" s="39">
        <v>1.9725999999999999</v>
      </c>
      <c r="P371" s="39">
        <v>1.1000000000000001</v>
      </c>
      <c r="Q371" s="46">
        <f t="shared" si="321"/>
        <v>7.1895122068783665E-2</v>
      </c>
      <c r="R371" s="81">
        <f t="shared" si="322"/>
        <v>0</v>
      </c>
      <c r="S371" s="82">
        <f t="shared" si="323"/>
        <v>0.4</v>
      </c>
      <c r="T371" s="39">
        <f t="shared" si="324"/>
        <v>0</v>
      </c>
      <c r="U371" s="83">
        <f t="shared" si="325"/>
        <v>6.2700000000000005</v>
      </c>
      <c r="V371" s="84">
        <f t="shared" si="326"/>
        <v>0</v>
      </c>
      <c r="W371" s="52">
        <f t="shared" si="327"/>
        <v>93.797587666925608</v>
      </c>
      <c r="X371" s="52">
        <f t="shared" si="328"/>
        <v>117.8324617304246</v>
      </c>
      <c r="Y371" s="52">
        <f t="shared" si="329"/>
        <v>211.63004939735021</v>
      </c>
      <c r="Z371" s="53">
        <f t="shared" si="330"/>
        <v>0.73279365364785631</v>
      </c>
      <c r="AA371" s="53">
        <f t="shared" si="331"/>
        <v>0.70138370077633694</v>
      </c>
      <c r="AB371" s="53">
        <f t="shared" si="332"/>
        <v>0.71496638309915606</v>
      </c>
      <c r="AC371" s="39" t="str">
        <f t="shared" si="333"/>
        <v>No</v>
      </c>
      <c r="AD371" s="85">
        <f t="shared" si="334"/>
        <v>3.5199999999999898E-2</v>
      </c>
      <c r="AE371" s="46">
        <f t="shared" si="335"/>
        <v>1</v>
      </c>
      <c r="AF371" s="46">
        <f t="shared" si="336"/>
        <v>1.9725999999999999</v>
      </c>
      <c r="AG371" s="39">
        <f t="shared" si="391"/>
        <v>68.531739779400056</v>
      </c>
      <c r="AH371" s="39">
        <f t="shared" si="392"/>
        <v>68.701186887874186</v>
      </c>
      <c r="AI371" s="39">
        <f t="shared" si="393"/>
        <v>45.251522776853101</v>
      </c>
      <c r="AJ371" s="39">
        <f t="shared" si="394"/>
        <v>60.313138222798273</v>
      </c>
      <c r="AK371" s="39">
        <f t="shared" si="395"/>
        <v>60.937688875729016</v>
      </c>
      <c r="AL371" s="39">
        <f t="shared" si="396"/>
        <v>57.010148003359056</v>
      </c>
      <c r="AM371" s="39">
        <f t="shared" si="397"/>
        <v>66.053978397241352</v>
      </c>
      <c r="AN371" s="39">
        <f t="shared" si="398"/>
        <v>74.830646454095216</v>
      </c>
      <c r="AO371" s="39">
        <f t="shared" si="337"/>
        <v>3.8531739779400058</v>
      </c>
      <c r="AP371" s="39">
        <f t="shared" si="338"/>
        <v>3.070118688787419</v>
      </c>
      <c r="AQ371" s="39">
        <f t="shared" si="339"/>
        <v>0.61136195493308543</v>
      </c>
      <c r="AR371" s="39">
        <f t="shared" si="340"/>
        <v>1.1166295344310724</v>
      </c>
      <c r="AS371" s="39">
        <f t="shared" si="341"/>
        <v>1.7077907616852899</v>
      </c>
      <c r="AT371" s="39">
        <f t="shared" si="342"/>
        <v>2.4010148003359051</v>
      </c>
      <c r="AU371" s="39">
        <f t="shared" si="343"/>
        <v>3.3053978397241348</v>
      </c>
      <c r="AV371" s="39">
        <f t="shared" si="344"/>
        <v>2.4066565259922759</v>
      </c>
      <c r="AW371" s="39">
        <f t="shared" si="345"/>
        <v>18.472144083829185</v>
      </c>
      <c r="AX371" s="39">
        <f t="shared" si="346"/>
        <v>6.2700000000000005</v>
      </c>
      <c r="AY371" s="39">
        <f t="shared" si="347"/>
        <v>5.87</v>
      </c>
      <c r="AZ371" s="39">
        <f t="shared" si="348"/>
        <v>1.2244453674605167</v>
      </c>
      <c r="BA371" s="39">
        <f t="shared" si="349"/>
        <v>0.97560936193425141</v>
      </c>
      <c r="BB371" s="39">
        <f t="shared" si="350"/>
        <v>0.19427602227284557</v>
      </c>
      <c r="BC371" s="39">
        <f t="shared" si="351"/>
        <v>0.3548378216066651</v>
      </c>
      <c r="BD371" s="39">
        <f t="shared" si="352"/>
        <v>0.54269454187878841</v>
      </c>
      <c r="BE371" s="39">
        <f t="shared" si="353"/>
        <v>0.76298435168172174</v>
      </c>
      <c r="BF371" s="39">
        <f t="shared" si="354"/>
        <v>1.0503753777108147</v>
      </c>
      <c r="BG371" s="39">
        <f t="shared" si="355"/>
        <v>0.76477715545439739</v>
      </c>
      <c r="BH371" s="84">
        <f t="shared" si="356"/>
        <v>0</v>
      </c>
      <c r="BI371" s="84">
        <f t="shared" si="357"/>
        <v>0</v>
      </c>
      <c r="BJ371" s="84">
        <f t="shared" si="358"/>
        <v>0</v>
      </c>
      <c r="BK371" s="39">
        <f t="shared" si="359"/>
        <v>67.307294411939537</v>
      </c>
      <c r="BL371" s="39">
        <f t="shared" si="360"/>
        <v>67.72557752593994</v>
      </c>
      <c r="BM371" s="39">
        <f t="shared" si="361"/>
        <v>45.057246754580255</v>
      </c>
      <c r="BN371" s="39">
        <f t="shared" si="362"/>
        <v>59.958300401191607</v>
      </c>
      <c r="BO371" s="39">
        <f t="shared" si="363"/>
        <v>60.394994333850228</v>
      </c>
      <c r="BP371" s="39">
        <f t="shared" si="364"/>
        <v>56.247163651677333</v>
      </c>
      <c r="BQ371" s="39">
        <f t="shared" si="365"/>
        <v>65.00360301953053</v>
      </c>
      <c r="BR371" s="39">
        <f t="shared" si="366"/>
        <v>74.06586929864082</v>
      </c>
      <c r="BS371" s="39">
        <f t="shared" si="367"/>
        <v>4.3843766471637222</v>
      </c>
      <c r="BT371" s="39">
        <f t="shared" si="368"/>
        <v>1.0353465155639638</v>
      </c>
      <c r="BU371" s="39">
        <f t="shared" si="369"/>
        <v>0</v>
      </c>
      <c r="BV371" s="39">
        <f t="shared" si="370"/>
        <v>0</v>
      </c>
      <c r="BW371" s="39">
        <f t="shared" si="371"/>
        <v>0</v>
      </c>
      <c r="BX371" s="39">
        <f t="shared" si="372"/>
        <v>0</v>
      </c>
      <c r="BY371" s="39">
        <f t="shared" si="373"/>
        <v>0</v>
      </c>
      <c r="BZ371" s="39">
        <f t="shared" si="374"/>
        <v>0</v>
      </c>
      <c r="CA371" s="39">
        <f t="shared" si="375"/>
        <v>62.922917764775818</v>
      </c>
      <c r="CB371" s="39">
        <f t="shared" si="376"/>
        <v>71.074607657539701</v>
      </c>
      <c r="CC371" s="39">
        <f t="shared" si="377"/>
        <v>46.092593270144221</v>
      </c>
      <c r="CD371" s="39">
        <f t="shared" si="378"/>
        <v>59.958300401191607</v>
      </c>
      <c r="CE371" s="39">
        <f t="shared" si="379"/>
        <v>60.394994333850228</v>
      </c>
      <c r="CF371" s="39">
        <f t="shared" si="380"/>
        <v>56.247163651677333</v>
      </c>
      <c r="CG371" s="39">
        <f t="shared" si="381"/>
        <v>65.00360301953053</v>
      </c>
      <c r="CH371" s="39">
        <f t="shared" si="382"/>
        <v>74.06586929864082</v>
      </c>
      <c r="CI371" s="39">
        <f t="shared" si="383"/>
        <v>0</v>
      </c>
      <c r="CJ371" s="39">
        <f t="shared" si="384"/>
        <v>0</v>
      </c>
      <c r="CK371" s="39">
        <f t="shared" si="385"/>
        <v>0</v>
      </c>
      <c r="CL371" s="39">
        <f t="shared" si="386"/>
        <v>0</v>
      </c>
      <c r="CM371" s="39">
        <f t="shared" si="387"/>
        <v>0</v>
      </c>
      <c r="CN371" s="39">
        <f t="shared" si="388"/>
        <v>0</v>
      </c>
      <c r="CO371" s="39">
        <f t="shared" si="389"/>
        <v>0</v>
      </c>
      <c r="CP371" s="39">
        <f t="shared" si="390"/>
        <v>0</v>
      </c>
    </row>
    <row r="372" spans="12:94" ht="16" customHeight="1" x14ac:dyDescent="0.2">
      <c r="L372" s="63">
        <v>30684</v>
      </c>
      <c r="M372" s="38">
        <v>0</v>
      </c>
      <c r="N372" s="38">
        <v>5.8</v>
      </c>
      <c r="O372" s="39">
        <v>2.0059999999999998</v>
      </c>
      <c r="P372" s="39">
        <v>1.1000000000000001</v>
      </c>
      <c r="Q372" s="46">
        <f t="shared" si="321"/>
        <v>8.3264355882211177E-2</v>
      </c>
      <c r="R372" s="81">
        <f t="shared" si="322"/>
        <v>0</v>
      </c>
      <c r="S372" s="82">
        <f t="shared" si="323"/>
        <v>0</v>
      </c>
      <c r="T372" s="39">
        <f t="shared" si="324"/>
        <v>0</v>
      </c>
      <c r="U372" s="83">
        <f t="shared" si="325"/>
        <v>6.38</v>
      </c>
      <c r="V372" s="84">
        <f t="shared" si="326"/>
        <v>0</v>
      </c>
      <c r="W372" s="52">
        <f t="shared" si="327"/>
        <v>91.048419093651319</v>
      </c>
      <c r="X372" s="52">
        <f t="shared" si="328"/>
        <v>114.71163030369891</v>
      </c>
      <c r="Y372" s="52">
        <f t="shared" si="329"/>
        <v>205.76004939735023</v>
      </c>
      <c r="Z372" s="53">
        <f t="shared" si="330"/>
        <v>0.71131577416915093</v>
      </c>
      <c r="AA372" s="53">
        <f t="shared" si="331"/>
        <v>0.682807323236303</v>
      </c>
      <c r="AB372" s="53">
        <f t="shared" si="332"/>
        <v>0.69513530201807505</v>
      </c>
      <c r="AC372" s="39" t="str">
        <f t="shared" si="333"/>
        <v>No</v>
      </c>
      <c r="AD372" s="85">
        <f t="shared" si="334"/>
        <v>3.3399999999999874E-2</v>
      </c>
      <c r="AE372" s="46">
        <f t="shared" si="335"/>
        <v>1</v>
      </c>
      <c r="AF372" s="46">
        <f t="shared" si="336"/>
        <v>2.0059999999999998</v>
      </c>
      <c r="AG372" s="39">
        <f t="shared" si="391"/>
        <v>62.922917764775818</v>
      </c>
      <c r="AH372" s="39">
        <f t="shared" si="392"/>
        <v>71.074607657539701</v>
      </c>
      <c r="AI372" s="39">
        <f t="shared" si="393"/>
        <v>46.092593270144221</v>
      </c>
      <c r="AJ372" s="39">
        <f t="shared" si="394"/>
        <v>59.958300401191607</v>
      </c>
      <c r="AK372" s="39">
        <f t="shared" si="395"/>
        <v>60.394994333850228</v>
      </c>
      <c r="AL372" s="39">
        <f t="shared" si="396"/>
        <v>56.247163651677333</v>
      </c>
      <c r="AM372" s="39">
        <f t="shared" si="397"/>
        <v>65.00360301953053</v>
      </c>
      <c r="AN372" s="39">
        <f t="shared" si="398"/>
        <v>74.06586929864082</v>
      </c>
      <c r="AO372" s="39">
        <f t="shared" si="337"/>
        <v>3.2922917764775819</v>
      </c>
      <c r="AP372" s="39">
        <f t="shared" si="338"/>
        <v>3.3074607657539703</v>
      </c>
      <c r="AQ372" s="39">
        <f t="shared" si="339"/>
        <v>0.72757456368971929</v>
      </c>
      <c r="AR372" s="39">
        <f t="shared" si="340"/>
        <v>1.0654797661537561</v>
      </c>
      <c r="AS372" s="39">
        <f t="shared" si="341"/>
        <v>1.6113134121065824</v>
      </c>
      <c r="AT372" s="39">
        <f t="shared" si="342"/>
        <v>2.3247163651677325</v>
      </c>
      <c r="AU372" s="39">
        <f t="shared" si="343"/>
        <v>3.2003603019530527</v>
      </c>
      <c r="AV372" s="39">
        <f t="shared" si="344"/>
        <v>2.8198563585066654</v>
      </c>
      <c r="AW372" s="39">
        <f t="shared" si="345"/>
        <v>18.349053309809062</v>
      </c>
      <c r="AX372" s="39">
        <f t="shared" si="346"/>
        <v>6.38</v>
      </c>
      <c r="AY372" s="39">
        <f t="shared" si="347"/>
        <v>6.38</v>
      </c>
      <c r="AZ372" s="39">
        <f t="shared" si="348"/>
        <v>1.1447359806131354</v>
      </c>
      <c r="BA372" s="39">
        <f t="shared" si="349"/>
        <v>1.1500102664277405</v>
      </c>
      <c r="BB372" s="39">
        <f t="shared" si="350"/>
        <v>0.25297903046905001</v>
      </c>
      <c r="BC372" s="39">
        <f t="shared" si="351"/>
        <v>0.37046929851291061</v>
      </c>
      <c r="BD372" s="39">
        <f t="shared" si="352"/>
        <v>0.56025667350066521</v>
      </c>
      <c r="BE372" s="39">
        <f t="shared" si="353"/>
        <v>0.80830820856798036</v>
      </c>
      <c r="BF372" s="39">
        <f t="shared" si="354"/>
        <v>1.1127712357533581</v>
      </c>
      <c r="BG372" s="39">
        <f t="shared" si="355"/>
        <v>0.98046930615515948</v>
      </c>
      <c r="BH372" s="84">
        <f t="shared" si="356"/>
        <v>0</v>
      </c>
      <c r="BI372" s="84">
        <f t="shared" si="357"/>
        <v>0</v>
      </c>
      <c r="BJ372" s="84">
        <f t="shared" si="358"/>
        <v>0</v>
      </c>
      <c r="BK372" s="39">
        <f t="shared" si="359"/>
        <v>61.778181784162683</v>
      </c>
      <c r="BL372" s="39">
        <f t="shared" si="360"/>
        <v>69.924597391111959</v>
      </c>
      <c r="BM372" s="39">
        <f t="shared" si="361"/>
        <v>45.839614239675171</v>
      </c>
      <c r="BN372" s="39">
        <f t="shared" si="362"/>
        <v>59.587831102678699</v>
      </c>
      <c r="BO372" s="39">
        <f t="shared" si="363"/>
        <v>59.83473766034956</v>
      </c>
      <c r="BP372" s="39">
        <f t="shared" si="364"/>
        <v>55.438855443109354</v>
      </c>
      <c r="BQ372" s="39">
        <f t="shared" si="365"/>
        <v>63.890831783777173</v>
      </c>
      <c r="BR372" s="39">
        <f t="shared" si="366"/>
        <v>73.085399992485662</v>
      </c>
      <c r="BS372" s="39">
        <f t="shared" si="367"/>
        <v>1.0669090704976099</v>
      </c>
      <c r="BT372" s="39">
        <f t="shared" si="368"/>
        <v>2.3547584346671755</v>
      </c>
      <c r="BU372" s="39">
        <f t="shared" si="369"/>
        <v>0</v>
      </c>
      <c r="BV372" s="39">
        <f t="shared" si="370"/>
        <v>0</v>
      </c>
      <c r="BW372" s="39">
        <f t="shared" si="371"/>
        <v>0</v>
      </c>
      <c r="BX372" s="39">
        <f t="shared" si="372"/>
        <v>0</v>
      </c>
      <c r="BY372" s="39">
        <f t="shared" si="373"/>
        <v>0</v>
      </c>
      <c r="BZ372" s="39">
        <f t="shared" si="374"/>
        <v>0</v>
      </c>
      <c r="CA372" s="39">
        <f t="shared" si="375"/>
        <v>60.711272713665075</v>
      </c>
      <c r="CB372" s="39">
        <f t="shared" si="376"/>
        <v>68.636748026942399</v>
      </c>
      <c r="CC372" s="39">
        <f t="shared" si="377"/>
        <v>48.194372674342347</v>
      </c>
      <c r="CD372" s="39">
        <f t="shared" si="378"/>
        <v>59.587831102678699</v>
      </c>
      <c r="CE372" s="39">
        <f t="shared" si="379"/>
        <v>59.83473766034956</v>
      </c>
      <c r="CF372" s="39">
        <f t="shared" si="380"/>
        <v>55.438855443109354</v>
      </c>
      <c r="CG372" s="39">
        <f t="shared" si="381"/>
        <v>63.890831783777173</v>
      </c>
      <c r="CH372" s="39">
        <f t="shared" si="382"/>
        <v>73.085399992485662</v>
      </c>
      <c r="CI372" s="39">
        <f t="shared" si="383"/>
        <v>0</v>
      </c>
      <c r="CJ372" s="39">
        <f t="shared" si="384"/>
        <v>0</v>
      </c>
      <c r="CK372" s="39">
        <f t="shared" si="385"/>
        <v>0</v>
      </c>
      <c r="CL372" s="39">
        <f t="shared" si="386"/>
        <v>0</v>
      </c>
      <c r="CM372" s="39">
        <f t="shared" si="387"/>
        <v>0</v>
      </c>
      <c r="CN372" s="39">
        <f t="shared" si="388"/>
        <v>0</v>
      </c>
      <c r="CO372" s="39">
        <f t="shared" si="389"/>
        <v>0</v>
      </c>
      <c r="CP372" s="39">
        <f t="shared" si="390"/>
        <v>0</v>
      </c>
    </row>
    <row r="373" spans="12:94" ht="16" customHeight="1" x14ac:dyDescent="0.2">
      <c r="L373" s="63">
        <v>30685</v>
      </c>
      <c r="M373" s="38">
        <v>0</v>
      </c>
      <c r="N373" s="38">
        <v>5.8</v>
      </c>
      <c r="O373" s="39">
        <v>2.0415999999999999</v>
      </c>
      <c r="P373" s="39">
        <v>1.1000000000000001</v>
      </c>
      <c r="Q373" s="46">
        <f t="shared" si="321"/>
        <v>8.7747420175003227E-2</v>
      </c>
      <c r="R373" s="81">
        <f t="shared" si="322"/>
        <v>0</v>
      </c>
      <c r="S373" s="82">
        <f t="shared" si="323"/>
        <v>0</v>
      </c>
      <c r="T373" s="39">
        <f t="shared" si="324"/>
        <v>0</v>
      </c>
      <c r="U373" s="83">
        <f t="shared" si="325"/>
        <v>6.38</v>
      </c>
      <c r="V373" s="84">
        <f t="shared" si="326"/>
        <v>0</v>
      </c>
      <c r="W373" s="52">
        <f t="shared" si="327"/>
        <v>88.130224517628506</v>
      </c>
      <c r="X373" s="52">
        <f t="shared" si="328"/>
        <v>111.24982487972176</v>
      </c>
      <c r="Y373" s="52">
        <f t="shared" si="329"/>
        <v>199.38004939735026</v>
      </c>
      <c r="Z373" s="53">
        <f t="shared" si="330"/>
        <v>0.6885173790439727</v>
      </c>
      <c r="AA373" s="53">
        <f t="shared" si="331"/>
        <v>0.66220133856977237</v>
      </c>
      <c r="AB373" s="53">
        <f t="shared" si="332"/>
        <v>0.67358124796402119</v>
      </c>
      <c r="AC373" s="39" t="str">
        <f t="shared" si="333"/>
        <v>No</v>
      </c>
      <c r="AD373" s="85">
        <f t="shared" si="334"/>
        <v>3.5600000000000076E-2</v>
      </c>
      <c r="AE373" s="46">
        <f t="shared" si="335"/>
        <v>1</v>
      </c>
      <c r="AF373" s="46">
        <f t="shared" si="336"/>
        <v>2.0415999999999999</v>
      </c>
      <c r="AG373" s="39">
        <f t="shared" si="391"/>
        <v>60.711272713665075</v>
      </c>
      <c r="AH373" s="39">
        <f t="shared" si="392"/>
        <v>68.636748026942399</v>
      </c>
      <c r="AI373" s="39">
        <f t="shared" si="393"/>
        <v>48.194372674342347</v>
      </c>
      <c r="AJ373" s="39">
        <f t="shared" si="394"/>
        <v>59.587831102678699</v>
      </c>
      <c r="AK373" s="39">
        <f t="shared" si="395"/>
        <v>59.83473766034956</v>
      </c>
      <c r="AL373" s="39">
        <f t="shared" si="396"/>
        <v>55.438855443109354</v>
      </c>
      <c r="AM373" s="39">
        <f t="shared" si="397"/>
        <v>63.890831783777173</v>
      </c>
      <c r="AN373" s="39">
        <f t="shared" si="398"/>
        <v>73.085399992485662</v>
      </c>
      <c r="AO373" s="39">
        <f t="shared" si="337"/>
        <v>3.0711272713665076</v>
      </c>
      <c r="AP373" s="39">
        <f t="shared" si="338"/>
        <v>3.0636748026942402</v>
      </c>
      <c r="AQ373" s="39">
        <f t="shared" si="339"/>
        <v>1.0621623208624833</v>
      </c>
      <c r="AR373" s="39">
        <f t="shared" si="340"/>
        <v>1.0133562680013324</v>
      </c>
      <c r="AS373" s="39">
        <f t="shared" si="341"/>
        <v>1.5146565114928154</v>
      </c>
      <c r="AT373" s="39">
        <f t="shared" si="342"/>
        <v>2.2438855443109347</v>
      </c>
      <c r="AU373" s="39">
        <f t="shared" si="343"/>
        <v>3.0890831783777166</v>
      </c>
      <c r="AV373" s="39">
        <f t="shared" si="344"/>
        <v>3.2282108793948416</v>
      </c>
      <c r="AW373" s="39">
        <f t="shared" si="345"/>
        <v>18.286156776500871</v>
      </c>
      <c r="AX373" s="39">
        <f t="shared" si="346"/>
        <v>6.38</v>
      </c>
      <c r="AY373" s="39">
        <f t="shared" si="347"/>
        <v>6.38</v>
      </c>
      <c r="AZ373" s="39">
        <f t="shared" si="348"/>
        <v>1.0715095703706237</v>
      </c>
      <c r="BA373" s="39">
        <f t="shared" si="349"/>
        <v>1.0689094203932286</v>
      </c>
      <c r="BB373" s="39">
        <f t="shared" si="350"/>
        <v>0.37058610455593893</v>
      </c>
      <c r="BC373" s="39">
        <f t="shared" si="351"/>
        <v>0.35355777973843033</v>
      </c>
      <c r="BD373" s="39">
        <f t="shared" si="352"/>
        <v>0.52846033540205228</v>
      </c>
      <c r="BE373" s="39">
        <f t="shared" si="353"/>
        <v>0.78288674584158213</v>
      </c>
      <c r="BF373" s="39">
        <f t="shared" si="354"/>
        <v>1.0777743469517111</v>
      </c>
      <c r="BG373" s="39">
        <f t="shared" si="355"/>
        <v>1.1263156967464332</v>
      </c>
      <c r="BH373" s="84">
        <f t="shared" si="356"/>
        <v>0</v>
      </c>
      <c r="BI373" s="84">
        <f t="shared" si="357"/>
        <v>0</v>
      </c>
      <c r="BJ373" s="84">
        <f t="shared" si="358"/>
        <v>0</v>
      </c>
      <c r="BK373" s="39">
        <f t="shared" si="359"/>
        <v>59.639763143294452</v>
      </c>
      <c r="BL373" s="39">
        <f t="shared" si="360"/>
        <v>67.567838606549174</v>
      </c>
      <c r="BM373" s="39">
        <f t="shared" si="361"/>
        <v>47.823786569786407</v>
      </c>
      <c r="BN373" s="39">
        <f t="shared" si="362"/>
        <v>59.234273322940268</v>
      </c>
      <c r="BO373" s="39">
        <f t="shared" si="363"/>
        <v>59.306277324947509</v>
      </c>
      <c r="BP373" s="39">
        <f t="shared" si="364"/>
        <v>54.655968697267774</v>
      </c>
      <c r="BQ373" s="39">
        <f t="shared" si="365"/>
        <v>62.81305743682546</v>
      </c>
      <c r="BR373" s="39">
        <f t="shared" si="366"/>
        <v>71.959084295739231</v>
      </c>
      <c r="BS373" s="39">
        <f t="shared" si="367"/>
        <v>0</v>
      </c>
      <c r="BT373" s="39">
        <f t="shared" si="368"/>
        <v>0.94070316392950415</v>
      </c>
      <c r="BU373" s="39">
        <f t="shared" si="369"/>
        <v>0</v>
      </c>
      <c r="BV373" s="39">
        <f t="shared" si="370"/>
        <v>0</v>
      </c>
      <c r="BW373" s="39">
        <f t="shared" si="371"/>
        <v>0</v>
      </c>
      <c r="BX373" s="39">
        <f t="shared" si="372"/>
        <v>0</v>
      </c>
      <c r="BY373" s="39">
        <f t="shared" si="373"/>
        <v>0</v>
      </c>
      <c r="BZ373" s="39">
        <f t="shared" si="374"/>
        <v>0</v>
      </c>
      <c r="CA373" s="39">
        <f t="shared" si="375"/>
        <v>59.639763143294452</v>
      </c>
      <c r="CB373" s="39">
        <f t="shared" si="376"/>
        <v>66.627135442619675</v>
      </c>
      <c r="CC373" s="39">
        <f t="shared" si="377"/>
        <v>48.764489733715912</v>
      </c>
      <c r="CD373" s="39">
        <f t="shared" si="378"/>
        <v>59.234273322940268</v>
      </c>
      <c r="CE373" s="39">
        <f t="shared" si="379"/>
        <v>59.306277324947509</v>
      </c>
      <c r="CF373" s="39">
        <f t="shared" si="380"/>
        <v>54.655968697267774</v>
      </c>
      <c r="CG373" s="39">
        <f t="shared" si="381"/>
        <v>62.81305743682546</v>
      </c>
      <c r="CH373" s="39">
        <f t="shared" si="382"/>
        <v>71.959084295739231</v>
      </c>
      <c r="CI373" s="39">
        <f t="shared" si="383"/>
        <v>0</v>
      </c>
      <c r="CJ373" s="39">
        <f t="shared" si="384"/>
        <v>0</v>
      </c>
      <c r="CK373" s="39">
        <f t="shared" si="385"/>
        <v>0</v>
      </c>
      <c r="CL373" s="39">
        <f t="shared" si="386"/>
        <v>0</v>
      </c>
      <c r="CM373" s="39">
        <f t="shared" si="387"/>
        <v>0</v>
      </c>
      <c r="CN373" s="39">
        <f t="shared" si="388"/>
        <v>0</v>
      </c>
      <c r="CO373" s="39">
        <f t="shared" si="389"/>
        <v>0</v>
      </c>
      <c r="CP373" s="39">
        <f t="shared" si="390"/>
        <v>0</v>
      </c>
    </row>
    <row r="374" spans="12:94" ht="16" customHeight="1" x14ac:dyDescent="0.2">
      <c r="L374" s="63">
        <v>30686</v>
      </c>
      <c r="M374" s="38">
        <v>0</v>
      </c>
      <c r="N374" s="38">
        <v>6.4</v>
      </c>
      <c r="O374" s="39">
        <v>2.0838000000000001</v>
      </c>
      <c r="P374" s="39">
        <v>1.1000000000000001</v>
      </c>
      <c r="Q374" s="46">
        <f t="shared" si="321"/>
        <v>8.9919399033862604E-2</v>
      </c>
      <c r="R374" s="81">
        <f t="shared" si="322"/>
        <v>0</v>
      </c>
      <c r="S374" s="82">
        <f t="shared" si="323"/>
        <v>0</v>
      </c>
      <c r="T374" s="39">
        <f t="shared" si="324"/>
        <v>0</v>
      </c>
      <c r="U374" s="83">
        <f t="shared" si="325"/>
        <v>7.0400000000000009</v>
      </c>
      <c r="V374" s="84">
        <f t="shared" si="326"/>
        <v>0</v>
      </c>
      <c r="W374" s="52">
        <f t="shared" si="327"/>
        <v>85.265661642570308</v>
      </c>
      <c r="X374" s="52">
        <f t="shared" si="328"/>
        <v>107.73438775477996</v>
      </c>
      <c r="Y374" s="52">
        <f t="shared" si="329"/>
        <v>193.00004939735027</v>
      </c>
      <c r="Z374" s="53">
        <f t="shared" si="330"/>
        <v>0.66613798158258053</v>
      </c>
      <c r="AA374" s="53">
        <f t="shared" si="331"/>
        <v>0.64127611758797598</v>
      </c>
      <c r="AB374" s="53">
        <f t="shared" si="332"/>
        <v>0.65202719390996711</v>
      </c>
      <c r="AC374" s="39" t="str">
        <f t="shared" si="333"/>
        <v>No</v>
      </c>
      <c r="AD374" s="85">
        <f t="shared" si="334"/>
        <v>4.2200000000000237E-2</v>
      </c>
      <c r="AE374" s="46">
        <f t="shared" si="335"/>
        <v>1</v>
      </c>
      <c r="AF374" s="46">
        <f t="shared" si="336"/>
        <v>2.0838000000000001</v>
      </c>
      <c r="AG374" s="39">
        <f t="shared" si="391"/>
        <v>59.639763143294452</v>
      </c>
      <c r="AH374" s="39">
        <f t="shared" si="392"/>
        <v>66.627135442619675</v>
      </c>
      <c r="AI374" s="39">
        <f t="shared" si="393"/>
        <v>48.764489733715912</v>
      </c>
      <c r="AJ374" s="39">
        <f t="shared" si="394"/>
        <v>59.234273322940268</v>
      </c>
      <c r="AK374" s="39">
        <f t="shared" si="395"/>
        <v>59.306277324947509</v>
      </c>
      <c r="AL374" s="39">
        <f t="shared" si="396"/>
        <v>54.655968697267774</v>
      </c>
      <c r="AM374" s="39">
        <f t="shared" si="397"/>
        <v>62.81305743682546</v>
      </c>
      <c r="AN374" s="39">
        <f t="shared" si="398"/>
        <v>71.959084295739231</v>
      </c>
      <c r="AO374" s="39">
        <f t="shared" si="337"/>
        <v>2.9639763143294453</v>
      </c>
      <c r="AP374" s="39">
        <f t="shared" si="338"/>
        <v>2.8627135442619678</v>
      </c>
      <c r="AQ374" s="39">
        <f t="shared" si="339"/>
        <v>1.1638014154438521</v>
      </c>
      <c r="AR374" s="39">
        <f t="shared" si="340"/>
        <v>0.96483112872461319</v>
      </c>
      <c r="AS374" s="39">
        <f t="shared" si="341"/>
        <v>1.4262249278475838</v>
      </c>
      <c r="AT374" s="39">
        <f t="shared" si="342"/>
        <v>2.1655968697267767</v>
      </c>
      <c r="AU374" s="39">
        <f t="shared" si="343"/>
        <v>2.9813057436825456</v>
      </c>
      <c r="AV374" s="39">
        <f t="shared" si="344"/>
        <v>3.6855293743769311</v>
      </c>
      <c r="AW374" s="39">
        <f t="shared" si="345"/>
        <v>18.213979318393715</v>
      </c>
      <c r="AX374" s="39">
        <f t="shared" si="346"/>
        <v>7.0400000000000009</v>
      </c>
      <c r="AY374" s="39">
        <f t="shared" si="347"/>
        <v>7.0400000000000009</v>
      </c>
      <c r="AZ374" s="39">
        <f t="shared" si="348"/>
        <v>1.145625175483042</v>
      </c>
      <c r="BA374" s="39">
        <f t="shared" si="349"/>
        <v>1.1064854636818369</v>
      </c>
      <c r="BB374" s="39">
        <f t="shared" si="350"/>
        <v>0.44982822377813442</v>
      </c>
      <c r="BC374" s="39">
        <f t="shared" si="351"/>
        <v>0.37292296359213711</v>
      </c>
      <c r="BD374" s="39">
        <f t="shared" si="352"/>
        <v>0.55125919034657556</v>
      </c>
      <c r="BE374" s="39">
        <f t="shared" si="353"/>
        <v>0.83703850193133034</v>
      </c>
      <c r="BF374" s="39">
        <f t="shared" si="354"/>
        <v>1.1523232824981644</v>
      </c>
      <c r="BG374" s="39">
        <f t="shared" si="355"/>
        <v>1.4245171986887806</v>
      </c>
      <c r="BH374" s="84">
        <f t="shared" si="356"/>
        <v>0</v>
      </c>
      <c r="BI374" s="84">
        <f t="shared" si="357"/>
        <v>0</v>
      </c>
      <c r="BJ374" s="84">
        <f t="shared" si="358"/>
        <v>0</v>
      </c>
      <c r="BK374" s="39">
        <f t="shared" si="359"/>
        <v>58.494137967811412</v>
      </c>
      <c r="BL374" s="39">
        <f t="shared" si="360"/>
        <v>65.52064997893784</v>
      </c>
      <c r="BM374" s="39">
        <f t="shared" si="361"/>
        <v>48.314661509937778</v>
      </c>
      <c r="BN374" s="39">
        <f t="shared" si="362"/>
        <v>58.86135035934813</v>
      </c>
      <c r="BO374" s="39">
        <f t="shared" si="363"/>
        <v>58.755018134600931</v>
      </c>
      <c r="BP374" s="39">
        <f t="shared" si="364"/>
        <v>53.818930195336442</v>
      </c>
      <c r="BQ374" s="39">
        <f t="shared" si="365"/>
        <v>61.660734154327294</v>
      </c>
      <c r="BR374" s="39">
        <f t="shared" si="366"/>
        <v>70.534567097050456</v>
      </c>
      <c r="BS374" s="39">
        <f t="shared" si="367"/>
        <v>0</v>
      </c>
      <c r="BT374" s="39">
        <f t="shared" si="368"/>
        <v>0</v>
      </c>
      <c r="BU374" s="39">
        <f t="shared" si="369"/>
        <v>0</v>
      </c>
      <c r="BV374" s="39">
        <f t="shared" si="370"/>
        <v>0</v>
      </c>
      <c r="BW374" s="39">
        <f t="shared" si="371"/>
        <v>0</v>
      </c>
      <c r="BX374" s="39">
        <f t="shared" si="372"/>
        <v>0</v>
      </c>
      <c r="BY374" s="39">
        <f t="shared" si="373"/>
        <v>0</v>
      </c>
      <c r="BZ374" s="39">
        <f t="shared" si="374"/>
        <v>0</v>
      </c>
      <c r="CA374" s="39">
        <f t="shared" si="375"/>
        <v>58.494137967811412</v>
      </c>
      <c r="CB374" s="39">
        <f t="shared" si="376"/>
        <v>65.52064997893784</v>
      </c>
      <c r="CC374" s="39">
        <f t="shared" si="377"/>
        <v>48.314661509937778</v>
      </c>
      <c r="CD374" s="39">
        <f t="shared" si="378"/>
        <v>58.86135035934813</v>
      </c>
      <c r="CE374" s="39">
        <f t="shared" si="379"/>
        <v>58.755018134600931</v>
      </c>
      <c r="CF374" s="39">
        <f t="shared" si="380"/>
        <v>53.818930195336442</v>
      </c>
      <c r="CG374" s="39">
        <f t="shared" si="381"/>
        <v>61.660734154327294</v>
      </c>
      <c r="CH374" s="39">
        <f t="shared" si="382"/>
        <v>70.534567097050456</v>
      </c>
      <c r="CI374" s="39">
        <f t="shared" si="383"/>
        <v>0</v>
      </c>
      <c r="CJ374" s="39">
        <f t="shared" si="384"/>
        <v>0</v>
      </c>
      <c r="CK374" s="39">
        <f t="shared" si="385"/>
        <v>0</v>
      </c>
      <c r="CL374" s="39">
        <f t="shared" si="386"/>
        <v>0</v>
      </c>
      <c r="CM374" s="39">
        <f t="shared" si="387"/>
        <v>0</v>
      </c>
      <c r="CN374" s="39">
        <f t="shared" si="388"/>
        <v>0</v>
      </c>
      <c r="CO374" s="39">
        <f t="shared" si="389"/>
        <v>0</v>
      </c>
      <c r="CP374" s="39">
        <f t="shared" si="390"/>
        <v>0</v>
      </c>
    </row>
    <row r="375" spans="12:94" ht="16" customHeight="1" x14ac:dyDescent="0.2">
      <c r="L375" s="63">
        <v>30687</v>
      </c>
      <c r="M375" s="38">
        <v>5.7</v>
      </c>
      <c r="N375" s="38">
        <v>3.8</v>
      </c>
      <c r="O375" s="39">
        <v>2.1257999999999999</v>
      </c>
      <c r="P375" s="39">
        <v>1.1000000000000001</v>
      </c>
      <c r="Q375" s="46">
        <f t="shared" si="321"/>
        <v>9.22416122274093E-2</v>
      </c>
      <c r="R375" s="81">
        <f t="shared" si="322"/>
        <v>0</v>
      </c>
      <c r="S375" s="82">
        <f t="shared" si="323"/>
        <v>5.7</v>
      </c>
      <c r="T375" s="39">
        <f t="shared" si="324"/>
        <v>0</v>
      </c>
      <c r="U375" s="83">
        <f t="shared" si="325"/>
        <v>4.18</v>
      </c>
      <c r="V375" s="84">
        <f t="shared" si="326"/>
        <v>0</v>
      </c>
      <c r="W375" s="52">
        <f t="shared" si="327"/>
        <v>82.190799816035167</v>
      </c>
      <c r="X375" s="52">
        <f t="shared" si="328"/>
        <v>103.76924958131511</v>
      </c>
      <c r="Y375" s="52">
        <f t="shared" si="329"/>
        <v>185.96004939735028</v>
      </c>
      <c r="Z375" s="53">
        <f t="shared" si="330"/>
        <v>0.64211562356277474</v>
      </c>
      <c r="AA375" s="53">
        <f t="shared" si="331"/>
        <v>0.61767410465068517</v>
      </c>
      <c r="AB375" s="53">
        <f t="shared" si="332"/>
        <v>0.62824341012618334</v>
      </c>
      <c r="AC375" s="39" t="str">
        <f t="shared" si="333"/>
        <v>No</v>
      </c>
      <c r="AD375" s="85">
        <f t="shared" si="334"/>
        <v>4.1999999999999815E-2</v>
      </c>
      <c r="AE375" s="46">
        <f t="shared" si="335"/>
        <v>1</v>
      </c>
      <c r="AF375" s="46">
        <f t="shared" si="336"/>
        <v>2.1257999999999999</v>
      </c>
      <c r="AG375" s="39">
        <f t="shared" si="391"/>
        <v>58.494137967811412</v>
      </c>
      <c r="AH375" s="39">
        <f t="shared" si="392"/>
        <v>65.52064997893784</v>
      </c>
      <c r="AI375" s="39">
        <f t="shared" si="393"/>
        <v>48.314661509937778</v>
      </c>
      <c r="AJ375" s="39">
        <f t="shared" si="394"/>
        <v>58.86135035934813</v>
      </c>
      <c r="AK375" s="39">
        <f t="shared" si="395"/>
        <v>58.755018134600931</v>
      </c>
      <c r="AL375" s="39">
        <f t="shared" si="396"/>
        <v>53.818930195336442</v>
      </c>
      <c r="AM375" s="39">
        <f t="shared" si="397"/>
        <v>61.660734154327294</v>
      </c>
      <c r="AN375" s="39">
        <f t="shared" si="398"/>
        <v>70.534567097050456</v>
      </c>
      <c r="AO375" s="39">
        <f t="shared" si="337"/>
        <v>2.8494137967811413</v>
      </c>
      <c r="AP375" s="39">
        <f t="shared" si="338"/>
        <v>2.7520649978937843</v>
      </c>
      <c r="AQ375" s="39">
        <f t="shared" si="339"/>
        <v>1.0832206293167383</v>
      </c>
      <c r="AR375" s="39">
        <f t="shared" si="340"/>
        <v>0.9149382561171443</v>
      </c>
      <c r="AS375" s="39">
        <f t="shared" si="341"/>
        <v>1.3368125366228873</v>
      </c>
      <c r="AT375" s="39">
        <f t="shared" si="342"/>
        <v>2.0639421641823383</v>
      </c>
      <c r="AU375" s="39">
        <f t="shared" si="343"/>
        <v>2.8660734154327288</v>
      </c>
      <c r="AV375" s="39">
        <f t="shared" si="344"/>
        <v>3.7534567097050449</v>
      </c>
      <c r="AW375" s="39">
        <f t="shared" si="345"/>
        <v>17.619922506051807</v>
      </c>
      <c r="AX375" s="39">
        <f t="shared" si="346"/>
        <v>4.18</v>
      </c>
      <c r="AY375" s="39">
        <f t="shared" si="347"/>
        <v>0</v>
      </c>
      <c r="AZ375" s="39">
        <f t="shared" si="348"/>
        <v>0</v>
      </c>
      <c r="BA375" s="39">
        <f t="shared" si="349"/>
        <v>0</v>
      </c>
      <c r="BB375" s="39">
        <f t="shared" si="350"/>
        <v>0</v>
      </c>
      <c r="BC375" s="39">
        <f t="shared" si="351"/>
        <v>0</v>
      </c>
      <c r="BD375" s="39">
        <f t="shared" si="352"/>
        <v>0</v>
      </c>
      <c r="BE375" s="39">
        <f t="shared" si="353"/>
        <v>0</v>
      </c>
      <c r="BF375" s="39">
        <f t="shared" si="354"/>
        <v>0</v>
      </c>
      <c r="BG375" s="39">
        <f t="shared" si="355"/>
        <v>0</v>
      </c>
      <c r="BH375" s="84">
        <f t="shared" si="356"/>
        <v>0</v>
      </c>
      <c r="BI375" s="84">
        <f t="shared" si="357"/>
        <v>0</v>
      </c>
      <c r="BJ375" s="84">
        <f t="shared" si="358"/>
        <v>0</v>
      </c>
      <c r="BK375" s="39">
        <f t="shared" si="359"/>
        <v>58.494137967811412</v>
      </c>
      <c r="BL375" s="39">
        <f t="shared" si="360"/>
        <v>65.52064997893784</v>
      </c>
      <c r="BM375" s="39">
        <f t="shared" si="361"/>
        <v>48.314661509937778</v>
      </c>
      <c r="BN375" s="39">
        <f t="shared" si="362"/>
        <v>58.86135035934813</v>
      </c>
      <c r="BO375" s="39">
        <f t="shared" si="363"/>
        <v>58.755018134600931</v>
      </c>
      <c r="BP375" s="39">
        <f t="shared" si="364"/>
        <v>53.818930195336442</v>
      </c>
      <c r="BQ375" s="39">
        <f t="shared" si="365"/>
        <v>61.660734154327294</v>
      </c>
      <c r="BR375" s="39">
        <f t="shared" si="366"/>
        <v>70.534567097050456</v>
      </c>
      <c r="BS375" s="39">
        <f t="shared" si="367"/>
        <v>0</v>
      </c>
      <c r="BT375" s="39">
        <f t="shared" si="368"/>
        <v>0</v>
      </c>
      <c r="BU375" s="39">
        <f t="shared" si="369"/>
        <v>0</v>
      </c>
      <c r="BV375" s="39">
        <f t="shared" si="370"/>
        <v>0</v>
      </c>
      <c r="BW375" s="39">
        <f t="shared" si="371"/>
        <v>0</v>
      </c>
      <c r="BX375" s="39">
        <f t="shared" si="372"/>
        <v>0</v>
      </c>
      <c r="BY375" s="39">
        <f t="shared" si="373"/>
        <v>0</v>
      </c>
      <c r="BZ375" s="39">
        <f t="shared" si="374"/>
        <v>0</v>
      </c>
      <c r="CA375" s="39">
        <f t="shared" si="375"/>
        <v>64.194137967811415</v>
      </c>
      <c r="CB375" s="39">
        <f t="shared" si="376"/>
        <v>65.52064997893784</v>
      </c>
      <c r="CC375" s="39">
        <f t="shared" si="377"/>
        <v>48.314661509937778</v>
      </c>
      <c r="CD375" s="39">
        <f t="shared" si="378"/>
        <v>58.86135035934813</v>
      </c>
      <c r="CE375" s="39">
        <f t="shared" si="379"/>
        <v>58.755018134600931</v>
      </c>
      <c r="CF375" s="39">
        <f t="shared" si="380"/>
        <v>53.818930195336442</v>
      </c>
      <c r="CG375" s="39">
        <f t="shared" si="381"/>
        <v>61.660734154327294</v>
      </c>
      <c r="CH375" s="39">
        <f t="shared" si="382"/>
        <v>70.534567097050456</v>
      </c>
      <c r="CI375" s="39">
        <f t="shared" si="383"/>
        <v>0</v>
      </c>
      <c r="CJ375" s="39">
        <f t="shared" si="384"/>
        <v>0</v>
      </c>
      <c r="CK375" s="39">
        <f t="shared" si="385"/>
        <v>0</v>
      </c>
      <c r="CL375" s="39">
        <f t="shared" si="386"/>
        <v>0</v>
      </c>
      <c r="CM375" s="39">
        <f t="shared" si="387"/>
        <v>0</v>
      </c>
      <c r="CN375" s="39">
        <f t="shared" si="388"/>
        <v>0</v>
      </c>
      <c r="CO375" s="39">
        <f t="shared" si="389"/>
        <v>0</v>
      </c>
      <c r="CP375" s="39">
        <f t="shared" si="390"/>
        <v>0</v>
      </c>
    </row>
    <row r="376" spans="12:94" ht="16" customHeight="1" x14ac:dyDescent="0.2">
      <c r="L376" s="63">
        <v>30688</v>
      </c>
      <c r="M376" s="38">
        <v>2.2000000000000002</v>
      </c>
      <c r="N376" s="38">
        <v>2.1</v>
      </c>
      <c r="O376" s="39">
        <v>2.16</v>
      </c>
      <c r="P376" s="39">
        <v>1.1000000000000001</v>
      </c>
      <c r="Q376" s="46">
        <f t="shared" si="321"/>
        <v>8.0687558173355239E-2</v>
      </c>
      <c r="R376" s="81">
        <f t="shared" si="322"/>
        <v>0</v>
      </c>
      <c r="S376" s="82">
        <f t="shared" si="323"/>
        <v>2.2000000000000002</v>
      </c>
      <c r="T376" s="39">
        <f t="shared" si="324"/>
        <v>0</v>
      </c>
      <c r="U376" s="83">
        <f t="shared" si="325"/>
        <v>2.3100000000000005</v>
      </c>
      <c r="V376" s="84">
        <f t="shared" si="326"/>
        <v>0</v>
      </c>
      <c r="W376" s="52">
        <f t="shared" si="327"/>
        <v>87.890799816035155</v>
      </c>
      <c r="X376" s="52">
        <f t="shared" si="328"/>
        <v>103.76924958131511</v>
      </c>
      <c r="Y376" s="52">
        <f t="shared" si="329"/>
        <v>191.66004939735026</v>
      </c>
      <c r="Z376" s="53">
        <f t="shared" si="330"/>
        <v>0.68664687356277465</v>
      </c>
      <c r="AA376" s="53">
        <f t="shared" si="331"/>
        <v>0.61767410465068517</v>
      </c>
      <c r="AB376" s="53">
        <f t="shared" si="332"/>
        <v>0.6475001668829401</v>
      </c>
      <c r="AC376" s="39" t="str">
        <f t="shared" si="333"/>
        <v>No</v>
      </c>
      <c r="AD376" s="85">
        <f t="shared" si="334"/>
        <v>3.420000000000023E-2</v>
      </c>
      <c r="AE376" s="46">
        <f t="shared" si="335"/>
        <v>0</v>
      </c>
      <c r="AF376" s="46">
        <f t="shared" si="336"/>
        <v>2.1257999999999999</v>
      </c>
      <c r="AG376" s="39">
        <f t="shared" si="391"/>
        <v>64.194137967811415</v>
      </c>
      <c r="AH376" s="39">
        <f t="shared" si="392"/>
        <v>65.52064997893784</v>
      </c>
      <c r="AI376" s="39">
        <f t="shared" si="393"/>
        <v>48.314661509937778</v>
      </c>
      <c r="AJ376" s="39">
        <f t="shared" si="394"/>
        <v>58.86135035934813</v>
      </c>
      <c r="AK376" s="39">
        <f t="shared" si="395"/>
        <v>58.755018134600931</v>
      </c>
      <c r="AL376" s="39">
        <f t="shared" si="396"/>
        <v>53.818930195336442</v>
      </c>
      <c r="AM376" s="39">
        <f t="shared" si="397"/>
        <v>61.660734154327294</v>
      </c>
      <c r="AN376" s="39">
        <f t="shared" si="398"/>
        <v>70.534567097050456</v>
      </c>
      <c r="AO376" s="39">
        <f t="shared" si="337"/>
        <v>3.4194137967811415</v>
      </c>
      <c r="AP376" s="39">
        <f t="shared" si="338"/>
        <v>2.7520649978937843</v>
      </c>
      <c r="AQ376" s="39">
        <f t="shared" si="339"/>
        <v>1.0832206293167383</v>
      </c>
      <c r="AR376" s="39">
        <f t="shared" si="340"/>
        <v>0.9149382561171443</v>
      </c>
      <c r="AS376" s="39">
        <f t="shared" si="341"/>
        <v>1.3368125366228873</v>
      </c>
      <c r="AT376" s="39">
        <f t="shared" si="342"/>
        <v>2.0639421641823383</v>
      </c>
      <c r="AU376" s="39">
        <f t="shared" si="343"/>
        <v>2.8660734154327288</v>
      </c>
      <c r="AV376" s="39">
        <f t="shared" si="344"/>
        <v>3.7534567097050449</v>
      </c>
      <c r="AW376" s="39">
        <f t="shared" si="345"/>
        <v>18.189922506051808</v>
      </c>
      <c r="AX376" s="39">
        <f t="shared" si="346"/>
        <v>2.3100000000000005</v>
      </c>
      <c r="AY376" s="39">
        <f t="shared" si="347"/>
        <v>0.11000000000000032</v>
      </c>
      <c r="AZ376" s="39">
        <f t="shared" si="348"/>
        <v>2.0678236398246664E-2</v>
      </c>
      <c r="BA376" s="39">
        <f t="shared" si="349"/>
        <v>1.6642575011938589E-2</v>
      </c>
      <c r="BB376" s="39">
        <f t="shared" si="350"/>
        <v>6.5505649727314015E-3</v>
      </c>
      <c r="BC376" s="39">
        <f t="shared" si="351"/>
        <v>5.5329102220969912E-3</v>
      </c>
      <c r="BD376" s="39">
        <f t="shared" si="352"/>
        <v>8.0841124518037134E-3</v>
      </c>
      <c r="BE376" s="39">
        <f t="shared" si="353"/>
        <v>1.2481286711613178E-2</v>
      </c>
      <c r="BF376" s="39">
        <f t="shared" si="354"/>
        <v>1.7332018626946378E-2</v>
      </c>
      <c r="BG376" s="39">
        <f t="shared" si="355"/>
        <v>2.2698295604623407E-2</v>
      </c>
      <c r="BH376" s="84">
        <f t="shared" si="356"/>
        <v>0</v>
      </c>
      <c r="BI376" s="84">
        <f t="shared" si="357"/>
        <v>0</v>
      </c>
      <c r="BJ376" s="84">
        <f t="shared" si="358"/>
        <v>0</v>
      </c>
      <c r="BK376" s="39">
        <f t="shared" si="359"/>
        <v>64.173459731413175</v>
      </c>
      <c r="BL376" s="39">
        <f t="shared" si="360"/>
        <v>65.504007403925897</v>
      </c>
      <c r="BM376" s="39">
        <f t="shared" si="361"/>
        <v>48.308110944965044</v>
      </c>
      <c r="BN376" s="39">
        <f t="shared" si="362"/>
        <v>58.855817449126036</v>
      </c>
      <c r="BO376" s="39">
        <f t="shared" si="363"/>
        <v>58.746934022149127</v>
      </c>
      <c r="BP376" s="39">
        <f t="shared" si="364"/>
        <v>53.80644890862483</v>
      </c>
      <c r="BQ376" s="39">
        <f t="shared" si="365"/>
        <v>61.643402135700349</v>
      </c>
      <c r="BR376" s="39">
        <f t="shared" si="366"/>
        <v>70.511868801445829</v>
      </c>
      <c r="BS376" s="39">
        <f t="shared" si="367"/>
        <v>2.5040758388479047</v>
      </c>
      <c r="BT376" s="39">
        <f t="shared" si="368"/>
        <v>0</v>
      </c>
      <c r="BU376" s="39">
        <f t="shared" si="369"/>
        <v>0</v>
      </c>
      <c r="BV376" s="39">
        <f t="shared" si="370"/>
        <v>0</v>
      </c>
      <c r="BW376" s="39">
        <f t="shared" si="371"/>
        <v>0</v>
      </c>
      <c r="BX376" s="39">
        <f t="shared" si="372"/>
        <v>0</v>
      </c>
      <c r="BY376" s="39">
        <f t="shared" si="373"/>
        <v>0</v>
      </c>
      <c r="BZ376" s="39">
        <f t="shared" si="374"/>
        <v>0</v>
      </c>
      <c r="CA376" s="39">
        <f t="shared" si="375"/>
        <v>63.759383892565268</v>
      </c>
      <c r="CB376" s="39">
        <f t="shared" si="376"/>
        <v>68.008083242773807</v>
      </c>
      <c r="CC376" s="39">
        <f t="shared" si="377"/>
        <v>48.308110944965044</v>
      </c>
      <c r="CD376" s="39">
        <f t="shared" si="378"/>
        <v>58.855817449126036</v>
      </c>
      <c r="CE376" s="39">
        <f t="shared" si="379"/>
        <v>58.746934022149127</v>
      </c>
      <c r="CF376" s="39">
        <f t="shared" si="380"/>
        <v>53.80644890862483</v>
      </c>
      <c r="CG376" s="39">
        <f t="shared" si="381"/>
        <v>61.643402135700349</v>
      </c>
      <c r="CH376" s="39">
        <f t="shared" si="382"/>
        <v>70.511868801445829</v>
      </c>
      <c r="CI376" s="39">
        <f t="shared" si="383"/>
        <v>0</v>
      </c>
      <c r="CJ376" s="39">
        <f t="shared" si="384"/>
        <v>0</v>
      </c>
      <c r="CK376" s="39">
        <f t="shared" si="385"/>
        <v>0</v>
      </c>
      <c r="CL376" s="39">
        <f t="shared" si="386"/>
        <v>0</v>
      </c>
      <c r="CM376" s="39">
        <f t="shared" si="387"/>
        <v>0</v>
      </c>
      <c r="CN376" s="39">
        <f t="shared" si="388"/>
        <v>0</v>
      </c>
      <c r="CO376" s="39">
        <f t="shared" si="389"/>
        <v>0</v>
      </c>
      <c r="CP376" s="39">
        <f t="shared" si="390"/>
        <v>0</v>
      </c>
    </row>
    <row r="377" spans="12:94" ht="16" customHeight="1" x14ac:dyDescent="0.2">
      <c r="L377" s="63">
        <v>30689</v>
      </c>
      <c r="M377" s="38">
        <v>0</v>
      </c>
      <c r="N377" s="38">
        <v>4.9000000000000004</v>
      </c>
      <c r="O377" s="39">
        <v>2.1941999999999999</v>
      </c>
      <c r="P377" s="39">
        <v>1.1000000000000001</v>
      </c>
      <c r="Q377" s="46">
        <f t="shared" si="321"/>
        <v>8.1568816433989319E-2</v>
      </c>
      <c r="R377" s="81">
        <f t="shared" si="322"/>
        <v>0</v>
      </c>
      <c r="S377" s="82">
        <f t="shared" si="323"/>
        <v>0</v>
      </c>
      <c r="T377" s="39">
        <f t="shared" si="324"/>
        <v>0</v>
      </c>
      <c r="U377" s="83">
        <f t="shared" si="325"/>
        <v>5.3900000000000006</v>
      </c>
      <c r="V377" s="84">
        <f t="shared" si="326"/>
        <v>0</v>
      </c>
      <c r="W377" s="52">
        <f t="shared" si="327"/>
        <v>89.931395529430176</v>
      </c>
      <c r="X377" s="52">
        <f t="shared" si="328"/>
        <v>103.70865386792013</v>
      </c>
      <c r="Y377" s="52">
        <f t="shared" si="329"/>
        <v>193.64004939735031</v>
      </c>
      <c r="Z377" s="53">
        <f t="shared" si="330"/>
        <v>0.70258902757367325</v>
      </c>
      <c r="AA377" s="53">
        <f t="shared" si="331"/>
        <v>0.61731341588047695</v>
      </c>
      <c r="AB377" s="53">
        <f t="shared" si="332"/>
        <v>0.65418935607212947</v>
      </c>
      <c r="AC377" s="39" t="str">
        <f t="shared" si="333"/>
        <v>No</v>
      </c>
      <c r="AD377" s="85">
        <f t="shared" si="334"/>
        <v>3.4199999999999786E-2</v>
      </c>
      <c r="AE377" s="46">
        <f t="shared" si="335"/>
        <v>0</v>
      </c>
      <c r="AF377" s="46">
        <f t="shared" si="336"/>
        <v>2.1257999999999999</v>
      </c>
      <c r="AG377" s="39">
        <f t="shared" si="391"/>
        <v>63.759383892565268</v>
      </c>
      <c r="AH377" s="39">
        <f t="shared" si="392"/>
        <v>68.008083242773807</v>
      </c>
      <c r="AI377" s="39">
        <f t="shared" si="393"/>
        <v>48.308110944965044</v>
      </c>
      <c r="AJ377" s="39">
        <f t="shared" si="394"/>
        <v>58.855817449126036</v>
      </c>
      <c r="AK377" s="39">
        <f t="shared" si="395"/>
        <v>58.746934022149127</v>
      </c>
      <c r="AL377" s="39">
        <f t="shared" si="396"/>
        <v>53.80644890862483</v>
      </c>
      <c r="AM377" s="39">
        <f t="shared" si="397"/>
        <v>61.643402135700349</v>
      </c>
      <c r="AN377" s="39">
        <f t="shared" si="398"/>
        <v>70.511868801445829</v>
      </c>
      <c r="AO377" s="39">
        <f t="shared" si="337"/>
        <v>3.3759383892565271</v>
      </c>
      <c r="AP377" s="39">
        <f t="shared" si="338"/>
        <v>3.0008083242773811</v>
      </c>
      <c r="AQ377" s="39">
        <f t="shared" si="339"/>
        <v>1.0820685359540618</v>
      </c>
      <c r="AR377" s="39">
        <f t="shared" si="340"/>
        <v>0.91420798658812041</v>
      </c>
      <c r="AS377" s="39">
        <f t="shared" si="341"/>
        <v>1.3355228530581724</v>
      </c>
      <c r="AT377" s="39">
        <f t="shared" si="342"/>
        <v>2.0614681723200716</v>
      </c>
      <c r="AU377" s="39">
        <f t="shared" si="343"/>
        <v>2.8643402135700344</v>
      </c>
      <c r="AV377" s="39">
        <f t="shared" si="344"/>
        <v>3.7511868801445822</v>
      </c>
      <c r="AW377" s="39">
        <f t="shared" si="345"/>
        <v>18.385541355168954</v>
      </c>
      <c r="AX377" s="39">
        <f t="shared" si="346"/>
        <v>5.3900000000000006</v>
      </c>
      <c r="AY377" s="39">
        <f t="shared" si="347"/>
        <v>5.3900000000000006</v>
      </c>
      <c r="AZ377" s="39">
        <f t="shared" si="348"/>
        <v>0.98970748625669003</v>
      </c>
      <c r="BA377" s="39">
        <f t="shared" si="349"/>
        <v>0.87973242426760467</v>
      </c>
      <c r="BB377" s="39">
        <f t="shared" si="350"/>
        <v>0.31722478528774317</v>
      </c>
      <c r="BC377" s="39">
        <f t="shared" si="351"/>
        <v>0.2680139220553665</v>
      </c>
      <c r="BD377" s="39">
        <f t="shared" si="352"/>
        <v>0.39152875832833484</v>
      </c>
      <c r="BE377" s="39">
        <f t="shared" si="353"/>
        <v>0.60435062716721832</v>
      </c>
      <c r="BF377" s="39">
        <f t="shared" si="354"/>
        <v>0.83972473004184822</v>
      </c>
      <c r="BG377" s="39">
        <f t="shared" si="355"/>
        <v>1.099717266595194</v>
      </c>
      <c r="BH377" s="84">
        <f t="shared" si="356"/>
        <v>0</v>
      </c>
      <c r="BI377" s="84">
        <f t="shared" si="357"/>
        <v>0</v>
      </c>
      <c r="BJ377" s="84">
        <f t="shared" si="358"/>
        <v>0</v>
      </c>
      <c r="BK377" s="39">
        <f t="shared" si="359"/>
        <v>62.769676406308577</v>
      </c>
      <c r="BL377" s="39">
        <f t="shared" si="360"/>
        <v>67.128350818506206</v>
      </c>
      <c r="BM377" s="39">
        <f t="shared" si="361"/>
        <v>47.990886159677302</v>
      </c>
      <c r="BN377" s="39">
        <f t="shared" si="362"/>
        <v>58.587803527070669</v>
      </c>
      <c r="BO377" s="39">
        <f t="shared" si="363"/>
        <v>58.355405263820792</v>
      </c>
      <c r="BP377" s="39">
        <f t="shared" si="364"/>
        <v>53.202098281457609</v>
      </c>
      <c r="BQ377" s="39">
        <f t="shared" si="365"/>
        <v>60.803677405658497</v>
      </c>
      <c r="BR377" s="39">
        <f t="shared" si="366"/>
        <v>69.412151534850636</v>
      </c>
      <c r="BS377" s="39">
        <f t="shared" si="367"/>
        <v>1.661805843785146</v>
      </c>
      <c r="BT377" s="39">
        <f t="shared" si="368"/>
        <v>0.67701049110372369</v>
      </c>
      <c r="BU377" s="39">
        <f t="shared" si="369"/>
        <v>0</v>
      </c>
      <c r="BV377" s="39">
        <f t="shared" si="370"/>
        <v>0</v>
      </c>
      <c r="BW377" s="39">
        <f t="shared" si="371"/>
        <v>0</v>
      </c>
      <c r="BX377" s="39">
        <f t="shared" si="372"/>
        <v>0</v>
      </c>
      <c r="BY377" s="39">
        <f t="shared" si="373"/>
        <v>0</v>
      </c>
      <c r="BZ377" s="39">
        <f t="shared" si="374"/>
        <v>0</v>
      </c>
      <c r="CA377" s="39">
        <f t="shared" si="375"/>
        <v>61.107870562523431</v>
      </c>
      <c r="CB377" s="39">
        <f t="shared" si="376"/>
        <v>68.113146171187623</v>
      </c>
      <c r="CC377" s="39">
        <f t="shared" si="377"/>
        <v>48.667896650781024</v>
      </c>
      <c r="CD377" s="39">
        <f t="shared" si="378"/>
        <v>58.587803527070669</v>
      </c>
      <c r="CE377" s="39">
        <f t="shared" si="379"/>
        <v>58.355405263820792</v>
      </c>
      <c r="CF377" s="39">
        <f t="shared" si="380"/>
        <v>53.202098281457609</v>
      </c>
      <c r="CG377" s="39">
        <f t="shared" si="381"/>
        <v>60.803677405658497</v>
      </c>
      <c r="CH377" s="39">
        <f t="shared" si="382"/>
        <v>69.412151534850636</v>
      </c>
      <c r="CI377" s="39">
        <f t="shared" si="383"/>
        <v>0</v>
      </c>
      <c r="CJ377" s="39">
        <f t="shared" si="384"/>
        <v>0</v>
      </c>
      <c r="CK377" s="39">
        <f t="shared" si="385"/>
        <v>0</v>
      </c>
      <c r="CL377" s="39">
        <f t="shared" si="386"/>
        <v>0</v>
      </c>
      <c r="CM377" s="39">
        <f t="shared" si="387"/>
        <v>0</v>
      </c>
      <c r="CN377" s="39">
        <f t="shared" si="388"/>
        <v>0</v>
      </c>
      <c r="CO377" s="39">
        <f t="shared" si="389"/>
        <v>0</v>
      </c>
      <c r="CP377" s="39">
        <f t="shared" si="390"/>
        <v>0</v>
      </c>
    </row>
    <row r="378" spans="12:94" ht="16" customHeight="1" x14ac:dyDescent="0.2">
      <c r="L378" s="63">
        <v>30690</v>
      </c>
      <c r="M378" s="38">
        <v>0.1</v>
      </c>
      <c r="N378" s="38">
        <v>5.6</v>
      </c>
      <c r="O378" s="39">
        <v>2.2313999999999998</v>
      </c>
      <c r="P378" s="39">
        <v>1.1000000000000001</v>
      </c>
      <c r="Q378" s="46">
        <f t="shared" si="321"/>
        <v>8.6943505616506558E-2</v>
      </c>
      <c r="R378" s="81">
        <f t="shared" si="322"/>
        <v>0</v>
      </c>
      <c r="S378" s="82">
        <f t="shared" si="323"/>
        <v>0.1</v>
      </c>
      <c r="T378" s="39">
        <f t="shared" si="324"/>
        <v>0</v>
      </c>
      <c r="U378" s="83">
        <f t="shared" si="325"/>
        <v>6.16</v>
      </c>
      <c r="V378" s="84">
        <f t="shared" si="326"/>
        <v>0</v>
      </c>
      <c r="W378" s="52">
        <f t="shared" si="327"/>
        <v>87.476716911562733</v>
      </c>
      <c r="X378" s="52">
        <f t="shared" si="328"/>
        <v>100.77333248578753</v>
      </c>
      <c r="Y378" s="52">
        <f t="shared" si="329"/>
        <v>188.25004939735027</v>
      </c>
      <c r="Z378" s="53">
        <f t="shared" si="330"/>
        <v>0.68341185087158385</v>
      </c>
      <c r="AA378" s="53">
        <f t="shared" si="331"/>
        <v>0.59984126479635436</v>
      </c>
      <c r="AB378" s="53">
        <f t="shared" si="332"/>
        <v>0.63597989661266985</v>
      </c>
      <c r="AC378" s="39" t="str">
        <f t="shared" si="333"/>
        <v>No</v>
      </c>
      <c r="AD378" s="85">
        <f t="shared" si="334"/>
        <v>3.71999999999999E-2</v>
      </c>
      <c r="AE378" s="46">
        <f t="shared" si="335"/>
        <v>0</v>
      </c>
      <c r="AF378" s="46">
        <f t="shared" si="336"/>
        <v>2.1257999999999999</v>
      </c>
      <c r="AG378" s="39">
        <f t="shared" si="391"/>
        <v>61.107870562523431</v>
      </c>
      <c r="AH378" s="39">
        <f t="shared" si="392"/>
        <v>68.113146171187623</v>
      </c>
      <c r="AI378" s="39">
        <f t="shared" si="393"/>
        <v>48.667896650781024</v>
      </c>
      <c r="AJ378" s="39">
        <f t="shared" si="394"/>
        <v>58.587803527070669</v>
      </c>
      <c r="AK378" s="39">
        <f t="shared" si="395"/>
        <v>58.355405263820792</v>
      </c>
      <c r="AL378" s="39">
        <f t="shared" si="396"/>
        <v>53.202098281457609</v>
      </c>
      <c r="AM378" s="39">
        <f t="shared" si="397"/>
        <v>60.803677405658497</v>
      </c>
      <c r="AN378" s="39">
        <f t="shared" si="398"/>
        <v>69.412151534850636</v>
      </c>
      <c r="AO378" s="39">
        <f t="shared" si="337"/>
        <v>3.1107870562523434</v>
      </c>
      <c r="AP378" s="39">
        <f t="shared" si="338"/>
        <v>3.0113146171187624</v>
      </c>
      <c r="AQ378" s="39">
        <f t="shared" si="339"/>
        <v>1.1462543253919246</v>
      </c>
      <c r="AR378" s="39">
        <f t="shared" si="340"/>
        <v>0.87918287947749485</v>
      </c>
      <c r="AS378" s="39">
        <f t="shared" si="341"/>
        <v>1.2738061016372246</v>
      </c>
      <c r="AT378" s="39">
        <f t="shared" si="342"/>
        <v>1.9434513093984387</v>
      </c>
      <c r="AU378" s="39">
        <f t="shared" si="343"/>
        <v>2.7803677405658491</v>
      </c>
      <c r="AV378" s="39">
        <f t="shared" si="344"/>
        <v>3.6412151534850632</v>
      </c>
      <c r="AW378" s="39">
        <f t="shared" si="345"/>
        <v>17.786379183327099</v>
      </c>
      <c r="AX378" s="39">
        <f t="shared" si="346"/>
        <v>6.16</v>
      </c>
      <c r="AY378" s="39">
        <f t="shared" si="347"/>
        <v>6.0600000000000005</v>
      </c>
      <c r="AZ378" s="39">
        <f t="shared" si="348"/>
        <v>1.0598767386315717</v>
      </c>
      <c r="BA378" s="39">
        <f t="shared" si="349"/>
        <v>1.0259854685233436</v>
      </c>
      <c r="BB378" s="39">
        <f t="shared" si="350"/>
        <v>0.3905404883297724</v>
      </c>
      <c r="BC378" s="39">
        <f t="shared" si="351"/>
        <v>0.29954653472292603</v>
      </c>
      <c r="BD378" s="39">
        <f t="shared" si="352"/>
        <v>0.43399867372430689</v>
      </c>
      <c r="BE378" s="39">
        <f t="shared" si="353"/>
        <v>0.66215359593787138</v>
      </c>
      <c r="BF378" s="39">
        <f t="shared" si="354"/>
        <v>0.94729952252582583</v>
      </c>
      <c r="BG378" s="39">
        <f t="shared" si="355"/>
        <v>1.2405989776043833</v>
      </c>
      <c r="BH378" s="84">
        <f t="shared" si="356"/>
        <v>0</v>
      </c>
      <c r="BI378" s="84">
        <f t="shared" si="357"/>
        <v>0</v>
      </c>
      <c r="BJ378" s="84">
        <f t="shared" si="358"/>
        <v>0</v>
      </c>
      <c r="BK378" s="39">
        <f t="shared" si="359"/>
        <v>60.047993823891858</v>
      </c>
      <c r="BL378" s="39">
        <f t="shared" si="360"/>
        <v>67.087160702664278</v>
      </c>
      <c r="BM378" s="39">
        <f t="shared" si="361"/>
        <v>48.277356162451255</v>
      </c>
      <c r="BN378" s="39">
        <f t="shared" si="362"/>
        <v>58.28825699234774</v>
      </c>
      <c r="BO378" s="39">
        <f t="shared" si="363"/>
        <v>57.921406590096488</v>
      </c>
      <c r="BP378" s="39">
        <f t="shared" si="364"/>
        <v>52.539944685519735</v>
      </c>
      <c r="BQ378" s="39">
        <f t="shared" si="365"/>
        <v>59.856377883132673</v>
      </c>
      <c r="BR378" s="39">
        <f t="shared" si="366"/>
        <v>68.171552557246258</v>
      </c>
      <c r="BS378" s="39">
        <f t="shared" si="367"/>
        <v>2.8796294335114679E-2</v>
      </c>
      <c r="BT378" s="39">
        <f t="shared" si="368"/>
        <v>0.6522964215985666</v>
      </c>
      <c r="BU378" s="39">
        <f t="shared" si="369"/>
        <v>0</v>
      </c>
      <c r="BV378" s="39">
        <f t="shared" si="370"/>
        <v>0</v>
      </c>
      <c r="BW378" s="39">
        <f t="shared" si="371"/>
        <v>0</v>
      </c>
      <c r="BX378" s="39">
        <f t="shared" si="372"/>
        <v>0</v>
      </c>
      <c r="BY378" s="39">
        <f t="shared" si="373"/>
        <v>0</v>
      </c>
      <c r="BZ378" s="39">
        <f t="shared" si="374"/>
        <v>0</v>
      </c>
      <c r="CA378" s="39">
        <f t="shared" si="375"/>
        <v>60.019197529556742</v>
      </c>
      <c r="CB378" s="39">
        <f t="shared" si="376"/>
        <v>66.463660575400823</v>
      </c>
      <c r="CC378" s="39">
        <f t="shared" si="377"/>
        <v>48.929652584049819</v>
      </c>
      <c r="CD378" s="39">
        <f t="shared" si="378"/>
        <v>58.28825699234774</v>
      </c>
      <c r="CE378" s="39">
        <f t="shared" si="379"/>
        <v>57.921406590096488</v>
      </c>
      <c r="CF378" s="39">
        <f t="shared" si="380"/>
        <v>52.539944685519735</v>
      </c>
      <c r="CG378" s="39">
        <f t="shared" si="381"/>
        <v>59.856377883132673</v>
      </c>
      <c r="CH378" s="39">
        <f t="shared" si="382"/>
        <v>68.171552557246258</v>
      </c>
      <c r="CI378" s="39">
        <f t="shared" si="383"/>
        <v>0</v>
      </c>
      <c r="CJ378" s="39">
        <f t="shared" si="384"/>
        <v>0</v>
      </c>
      <c r="CK378" s="39">
        <f t="shared" si="385"/>
        <v>0</v>
      </c>
      <c r="CL378" s="39">
        <f t="shared" si="386"/>
        <v>0</v>
      </c>
      <c r="CM378" s="39">
        <f t="shared" si="387"/>
        <v>0</v>
      </c>
      <c r="CN378" s="39">
        <f t="shared" si="388"/>
        <v>0</v>
      </c>
      <c r="CO378" s="39">
        <f t="shared" si="389"/>
        <v>0</v>
      </c>
      <c r="CP378" s="39">
        <f t="shared" si="390"/>
        <v>0</v>
      </c>
    </row>
    <row r="379" spans="12:94" ht="16" customHeight="1" x14ac:dyDescent="0.2">
      <c r="L379" s="63">
        <v>30691</v>
      </c>
      <c r="M379" s="38">
        <v>0</v>
      </c>
      <c r="N379" s="38">
        <v>5</v>
      </c>
      <c r="O379" s="39">
        <v>2.2637999999999998</v>
      </c>
      <c r="P379" s="39">
        <v>1.1000000000000001</v>
      </c>
      <c r="Q379" s="46">
        <f t="shared" si="321"/>
        <v>8.9150275277925531E-2</v>
      </c>
      <c r="R379" s="81">
        <f t="shared" si="322"/>
        <v>0</v>
      </c>
      <c r="S379" s="82">
        <f t="shared" si="323"/>
        <v>0</v>
      </c>
      <c r="T379" s="39">
        <f t="shared" si="324"/>
        <v>0</v>
      </c>
      <c r="U379" s="83">
        <f t="shared" si="325"/>
        <v>5.5</v>
      </c>
      <c r="V379" s="84">
        <f t="shared" si="326"/>
        <v>0</v>
      </c>
      <c r="W379" s="52">
        <f t="shared" si="327"/>
        <v>84.700767681355103</v>
      </c>
      <c r="X379" s="52">
        <f t="shared" si="328"/>
        <v>97.489281715995162</v>
      </c>
      <c r="Y379" s="52">
        <f t="shared" si="329"/>
        <v>182.19004939735026</v>
      </c>
      <c r="Z379" s="53">
        <f t="shared" si="330"/>
        <v>0.66172474751058674</v>
      </c>
      <c r="AA379" s="53">
        <f t="shared" si="331"/>
        <v>0.58029334354759021</v>
      </c>
      <c r="AB379" s="53">
        <f t="shared" si="332"/>
        <v>0.61550692363969683</v>
      </c>
      <c r="AC379" s="39" t="str">
        <f t="shared" si="333"/>
        <v>No</v>
      </c>
      <c r="AD379" s="85">
        <f t="shared" si="334"/>
        <v>3.2399999999999984E-2</v>
      </c>
      <c r="AE379" s="46">
        <f t="shared" si="335"/>
        <v>0</v>
      </c>
      <c r="AF379" s="46">
        <f t="shared" si="336"/>
        <v>2.1257999999999999</v>
      </c>
      <c r="AG379" s="39">
        <f t="shared" si="391"/>
        <v>60.019197529556742</v>
      </c>
      <c r="AH379" s="39">
        <f t="shared" si="392"/>
        <v>66.463660575400823</v>
      </c>
      <c r="AI379" s="39">
        <f t="shared" si="393"/>
        <v>48.929652584049819</v>
      </c>
      <c r="AJ379" s="39">
        <f t="shared" si="394"/>
        <v>58.28825699234774</v>
      </c>
      <c r="AK379" s="39">
        <f t="shared" si="395"/>
        <v>57.921406590096488</v>
      </c>
      <c r="AL379" s="39">
        <f t="shared" si="396"/>
        <v>52.539944685519735</v>
      </c>
      <c r="AM379" s="39">
        <f t="shared" si="397"/>
        <v>59.856377883132673</v>
      </c>
      <c r="AN379" s="39">
        <f t="shared" si="398"/>
        <v>68.171552557246258</v>
      </c>
      <c r="AO379" s="39">
        <f t="shared" si="337"/>
        <v>3.0019197529556743</v>
      </c>
      <c r="AP379" s="39">
        <f t="shared" si="338"/>
        <v>2.8463660575400827</v>
      </c>
      <c r="AQ379" s="39">
        <f t="shared" si="339"/>
        <v>1.1941136853159038</v>
      </c>
      <c r="AR379" s="39">
        <f t="shared" si="340"/>
        <v>0.8408465423556114</v>
      </c>
      <c r="AS379" s="39">
        <f t="shared" si="341"/>
        <v>1.2071008943198485</v>
      </c>
      <c r="AT379" s="39">
        <f t="shared" si="342"/>
        <v>1.8181401824436696</v>
      </c>
      <c r="AU379" s="39">
        <f t="shared" si="343"/>
        <v>2.6856377883132669</v>
      </c>
      <c r="AV379" s="39">
        <f t="shared" si="344"/>
        <v>3.5171552557246253</v>
      </c>
      <c r="AW379" s="39">
        <f t="shared" si="345"/>
        <v>17.111280158968682</v>
      </c>
      <c r="AX379" s="39">
        <f t="shared" si="346"/>
        <v>5.5</v>
      </c>
      <c r="AY379" s="39">
        <f t="shared" si="347"/>
        <v>5.5</v>
      </c>
      <c r="AZ379" s="39">
        <f t="shared" si="348"/>
        <v>0.9648932451498895</v>
      </c>
      <c r="BA379" s="39">
        <f t="shared" si="349"/>
        <v>0.91489433701224621</v>
      </c>
      <c r="BB379" s="39">
        <f t="shared" si="350"/>
        <v>0.38381846409049208</v>
      </c>
      <c r="BC379" s="39">
        <f t="shared" si="351"/>
        <v>0.27026943279471127</v>
      </c>
      <c r="BD379" s="39">
        <f t="shared" si="352"/>
        <v>0.38799288288663669</v>
      </c>
      <c r="BE379" s="39">
        <f t="shared" si="353"/>
        <v>0.58439642800184743</v>
      </c>
      <c r="BF379" s="39">
        <f t="shared" si="354"/>
        <v>0.86323218943855073</v>
      </c>
      <c r="BG379" s="39">
        <f t="shared" si="355"/>
        <v>1.1305030206256261</v>
      </c>
      <c r="BH379" s="84">
        <f t="shared" si="356"/>
        <v>0</v>
      </c>
      <c r="BI379" s="84">
        <f t="shared" si="357"/>
        <v>0</v>
      </c>
      <c r="BJ379" s="84">
        <f t="shared" si="358"/>
        <v>0</v>
      </c>
      <c r="BK379" s="39">
        <f t="shared" si="359"/>
        <v>59.054304284406854</v>
      </c>
      <c r="BL379" s="39">
        <f t="shared" si="360"/>
        <v>65.548766238388581</v>
      </c>
      <c r="BM379" s="39">
        <f t="shared" si="361"/>
        <v>48.545834119959324</v>
      </c>
      <c r="BN379" s="39">
        <f t="shared" si="362"/>
        <v>58.017987559553028</v>
      </c>
      <c r="BO379" s="39">
        <f t="shared" si="363"/>
        <v>57.533413707209853</v>
      </c>
      <c r="BP379" s="39">
        <f t="shared" si="364"/>
        <v>51.95554825751789</v>
      </c>
      <c r="BQ379" s="39">
        <f t="shared" si="365"/>
        <v>58.993145693694125</v>
      </c>
      <c r="BR379" s="39">
        <f t="shared" si="366"/>
        <v>67.041049536620633</v>
      </c>
      <c r="BS379" s="39">
        <f t="shared" si="367"/>
        <v>0</v>
      </c>
      <c r="BT379" s="39">
        <f t="shared" si="368"/>
        <v>0</v>
      </c>
      <c r="BU379" s="39">
        <f t="shared" si="369"/>
        <v>0</v>
      </c>
      <c r="BV379" s="39">
        <f t="shared" si="370"/>
        <v>0</v>
      </c>
      <c r="BW379" s="39">
        <f t="shared" si="371"/>
        <v>0</v>
      </c>
      <c r="BX379" s="39">
        <f t="shared" si="372"/>
        <v>0</v>
      </c>
      <c r="BY379" s="39">
        <f t="shared" si="373"/>
        <v>0</v>
      </c>
      <c r="BZ379" s="39">
        <f t="shared" si="374"/>
        <v>0</v>
      </c>
      <c r="CA379" s="39">
        <f t="shared" si="375"/>
        <v>59.054304284406854</v>
      </c>
      <c r="CB379" s="39">
        <f t="shared" si="376"/>
        <v>65.548766238388581</v>
      </c>
      <c r="CC379" s="39">
        <f t="shared" si="377"/>
        <v>48.545834119959324</v>
      </c>
      <c r="CD379" s="39">
        <f t="shared" si="378"/>
        <v>58.017987559553028</v>
      </c>
      <c r="CE379" s="39">
        <f t="shared" si="379"/>
        <v>57.533413707209853</v>
      </c>
      <c r="CF379" s="39">
        <f t="shared" si="380"/>
        <v>51.95554825751789</v>
      </c>
      <c r="CG379" s="39">
        <f t="shared" si="381"/>
        <v>58.993145693694125</v>
      </c>
      <c r="CH379" s="39">
        <f t="shared" si="382"/>
        <v>67.041049536620633</v>
      </c>
      <c r="CI379" s="39">
        <f t="shared" si="383"/>
        <v>0</v>
      </c>
      <c r="CJ379" s="39">
        <f t="shared" si="384"/>
        <v>0</v>
      </c>
      <c r="CK379" s="39">
        <f t="shared" si="385"/>
        <v>0</v>
      </c>
      <c r="CL379" s="39">
        <f t="shared" si="386"/>
        <v>0</v>
      </c>
      <c r="CM379" s="39">
        <f t="shared" si="387"/>
        <v>0</v>
      </c>
      <c r="CN379" s="39">
        <f t="shared" si="388"/>
        <v>0</v>
      </c>
      <c r="CO379" s="39">
        <f t="shared" si="389"/>
        <v>0</v>
      </c>
      <c r="CP379" s="39">
        <f t="shared" si="390"/>
        <v>0</v>
      </c>
    </row>
    <row r="380" spans="12:94" ht="16" customHeight="1" x14ac:dyDescent="0.2">
      <c r="L380" s="63">
        <v>30692</v>
      </c>
      <c r="M380" s="38">
        <v>8.4</v>
      </c>
      <c r="N380" s="38">
        <v>5.2</v>
      </c>
      <c r="O380" s="39">
        <v>2.3006000000000002</v>
      </c>
      <c r="P380" s="39">
        <v>1.1000000000000001</v>
      </c>
      <c r="Q380" s="46">
        <f t="shared" si="321"/>
        <v>9.1106139964040156E-2</v>
      </c>
      <c r="R380" s="81">
        <f t="shared" si="322"/>
        <v>2.8613054535221172E-2</v>
      </c>
      <c r="S380" s="82">
        <f t="shared" si="323"/>
        <v>8.3713869454647796</v>
      </c>
      <c r="T380" s="39">
        <f t="shared" si="324"/>
        <v>0</v>
      </c>
      <c r="U380" s="83">
        <f t="shared" si="325"/>
        <v>5.7200000000000006</v>
      </c>
      <c r="V380" s="84">
        <f t="shared" si="326"/>
        <v>0</v>
      </c>
      <c r="W380" s="52">
        <f t="shared" si="327"/>
        <v>82.166892202307793</v>
      </c>
      <c r="X380" s="52">
        <f t="shared" si="328"/>
        <v>94.523157195042472</v>
      </c>
      <c r="Y380" s="52">
        <f t="shared" si="329"/>
        <v>176.69004939735026</v>
      </c>
      <c r="Z380" s="53">
        <f t="shared" si="330"/>
        <v>0.64192884533052963</v>
      </c>
      <c r="AA380" s="53">
        <f t="shared" si="331"/>
        <v>0.56263784044668141</v>
      </c>
      <c r="AB380" s="53">
        <f t="shared" si="332"/>
        <v>0.5969258425586158</v>
      </c>
      <c r="AC380" s="39" t="str">
        <f t="shared" si="333"/>
        <v>No</v>
      </c>
      <c r="AD380" s="85">
        <f t="shared" si="334"/>
        <v>3.6800000000000388E-2</v>
      </c>
      <c r="AE380" s="46">
        <f t="shared" si="335"/>
        <v>0</v>
      </c>
      <c r="AF380" s="46">
        <f t="shared" si="336"/>
        <v>2.1257999999999999</v>
      </c>
      <c r="AG380" s="39">
        <f t="shared" si="391"/>
        <v>59.054304284406854</v>
      </c>
      <c r="AH380" s="39">
        <f t="shared" si="392"/>
        <v>65.548766238388581</v>
      </c>
      <c r="AI380" s="39">
        <f t="shared" si="393"/>
        <v>48.545834119959324</v>
      </c>
      <c r="AJ380" s="39">
        <f t="shared" si="394"/>
        <v>58.017987559553028</v>
      </c>
      <c r="AK380" s="39">
        <f t="shared" si="395"/>
        <v>57.533413707209853</v>
      </c>
      <c r="AL380" s="39">
        <f t="shared" si="396"/>
        <v>51.95554825751789</v>
      </c>
      <c r="AM380" s="39">
        <f t="shared" si="397"/>
        <v>58.993145693694125</v>
      </c>
      <c r="AN380" s="39">
        <f t="shared" si="398"/>
        <v>67.041049536620633</v>
      </c>
      <c r="AO380" s="39">
        <f t="shared" si="337"/>
        <v>2.9054304284406856</v>
      </c>
      <c r="AP380" s="39">
        <f t="shared" si="338"/>
        <v>2.7548766238388582</v>
      </c>
      <c r="AQ380" s="39">
        <f t="shared" si="339"/>
        <v>1.1242710983252564</v>
      </c>
      <c r="AR380" s="39">
        <f t="shared" si="340"/>
        <v>0.80699047666989143</v>
      </c>
      <c r="AS380" s="39">
        <f t="shared" si="341"/>
        <v>1.1489854352349296</v>
      </c>
      <c r="AT380" s="39">
        <f t="shared" si="342"/>
        <v>1.7110133797289964</v>
      </c>
      <c r="AU380" s="39">
        <f t="shared" si="343"/>
        <v>2.5993145693694117</v>
      </c>
      <c r="AV380" s="39">
        <f t="shared" si="344"/>
        <v>3.4041049536620629</v>
      </c>
      <c r="AW380" s="39">
        <f t="shared" si="345"/>
        <v>16.454986965270091</v>
      </c>
      <c r="AX380" s="39">
        <f t="shared" si="346"/>
        <v>5.7200000000000006</v>
      </c>
      <c r="AY380" s="39">
        <f t="shared" si="347"/>
        <v>0</v>
      </c>
      <c r="AZ380" s="39">
        <f t="shared" si="348"/>
        <v>0</v>
      </c>
      <c r="BA380" s="39">
        <f t="shared" si="349"/>
        <v>0</v>
      </c>
      <c r="BB380" s="39">
        <f t="shared" si="350"/>
        <v>0</v>
      </c>
      <c r="BC380" s="39">
        <f t="shared" si="351"/>
        <v>0</v>
      </c>
      <c r="BD380" s="39">
        <f t="shared" si="352"/>
        <v>0</v>
      </c>
      <c r="BE380" s="39">
        <f t="shared" si="353"/>
        <v>0</v>
      </c>
      <c r="BF380" s="39">
        <f t="shared" si="354"/>
        <v>0</v>
      </c>
      <c r="BG380" s="39">
        <f t="shared" si="355"/>
        <v>0</v>
      </c>
      <c r="BH380" s="84">
        <f t="shared" si="356"/>
        <v>0</v>
      </c>
      <c r="BI380" s="84">
        <f t="shared" si="357"/>
        <v>0</v>
      </c>
      <c r="BJ380" s="84">
        <f t="shared" si="358"/>
        <v>0</v>
      </c>
      <c r="BK380" s="39">
        <f t="shared" si="359"/>
        <v>59.054304284406854</v>
      </c>
      <c r="BL380" s="39">
        <f t="shared" si="360"/>
        <v>65.548766238388581</v>
      </c>
      <c r="BM380" s="39">
        <f t="shared" si="361"/>
        <v>48.545834119959324</v>
      </c>
      <c r="BN380" s="39">
        <f t="shared" si="362"/>
        <v>58.017987559553028</v>
      </c>
      <c r="BO380" s="39">
        <f t="shared" si="363"/>
        <v>57.533413707209853</v>
      </c>
      <c r="BP380" s="39">
        <f t="shared" si="364"/>
        <v>51.95554825751789</v>
      </c>
      <c r="BQ380" s="39">
        <f t="shared" si="365"/>
        <v>58.993145693694125</v>
      </c>
      <c r="BR380" s="39">
        <f t="shared" si="366"/>
        <v>67.041049536620633</v>
      </c>
      <c r="BS380" s="39">
        <f t="shared" si="367"/>
        <v>0</v>
      </c>
      <c r="BT380" s="39">
        <f t="shared" si="368"/>
        <v>0</v>
      </c>
      <c r="BU380" s="39">
        <f t="shared" si="369"/>
        <v>0</v>
      </c>
      <c r="BV380" s="39">
        <f t="shared" si="370"/>
        <v>0</v>
      </c>
      <c r="BW380" s="39">
        <f t="shared" si="371"/>
        <v>0</v>
      </c>
      <c r="BX380" s="39">
        <f t="shared" si="372"/>
        <v>0</v>
      </c>
      <c r="BY380" s="39">
        <f t="shared" si="373"/>
        <v>0</v>
      </c>
      <c r="BZ380" s="39">
        <f t="shared" si="374"/>
        <v>0</v>
      </c>
      <c r="CA380" s="39">
        <f t="shared" si="375"/>
        <v>67.425691229871632</v>
      </c>
      <c r="CB380" s="39">
        <f t="shared" si="376"/>
        <v>65.548766238388581</v>
      </c>
      <c r="CC380" s="39">
        <f t="shared" si="377"/>
        <v>48.545834119959324</v>
      </c>
      <c r="CD380" s="39">
        <f t="shared" si="378"/>
        <v>58.017987559553028</v>
      </c>
      <c r="CE380" s="39">
        <f t="shared" si="379"/>
        <v>57.533413707209853</v>
      </c>
      <c r="CF380" s="39">
        <f t="shared" si="380"/>
        <v>51.95554825751789</v>
      </c>
      <c r="CG380" s="39">
        <f t="shared" si="381"/>
        <v>58.993145693694125</v>
      </c>
      <c r="CH380" s="39">
        <f t="shared" si="382"/>
        <v>67.041049536620633</v>
      </c>
      <c r="CI380" s="39">
        <f t="shared" si="383"/>
        <v>0</v>
      </c>
      <c r="CJ380" s="39">
        <f t="shared" si="384"/>
        <v>0</v>
      </c>
      <c r="CK380" s="39">
        <f t="shared" si="385"/>
        <v>0</v>
      </c>
      <c r="CL380" s="39">
        <f t="shared" si="386"/>
        <v>0</v>
      </c>
      <c r="CM380" s="39">
        <f t="shared" si="387"/>
        <v>0</v>
      </c>
      <c r="CN380" s="39">
        <f t="shared" si="388"/>
        <v>0</v>
      </c>
      <c r="CO380" s="39">
        <f t="shared" si="389"/>
        <v>0</v>
      </c>
      <c r="CP380" s="39">
        <f t="shared" si="390"/>
        <v>0</v>
      </c>
    </row>
    <row r="381" spans="12:94" ht="16" customHeight="1" x14ac:dyDescent="0.2">
      <c r="L381" s="63">
        <v>30693</v>
      </c>
      <c r="M381" s="38">
        <v>0</v>
      </c>
      <c r="N381" s="38">
        <v>1</v>
      </c>
      <c r="O381" s="39">
        <v>2.3332000000000002</v>
      </c>
      <c r="P381" s="39">
        <v>1.1000000000000001</v>
      </c>
      <c r="Q381" s="46">
        <f t="shared" si="321"/>
        <v>7.4137112371881822E-2</v>
      </c>
      <c r="R381" s="81">
        <f t="shared" si="322"/>
        <v>0</v>
      </c>
      <c r="S381" s="82">
        <f t="shared" si="323"/>
        <v>0</v>
      </c>
      <c r="T381" s="39">
        <f t="shared" si="324"/>
        <v>0</v>
      </c>
      <c r="U381" s="83">
        <f t="shared" si="325"/>
        <v>1.1000000000000001</v>
      </c>
      <c r="V381" s="84">
        <f t="shared" si="326"/>
        <v>0</v>
      </c>
      <c r="W381" s="52">
        <f t="shared" si="327"/>
        <v>90.538279147772556</v>
      </c>
      <c r="X381" s="52">
        <f t="shared" si="328"/>
        <v>94.523157195042472</v>
      </c>
      <c r="Y381" s="52">
        <f t="shared" si="329"/>
        <v>185.06143634281503</v>
      </c>
      <c r="Z381" s="53">
        <f t="shared" si="330"/>
        <v>0.70733030584197309</v>
      </c>
      <c r="AA381" s="53">
        <f t="shared" si="331"/>
        <v>0.56263784044668141</v>
      </c>
      <c r="AB381" s="53">
        <f t="shared" si="332"/>
        <v>0.62520755521221294</v>
      </c>
      <c r="AC381" s="39" t="str">
        <f t="shared" si="333"/>
        <v>No</v>
      </c>
      <c r="AD381" s="85">
        <f t="shared" si="334"/>
        <v>3.2599999999999962E-2</v>
      </c>
      <c r="AE381" s="46">
        <f t="shared" si="335"/>
        <v>0</v>
      </c>
      <c r="AF381" s="46">
        <f t="shared" si="336"/>
        <v>2.1257999999999999</v>
      </c>
      <c r="AG381" s="39">
        <f t="shared" si="391"/>
        <v>67.425691229871632</v>
      </c>
      <c r="AH381" s="39">
        <f t="shared" si="392"/>
        <v>65.548766238388581</v>
      </c>
      <c r="AI381" s="39">
        <f t="shared" si="393"/>
        <v>48.545834119959324</v>
      </c>
      <c r="AJ381" s="39">
        <f t="shared" si="394"/>
        <v>58.017987559553028</v>
      </c>
      <c r="AK381" s="39">
        <f t="shared" si="395"/>
        <v>57.533413707209853</v>
      </c>
      <c r="AL381" s="39">
        <f t="shared" si="396"/>
        <v>51.95554825751789</v>
      </c>
      <c r="AM381" s="39">
        <f t="shared" si="397"/>
        <v>58.993145693694125</v>
      </c>
      <c r="AN381" s="39">
        <f t="shared" si="398"/>
        <v>67.041049536620633</v>
      </c>
      <c r="AO381" s="39">
        <f t="shared" si="337"/>
        <v>3.7425691229871632</v>
      </c>
      <c r="AP381" s="39">
        <f t="shared" si="338"/>
        <v>2.7548766238388582</v>
      </c>
      <c r="AQ381" s="39">
        <f t="shared" si="339"/>
        <v>1.1242710983252564</v>
      </c>
      <c r="AR381" s="39">
        <f t="shared" si="340"/>
        <v>0.80699047666989143</v>
      </c>
      <c r="AS381" s="39">
        <f t="shared" si="341"/>
        <v>1.1489854352349296</v>
      </c>
      <c r="AT381" s="39">
        <f t="shared" si="342"/>
        <v>1.7110133797289964</v>
      </c>
      <c r="AU381" s="39">
        <f t="shared" si="343"/>
        <v>2.5993145693694117</v>
      </c>
      <c r="AV381" s="39">
        <f t="shared" si="344"/>
        <v>3.4041049536620629</v>
      </c>
      <c r="AW381" s="39">
        <f t="shared" si="345"/>
        <v>17.29212565981657</v>
      </c>
      <c r="AX381" s="39">
        <f t="shared" si="346"/>
        <v>1.1000000000000001</v>
      </c>
      <c r="AY381" s="39">
        <f t="shared" si="347"/>
        <v>1.1000000000000001</v>
      </c>
      <c r="AZ381" s="39">
        <f t="shared" si="348"/>
        <v>0.23807518614397752</v>
      </c>
      <c r="BA381" s="39">
        <f t="shared" si="349"/>
        <v>0.17524533107370963</v>
      </c>
      <c r="BB381" s="39">
        <f t="shared" si="350"/>
        <v>7.1517997988623253E-2</v>
      </c>
      <c r="BC381" s="39">
        <f t="shared" si="351"/>
        <v>5.1334899005487392E-2</v>
      </c>
      <c r="BD381" s="39">
        <f t="shared" si="352"/>
        <v>7.3090145400425549E-2</v>
      </c>
      <c r="BE381" s="39">
        <f t="shared" si="353"/>
        <v>0.10884229936378227</v>
      </c>
      <c r="BF381" s="39">
        <f t="shared" si="354"/>
        <v>0.1653495979936502</v>
      </c>
      <c r="BG381" s="39">
        <f t="shared" si="355"/>
        <v>0.21654454303034429</v>
      </c>
      <c r="BH381" s="84">
        <f t="shared" si="356"/>
        <v>0</v>
      </c>
      <c r="BI381" s="84">
        <f t="shared" si="357"/>
        <v>0</v>
      </c>
      <c r="BJ381" s="84">
        <f t="shared" si="358"/>
        <v>0</v>
      </c>
      <c r="BK381" s="39">
        <f t="shared" si="359"/>
        <v>67.187616043727658</v>
      </c>
      <c r="BL381" s="39">
        <f t="shared" si="360"/>
        <v>65.37352090731487</v>
      </c>
      <c r="BM381" s="39">
        <f t="shared" si="361"/>
        <v>48.474316121970702</v>
      </c>
      <c r="BN381" s="39">
        <f t="shared" si="362"/>
        <v>57.966652660547538</v>
      </c>
      <c r="BO381" s="39">
        <f t="shared" si="363"/>
        <v>57.460323561809425</v>
      </c>
      <c r="BP381" s="39">
        <f t="shared" si="364"/>
        <v>51.846705958154111</v>
      </c>
      <c r="BQ381" s="39">
        <f t="shared" si="365"/>
        <v>58.827796095700471</v>
      </c>
      <c r="BR381" s="39">
        <f t="shared" si="366"/>
        <v>66.824504993590295</v>
      </c>
      <c r="BS381" s="39">
        <f t="shared" si="367"/>
        <v>4.3125696262365949</v>
      </c>
      <c r="BT381" s="39">
        <f t="shared" si="368"/>
        <v>0</v>
      </c>
      <c r="BU381" s="39">
        <f t="shared" si="369"/>
        <v>0</v>
      </c>
      <c r="BV381" s="39">
        <f t="shared" si="370"/>
        <v>0</v>
      </c>
      <c r="BW381" s="39">
        <f t="shared" si="371"/>
        <v>0</v>
      </c>
      <c r="BX381" s="39">
        <f t="shared" si="372"/>
        <v>0</v>
      </c>
      <c r="BY381" s="39">
        <f t="shared" si="373"/>
        <v>0</v>
      </c>
      <c r="BZ381" s="39">
        <f t="shared" si="374"/>
        <v>0</v>
      </c>
      <c r="CA381" s="39">
        <f t="shared" si="375"/>
        <v>62.875046417491063</v>
      </c>
      <c r="CB381" s="39">
        <f t="shared" si="376"/>
        <v>69.686090533551464</v>
      </c>
      <c r="CC381" s="39">
        <f t="shared" si="377"/>
        <v>48.474316121970702</v>
      </c>
      <c r="CD381" s="39">
        <f t="shared" si="378"/>
        <v>57.966652660547538</v>
      </c>
      <c r="CE381" s="39">
        <f t="shared" si="379"/>
        <v>57.460323561809425</v>
      </c>
      <c r="CF381" s="39">
        <f t="shared" si="380"/>
        <v>51.846705958154111</v>
      </c>
      <c r="CG381" s="39">
        <f t="shared" si="381"/>
        <v>58.827796095700471</v>
      </c>
      <c r="CH381" s="39">
        <f t="shared" si="382"/>
        <v>66.824504993590295</v>
      </c>
      <c r="CI381" s="39">
        <f t="shared" si="383"/>
        <v>0</v>
      </c>
      <c r="CJ381" s="39">
        <f t="shared" si="384"/>
        <v>0</v>
      </c>
      <c r="CK381" s="39">
        <f t="shared" si="385"/>
        <v>0</v>
      </c>
      <c r="CL381" s="39">
        <f t="shared" si="386"/>
        <v>0</v>
      </c>
      <c r="CM381" s="39">
        <f t="shared" si="387"/>
        <v>0</v>
      </c>
      <c r="CN381" s="39">
        <f t="shared" si="388"/>
        <v>0</v>
      </c>
      <c r="CO381" s="39">
        <f t="shared" si="389"/>
        <v>0</v>
      </c>
      <c r="CP381" s="39">
        <f t="shared" si="390"/>
        <v>0</v>
      </c>
    </row>
    <row r="382" spans="12:94" ht="16" customHeight="1" x14ac:dyDescent="0.2">
      <c r="L382" s="63">
        <v>30694</v>
      </c>
      <c r="M382" s="38">
        <v>0</v>
      </c>
      <c r="N382" s="38">
        <v>5.8</v>
      </c>
      <c r="O382" s="39">
        <v>2.3664000000000001</v>
      </c>
      <c r="P382" s="39">
        <v>1.1000000000000001</v>
      </c>
      <c r="Q382" s="46">
        <f t="shared" si="321"/>
        <v>8.3361392396977568E-2</v>
      </c>
      <c r="R382" s="81">
        <f t="shared" si="322"/>
        <v>0</v>
      </c>
      <c r="S382" s="82">
        <f t="shared" si="323"/>
        <v>0</v>
      </c>
      <c r="T382" s="39">
        <f t="shared" si="324"/>
        <v>0</v>
      </c>
      <c r="U382" s="83">
        <f t="shared" si="325"/>
        <v>6.38</v>
      </c>
      <c r="V382" s="84">
        <f t="shared" si="326"/>
        <v>0</v>
      </c>
      <c r="W382" s="52">
        <f t="shared" si="327"/>
        <v>90.002105733560768</v>
      </c>
      <c r="X382" s="52">
        <f t="shared" si="328"/>
        <v>93.959330609254295</v>
      </c>
      <c r="Y382" s="52">
        <f t="shared" si="329"/>
        <v>183.96143634281506</v>
      </c>
      <c r="Z382" s="53">
        <f t="shared" si="330"/>
        <v>0.7031414510434435</v>
      </c>
      <c r="AA382" s="53">
        <f t="shared" si="331"/>
        <v>0.55928172981698987</v>
      </c>
      <c r="AB382" s="53">
        <f t="shared" si="332"/>
        <v>0.62149133899599684</v>
      </c>
      <c r="AC382" s="39" t="str">
        <f t="shared" si="333"/>
        <v>No</v>
      </c>
      <c r="AD382" s="85">
        <f t="shared" si="334"/>
        <v>3.3199999999999896E-2</v>
      </c>
      <c r="AE382" s="46">
        <f t="shared" si="335"/>
        <v>0</v>
      </c>
      <c r="AF382" s="46">
        <f t="shared" si="336"/>
        <v>2.1257999999999999</v>
      </c>
      <c r="AG382" s="39">
        <f t="shared" si="391"/>
        <v>62.875046417491063</v>
      </c>
      <c r="AH382" s="39">
        <f t="shared" si="392"/>
        <v>69.686090533551464</v>
      </c>
      <c r="AI382" s="39">
        <f t="shared" si="393"/>
        <v>48.474316121970702</v>
      </c>
      <c r="AJ382" s="39">
        <f t="shared" si="394"/>
        <v>57.966652660547538</v>
      </c>
      <c r="AK382" s="39">
        <f t="shared" si="395"/>
        <v>57.460323561809425</v>
      </c>
      <c r="AL382" s="39">
        <f t="shared" si="396"/>
        <v>51.846705958154111</v>
      </c>
      <c r="AM382" s="39">
        <f t="shared" si="397"/>
        <v>58.827796095700471</v>
      </c>
      <c r="AN382" s="39">
        <f t="shared" si="398"/>
        <v>66.824504993590295</v>
      </c>
      <c r="AO382" s="39">
        <f t="shared" si="337"/>
        <v>3.2875046417491065</v>
      </c>
      <c r="AP382" s="39">
        <f t="shared" si="338"/>
        <v>3.1686090533551465</v>
      </c>
      <c r="AQ382" s="39">
        <f t="shared" si="339"/>
        <v>1.1114897336489895</v>
      </c>
      <c r="AR382" s="39">
        <f t="shared" si="340"/>
        <v>0.80063848199659216</v>
      </c>
      <c r="AS382" s="39">
        <f t="shared" si="341"/>
        <v>1.1381981173135234</v>
      </c>
      <c r="AT382" s="39">
        <f t="shared" si="342"/>
        <v>1.6914205974910539</v>
      </c>
      <c r="AU382" s="39">
        <f t="shared" si="343"/>
        <v>2.5827796095700464</v>
      </c>
      <c r="AV382" s="39">
        <f t="shared" si="344"/>
        <v>3.3824504993590292</v>
      </c>
      <c r="AW382" s="39">
        <f t="shared" si="345"/>
        <v>17.16309073448349</v>
      </c>
      <c r="AX382" s="39">
        <f t="shared" si="346"/>
        <v>6.38</v>
      </c>
      <c r="AY382" s="39">
        <f t="shared" si="347"/>
        <v>6.38</v>
      </c>
      <c r="AZ382" s="39">
        <f t="shared" si="348"/>
        <v>1.2220572587324554</v>
      </c>
      <c r="BA382" s="39">
        <f t="shared" si="349"/>
        <v>1.1778604490966826</v>
      </c>
      <c r="BB382" s="39">
        <f t="shared" si="350"/>
        <v>0.41317176552781076</v>
      </c>
      <c r="BC382" s="39">
        <f t="shared" si="351"/>
        <v>0.29761967667485978</v>
      </c>
      <c r="BD382" s="39">
        <f t="shared" si="352"/>
        <v>0.42310001740364367</v>
      </c>
      <c r="BE382" s="39">
        <f t="shared" si="353"/>
        <v>0.6287482586287032</v>
      </c>
      <c r="BF382" s="39">
        <f t="shared" si="354"/>
        <v>0.96009128914931363</v>
      </c>
      <c r="BG382" s="39">
        <f t="shared" si="355"/>
        <v>1.25735128478653</v>
      </c>
      <c r="BH382" s="84">
        <f t="shared" si="356"/>
        <v>0</v>
      </c>
      <c r="BI382" s="84">
        <f t="shared" si="357"/>
        <v>0</v>
      </c>
      <c r="BJ382" s="84">
        <f t="shared" si="358"/>
        <v>0</v>
      </c>
      <c r="BK382" s="39">
        <f t="shared" si="359"/>
        <v>61.652989158758608</v>
      </c>
      <c r="BL382" s="39">
        <f t="shared" si="360"/>
        <v>68.50823008445478</v>
      </c>
      <c r="BM382" s="39">
        <f t="shared" si="361"/>
        <v>48.061144356442888</v>
      </c>
      <c r="BN382" s="39">
        <f t="shared" si="362"/>
        <v>57.669032983872675</v>
      </c>
      <c r="BO382" s="39">
        <f t="shared" si="363"/>
        <v>57.037223544405784</v>
      </c>
      <c r="BP382" s="39">
        <f t="shared" si="364"/>
        <v>51.217957699525407</v>
      </c>
      <c r="BQ382" s="39">
        <f t="shared" si="365"/>
        <v>57.86770480655116</v>
      </c>
      <c r="BR382" s="39">
        <f t="shared" si="366"/>
        <v>65.567153708803772</v>
      </c>
      <c r="BS382" s="39">
        <f t="shared" si="367"/>
        <v>0.99179349525516469</v>
      </c>
      <c r="BT382" s="39">
        <f t="shared" si="368"/>
        <v>1.504938050672868</v>
      </c>
      <c r="BU382" s="39">
        <f t="shared" si="369"/>
        <v>0</v>
      </c>
      <c r="BV382" s="39">
        <f t="shared" si="370"/>
        <v>0</v>
      </c>
      <c r="BW382" s="39">
        <f t="shared" si="371"/>
        <v>0</v>
      </c>
      <c r="BX382" s="39">
        <f t="shared" si="372"/>
        <v>0</v>
      </c>
      <c r="BY382" s="39">
        <f t="shared" si="373"/>
        <v>0</v>
      </c>
      <c r="BZ382" s="39">
        <f t="shared" si="374"/>
        <v>0</v>
      </c>
      <c r="CA382" s="39">
        <f t="shared" si="375"/>
        <v>60.661195663503442</v>
      </c>
      <c r="CB382" s="39">
        <f t="shared" si="376"/>
        <v>67.995085529037084</v>
      </c>
      <c r="CC382" s="39">
        <f t="shared" si="377"/>
        <v>49.566082407115758</v>
      </c>
      <c r="CD382" s="39">
        <f t="shared" si="378"/>
        <v>57.669032983872675</v>
      </c>
      <c r="CE382" s="39">
        <f t="shared" si="379"/>
        <v>57.037223544405784</v>
      </c>
      <c r="CF382" s="39">
        <f t="shared" si="380"/>
        <v>51.217957699525407</v>
      </c>
      <c r="CG382" s="39">
        <f t="shared" si="381"/>
        <v>57.86770480655116</v>
      </c>
      <c r="CH382" s="39">
        <f t="shared" si="382"/>
        <v>65.567153708803772</v>
      </c>
      <c r="CI382" s="39">
        <f t="shared" si="383"/>
        <v>0</v>
      </c>
      <c r="CJ382" s="39">
        <f t="shared" si="384"/>
        <v>0</v>
      </c>
      <c r="CK382" s="39">
        <f t="shared" si="385"/>
        <v>0</v>
      </c>
      <c r="CL382" s="39">
        <f t="shared" si="386"/>
        <v>0</v>
      </c>
      <c r="CM382" s="39">
        <f t="shared" si="387"/>
        <v>0</v>
      </c>
      <c r="CN382" s="39">
        <f t="shared" si="388"/>
        <v>0</v>
      </c>
      <c r="CO382" s="39">
        <f t="shared" si="389"/>
        <v>0</v>
      </c>
      <c r="CP382" s="39">
        <f t="shared" si="390"/>
        <v>0</v>
      </c>
    </row>
    <row r="383" spans="12:94" ht="16" customHeight="1" x14ac:dyDescent="0.2">
      <c r="L383" s="63">
        <v>30695</v>
      </c>
      <c r="M383" s="38">
        <v>0</v>
      </c>
      <c r="N383" s="38">
        <v>6</v>
      </c>
      <c r="O383" s="39">
        <v>2.3664000000000001</v>
      </c>
      <c r="P383" s="39">
        <v>1.1000000000000001</v>
      </c>
      <c r="Q383" s="46">
        <f t="shared" si="321"/>
        <v>8.7848927709114635E-2</v>
      </c>
      <c r="R383" s="81">
        <f t="shared" si="322"/>
        <v>0</v>
      </c>
      <c r="S383" s="82">
        <f t="shared" si="323"/>
        <v>0</v>
      </c>
      <c r="T383" s="39">
        <f t="shared" si="324"/>
        <v>0</v>
      </c>
      <c r="U383" s="83">
        <f t="shared" si="325"/>
        <v>6.6000000000000005</v>
      </c>
      <c r="V383" s="84">
        <f t="shared" si="326"/>
        <v>0</v>
      </c>
      <c r="W383" s="52">
        <f t="shared" si="327"/>
        <v>86.891396583528945</v>
      </c>
      <c r="X383" s="52">
        <f t="shared" si="328"/>
        <v>90.690039759286122</v>
      </c>
      <c r="Y383" s="52">
        <f t="shared" si="329"/>
        <v>177.58143634281507</v>
      </c>
      <c r="Z383" s="53">
        <f t="shared" si="330"/>
        <v>0.67883903580881988</v>
      </c>
      <c r="AA383" s="53">
        <f t="shared" si="331"/>
        <v>0.539821665233846</v>
      </c>
      <c r="AB383" s="53">
        <f t="shared" si="332"/>
        <v>0.59993728494194276</v>
      </c>
      <c r="AC383" s="39" t="str">
        <f t="shared" si="333"/>
        <v>No</v>
      </c>
      <c r="AD383" s="85">
        <f t="shared" si="334"/>
        <v>0</v>
      </c>
      <c r="AE383" s="46">
        <f t="shared" si="335"/>
        <v>0</v>
      </c>
      <c r="AF383" s="46">
        <f t="shared" si="336"/>
        <v>2.1257999999999999</v>
      </c>
      <c r="AG383" s="39">
        <f t="shared" si="391"/>
        <v>60.661195663503442</v>
      </c>
      <c r="AH383" s="39">
        <f t="shared" si="392"/>
        <v>67.995085529037084</v>
      </c>
      <c r="AI383" s="39">
        <f t="shared" si="393"/>
        <v>49.566082407115758</v>
      </c>
      <c r="AJ383" s="39">
        <f t="shared" si="394"/>
        <v>57.669032983872675</v>
      </c>
      <c r="AK383" s="39">
        <f t="shared" si="395"/>
        <v>57.037223544405784</v>
      </c>
      <c r="AL383" s="39">
        <f t="shared" si="396"/>
        <v>51.217957699525407</v>
      </c>
      <c r="AM383" s="39">
        <f t="shared" si="397"/>
        <v>57.86770480655116</v>
      </c>
      <c r="AN383" s="39">
        <f t="shared" si="398"/>
        <v>65.567153708803772</v>
      </c>
      <c r="AO383" s="39">
        <f t="shared" si="337"/>
        <v>3.0661195663503444</v>
      </c>
      <c r="AP383" s="39">
        <f t="shared" si="338"/>
        <v>2.9995085529037087</v>
      </c>
      <c r="AQ383" s="39">
        <f t="shared" si="339"/>
        <v>1.3145613705475434</v>
      </c>
      <c r="AR383" s="39">
        <f t="shared" si="340"/>
        <v>0.76430665117358854</v>
      </c>
      <c r="AS383" s="39">
        <f t="shared" si="341"/>
        <v>1.0767528186877708</v>
      </c>
      <c r="AT383" s="39">
        <f t="shared" si="342"/>
        <v>1.5804475368652227</v>
      </c>
      <c r="AU383" s="39">
        <f t="shared" si="343"/>
        <v>2.4867704806551156</v>
      </c>
      <c r="AV383" s="39">
        <f t="shared" si="344"/>
        <v>3.2567153708803769</v>
      </c>
      <c r="AW383" s="39">
        <f t="shared" si="345"/>
        <v>16.545182348063669</v>
      </c>
      <c r="AX383" s="39">
        <f t="shared" si="346"/>
        <v>6.6000000000000005</v>
      </c>
      <c r="AY383" s="39">
        <f t="shared" si="347"/>
        <v>6.6000000000000005</v>
      </c>
      <c r="AZ383" s="39">
        <f t="shared" si="348"/>
        <v>1.2230985861742767</v>
      </c>
      <c r="BA383" s="39">
        <f t="shared" si="349"/>
        <v>1.1965269425683513</v>
      </c>
      <c r="BB383" s="39">
        <f t="shared" si="350"/>
        <v>0.52438860225854067</v>
      </c>
      <c r="BC383" s="39">
        <f t="shared" si="351"/>
        <v>0.30488777890900964</v>
      </c>
      <c r="BD383" s="39">
        <f t="shared" si="352"/>
        <v>0.42952494894509224</v>
      </c>
      <c r="BE383" s="39">
        <f t="shared" si="353"/>
        <v>0.63045263109664273</v>
      </c>
      <c r="BF383" s="39">
        <f t="shared" si="354"/>
        <v>0.99199179719192332</v>
      </c>
      <c r="BG383" s="39">
        <f t="shared" si="355"/>
        <v>1.2991287128561646</v>
      </c>
      <c r="BH383" s="84">
        <f t="shared" si="356"/>
        <v>0</v>
      </c>
      <c r="BI383" s="84">
        <f t="shared" si="357"/>
        <v>0</v>
      </c>
      <c r="BJ383" s="84">
        <f t="shared" si="358"/>
        <v>0</v>
      </c>
      <c r="BK383" s="39">
        <f t="shared" si="359"/>
        <v>59.438097077329168</v>
      </c>
      <c r="BL383" s="39">
        <f t="shared" si="360"/>
        <v>66.798558586468729</v>
      </c>
      <c r="BM383" s="39">
        <f t="shared" si="361"/>
        <v>49.041693804857218</v>
      </c>
      <c r="BN383" s="39">
        <f t="shared" si="362"/>
        <v>57.364145204963663</v>
      </c>
      <c r="BO383" s="39">
        <f t="shared" si="363"/>
        <v>56.60769859546069</v>
      </c>
      <c r="BP383" s="39">
        <f t="shared" si="364"/>
        <v>50.587505068428761</v>
      </c>
      <c r="BQ383" s="39">
        <f t="shared" si="365"/>
        <v>56.875713009359238</v>
      </c>
      <c r="BR383" s="39">
        <f t="shared" si="366"/>
        <v>64.268024995947613</v>
      </c>
      <c r="BS383" s="39">
        <f t="shared" si="367"/>
        <v>0</v>
      </c>
      <c r="BT383" s="39">
        <f t="shared" si="368"/>
        <v>0.47913515188123768</v>
      </c>
      <c r="BU383" s="39">
        <f t="shared" si="369"/>
        <v>0</v>
      </c>
      <c r="BV383" s="39">
        <f t="shared" si="370"/>
        <v>0</v>
      </c>
      <c r="BW383" s="39">
        <f t="shared" si="371"/>
        <v>0</v>
      </c>
      <c r="BX383" s="39">
        <f t="shared" si="372"/>
        <v>0</v>
      </c>
      <c r="BY383" s="39">
        <f t="shared" si="373"/>
        <v>0</v>
      </c>
      <c r="BZ383" s="39">
        <f t="shared" si="374"/>
        <v>0</v>
      </c>
      <c r="CA383" s="39">
        <f t="shared" si="375"/>
        <v>59.438097077329168</v>
      </c>
      <c r="CB383" s="39">
        <f t="shared" si="376"/>
        <v>66.319423434587492</v>
      </c>
      <c r="CC383" s="39">
        <f t="shared" si="377"/>
        <v>49.520828956738455</v>
      </c>
      <c r="CD383" s="39">
        <f t="shared" si="378"/>
        <v>57.364145204963663</v>
      </c>
      <c r="CE383" s="39">
        <f t="shared" si="379"/>
        <v>56.60769859546069</v>
      </c>
      <c r="CF383" s="39">
        <f t="shared" si="380"/>
        <v>50.587505068428761</v>
      </c>
      <c r="CG383" s="39">
        <f t="shared" si="381"/>
        <v>56.875713009359238</v>
      </c>
      <c r="CH383" s="39">
        <f t="shared" si="382"/>
        <v>64.268024995947613</v>
      </c>
      <c r="CI383" s="39">
        <f t="shared" si="383"/>
        <v>0</v>
      </c>
      <c r="CJ383" s="39">
        <f t="shared" si="384"/>
        <v>0</v>
      </c>
      <c r="CK383" s="39">
        <f t="shared" si="385"/>
        <v>0</v>
      </c>
      <c r="CL383" s="39">
        <f t="shared" si="386"/>
        <v>0</v>
      </c>
      <c r="CM383" s="39">
        <f t="shared" si="387"/>
        <v>0</v>
      </c>
      <c r="CN383" s="39">
        <f t="shared" si="388"/>
        <v>0</v>
      </c>
      <c r="CO383" s="39">
        <f t="shared" si="389"/>
        <v>0</v>
      </c>
      <c r="CP383" s="39">
        <f t="shared" si="390"/>
        <v>0</v>
      </c>
    </row>
    <row r="384" spans="12:94" ht="16" customHeight="1" x14ac:dyDescent="0.2">
      <c r="L384" s="63">
        <v>30696</v>
      </c>
      <c r="M384" s="38">
        <v>0</v>
      </c>
      <c r="N384" s="38">
        <v>6.2</v>
      </c>
      <c r="O384" s="39">
        <v>2.3664000000000001</v>
      </c>
      <c r="P384" s="39">
        <v>1.1000000000000001</v>
      </c>
      <c r="Q384" s="46">
        <f t="shared" ref="Q384:Q447" si="399">0.15*($D$12-MAX(AG384,$D$10))/($D$12-$D$10)</f>
        <v>9.0328181600008439E-2</v>
      </c>
      <c r="R384" s="81">
        <f t="shared" ref="R384:R447" si="400">MAX(0,M384-Q384*$B$10)^2/(M384+$B$10*(1-Q384))</f>
        <v>0</v>
      </c>
      <c r="S384" s="82">
        <f t="shared" ref="S384:S447" si="401">M384-R384</f>
        <v>0</v>
      </c>
      <c r="T384" s="39">
        <f t="shared" ref="T384:T447" si="402">BZ384+CP384</f>
        <v>0</v>
      </c>
      <c r="U384" s="83">
        <f t="shared" ref="U384:U447" si="403">N384*P384</f>
        <v>6.8200000000000012</v>
      </c>
      <c r="V384" s="84">
        <f t="shared" ref="V384:V447" si="404">MAX(0,N384*MAX(0,1-P384)*$B$2)</f>
        <v>0</v>
      </c>
      <c r="W384" s="52">
        <f t="shared" ref="W384:W447" si="405">SUM(AG384:AJ384)-SUM(D$10:G$10)</f>
        <v>83.642494673618785</v>
      </c>
      <c r="X384" s="52">
        <f t="shared" ref="X384:X447" si="406">SUM(AK384:AN384)-SUM(H$10:K$10)</f>
        <v>87.338941669196288</v>
      </c>
      <c r="Y384" s="52">
        <f t="shared" ref="Y384:Y447" si="407">X384+W384</f>
        <v>170.98143634281507</v>
      </c>
      <c r="Z384" s="53">
        <f t="shared" ref="Z384:Z447" si="408">W384/(SUM(D$11:G$11)-SUM(D$10:G$10))</f>
        <v>0.65345698963764676</v>
      </c>
      <c r="AA384" s="53">
        <f t="shared" ref="AA384:AA447" si="409">X384/(SUM(H$11:K$11)-SUM(H$10:K$10))</f>
        <v>0.51987465279283507</v>
      </c>
      <c r="AB384" s="53">
        <f t="shared" ref="AB384:AB447" si="410">Y384/(SUM(D$11:K$11)-SUM(D$10:K$10))</f>
        <v>0.57763998764464553</v>
      </c>
      <c r="AC384" s="39" t="str">
        <f t="shared" ref="AC384:AC447" si="411">IF((AJ384-G$10)/(G$11-G$10)&lt;0.3,"Si","No")</f>
        <v>Si</v>
      </c>
      <c r="AD384" s="85">
        <f t="shared" ref="AD384:AD447" si="412">IF(O384&gt;0.2,O384-O383,0)</f>
        <v>0</v>
      </c>
      <c r="AE384" s="46">
        <f t="shared" ref="AE384:AE447" si="413">IF(AF383&lt;D$6,1,IF(AF383&lt;E$6,MIN(1,(AH384-E$10)/(0.3*(E$11-E$10))),IF(AF383&lt;F$6,MIN(1,(AI384-F$10)/(0.3*(F$11-F$10))),IF(AF383&lt;G$6,MIN(1,(AJ384-G$10)/(0.3*(G$11-G$10))),IF(AF383&lt;H$6,MIN(1,(AK384-H$10)/(0.3*(H$11-H$10))),IF(AF383&lt;I$6,MIN(1,(AL384-I$10)/(0.3*(I$11-I$10))),IF(AF383&lt;J$6,MIN(1,(AM384-J$10)/(0.3*(J$11-J$10))),IF(AF383&lt;K$6,MIN(1,(AN384-K$10)/(0.3*(K$11-K$10))),0))))))))</f>
        <v>0</v>
      </c>
      <c r="AF384" s="46">
        <f t="shared" ref="AF384:AF447" si="414">IF(O384&lt;0.2,0,IF(O384=0.2,0.2,AF383+AD384*AE384))</f>
        <v>2.1257999999999999</v>
      </c>
      <c r="AG384" s="39">
        <f t="shared" si="391"/>
        <v>59.438097077329168</v>
      </c>
      <c r="AH384" s="39">
        <f t="shared" si="392"/>
        <v>66.319423434587492</v>
      </c>
      <c r="AI384" s="39">
        <f t="shared" si="393"/>
        <v>49.520828956738455</v>
      </c>
      <c r="AJ384" s="39">
        <f t="shared" si="394"/>
        <v>57.364145204963663</v>
      </c>
      <c r="AK384" s="39">
        <f t="shared" si="395"/>
        <v>56.60769859546069</v>
      </c>
      <c r="AL384" s="39">
        <f t="shared" si="396"/>
        <v>50.587505068428761</v>
      </c>
      <c r="AM384" s="39">
        <f t="shared" si="397"/>
        <v>56.875713009359238</v>
      </c>
      <c r="AN384" s="39">
        <f t="shared" si="398"/>
        <v>64.268024995947613</v>
      </c>
      <c r="AO384" s="39">
        <f t="shared" ref="AO384:AO447" si="415">MAX(0,(AG384-D$10)*$B$8*MIN(1,(AG384-D$10)/($B$9*(D$11-D$10))))*MIN(1,$AF384/D$6)</f>
        <v>2.9438097077329171</v>
      </c>
      <c r="AP384" s="39">
        <f t="shared" ref="AP384:AP447" si="416">MAX(0,(AH384-E$10)*$B$8*MIN(1,(AH384-E$10)/($B$9*(E$11-E$10))))*MIN(1,MAX(0,($AF384-D$6))/(E$6-D$6))</f>
        <v>2.8319423434587492</v>
      </c>
      <c r="AQ384" s="39">
        <f t="shared" ref="AQ384:AQ447" si="417">MAX(0,(AI384-F$10)*$B$8*MIN(1,(AI384-F$10)/($B$9*(F$11-F$10))))*MIN(1,MAX(0,($AF384-E$6))/(F$6-E$6))</f>
        <v>1.3058058262669823</v>
      </c>
      <c r="AR384" s="39">
        <f t="shared" ref="AR384:AR447" si="418">MAX(0,(AJ384-G$10)*$B$8*MIN(1,(AJ384-G$10)/($B$9*(G$11-G$10))))*MIN(1,MAX(0,($AF384-F$6))/(G$6-F$6))</f>
        <v>0.72796231737821782</v>
      </c>
      <c r="AS384" s="39">
        <f t="shared" ref="AS384:AS447" si="419">MAX(0,(AK384-H$10)*$B$8*MIN(1,(AK384-H$10)/($B$9*(H$11-H$10))))*MIN(1,MAX(0,($AF384-G$6))/(H$6-G$6))</f>
        <v>1.0161183726467833</v>
      </c>
      <c r="AT384" s="39">
        <f t="shared" ref="AT384:AT447" si="420">MAX(0,(AL384-I$10)*$B$8*MIN(1,(AL384-I$10)/($B$9*(I$11-I$10))))*MIN(1,MAX(0,($AF384-H$6))/(I$6-H$6))</f>
        <v>1.4729539739619386</v>
      </c>
      <c r="AU384" s="39">
        <f t="shared" ref="AU384:AU447" si="421">MAX(0,(AM384-J$10)*$B$8*MIN(1,(AM384-J$10)/($B$9*(J$11-J$10))))*MIN(1,MAX(0,($AF384-I$6))/(J$6-I$6))</f>
        <v>2.3875713009359232</v>
      </c>
      <c r="AV384" s="39">
        <f t="shared" ref="AV384:AV447" si="422">MAX(0,(AN384-K$10)*$B$8*MIN(1,(AN384-K$10)/($B$9*(K$11-K$10))))*MIN(1,MAX(0,($AF384-J$6))/(K$6-J$6))</f>
        <v>3.1268024995947608</v>
      </c>
      <c r="AW384" s="39">
        <f t="shared" ref="AW384:AW447" si="423">SUM(AO384:AV384)</f>
        <v>15.812966341976274</v>
      </c>
      <c r="AX384" s="39">
        <f t="shared" ref="AX384:AX447" si="424">MIN(U384,AW384+S384)</f>
        <v>6.8200000000000012</v>
      </c>
      <c r="AY384" s="39">
        <f t="shared" ref="AY384:AY447" si="425">MAX(0,AX384-S384)</f>
        <v>6.8200000000000012</v>
      </c>
      <c r="AZ384" s="39">
        <f t="shared" ref="AZ384:AZ447" si="426">IF($AW384&gt;0,$AY384*(AO384/$AW384),0)</f>
        <v>1.2696404819027358</v>
      </c>
      <c r="BA384" s="39">
        <f t="shared" ref="BA384:BA447" si="427">IF($AW384&gt;0,$AY384*(AP384/$AW384),0)</f>
        <v>1.2213930242246291</v>
      </c>
      <c r="BB384" s="39">
        <f t="shared" ref="BB384:BB447" si="428">IF($AW384&gt;0,$AY384*(AQ384/$AW384),0)</f>
        <v>0.56318312089873301</v>
      </c>
      <c r="BC384" s="39">
        <f t="shared" ref="BC384:BC447" si="429">IF($AW384&gt;0,$AY384*(AR384/$AW384),0)</f>
        <v>0.31396405311635966</v>
      </c>
      <c r="BD384" s="39">
        <f t="shared" ref="BD384:BD447" si="430">IF($AW384&gt;0,$AY384*(AS384/$AW384),0)</f>
        <v>0.43824334736331161</v>
      </c>
      <c r="BE384" s="39">
        <f t="shared" ref="BE384:BE447" si="431">IF($AW384&gt;0,$AY384*(AT384/$AW384),0)</f>
        <v>0.63527271766550475</v>
      </c>
      <c r="BF384" s="39">
        <f t="shared" ref="BF384:BF447" si="432">IF($AW384&gt;0,$AY384*(AU384/$AW384),0)</f>
        <v>1.0297395137785357</v>
      </c>
      <c r="BG384" s="39">
        <f t="shared" ref="BG384:BG447" si="433">IF($AW384&gt;0,$AY384*(AV384/$AW384),0)</f>
        <v>1.3485637410501907</v>
      </c>
      <c r="BH384" s="84">
        <f t="shared" ref="BH384:BH447" si="434">MIN(V384,MAX(0,(AG384-(D$11-$B$5*$B$2)))+MAX(0,S384-AX384))</f>
        <v>0</v>
      </c>
      <c r="BI384" s="84">
        <f t="shared" ref="BI384:BI447" si="435">V384-BH384</f>
        <v>0</v>
      </c>
      <c r="BJ384" s="84">
        <f t="shared" ref="BJ384:BJ447" si="436">BH384+MIN(BI384,BI384*((S384+AG384-AZ384-BH384-D$10*0.5)/(D$11-$B$5*$B$2-D$10*0.5))^4)</f>
        <v>0</v>
      </c>
      <c r="BK384" s="39">
        <f t="shared" ref="BK384:BK447" si="437">AG384-AZ384-BJ384</f>
        <v>58.168456595426434</v>
      </c>
      <c r="BL384" s="39">
        <f t="shared" ref="BL384:BL447" si="438">AH384-BA384</f>
        <v>65.098030410362867</v>
      </c>
      <c r="BM384" s="39">
        <f t="shared" ref="BM384:BM447" si="439">AI384-BB384</f>
        <v>48.95764583583972</v>
      </c>
      <c r="BN384" s="39">
        <f t="shared" ref="BN384:BN447" si="440">AJ384-BC384</f>
        <v>57.050181151847305</v>
      </c>
      <c r="BO384" s="39">
        <f t="shared" ref="BO384:BO447" si="441">AK384-BD384</f>
        <v>56.169455248097378</v>
      </c>
      <c r="BP384" s="39">
        <f t="shared" ref="BP384:BP447" si="442">AL384-BE384</f>
        <v>49.952232350763254</v>
      </c>
      <c r="BQ384" s="39">
        <f t="shared" ref="BQ384:BQ447" si="443">AM384-BF384</f>
        <v>55.845973495580701</v>
      </c>
      <c r="BR384" s="39">
        <f t="shared" ref="BR384:BR447" si="444">AN384-BG384</f>
        <v>62.919461254897421</v>
      </c>
      <c r="BS384" s="39">
        <f t="shared" ref="BS384:BS447" si="445">MAX(0,(BK384-D$11)*$B$6)</f>
        <v>0</v>
      </c>
      <c r="BT384" s="39">
        <f t="shared" ref="BT384:BT447" si="446">MAX(0,(BL384-E$11)*$B$6)</f>
        <v>0</v>
      </c>
      <c r="BU384" s="39">
        <f t="shared" ref="BU384:BU447" si="447">MAX(0,(BM384-F$11)*$B$6)</f>
        <v>0</v>
      </c>
      <c r="BV384" s="39">
        <f t="shared" ref="BV384:BV447" si="448">MAX(0,(BN384-G$11)*$B$6)</f>
        <v>0</v>
      </c>
      <c r="BW384" s="39">
        <f t="shared" ref="BW384:BW447" si="449">MAX(0,(BO384-H$11)*$B$6)</f>
        <v>0</v>
      </c>
      <c r="BX384" s="39">
        <f t="shared" ref="BX384:BX447" si="450">MAX(0,(BP384-I$11)*$B$6)</f>
        <v>0</v>
      </c>
      <c r="BY384" s="39">
        <f t="shared" ref="BY384:BY447" si="451">MAX(0,(BQ384-J$11)*$B$6)</f>
        <v>0</v>
      </c>
      <c r="BZ384" s="39">
        <f t="shared" ref="BZ384:BZ447" si="452">MAX(0,(BR384-K$11)*$B$6)</f>
        <v>0</v>
      </c>
      <c r="CA384" s="39">
        <f t="shared" ref="CA384:CA447" si="453">BK384-BS384+MAX(0,S384-AY384-BJ384)</f>
        <v>58.168456595426434</v>
      </c>
      <c r="CB384" s="39">
        <f t="shared" ref="CB384:CB447" si="454">BL384-BT384+BS384+CI384</f>
        <v>65.098030410362867</v>
      </c>
      <c r="CC384" s="39">
        <f t="shared" ref="CC384:CC447" si="455">BM384-BU384+BT384+CJ384</f>
        <v>48.95764583583972</v>
      </c>
      <c r="CD384" s="39">
        <f t="shared" ref="CD384:CD447" si="456">BN384-BV384+BU384+CK384</f>
        <v>57.050181151847305</v>
      </c>
      <c r="CE384" s="39">
        <f t="shared" ref="CE384:CE447" si="457">BO384-BW384+BV384+CL384</f>
        <v>56.169455248097378</v>
      </c>
      <c r="CF384" s="39">
        <f t="shared" ref="CF384:CF447" si="458">BP384-BX384+BW384+CM384</f>
        <v>49.952232350763254</v>
      </c>
      <c r="CG384" s="39">
        <f t="shared" ref="CG384:CG447" si="459">BQ384-BY384+BX384+CN384</f>
        <v>55.845973495580701</v>
      </c>
      <c r="CH384" s="39">
        <f t="shared" ref="CH384:CH447" si="460">BR384-BZ384+BY384+CO384</f>
        <v>62.919461254897421</v>
      </c>
      <c r="CI384" s="39">
        <f t="shared" ref="CI384:CI447" si="461">MAX(0,CA384-D$12)</f>
        <v>0</v>
      </c>
      <c r="CJ384" s="39">
        <f t="shared" ref="CJ384:CJ447" si="462">MAX(0,CB384-E$12)</f>
        <v>0</v>
      </c>
      <c r="CK384" s="39">
        <f t="shared" ref="CK384:CK447" si="463">MAX(0,CC384-F$12)</f>
        <v>0</v>
      </c>
      <c r="CL384" s="39">
        <f t="shared" ref="CL384:CL447" si="464">MAX(0,CD384-G$12)</f>
        <v>0</v>
      </c>
      <c r="CM384" s="39">
        <f t="shared" ref="CM384:CM447" si="465">MAX(0,CE384-H$12)</f>
        <v>0</v>
      </c>
      <c r="CN384" s="39">
        <f t="shared" ref="CN384:CN447" si="466">MAX(0,CF384-I$12)</f>
        <v>0</v>
      </c>
      <c r="CO384" s="39">
        <f t="shared" ref="CO384:CO447" si="467">MAX(0,CG384-J$12)</f>
        <v>0</v>
      </c>
      <c r="CP384" s="39">
        <f t="shared" ref="CP384:CP447" si="468">MAX(0,CH384-K$12)</f>
        <v>0</v>
      </c>
    </row>
    <row r="385" spans="12:94" ht="16" customHeight="1" x14ac:dyDescent="0.2">
      <c r="L385" s="63">
        <v>30697</v>
      </c>
      <c r="M385" s="38">
        <v>0</v>
      </c>
      <c r="N385" s="38">
        <v>7</v>
      </c>
      <c r="O385" s="39">
        <v>2.3664000000000001</v>
      </c>
      <c r="P385" s="39">
        <v>1.1000000000000001</v>
      </c>
      <c r="Q385" s="46">
        <f t="shared" si="399"/>
        <v>9.29017771714329E-2</v>
      </c>
      <c r="R385" s="81">
        <f t="shared" si="400"/>
        <v>0</v>
      </c>
      <c r="S385" s="82">
        <f t="shared" si="401"/>
        <v>0</v>
      </c>
      <c r="T385" s="39">
        <f t="shared" si="402"/>
        <v>0</v>
      </c>
      <c r="U385" s="83">
        <f t="shared" si="403"/>
        <v>7.7000000000000011</v>
      </c>
      <c r="V385" s="84">
        <f t="shared" si="404"/>
        <v>0</v>
      </c>
      <c r="W385" s="52">
        <f t="shared" si="405"/>
        <v>80.274313993476341</v>
      </c>
      <c r="X385" s="52">
        <f t="shared" si="406"/>
        <v>83.887122349338739</v>
      </c>
      <c r="Y385" s="52">
        <f t="shared" si="407"/>
        <v>164.16143634281508</v>
      </c>
      <c r="Z385" s="53">
        <f t="shared" si="408"/>
        <v>0.62714307807403391</v>
      </c>
      <c r="AA385" s="53">
        <f t="shared" si="409"/>
        <v>0.4993281092222544</v>
      </c>
      <c r="AB385" s="53">
        <f t="shared" si="410"/>
        <v>0.55459944710410503</v>
      </c>
      <c r="AC385" s="39" t="str">
        <f t="shared" si="411"/>
        <v>Si</v>
      </c>
      <c r="AD385" s="85">
        <f t="shared" si="412"/>
        <v>0</v>
      </c>
      <c r="AE385" s="46">
        <f t="shared" si="413"/>
        <v>0</v>
      </c>
      <c r="AF385" s="46">
        <f t="shared" si="414"/>
        <v>2.1257999999999999</v>
      </c>
      <c r="AG385" s="39">
        <f t="shared" ref="AG385:AG448" si="469">MIN(D$12,CA384)</f>
        <v>58.168456595426434</v>
      </c>
      <c r="AH385" s="39">
        <f t="shared" ref="AH385:AH448" si="470">MIN(E$12,CB384)</f>
        <v>65.098030410362867</v>
      </c>
      <c r="AI385" s="39">
        <f t="shared" ref="AI385:AI448" si="471">MIN(F$12,CC384)</f>
        <v>48.95764583583972</v>
      </c>
      <c r="AJ385" s="39">
        <f t="shared" ref="AJ385:AJ448" si="472">MIN(G$12,CD384)</f>
        <v>57.050181151847305</v>
      </c>
      <c r="AK385" s="39">
        <f t="shared" ref="AK385:AK448" si="473">MIN(H$12,CE384)</f>
        <v>56.169455248097378</v>
      </c>
      <c r="AL385" s="39">
        <f t="shared" ref="AL385:AL448" si="474">MIN(I$12,CF384)</f>
        <v>49.952232350763254</v>
      </c>
      <c r="AM385" s="39">
        <f t="shared" ref="AM385:AM448" si="475">MIN(J$12,CG384)</f>
        <v>55.845973495580701</v>
      </c>
      <c r="AN385" s="39">
        <f t="shared" ref="AN385:AN448" si="476">MIN(K$12,CH384)</f>
        <v>62.919461254897421</v>
      </c>
      <c r="AO385" s="39">
        <f t="shared" si="415"/>
        <v>2.8168456595426434</v>
      </c>
      <c r="AP385" s="39">
        <f t="shared" si="416"/>
        <v>2.7098030410362868</v>
      </c>
      <c r="AQ385" s="39">
        <f t="shared" si="417"/>
        <v>1.1992898971932486</v>
      </c>
      <c r="AR385" s="39">
        <f t="shared" si="418"/>
        <v>0.69146126567778976</v>
      </c>
      <c r="AS385" s="39">
        <f t="shared" si="419"/>
        <v>0.95606410489445048</v>
      </c>
      <c r="AT385" s="39">
        <f t="shared" si="420"/>
        <v>1.3684675317822093</v>
      </c>
      <c r="AU385" s="39">
        <f t="shared" si="421"/>
        <v>2.2845973495580694</v>
      </c>
      <c r="AV385" s="39">
        <f t="shared" si="422"/>
        <v>2.9919461254897417</v>
      </c>
      <c r="AW385" s="39">
        <f t="shared" si="423"/>
        <v>15.01847497517444</v>
      </c>
      <c r="AX385" s="39">
        <f t="shared" si="424"/>
        <v>7.7000000000000011</v>
      </c>
      <c r="AY385" s="39">
        <f t="shared" si="425"/>
        <v>7.7000000000000011</v>
      </c>
      <c r="AZ385" s="39">
        <f t="shared" si="426"/>
        <v>1.4442019988268768</v>
      </c>
      <c r="BA385" s="39">
        <f t="shared" si="427"/>
        <v>1.3893210496052417</v>
      </c>
      <c r="BB385" s="39">
        <f t="shared" si="428"/>
        <v>0.61487815664724355</v>
      </c>
      <c r="BC385" s="39">
        <f t="shared" si="429"/>
        <v>0.35451347453852516</v>
      </c>
      <c r="BD385" s="39">
        <f t="shared" si="430"/>
        <v>0.49017584141240439</v>
      </c>
      <c r="BE385" s="39">
        <f t="shared" si="431"/>
        <v>0.7016158439615886</v>
      </c>
      <c r="BF385" s="39">
        <f t="shared" si="432"/>
        <v>1.1713173022344641</v>
      </c>
      <c r="BG385" s="39">
        <f t="shared" si="433"/>
        <v>1.5339763327736562</v>
      </c>
      <c r="BH385" s="84">
        <f t="shared" si="434"/>
        <v>0</v>
      </c>
      <c r="BI385" s="84">
        <f t="shared" si="435"/>
        <v>0</v>
      </c>
      <c r="BJ385" s="84">
        <f t="shared" si="436"/>
        <v>0</v>
      </c>
      <c r="BK385" s="39">
        <f t="shared" si="437"/>
        <v>56.724254596599557</v>
      </c>
      <c r="BL385" s="39">
        <f t="shared" si="438"/>
        <v>63.708709360757624</v>
      </c>
      <c r="BM385" s="39">
        <f t="shared" si="439"/>
        <v>48.342767679192477</v>
      </c>
      <c r="BN385" s="39">
        <f t="shared" si="440"/>
        <v>56.695667677308776</v>
      </c>
      <c r="BO385" s="39">
        <f t="shared" si="441"/>
        <v>55.679279406684977</v>
      </c>
      <c r="BP385" s="39">
        <f t="shared" si="442"/>
        <v>49.250616506801663</v>
      </c>
      <c r="BQ385" s="39">
        <f t="shared" si="443"/>
        <v>54.674656193346237</v>
      </c>
      <c r="BR385" s="39">
        <f t="shared" si="444"/>
        <v>61.385484922123766</v>
      </c>
      <c r="BS385" s="39">
        <f t="shared" si="445"/>
        <v>0</v>
      </c>
      <c r="BT385" s="39">
        <f t="shared" si="446"/>
        <v>0</v>
      </c>
      <c r="BU385" s="39">
        <f t="shared" si="447"/>
        <v>0</v>
      </c>
      <c r="BV385" s="39">
        <f t="shared" si="448"/>
        <v>0</v>
      </c>
      <c r="BW385" s="39">
        <f t="shared" si="449"/>
        <v>0</v>
      </c>
      <c r="BX385" s="39">
        <f t="shared" si="450"/>
        <v>0</v>
      </c>
      <c r="BY385" s="39">
        <f t="shared" si="451"/>
        <v>0</v>
      </c>
      <c r="BZ385" s="39">
        <f t="shared" si="452"/>
        <v>0</v>
      </c>
      <c r="CA385" s="39">
        <f t="shared" si="453"/>
        <v>56.724254596599557</v>
      </c>
      <c r="CB385" s="39">
        <f t="shared" si="454"/>
        <v>63.708709360757624</v>
      </c>
      <c r="CC385" s="39">
        <f t="shared" si="455"/>
        <v>48.342767679192477</v>
      </c>
      <c r="CD385" s="39">
        <f t="shared" si="456"/>
        <v>56.695667677308776</v>
      </c>
      <c r="CE385" s="39">
        <f t="shared" si="457"/>
        <v>55.679279406684977</v>
      </c>
      <c r="CF385" s="39">
        <f t="shared" si="458"/>
        <v>49.250616506801663</v>
      </c>
      <c r="CG385" s="39">
        <f t="shared" si="459"/>
        <v>54.674656193346237</v>
      </c>
      <c r="CH385" s="39">
        <f t="shared" si="460"/>
        <v>61.385484922123766</v>
      </c>
      <c r="CI385" s="39">
        <f t="shared" si="461"/>
        <v>0</v>
      </c>
      <c r="CJ385" s="39">
        <f t="shared" si="462"/>
        <v>0</v>
      </c>
      <c r="CK385" s="39">
        <f t="shared" si="463"/>
        <v>0</v>
      </c>
      <c r="CL385" s="39">
        <f t="shared" si="464"/>
        <v>0</v>
      </c>
      <c r="CM385" s="39">
        <f t="shared" si="465"/>
        <v>0</v>
      </c>
      <c r="CN385" s="39">
        <f t="shared" si="466"/>
        <v>0</v>
      </c>
      <c r="CO385" s="39">
        <f t="shared" si="467"/>
        <v>0</v>
      </c>
      <c r="CP385" s="39">
        <f t="shared" si="468"/>
        <v>0</v>
      </c>
    </row>
    <row r="386" spans="12:94" ht="16" customHeight="1" x14ac:dyDescent="0.2">
      <c r="L386" s="63">
        <v>30698</v>
      </c>
      <c r="M386" s="38">
        <v>0</v>
      </c>
      <c r="N386" s="38">
        <v>7.2</v>
      </c>
      <c r="O386" s="39">
        <v>2.3664000000000001</v>
      </c>
      <c r="P386" s="39">
        <v>1.1000000000000001</v>
      </c>
      <c r="Q386" s="46">
        <f t="shared" si="399"/>
        <v>9.5829213655541437E-2</v>
      </c>
      <c r="R386" s="81">
        <f t="shared" si="400"/>
        <v>0</v>
      </c>
      <c r="S386" s="82">
        <f t="shared" si="401"/>
        <v>0</v>
      </c>
      <c r="T386" s="39">
        <f t="shared" si="402"/>
        <v>0</v>
      </c>
      <c r="U386" s="83">
        <f t="shared" si="403"/>
        <v>7.9200000000000008</v>
      </c>
      <c r="V386" s="84">
        <f t="shared" si="404"/>
        <v>0</v>
      </c>
      <c r="W386" s="52">
        <f t="shared" si="405"/>
        <v>76.471399313858456</v>
      </c>
      <c r="X386" s="52">
        <f t="shared" si="406"/>
        <v>79.990037028956635</v>
      </c>
      <c r="Y386" s="52">
        <f t="shared" si="407"/>
        <v>156.46143634281509</v>
      </c>
      <c r="Z386" s="53">
        <f t="shared" si="408"/>
        <v>0.59743280713951918</v>
      </c>
      <c r="AA386" s="53">
        <f t="shared" si="409"/>
        <v>0.47613117279140854</v>
      </c>
      <c r="AB386" s="53">
        <f t="shared" si="410"/>
        <v>0.52858593359059147</v>
      </c>
      <c r="AC386" s="39" t="str">
        <f t="shared" si="411"/>
        <v>Si</v>
      </c>
      <c r="AD386" s="85">
        <f t="shared" si="412"/>
        <v>0</v>
      </c>
      <c r="AE386" s="46">
        <f t="shared" si="413"/>
        <v>0</v>
      </c>
      <c r="AF386" s="46">
        <f t="shared" si="414"/>
        <v>2.1257999999999999</v>
      </c>
      <c r="AG386" s="39">
        <f t="shared" si="469"/>
        <v>56.724254596599557</v>
      </c>
      <c r="AH386" s="39">
        <f t="shared" si="470"/>
        <v>63.708709360757624</v>
      </c>
      <c r="AI386" s="39">
        <f t="shared" si="471"/>
        <v>48.342767679192477</v>
      </c>
      <c r="AJ386" s="39">
        <f t="shared" si="472"/>
        <v>56.695667677308776</v>
      </c>
      <c r="AK386" s="39">
        <f t="shared" si="473"/>
        <v>55.679279406684977</v>
      </c>
      <c r="AL386" s="39">
        <f t="shared" si="474"/>
        <v>49.250616506801663</v>
      </c>
      <c r="AM386" s="39">
        <f t="shared" si="475"/>
        <v>54.674656193346237</v>
      </c>
      <c r="AN386" s="39">
        <f t="shared" si="476"/>
        <v>61.385484922123766</v>
      </c>
      <c r="AO386" s="39">
        <f t="shared" si="415"/>
        <v>2.6724254596599559</v>
      </c>
      <c r="AP386" s="39">
        <f t="shared" si="416"/>
        <v>2.5708709360757624</v>
      </c>
      <c r="AQ386" s="39">
        <f t="shared" si="417"/>
        <v>1.0881708141608486</v>
      </c>
      <c r="AR386" s="39">
        <f t="shared" si="418"/>
        <v>0.65137448770497663</v>
      </c>
      <c r="AS386" s="39">
        <f t="shared" si="419"/>
        <v>0.89106040517217111</v>
      </c>
      <c r="AT386" s="39">
        <f t="shared" si="420"/>
        <v>1.2575358897673068</v>
      </c>
      <c r="AU386" s="39">
        <f t="shared" si="421"/>
        <v>2.1674656193346231</v>
      </c>
      <c r="AV386" s="39">
        <f t="shared" si="422"/>
        <v>2.838548492212376</v>
      </c>
      <c r="AW386" s="39">
        <f t="shared" si="423"/>
        <v>14.13745210408802</v>
      </c>
      <c r="AX386" s="39">
        <f t="shared" si="424"/>
        <v>7.9200000000000008</v>
      </c>
      <c r="AY386" s="39">
        <f t="shared" si="425"/>
        <v>7.9200000000000008</v>
      </c>
      <c r="AZ386" s="39">
        <f t="shared" si="426"/>
        <v>1.4971304224179514</v>
      </c>
      <c r="BA386" s="39">
        <f t="shared" si="427"/>
        <v>1.4402381464360412</v>
      </c>
      <c r="BB386" s="39">
        <f t="shared" si="428"/>
        <v>0.60960863277915756</v>
      </c>
      <c r="BC386" s="39">
        <f t="shared" si="429"/>
        <v>0.36490917208000018</v>
      </c>
      <c r="BD386" s="39">
        <f t="shared" si="430"/>
        <v>0.49918460250152991</v>
      </c>
      <c r="BE386" s="39">
        <f t="shared" si="431"/>
        <v>0.70448933610018061</v>
      </c>
      <c r="BF386" s="39">
        <f t="shared" si="432"/>
        <v>1.2142448001762893</v>
      </c>
      <c r="BG386" s="39">
        <f t="shared" si="433"/>
        <v>1.5901948875088512</v>
      </c>
      <c r="BH386" s="84">
        <f t="shared" si="434"/>
        <v>0</v>
      </c>
      <c r="BI386" s="84">
        <f t="shared" si="435"/>
        <v>0</v>
      </c>
      <c r="BJ386" s="84">
        <f t="shared" si="436"/>
        <v>0</v>
      </c>
      <c r="BK386" s="39">
        <f t="shared" si="437"/>
        <v>55.227124174181604</v>
      </c>
      <c r="BL386" s="39">
        <f t="shared" si="438"/>
        <v>62.268471214321579</v>
      </c>
      <c r="BM386" s="39">
        <f t="shared" si="439"/>
        <v>47.73315904641332</v>
      </c>
      <c r="BN386" s="39">
        <f t="shared" si="440"/>
        <v>56.330758505228779</v>
      </c>
      <c r="BO386" s="39">
        <f t="shared" si="441"/>
        <v>55.180094804183447</v>
      </c>
      <c r="BP386" s="39">
        <f t="shared" si="442"/>
        <v>48.546127170701482</v>
      </c>
      <c r="BQ386" s="39">
        <f t="shared" si="443"/>
        <v>53.460411393169949</v>
      </c>
      <c r="BR386" s="39">
        <f t="shared" si="444"/>
        <v>59.795290034614915</v>
      </c>
      <c r="BS386" s="39">
        <f t="shared" si="445"/>
        <v>0</v>
      </c>
      <c r="BT386" s="39">
        <f t="shared" si="446"/>
        <v>0</v>
      </c>
      <c r="BU386" s="39">
        <f t="shared" si="447"/>
        <v>0</v>
      </c>
      <c r="BV386" s="39">
        <f t="shared" si="448"/>
        <v>0</v>
      </c>
      <c r="BW386" s="39">
        <f t="shared" si="449"/>
        <v>0</v>
      </c>
      <c r="BX386" s="39">
        <f t="shared" si="450"/>
        <v>0</v>
      </c>
      <c r="BY386" s="39">
        <f t="shared" si="451"/>
        <v>0</v>
      </c>
      <c r="BZ386" s="39">
        <f t="shared" si="452"/>
        <v>0</v>
      </c>
      <c r="CA386" s="39">
        <f t="shared" si="453"/>
        <v>55.227124174181604</v>
      </c>
      <c r="CB386" s="39">
        <f t="shared" si="454"/>
        <v>62.268471214321579</v>
      </c>
      <c r="CC386" s="39">
        <f t="shared" si="455"/>
        <v>47.73315904641332</v>
      </c>
      <c r="CD386" s="39">
        <f t="shared" si="456"/>
        <v>56.330758505228779</v>
      </c>
      <c r="CE386" s="39">
        <f t="shared" si="457"/>
        <v>55.180094804183447</v>
      </c>
      <c r="CF386" s="39">
        <f t="shared" si="458"/>
        <v>48.546127170701482</v>
      </c>
      <c r="CG386" s="39">
        <f t="shared" si="459"/>
        <v>53.460411393169949</v>
      </c>
      <c r="CH386" s="39">
        <f t="shared" si="460"/>
        <v>59.795290034614915</v>
      </c>
      <c r="CI386" s="39">
        <f t="shared" si="461"/>
        <v>0</v>
      </c>
      <c r="CJ386" s="39">
        <f t="shared" si="462"/>
        <v>0</v>
      </c>
      <c r="CK386" s="39">
        <f t="shared" si="463"/>
        <v>0</v>
      </c>
      <c r="CL386" s="39">
        <f t="shared" si="464"/>
        <v>0</v>
      </c>
      <c r="CM386" s="39">
        <f t="shared" si="465"/>
        <v>0</v>
      </c>
      <c r="CN386" s="39">
        <f t="shared" si="466"/>
        <v>0</v>
      </c>
      <c r="CO386" s="39">
        <f t="shared" si="467"/>
        <v>0</v>
      </c>
      <c r="CP386" s="39">
        <f t="shared" si="468"/>
        <v>0</v>
      </c>
    </row>
    <row r="387" spans="12:94" ht="16" customHeight="1" x14ac:dyDescent="0.2">
      <c r="L387" s="63">
        <v>30699</v>
      </c>
      <c r="M387" s="38">
        <v>9.5</v>
      </c>
      <c r="N387" s="38">
        <v>6.9</v>
      </c>
      <c r="O387" s="39">
        <v>2.3664000000000001</v>
      </c>
      <c r="P387" s="39">
        <v>1.1000000000000001</v>
      </c>
      <c r="Q387" s="46">
        <f t="shared" si="399"/>
        <v>9.8863937484767017E-2</v>
      </c>
      <c r="R387" s="81">
        <f t="shared" si="400"/>
        <v>5.1326017418904503E-2</v>
      </c>
      <c r="S387" s="82">
        <f t="shared" si="401"/>
        <v>9.448673982581095</v>
      </c>
      <c r="T387" s="39">
        <f t="shared" si="402"/>
        <v>0</v>
      </c>
      <c r="U387" s="83">
        <f t="shared" si="403"/>
        <v>7.5900000000000007</v>
      </c>
      <c r="V387" s="84">
        <f t="shared" si="404"/>
        <v>0</v>
      </c>
      <c r="W387" s="52">
        <f t="shared" si="405"/>
        <v>72.559512940145254</v>
      </c>
      <c r="X387" s="52">
        <f t="shared" si="406"/>
        <v>75.981923402669793</v>
      </c>
      <c r="Y387" s="52">
        <f t="shared" si="407"/>
        <v>148.54143634281505</v>
      </c>
      <c r="Z387" s="53">
        <f t="shared" si="408"/>
        <v>0.5668711948448848</v>
      </c>
      <c r="AA387" s="53">
        <f t="shared" si="409"/>
        <v>0.45227335358732018</v>
      </c>
      <c r="AB387" s="53">
        <f t="shared" si="410"/>
        <v>0.50182917683383466</v>
      </c>
      <c r="AC387" s="39" t="str">
        <f t="shared" si="411"/>
        <v>Si</v>
      </c>
      <c r="AD387" s="85">
        <f t="shared" si="412"/>
        <v>0</v>
      </c>
      <c r="AE387" s="46">
        <f t="shared" si="413"/>
        <v>0</v>
      </c>
      <c r="AF387" s="46">
        <f t="shared" si="414"/>
        <v>2.1257999999999999</v>
      </c>
      <c r="AG387" s="39">
        <f t="shared" si="469"/>
        <v>55.227124174181604</v>
      </c>
      <c r="AH387" s="39">
        <f t="shared" si="470"/>
        <v>62.268471214321579</v>
      </c>
      <c r="AI387" s="39">
        <f t="shared" si="471"/>
        <v>47.73315904641332</v>
      </c>
      <c r="AJ387" s="39">
        <f t="shared" si="472"/>
        <v>56.330758505228779</v>
      </c>
      <c r="AK387" s="39">
        <f t="shared" si="473"/>
        <v>55.180094804183447</v>
      </c>
      <c r="AL387" s="39">
        <f t="shared" si="474"/>
        <v>48.546127170701482</v>
      </c>
      <c r="AM387" s="39">
        <f t="shared" si="475"/>
        <v>53.460411393169949</v>
      </c>
      <c r="AN387" s="39">
        <f t="shared" si="476"/>
        <v>59.795290034614915</v>
      </c>
      <c r="AO387" s="39">
        <f t="shared" si="415"/>
        <v>2.5227124174181608</v>
      </c>
      <c r="AP387" s="39">
        <f t="shared" si="416"/>
        <v>2.4268471214321581</v>
      </c>
      <c r="AQ387" s="39">
        <f t="shared" si="417"/>
        <v>0.9833358657745076</v>
      </c>
      <c r="AR387" s="39">
        <f t="shared" si="418"/>
        <v>0.61136232525625778</v>
      </c>
      <c r="AS387" s="39">
        <f t="shared" si="419"/>
        <v>0.82721380498697006</v>
      </c>
      <c r="AT387" s="39">
        <f t="shared" si="420"/>
        <v>1.1508670000362982</v>
      </c>
      <c r="AU387" s="39">
        <f t="shared" si="421"/>
        <v>1.9934687351321823</v>
      </c>
      <c r="AV387" s="39">
        <f t="shared" si="422"/>
        <v>2.6795290034614911</v>
      </c>
      <c r="AW387" s="39">
        <f t="shared" si="423"/>
        <v>13.195336273498027</v>
      </c>
      <c r="AX387" s="39">
        <f t="shared" si="424"/>
        <v>7.5900000000000007</v>
      </c>
      <c r="AY387" s="39">
        <f t="shared" si="425"/>
        <v>0</v>
      </c>
      <c r="AZ387" s="39">
        <f t="shared" si="426"/>
        <v>0</v>
      </c>
      <c r="BA387" s="39">
        <f t="shared" si="427"/>
        <v>0</v>
      </c>
      <c r="BB387" s="39">
        <f t="shared" si="428"/>
        <v>0</v>
      </c>
      <c r="BC387" s="39">
        <f t="shared" si="429"/>
        <v>0</v>
      </c>
      <c r="BD387" s="39">
        <f t="shared" si="430"/>
        <v>0</v>
      </c>
      <c r="BE387" s="39">
        <f t="shared" si="431"/>
        <v>0</v>
      </c>
      <c r="BF387" s="39">
        <f t="shared" si="432"/>
        <v>0</v>
      </c>
      <c r="BG387" s="39">
        <f t="shared" si="433"/>
        <v>0</v>
      </c>
      <c r="BH387" s="84">
        <f t="shared" si="434"/>
        <v>0</v>
      </c>
      <c r="BI387" s="84">
        <f t="shared" si="435"/>
        <v>0</v>
      </c>
      <c r="BJ387" s="84">
        <f t="shared" si="436"/>
        <v>0</v>
      </c>
      <c r="BK387" s="39">
        <f t="shared" si="437"/>
        <v>55.227124174181604</v>
      </c>
      <c r="BL387" s="39">
        <f t="shared" si="438"/>
        <v>62.268471214321579</v>
      </c>
      <c r="BM387" s="39">
        <f t="shared" si="439"/>
        <v>47.73315904641332</v>
      </c>
      <c r="BN387" s="39">
        <f t="shared" si="440"/>
        <v>56.330758505228779</v>
      </c>
      <c r="BO387" s="39">
        <f t="shared" si="441"/>
        <v>55.180094804183447</v>
      </c>
      <c r="BP387" s="39">
        <f t="shared" si="442"/>
        <v>48.546127170701482</v>
      </c>
      <c r="BQ387" s="39">
        <f t="shared" si="443"/>
        <v>53.460411393169949</v>
      </c>
      <c r="BR387" s="39">
        <f t="shared" si="444"/>
        <v>59.795290034614915</v>
      </c>
      <c r="BS387" s="39">
        <f t="shared" si="445"/>
        <v>0</v>
      </c>
      <c r="BT387" s="39">
        <f t="shared" si="446"/>
        <v>0</v>
      </c>
      <c r="BU387" s="39">
        <f t="shared" si="447"/>
        <v>0</v>
      </c>
      <c r="BV387" s="39">
        <f t="shared" si="448"/>
        <v>0</v>
      </c>
      <c r="BW387" s="39">
        <f t="shared" si="449"/>
        <v>0</v>
      </c>
      <c r="BX387" s="39">
        <f t="shared" si="450"/>
        <v>0</v>
      </c>
      <c r="BY387" s="39">
        <f t="shared" si="451"/>
        <v>0</v>
      </c>
      <c r="BZ387" s="39">
        <f t="shared" si="452"/>
        <v>0</v>
      </c>
      <c r="CA387" s="39">
        <f t="shared" si="453"/>
        <v>64.675798156762696</v>
      </c>
      <c r="CB387" s="39">
        <f t="shared" si="454"/>
        <v>62.268471214321579</v>
      </c>
      <c r="CC387" s="39">
        <f t="shared" si="455"/>
        <v>47.73315904641332</v>
      </c>
      <c r="CD387" s="39">
        <f t="shared" si="456"/>
        <v>56.330758505228779</v>
      </c>
      <c r="CE387" s="39">
        <f t="shared" si="457"/>
        <v>55.180094804183447</v>
      </c>
      <c r="CF387" s="39">
        <f t="shared" si="458"/>
        <v>48.546127170701482</v>
      </c>
      <c r="CG387" s="39">
        <f t="shared" si="459"/>
        <v>53.460411393169949</v>
      </c>
      <c r="CH387" s="39">
        <f t="shared" si="460"/>
        <v>59.795290034614915</v>
      </c>
      <c r="CI387" s="39">
        <f t="shared" si="461"/>
        <v>0</v>
      </c>
      <c r="CJ387" s="39">
        <f t="shared" si="462"/>
        <v>0</v>
      </c>
      <c r="CK387" s="39">
        <f t="shared" si="463"/>
        <v>0</v>
      </c>
      <c r="CL387" s="39">
        <f t="shared" si="464"/>
        <v>0</v>
      </c>
      <c r="CM387" s="39">
        <f t="shared" si="465"/>
        <v>0</v>
      </c>
      <c r="CN387" s="39">
        <f t="shared" si="466"/>
        <v>0</v>
      </c>
      <c r="CO387" s="39">
        <f t="shared" si="467"/>
        <v>0</v>
      </c>
      <c r="CP387" s="39">
        <f t="shared" si="468"/>
        <v>0</v>
      </c>
    </row>
    <row r="388" spans="12:94" ht="16" customHeight="1" x14ac:dyDescent="0.2">
      <c r="L388" s="63">
        <v>30700</v>
      </c>
      <c r="M388" s="38">
        <v>0.7</v>
      </c>
      <c r="N388" s="38">
        <v>3.1</v>
      </c>
      <c r="O388" s="39">
        <v>2.3664000000000001</v>
      </c>
      <c r="P388" s="39">
        <v>1.1000000000000001</v>
      </c>
      <c r="Q388" s="46">
        <f t="shared" si="399"/>
        <v>7.9711219952508044E-2</v>
      </c>
      <c r="R388" s="81">
        <f t="shared" si="400"/>
        <v>0</v>
      </c>
      <c r="S388" s="82">
        <f t="shared" si="401"/>
        <v>0.7</v>
      </c>
      <c r="T388" s="39">
        <f t="shared" si="402"/>
        <v>0</v>
      </c>
      <c r="U388" s="83">
        <f t="shared" si="403"/>
        <v>3.4100000000000006</v>
      </c>
      <c r="V388" s="84">
        <f t="shared" si="404"/>
        <v>0</v>
      </c>
      <c r="W388" s="52">
        <f t="shared" si="405"/>
        <v>82.008186922726367</v>
      </c>
      <c r="X388" s="52">
        <f t="shared" si="406"/>
        <v>75.981923402669793</v>
      </c>
      <c r="Y388" s="52">
        <f t="shared" si="407"/>
        <v>157.99011032539616</v>
      </c>
      <c r="Z388" s="53">
        <f t="shared" si="408"/>
        <v>0.64068896033379974</v>
      </c>
      <c r="AA388" s="53">
        <f t="shared" si="409"/>
        <v>0.45227335358732018</v>
      </c>
      <c r="AB388" s="53">
        <f t="shared" si="410"/>
        <v>0.53375037272093295</v>
      </c>
      <c r="AC388" s="39" t="str">
        <f t="shared" si="411"/>
        <v>Si</v>
      </c>
      <c r="AD388" s="85">
        <f t="shared" si="412"/>
        <v>0</v>
      </c>
      <c r="AE388" s="46">
        <f t="shared" si="413"/>
        <v>0</v>
      </c>
      <c r="AF388" s="46">
        <f t="shared" si="414"/>
        <v>2.1257999999999999</v>
      </c>
      <c r="AG388" s="39">
        <f t="shared" si="469"/>
        <v>64.675798156762696</v>
      </c>
      <c r="AH388" s="39">
        <f t="shared" si="470"/>
        <v>62.268471214321579</v>
      </c>
      <c r="AI388" s="39">
        <f t="shared" si="471"/>
        <v>47.73315904641332</v>
      </c>
      <c r="AJ388" s="39">
        <f t="shared" si="472"/>
        <v>56.330758505228779</v>
      </c>
      <c r="AK388" s="39">
        <f t="shared" si="473"/>
        <v>55.180094804183447</v>
      </c>
      <c r="AL388" s="39">
        <f t="shared" si="474"/>
        <v>48.546127170701482</v>
      </c>
      <c r="AM388" s="39">
        <f t="shared" si="475"/>
        <v>53.460411393169949</v>
      </c>
      <c r="AN388" s="39">
        <f t="shared" si="476"/>
        <v>59.795290034614915</v>
      </c>
      <c r="AO388" s="39">
        <f t="shared" si="415"/>
        <v>3.4675798156762698</v>
      </c>
      <c r="AP388" s="39">
        <f t="shared" si="416"/>
        <v>2.4268471214321581</v>
      </c>
      <c r="AQ388" s="39">
        <f t="shared" si="417"/>
        <v>0.9833358657745076</v>
      </c>
      <c r="AR388" s="39">
        <f t="shared" si="418"/>
        <v>0.61136232525625778</v>
      </c>
      <c r="AS388" s="39">
        <f t="shared" si="419"/>
        <v>0.82721380498697006</v>
      </c>
      <c r="AT388" s="39">
        <f t="shared" si="420"/>
        <v>1.1508670000362982</v>
      </c>
      <c r="AU388" s="39">
        <f t="shared" si="421"/>
        <v>1.9934687351321823</v>
      </c>
      <c r="AV388" s="39">
        <f t="shared" si="422"/>
        <v>2.6795290034614911</v>
      </c>
      <c r="AW388" s="39">
        <f t="shared" si="423"/>
        <v>14.140203671756135</v>
      </c>
      <c r="AX388" s="39">
        <f t="shared" si="424"/>
        <v>3.4100000000000006</v>
      </c>
      <c r="AY388" s="39">
        <f t="shared" si="425"/>
        <v>2.7100000000000009</v>
      </c>
      <c r="AZ388" s="39">
        <f t="shared" si="426"/>
        <v>0.66456902026472875</v>
      </c>
      <c r="BA388" s="39">
        <f t="shared" si="427"/>
        <v>0.46511039386353864</v>
      </c>
      <c r="BB388" s="39">
        <f t="shared" si="428"/>
        <v>0.18845840258805538</v>
      </c>
      <c r="BC388" s="39">
        <f t="shared" si="429"/>
        <v>0.11716888525119064</v>
      </c>
      <c r="BD388" s="39">
        <f t="shared" si="430"/>
        <v>0.15853727877996518</v>
      </c>
      <c r="BE388" s="39">
        <f t="shared" si="431"/>
        <v>0.22056609950590797</v>
      </c>
      <c r="BF388" s="39">
        <f t="shared" si="432"/>
        <v>0.38205250770177063</v>
      </c>
      <c r="BG388" s="39">
        <f t="shared" si="433"/>
        <v>0.51353741204484382</v>
      </c>
      <c r="BH388" s="84">
        <f t="shared" si="434"/>
        <v>0</v>
      </c>
      <c r="BI388" s="84">
        <f t="shared" si="435"/>
        <v>0</v>
      </c>
      <c r="BJ388" s="84">
        <f t="shared" si="436"/>
        <v>0</v>
      </c>
      <c r="BK388" s="39">
        <f t="shared" si="437"/>
        <v>64.011229136497974</v>
      </c>
      <c r="BL388" s="39">
        <f t="shared" si="438"/>
        <v>61.803360820458039</v>
      </c>
      <c r="BM388" s="39">
        <f t="shared" si="439"/>
        <v>47.544700643825266</v>
      </c>
      <c r="BN388" s="39">
        <f t="shared" si="440"/>
        <v>56.21358961997759</v>
      </c>
      <c r="BO388" s="39">
        <f t="shared" si="441"/>
        <v>55.02155752540348</v>
      </c>
      <c r="BP388" s="39">
        <f t="shared" si="442"/>
        <v>48.325561071195573</v>
      </c>
      <c r="BQ388" s="39">
        <f t="shared" si="443"/>
        <v>53.078358885468177</v>
      </c>
      <c r="BR388" s="39">
        <f t="shared" si="444"/>
        <v>59.281752622570075</v>
      </c>
      <c r="BS388" s="39">
        <f t="shared" si="445"/>
        <v>2.4067374818987841</v>
      </c>
      <c r="BT388" s="39">
        <f t="shared" si="446"/>
        <v>0</v>
      </c>
      <c r="BU388" s="39">
        <f t="shared" si="447"/>
        <v>0</v>
      </c>
      <c r="BV388" s="39">
        <f t="shared" si="448"/>
        <v>0</v>
      </c>
      <c r="BW388" s="39">
        <f t="shared" si="449"/>
        <v>0</v>
      </c>
      <c r="BX388" s="39">
        <f t="shared" si="450"/>
        <v>0</v>
      </c>
      <c r="BY388" s="39">
        <f t="shared" si="451"/>
        <v>0</v>
      </c>
      <c r="BZ388" s="39">
        <f t="shared" si="452"/>
        <v>0</v>
      </c>
      <c r="CA388" s="39">
        <f t="shared" si="453"/>
        <v>61.604491654599187</v>
      </c>
      <c r="CB388" s="39">
        <f t="shared" si="454"/>
        <v>64.210098302356826</v>
      </c>
      <c r="CC388" s="39">
        <f t="shared" si="455"/>
        <v>47.544700643825266</v>
      </c>
      <c r="CD388" s="39">
        <f t="shared" si="456"/>
        <v>56.21358961997759</v>
      </c>
      <c r="CE388" s="39">
        <f t="shared" si="457"/>
        <v>55.02155752540348</v>
      </c>
      <c r="CF388" s="39">
        <f t="shared" si="458"/>
        <v>48.325561071195573</v>
      </c>
      <c r="CG388" s="39">
        <f t="shared" si="459"/>
        <v>53.078358885468177</v>
      </c>
      <c r="CH388" s="39">
        <f t="shared" si="460"/>
        <v>59.281752622570075</v>
      </c>
      <c r="CI388" s="39">
        <f t="shared" si="461"/>
        <v>0</v>
      </c>
      <c r="CJ388" s="39">
        <f t="shared" si="462"/>
        <v>0</v>
      </c>
      <c r="CK388" s="39">
        <f t="shared" si="463"/>
        <v>0</v>
      </c>
      <c r="CL388" s="39">
        <f t="shared" si="464"/>
        <v>0</v>
      </c>
      <c r="CM388" s="39">
        <f t="shared" si="465"/>
        <v>0</v>
      </c>
      <c r="CN388" s="39">
        <f t="shared" si="466"/>
        <v>0</v>
      </c>
      <c r="CO388" s="39">
        <f t="shared" si="467"/>
        <v>0</v>
      </c>
      <c r="CP388" s="39">
        <f t="shared" si="468"/>
        <v>0</v>
      </c>
    </row>
    <row r="389" spans="12:94" ht="16" customHeight="1" x14ac:dyDescent="0.2">
      <c r="L389" s="63">
        <v>30701</v>
      </c>
      <c r="M389" s="38">
        <v>0</v>
      </c>
      <c r="N389" s="38">
        <v>5.8</v>
      </c>
      <c r="O389" s="39">
        <v>2.3664000000000001</v>
      </c>
      <c r="P389" s="39">
        <v>1.1000000000000001</v>
      </c>
      <c r="Q389" s="46">
        <f t="shared" si="399"/>
        <v>8.5936841240677311E-2</v>
      </c>
      <c r="R389" s="81">
        <f t="shared" si="400"/>
        <v>0</v>
      </c>
      <c r="S389" s="82">
        <f t="shared" si="401"/>
        <v>0</v>
      </c>
      <c r="T389" s="39">
        <f t="shared" si="402"/>
        <v>0</v>
      </c>
      <c r="U389" s="83">
        <f t="shared" si="403"/>
        <v>6.38</v>
      </c>
      <c r="V389" s="84">
        <f t="shared" si="404"/>
        <v>0</v>
      </c>
      <c r="W389" s="52">
        <f t="shared" si="405"/>
        <v>80.572880220758861</v>
      </c>
      <c r="X389" s="52">
        <f t="shared" si="406"/>
        <v>74.70723010463729</v>
      </c>
      <c r="Y389" s="52">
        <f t="shared" si="407"/>
        <v>155.28011032539615</v>
      </c>
      <c r="Z389" s="53">
        <f t="shared" si="408"/>
        <v>0.62947562672467861</v>
      </c>
      <c r="AA389" s="53">
        <f t="shared" si="409"/>
        <v>0.44468589347998388</v>
      </c>
      <c r="AB389" s="53">
        <f t="shared" si="410"/>
        <v>0.52459496731552757</v>
      </c>
      <c r="AC389" s="39" t="str">
        <f t="shared" si="411"/>
        <v>Si</v>
      </c>
      <c r="AD389" s="85">
        <f t="shared" si="412"/>
        <v>0</v>
      </c>
      <c r="AE389" s="46">
        <f t="shared" si="413"/>
        <v>0</v>
      </c>
      <c r="AF389" s="46">
        <f t="shared" si="414"/>
        <v>2.1257999999999999</v>
      </c>
      <c r="AG389" s="39">
        <f t="shared" si="469"/>
        <v>61.604491654599187</v>
      </c>
      <c r="AH389" s="39">
        <f t="shared" si="470"/>
        <v>64.210098302356826</v>
      </c>
      <c r="AI389" s="39">
        <f t="shared" si="471"/>
        <v>47.544700643825266</v>
      </c>
      <c r="AJ389" s="39">
        <f t="shared" si="472"/>
        <v>56.21358961997759</v>
      </c>
      <c r="AK389" s="39">
        <f t="shared" si="473"/>
        <v>55.02155752540348</v>
      </c>
      <c r="AL389" s="39">
        <f t="shared" si="474"/>
        <v>48.325561071195573</v>
      </c>
      <c r="AM389" s="39">
        <f t="shared" si="475"/>
        <v>53.078358885468177</v>
      </c>
      <c r="AN389" s="39">
        <f t="shared" si="476"/>
        <v>59.281752622570075</v>
      </c>
      <c r="AO389" s="39">
        <f t="shared" si="415"/>
        <v>3.1604491654599189</v>
      </c>
      <c r="AP389" s="39">
        <f t="shared" si="416"/>
        <v>2.6210098302356828</v>
      </c>
      <c r="AQ389" s="39">
        <f t="shared" si="417"/>
        <v>0.95200080682528454</v>
      </c>
      <c r="AR389" s="39">
        <f t="shared" si="418"/>
        <v>0.59878377221556656</v>
      </c>
      <c r="AS389" s="39">
        <f t="shared" si="419"/>
        <v>0.80743314470186778</v>
      </c>
      <c r="AT389" s="39">
        <f t="shared" si="420"/>
        <v>1.1184420102235473</v>
      </c>
      <c r="AU389" s="39">
        <f t="shared" si="421"/>
        <v>1.9197166453983741</v>
      </c>
      <c r="AV389" s="39">
        <f t="shared" si="422"/>
        <v>2.6281752622570069</v>
      </c>
      <c r="AW389" s="39">
        <f t="shared" si="423"/>
        <v>13.806010637317247</v>
      </c>
      <c r="AX389" s="39">
        <f t="shared" si="424"/>
        <v>6.38</v>
      </c>
      <c r="AY389" s="39">
        <f t="shared" si="425"/>
        <v>6.38</v>
      </c>
      <c r="AZ389" s="39">
        <f t="shared" si="426"/>
        <v>1.4604990685095141</v>
      </c>
      <c r="BA389" s="39">
        <f t="shared" si="427"/>
        <v>1.2112146771569521</v>
      </c>
      <c r="BB389" s="39">
        <f t="shared" si="428"/>
        <v>0.43993629348134089</v>
      </c>
      <c r="BC389" s="39">
        <f t="shared" si="429"/>
        <v>0.27670849799357067</v>
      </c>
      <c r="BD389" s="39">
        <f t="shared" si="430"/>
        <v>0.37312903767245897</v>
      </c>
      <c r="BE389" s="39">
        <f t="shared" si="431"/>
        <v>0.51685169689343491</v>
      </c>
      <c r="BF389" s="39">
        <f t="shared" si="432"/>
        <v>0.88713477914729399</v>
      </c>
      <c r="BG389" s="39">
        <f t="shared" si="433"/>
        <v>1.2145259491454352</v>
      </c>
      <c r="BH389" s="84">
        <f t="shared" si="434"/>
        <v>0</v>
      </c>
      <c r="BI389" s="84">
        <f t="shared" si="435"/>
        <v>0</v>
      </c>
      <c r="BJ389" s="84">
        <f t="shared" si="436"/>
        <v>0</v>
      </c>
      <c r="BK389" s="39">
        <f t="shared" si="437"/>
        <v>60.143992586089674</v>
      </c>
      <c r="BL389" s="39">
        <f t="shared" si="438"/>
        <v>62.998883625199873</v>
      </c>
      <c r="BM389" s="39">
        <f t="shared" si="439"/>
        <v>47.104764350343928</v>
      </c>
      <c r="BN389" s="39">
        <f t="shared" si="440"/>
        <v>55.936881121984023</v>
      </c>
      <c r="BO389" s="39">
        <f t="shared" si="441"/>
        <v>54.648428487731024</v>
      </c>
      <c r="BP389" s="39">
        <f t="shared" si="442"/>
        <v>47.80870937430214</v>
      </c>
      <c r="BQ389" s="39">
        <f t="shared" si="443"/>
        <v>52.191224106320881</v>
      </c>
      <c r="BR389" s="39">
        <f t="shared" si="444"/>
        <v>58.067226673424642</v>
      </c>
      <c r="BS389" s="39">
        <f t="shared" si="445"/>
        <v>8.6395551653804151E-2</v>
      </c>
      <c r="BT389" s="39">
        <f t="shared" si="446"/>
        <v>0</v>
      </c>
      <c r="BU389" s="39">
        <f t="shared" si="447"/>
        <v>0</v>
      </c>
      <c r="BV389" s="39">
        <f t="shared" si="448"/>
        <v>0</v>
      </c>
      <c r="BW389" s="39">
        <f t="shared" si="449"/>
        <v>0</v>
      </c>
      <c r="BX389" s="39">
        <f t="shared" si="450"/>
        <v>0</v>
      </c>
      <c r="BY389" s="39">
        <f t="shared" si="451"/>
        <v>0</v>
      </c>
      <c r="BZ389" s="39">
        <f t="shared" si="452"/>
        <v>0</v>
      </c>
      <c r="CA389" s="39">
        <f t="shared" si="453"/>
        <v>60.057597034435872</v>
      </c>
      <c r="CB389" s="39">
        <f t="shared" si="454"/>
        <v>63.085279176853675</v>
      </c>
      <c r="CC389" s="39">
        <f t="shared" si="455"/>
        <v>47.104764350343928</v>
      </c>
      <c r="CD389" s="39">
        <f t="shared" si="456"/>
        <v>55.936881121984023</v>
      </c>
      <c r="CE389" s="39">
        <f t="shared" si="457"/>
        <v>54.648428487731024</v>
      </c>
      <c r="CF389" s="39">
        <f t="shared" si="458"/>
        <v>47.80870937430214</v>
      </c>
      <c r="CG389" s="39">
        <f t="shared" si="459"/>
        <v>52.191224106320881</v>
      </c>
      <c r="CH389" s="39">
        <f t="shared" si="460"/>
        <v>58.067226673424642</v>
      </c>
      <c r="CI389" s="39">
        <f t="shared" si="461"/>
        <v>0</v>
      </c>
      <c r="CJ389" s="39">
        <f t="shared" si="462"/>
        <v>0</v>
      </c>
      <c r="CK389" s="39">
        <f t="shared" si="463"/>
        <v>0</v>
      </c>
      <c r="CL389" s="39">
        <f t="shared" si="464"/>
        <v>0</v>
      </c>
      <c r="CM389" s="39">
        <f t="shared" si="465"/>
        <v>0</v>
      </c>
      <c r="CN389" s="39">
        <f t="shared" si="466"/>
        <v>0</v>
      </c>
      <c r="CO389" s="39">
        <f t="shared" si="467"/>
        <v>0</v>
      </c>
      <c r="CP389" s="39">
        <f t="shared" si="468"/>
        <v>0</v>
      </c>
    </row>
    <row r="390" spans="12:94" ht="16" customHeight="1" x14ac:dyDescent="0.2">
      <c r="L390" s="63">
        <v>30702</v>
      </c>
      <c r="M390" s="38">
        <v>0</v>
      </c>
      <c r="N390" s="38">
        <v>5.6</v>
      </c>
      <c r="O390" s="39">
        <v>2.3664000000000001</v>
      </c>
      <c r="P390" s="39">
        <v>1.1000000000000001</v>
      </c>
      <c r="Q390" s="46">
        <f t="shared" si="399"/>
        <v>8.9072438443711072E-2</v>
      </c>
      <c r="R390" s="81">
        <f t="shared" si="400"/>
        <v>0</v>
      </c>
      <c r="S390" s="82">
        <f t="shared" si="401"/>
        <v>0</v>
      </c>
      <c r="T390" s="39">
        <f t="shared" si="402"/>
        <v>0</v>
      </c>
      <c r="U390" s="83">
        <f t="shared" si="403"/>
        <v>6.16</v>
      </c>
      <c r="V390" s="84">
        <f t="shared" si="404"/>
        <v>0</v>
      </c>
      <c r="W390" s="52">
        <f t="shared" si="405"/>
        <v>77.184521683617504</v>
      </c>
      <c r="X390" s="52">
        <f t="shared" si="406"/>
        <v>71.71558864177868</v>
      </c>
      <c r="Y390" s="52">
        <f t="shared" si="407"/>
        <v>148.90011032539618</v>
      </c>
      <c r="Z390" s="53">
        <f t="shared" si="408"/>
        <v>0.60300407565326175</v>
      </c>
      <c r="AA390" s="53">
        <f t="shared" si="409"/>
        <v>0.42687850382011117</v>
      </c>
      <c r="AB390" s="53">
        <f t="shared" si="410"/>
        <v>0.5030409132614736</v>
      </c>
      <c r="AC390" s="39" t="str">
        <f t="shared" si="411"/>
        <v>Si</v>
      </c>
      <c r="AD390" s="85">
        <f t="shared" si="412"/>
        <v>0</v>
      </c>
      <c r="AE390" s="46">
        <f t="shared" si="413"/>
        <v>0</v>
      </c>
      <c r="AF390" s="46">
        <f t="shared" si="414"/>
        <v>2.1257999999999999</v>
      </c>
      <c r="AG390" s="39">
        <f t="shared" si="469"/>
        <v>60.057597034435872</v>
      </c>
      <c r="AH390" s="39">
        <f t="shared" si="470"/>
        <v>63.085279176853675</v>
      </c>
      <c r="AI390" s="39">
        <f t="shared" si="471"/>
        <v>47.104764350343928</v>
      </c>
      <c r="AJ390" s="39">
        <f t="shared" si="472"/>
        <v>55.936881121984023</v>
      </c>
      <c r="AK390" s="39">
        <f t="shared" si="473"/>
        <v>54.648428487731024</v>
      </c>
      <c r="AL390" s="39">
        <f t="shared" si="474"/>
        <v>47.80870937430214</v>
      </c>
      <c r="AM390" s="39">
        <f t="shared" si="475"/>
        <v>52.191224106320881</v>
      </c>
      <c r="AN390" s="39">
        <f t="shared" si="476"/>
        <v>58.067226673424642</v>
      </c>
      <c r="AO390" s="39">
        <f t="shared" si="415"/>
        <v>3.0057597034435872</v>
      </c>
      <c r="AP390" s="39">
        <f t="shared" si="416"/>
        <v>2.5085279176853676</v>
      </c>
      <c r="AQ390" s="39">
        <f t="shared" si="417"/>
        <v>0.88082708054764081</v>
      </c>
      <c r="AR390" s="39">
        <f t="shared" si="418"/>
        <v>0.56959699369719208</v>
      </c>
      <c r="AS390" s="39">
        <f t="shared" si="419"/>
        <v>0.76182258671069492</v>
      </c>
      <c r="AT390" s="39">
        <f t="shared" si="420"/>
        <v>1.0442755872978278</v>
      </c>
      <c r="AU390" s="39">
        <f t="shared" si="421"/>
        <v>1.753824203328721</v>
      </c>
      <c r="AV390" s="39">
        <f t="shared" si="422"/>
        <v>2.5067226673424639</v>
      </c>
      <c r="AW390" s="39">
        <f t="shared" si="423"/>
        <v>13.031356740053495</v>
      </c>
      <c r="AX390" s="39">
        <f t="shared" si="424"/>
        <v>6.16</v>
      </c>
      <c r="AY390" s="39">
        <f t="shared" si="425"/>
        <v>6.16</v>
      </c>
      <c r="AZ390" s="39">
        <f t="shared" si="426"/>
        <v>1.4208405266278121</v>
      </c>
      <c r="BA390" s="39">
        <f t="shared" si="427"/>
        <v>1.1857960979186908</v>
      </c>
      <c r="BB390" s="39">
        <f t="shared" si="428"/>
        <v>0.41637221084557569</v>
      </c>
      <c r="BC390" s="39">
        <f t="shared" si="429"/>
        <v>0.26925189381012216</v>
      </c>
      <c r="BD390" s="39">
        <f t="shared" si="430"/>
        <v>0.3601180773229769</v>
      </c>
      <c r="BE390" s="39">
        <f t="shared" si="431"/>
        <v>0.49363529416571039</v>
      </c>
      <c r="BF390" s="39">
        <f t="shared" si="432"/>
        <v>0.82904315398709383</v>
      </c>
      <c r="BG390" s="39">
        <f t="shared" si="433"/>
        <v>1.1849427453220185</v>
      </c>
      <c r="BH390" s="84">
        <f t="shared" si="434"/>
        <v>0</v>
      </c>
      <c r="BI390" s="84">
        <f t="shared" si="435"/>
        <v>0</v>
      </c>
      <c r="BJ390" s="84">
        <f t="shared" si="436"/>
        <v>0</v>
      </c>
      <c r="BK390" s="39">
        <f t="shared" si="437"/>
        <v>58.636756507808059</v>
      </c>
      <c r="BL390" s="39">
        <f t="shared" si="438"/>
        <v>61.899483078934985</v>
      </c>
      <c r="BM390" s="39">
        <f t="shared" si="439"/>
        <v>46.688392139498355</v>
      </c>
      <c r="BN390" s="39">
        <f t="shared" si="440"/>
        <v>55.667629228173901</v>
      </c>
      <c r="BO390" s="39">
        <f t="shared" si="441"/>
        <v>54.288310410408045</v>
      </c>
      <c r="BP390" s="39">
        <f t="shared" si="442"/>
        <v>47.315074080136426</v>
      </c>
      <c r="BQ390" s="39">
        <f t="shared" si="443"/>
        <v>51.362180952333787</v>
      </c>
      <c r="BR390" s="39">
        <f t="shared" si="444"/>
        <v>56.882283928102623</v>
      </c>
      <c r="BS390" s="39">
        <f t="shared" si="445"/>
        <v>0</v>
      </c>
      <c r="BT390" s="39">
        <f t="shared" si="446"/>
        <v>0</v>
      </c>
      <c r="BU390" s="39">
        <f t="shared" si="447"/>
        <v>0</v>
      </c>
      <c r="BV390" s="39">
        <f t="shared" si="448"/>
        <v>0</v>
      </c>
      <c r="BW390" s="39">
        <f t="shared" si="449"/>
        <v>0</v>
      </c>
      <c r="BX390" s="39">
        <f t="shared" si="450"/>
        <v>0</v>
      </c>
      <c r="BY390" s="39">
        <f t="shared" si="451"/>
        <v>0</v>
      </c>
      <c r="BZ390" s="39">
        <f t="shared" si="452"/>
        <v>0</v>
      </c>
      <c r="CA390" s="39">
        <f t="shared" si="453"/>
        <v>58.636756507808059</v>
      </c>
      <c r="CB390" s="39">
        <f t="shared" si="454"/>
        <v>61.899483078934985</v>
      </c>
      <c r="CC390" s="39">
        <f t="shared" si="455"/>
        <v>46.688392139498355</v>
      </c>
      <c r="CD390" s="39">
        <f t="shared" si="456"/>
        <v>55.667629228173901</v>
      </c>
      <c r="CE390" s="39">
        <f t="shared" si="457"/>
        <v>54.288310410408045</v>
      </c>
      <c r="CF390" s="39">
        <f t="shared" si="458"/>
        <v>47.315074080136426</v>
      </c>
      <c r="CG390" s="39">
        <f t="shared" si="459"/>
        <v>51.362180952333787</v>
      </c>
      <c r="CH390" s="39">
        <f t="shared" si="460"/>
        <v>56.882283928102623</v>
      </c>
      <c r="CI390" s="39">
        <f t="shared" si="461"/>
        <v>0</v>
      </c>
      <c r="CJ390" s="39">
        <f t="shared" si="462"/>
        <v>0</v>
      </c>
      <c r="CK390" s="39">
        <f t="shared" si="463"/>
        <v>0</v>
      </c>
      <c r="CL390" s="39">
        <f t="shared" si="464"/>
        <v>0</v>
      </c>
      <c r="CM390" s="39">
        <f t="shared" si="465"/>
        <v>0</v>
      </c>
      <c r="CN390" s="39">
        <f t="shared" si="466"/>
        <v>0</v>
      </c>
      <c r="CO390" s="39">
        <f t="shared" si="467"/>
        <v>0</v>
      </c>
      <c r="CP390" s="39">
        <f t="shared" si="468"/>
        <v>0</v>
      </c>
    </row>
    <row r="391" spans="12:94" ht="16" customHeight="1" x14ac:dyDescent="0.2">
      <c r="L391" s="63">
        <v>30703</v>
      </c>
      <c r="M391" s="38">
        <v>0</v>
      </c>
      <c r="N391" s="38">
        <v>5.7</v>
      </c>
      <c r="O391" s="39">
        <v>2.3664000000000001</v>
      </c>
      <c r="P391" s="39">
        <v>1.1000000000000001</v>
      </c>
      <c r="Q391" s="46">
        <f t="shared" si="399"/>
        <v>9.1952520592280956E-2</v>
      </c>
      <c r="R391" s="81">
        <f t="shared" si="400"/>
        <v>0</v>
      </c>
      <c r="S391" s="82">
        <f t="shared" si="401"/>
        <v>0</v>
      </c>
      <c r="T391" s="39">
        <f t="shared" si="402"/>
        <v>0</v>
      </c>
      <c r="U391" s="83">
        <f t="shared" si="403"/>
        <v>6.2700000000000005</v>
      </c>
      <c r="V391" s="84">
        <f t="shared" si="404"/>
        <v>0</v>
      </c>
      <c r="W391" s="52">
        <f t="shared" si="405"/>
        <v>73.892260954415292</v>
      </c>
      <c r="X391" s="52">
        <f t="shared" si="406"/>
        <v>68.847849370980867</v>
      </c>
      <c r="Y391" s="52">
        <f t="shared" si="407"/>
        <v>142.74011032539616</v>
      </c>
      <c r="Z391" s="53">
        <f t="shared" si="408"/>
        <v>0.57728328870636947</v>
      </c>
      <c r="AA391" s="53">
        <f t="shared" si="409"/>
        <v>0.40980862720821942</v>
      </c>
      <c r="AB391" s="53">
        <f t="shared" si="410"/>
        <v>0.48223010245066272</v>
      </c>
      <c r="AC391" s="39" t="str">
        <f t="shared" si="411"/>
        <v>Si</v>
      </c>
      <c r="AD391" s="85">
        <f t="shared" si="412"/>
        <v>0</v>
      </c>
      <c r="AE391" s="46">
        <f t="shared" si="413"/>
        <v>0</v>
      </c>
      <c r="AF391" s="46">
        <f t="shared" si="414"/>
        <v>2.1257999999999999</v>
      </c>
      <c r="AG391" s="39">
        <f t="shared" si="469"/>
        <v>58.636756507808059</v>
      </c>
      <c r="AH391" s="39">
        <f t="shared" si="470"/>
        <v>61.899483078934985</v>
      </c>
      <c r="AI391" s="39">
        <f t="shared" si="471"/>
        <v>46.688392139498355</v>
      </c>
      <c r="AJ391" s="39">
        <f t="shared" si="472"/>
        <v>55.667629228173901</v>
      </c>
      <c r="AK391" s="39">
        <f t="shared" si="473"/>
        <v>54.288310410408045</v>
      </c>
      <c r="AL391" s="39">
        <f t="shared" si="474"/>
        <v>47.315074080136426</v>
      </c>
      <c r="AM391" s="39">
        <f t="shared" si="475"/>
        <v>51.362180952333787</v>
      </c>
      <c r="AN391" s="39">
        <f t="shared" si="476"/>
        <v>56.882283928102623</v>
      </c>
      <c r="AO391" s="39">
        <f t="shared" si="415"/>
        <v>2.8636756507808059</v>
      </c>
      <c r="AP391" s="39">
        <f t="shared" si="416"/>
        <v>2.3899483078934987</v>
      </c>
      <c r="AQ391" s="39">
        <f t="shared" si="417"/>
        <v>0.81601233234064652</v>
      </c>
      <c r="AR391" s="39">
        <f t="shared" si="418"/>
        <v>0.54189673023709484</v>
      </c>
      <c r="AS391" s="39">
        <f t="shared" si="419"/>
        <v>0.71905987020258533</v>
      </c>
      <c r="AT391" s="39">
        <f t="shared" si="420"/>
        <v>0.97581593295139779</v>
      </c>
      <c r="AU391" s="39">
        <f t="shared" si="421"/>
        <v>1.6055699491726165</v>
      </c>
      <c r="AV391" s="39">
        <f t="shared" si="422"/>
        <v>2.3882283928102619</v>
      </c>
      <c r="AW391" s="39">
        <f t="shared" si="423"/>
        <v>12.300207166388908</v>
      </c>
      <c r="AX391" s="39">
        <f t="shared" si="424"/>
        <v>6.2700000000000005</v>
      </c>
      <c r="AY391" s="39">
        <f t="shared" si="425"/>
        <v>6.2700000000000005</v>
      </c>
      <c r="AZ391" s="39">
        <f t="shared" si="426"/>
        <v>1.4597515381252679</v>
      </c>
      <c r="BA391" s="39">
        <f t="shared" si="427"/>
        <v>1.2182702037279201</v>
      </c>
      <c r="BB391" s="39">
        <f t="shared" si="428"/>
        <v>0.41596025616192317</v>
      </c>
      <c r="BC391" s="39">
        <f t="shared" si="429"/>
        <v>0.27623050999262794</v>
      </c>
      <c r="BD391" s="39">
        <f t="shared" si="430"/>
        <v>0.366538979805965</v>
      </c>
      <c r="BE391" s="39">
        <f t="shared" si="431"/>
        <v>0.49741974397992944</v>
      </c>
      <c r="BF391" s="39">
        <f t="shared" si="432"/>
        <v>0.81843528691295631</v>
      </c>
      <c r="BG391" s="39">
        <f t="shared" si="433"/>
        <v>1.21739348129341</v>
      </c>
      <c r="BH391" s="84">
        <f t="shared" si="434"/>
        <v>0</v>
      </c>
      <c r="BI391" s="84">
        <f t="shared" si="435"/>
        <v>0</v>
      </c>
      <c r="BJ391" s="84">
        <f t="shared" si="436"/>
        <v>0</v>
      </c>
      <c r="BK391" s="39">
        <f t="shared" si="437"/>
        <v>57.177004969682791</v>
      </c>
      <c r="BL391" s="39">
        <f t="shared" si="438"/>
        <v>60.681212875207066</v>
      </c>
      <c r="BM391" s="39">
        <f t="shared" si="439"/>
        <v>46.272431883336431</v>
      </c>
      <c r="BN391" s="39">
        <f t="shared" si="440"/>
        <v>55.391398718181271</v>
      </c>
      <c r="BO391" s="39">
        <f t="shared" si="441"/>
        <v>53.921771430602078</v>
      </c>
      <c r="BP391" s="39">
        <f t="shared" si="442"/>
        <v>46.817654336156494</v>
      </c>
      <c r="BQ391" s="39">
        <f t="shared" si="443"/>
        <v>50.543745665420829</v>
      </c>
      <c r="BR391" s="39">
        <f t="shared" si="444"/>
        <v>55.66489044680921</v>
      </c>
      <c r="BS391" s="39">
        <f t="shared" si="445"/>
        <v>0</v>
      </c>
      <c r="BT391" s="39">
        <f t="shared" si="446"/>
        <v>0</v>
      </c>
      <c r="BU391" s="39">
        <f t="shared" si="447"/>
        <v>0</v>
      </c>
      <c r="BV391" s="39">
        <f t="shared" si="448"/>
        <v>0</v>
      </c>
      <c r="BW391" s="39">
        <f t="shared" si="449"/>
        <v>0</v>
      </c>
      <c r="BX391" s="39">
        <f t="shared" si="450"/>
        <v>0</v>
      </c>
      <c r="BY391" s="39">
        <f t="shared" si="451"/>
        <v>0</v>
      </c>
      <c r="BZ391" s="39">
        <f t="shared" si="452"/>
        <v>0</v>
      </c>
      <c r="CA391" s="39">
        <f t="shared" si="453"/>
        <v>57.177004969682791</v>
      </c>
      <c r="CB391" s="39">
        <f t="shared" si="454"/>
        <v>60.681212875207066</v>
      </c>
      <c r="CC391" s="39">
        <f t="shared" si="455"/>
        <v>46.272431883336431</v>
      </c>
      <c r="CD391" s="39">
        <f t="shared" si="456"/>
        <v>55.391398718181271</v>
      </c>
      <c r="CE391" s="39">
        <f t="shared" si="457"/>
        <v>53.921771430602078</v>
      </c>
      <c r="CF391" s="39">
        <f t="shared" si="458"/>
        <v>46.817654336156494</v>
      </c>
      <c r="CG391" s="39">
        <f t="shared" si="459"/>
        <v>50.543745665420829</v>
      </c>
      <c r="CH391" s="39">
        <f t="shared" si="460"/>
        <v>55.66489044680921</v>
      </c>
      <c r="CI391" s="39">
        <f t="shared" si="461"/>
        <v>0</v>
      </c>
      <c r="CJ391" s="39">
        <f t="shared" si="462"/>
        <v>0</v>
      </c>
      <c r="CK391" s="39">
        <f t="shared" si="463"/>
        <v>0</v>
      </c>
      <c r="CL391" s="39">
        <f t="shared" si="464"/>
        <v>0</v>
      </c>
      <c r="CM391" s="39">
        <f t="shared" si="465"/>
        <v>0</v>
      </c>
      <c r="CN391" s="39">
        <f t="shared" si="466"/>
        <v>0</v>
      </c>
      <c r="CO391" s="39">
        <f t="shared" si="467"/>
        <v>0</v>
      </c>
      <c r="CP391" s="39">
        <f t="shared" si="468"/>
        <v>0</v>
      </c>
    </row>
    <row r="392" spans="12:94" ht="16" customHeight="1" x14ac:dyDescent="0.2">
      <c r="L392" s="63">
        <v>30704</v>
      </c>
      <c r="M392" s="38">
        <v>0</v>
      </c>
      <c r="N392" s="38">
        <v>6</v>
      </c>
      <c r="O392" s="39">
        <v>2.3664000000000001</v>
      </c>
      <c r="P392" s="39">
        <v>1.1000000000000001</v>
      </c>
      <c r="Q392" s="46">
        <f t="shared" si="399"/>
        <v>9.491147641280516E-2</v>
      </c>
      <c r="R392" s="81">
        <f t="shared" si="400"/>
        <v>0</v>
      </c>
      <c r="S392" s="82">
        <f t="shared" si="401"/>
        <v>0</v>
      </c>
      <c r="T392" s="39">
        <f t="shared" si="402"/>
        <v>0</v>
      </c>
      <c r="U392" s="83">
        <f t="shared" si="403"/>
        <v>6.6000000000000005</v>
      </c>
      <c r="V392" s="84">
        <f t="shared" si="404"/>
        <v>0</v>
      </c>
      <c r="W392" s="52">
        <f t="shared" si="405"/>
        <v>70.522048446407553</v>
      </c>
      <c r="X392" s="52">
        <f t="shared" si="406"/>
        <v>65.948061878988625</v>
      </c>
      <c r="Y392" s="52">
        <f t="shared" si="407"/>
        <v>136.47011032539618</v>
      </c>
      <c r="Z392" s="53">
        <f t="shared" si="408"/>
        <v>0.550953503487559</v>
      </c>
      <c r="AA392" s="53">
        <f t="shared" si="409"/>
        <v>0.39254798737493229</v>
      </c>
      <c r="AB392" s="53">
        <f t="shared" si="410"/>
        <v>0.46104767001823033</v>
      </c>
      <c r="AC392" s="39" t="str">
        <f t="shared" si="411"/>
        <v>Si</v>
      </c>
      <c r="AD392" s="85">
        <f t="shared" si="412"/>
        <v>0</v>
      </c>
      <c r="AE392" s="46">
        <f t="shared" si="413"/>
        <v>0</v>
      </c>
      <c r="AF392" s="46">
        <f t="shared" si="414"/>
        <v>2.1257999999999999</v>
      </c>
      <c r="AG392" s="39">
        <f t="shared" si="469"/>
        <v>57.177004969682791</v>
      </c>
      <c r="AH392" s="39">
        <f t="shared" si="470"/>
        <v>60.681212875207066</v>
      </c>
      <c r="AI392" s="39">
        <f t="shared" si="471"/>
        <v>46.272431883336431</v>
      </c>
      <c r="AJ392" s="39">
        <f t="shared" si="472"/>
        <v>55.391398718181271</v>
      </c>
      <c r="AK392" s="39">
        <f t="shared" si="473"/>
        <v>53.921771430602078</v>
      </c>
      <c r="AL392" s="39">
        <f t="shared" si="474"/>
        <v>46.817654336156494</v>
      </c>
      <c r="AM392" s="39">
        <f t="shared" si="475"/>
        <v>50.543745665420829</v>
      </c>
      <c r="AN392" s="39">
        <f t="shared" si="476"/>
        <v>55.66489044680921</v>
      </c>
      <c r="AO392" s="39">
        <f t="shared" si="415"/>
        <v>2.7177004969682792</v>
      </c>
      <c r="AP392" s="39">
        <f t="shared" si="416"/>
        <v>2.2681212875207066</v>
      </c>
      <c r="AQ392" s="39">
        <f t="shared" si="417"/>
        <v>0.75373469141276539</v>
      </c>
      <c r="AR392" s="39">
        <f t="shared" si="418"/>
        <v>0.51419603485818666</v>
      </c>
      <c r="AS392" s="39">
        <f t="shared" si="419"/>
        <v>0.67680301925485775</v>
      </c>
      <c r="AT392" s="39">
        <f t="shared" si="420"/>
        <v>0.90917891120716265</v>
      </c>
      <c r="AU392" s="39">
        <f t="shared" si="421"/>
        <v>1.465633390347485</v>
      </c>
      <c r="AV392" s="39">
        <f t="shared" si="422"/>
        <v>2.2664890446809203</v>
      </c>
      <c r="AW392" s="39">
        <f t="shared" si="423"/>
        <v>11.571856876250363</v>
      </c>
      <c r="AX392" s="39">
        <f t="shared" si="424"/>
        <v>6.6000000000000005</v>
      </c>
      <c r="AY392" s="39">
        <f t="shared" si="425"/>
        <v>6.6000000000000005</v>
      </c>
      <c r="AZ392" s="39">
        <f t="shared" si="426"/>
        <v>1.5500384658924959</v>
      </c>
      <c r="BA392" s="39">
        <f t="shared" si="427"/>
        <v>1.2936212967133822</v>
      </c>
      <c r="BB392" s="39">
        <f t="shared" si="428"/>
        <v>0.42989202308006685</v>
      </c>
      <c r="BC392" s="39">
        <f t="shared" si="429"/>
        <v>0.29327132770101227</v>
      </c>
      <c r="BD392" s="39">
        <f t="shared" si="430"/>
        <v>0.38601410083542914</v>
      </c>
      <c r="BE392" s="39">
        <f t="shared" si="431"/>
        <v>0.51854951872785748</v>
      </c>
      <c r="BF392" s="39">
        <f t="shared" si="432"/>
        <v>0.83592291883131276</v>
      </c>
      <c r="BG392" s="39">
        <f t="shared" si="433"/>
        <v>1.2926903482184438</v>
      </c>
      <c r="BH392" s="84">
        <f t="shared" si="434"/>
        <v>0</v>
      </c>
      <c r="BI392" s="84">
        <f t="shared" si="435"/>
        <v>0</v>
      </c>
      <c r="BJ392" s="84">
        <f t="shared" si="436"/>
        <v>0</v>
      </c>
      <c r="BK392" s="39">
        <f t="shared" si="437"/>
        <v>55.626966503790293</v>
      </c>
      <c r="BL392" s="39">
        <f t="shared" si="438"/>
        <v>59.387591578493684</v>
      </c>
      <c r="BM392" s="39">
        <f t="shared" si="439"/>
        <v>45.842539860256366</v>
      </c>
      <c r="BN392" s="39">
        <f t="shared" si="440"/>
        <v>55.098127390480258</v>
      </c>
      <c r="BO392" s="39">
        <f t="shared" si="441"/>
        <v>53.535757329766646</v>
      </c>
      <c r="BP392" s="39">
        <f t="shared" si="442"/>
        <v>46.299104817428635</v>
      </c>
      <c r="BQ392" s="39">
        <f t="shared" si="443"/>
        <v>49.707822746589514</v>
      </c>
      <c r="BR392" s="39">
        <f t="shared" si="444"/>
        <v>54.372200098590767</v>
      </c>
      <c r="BS392" s="39">
        <f t="shared" si="445"/>
        <v>0</v>
      </c>
      <c r="BT392" s="39">
        <f t="shared" si="446"/>
        <v>0</v>
      </c>
      <c r="BU392" s="39">
        <f t="shared" si="447"/>
        <v>0</v>
      </c>
      <c r="BV392" s="39">
        <f t="shared" si="448"/>
        <v>0</v>
      </c>
      <c r="BW392" s="39">
        <f t="shared" si="449"/>
        <v>0</v>
      </c>
      <c r="BX392" s="39">
        <f t="shared" si="450"/>
        <v>0</v>
      </c>
      <c r="BY392" s="39">
        <f t="shared" si="451"/>
        <v>0</v>
      </c>
      <c r="BZ392" s="39">
        <f t="shared" si="452"/>
        <v>0</v>
      </c>
      <c r="CA392" s="39">
        <f t="shared" si="453"/>
        <v>55.626966503790293</v>
      </c>
      <c r="CB392" s="39">
        <f t="shared" si="454"/>
        <v>59.387591578493684</v>
      </c>
      <c r="CC392" s="39">
        <f t="shared" si="455"/>
        <v>45.842539860256366</v>
      </c>
      <c r="CD392" s="39">
        <f t="shared" si="456"/>
        <v>55.098127390480258</v>
      </c>
      <c r="CE392" s="39">
        <f t="shared" si="457"/>
        <v>53.535757329766646</v>
      </c>
      <c r="CF392" s="39">
        <f t="shared" si="458"/>
        <v>46.299104817428635</v>
      </c>
      <c r="CG392" s="39">
        <f t="shared" si="459"/>
        <v>49.707822746589514</v>
      </c>
      <c r="CH392" s="39">
        <f t="shared" si="460"/>
        <v>54.372200098590767</v>
      </c>
      <c r="CI392" s="39">
        <f t="shared" si="461"/>
        <v>0</v>
      </c>
      <c r="CJ392" s="39">
        <f t="shared" si="462"/>
        <v>0</v>
      </c>
      <c r="CK392" s="39">
        <f t="shared" si="463"/>
        <v>0</v>
      </c>
      <c r="CL392" s="39">
        <f t="shared" si="464"/>
        <v>0</v>
      </c>
      <c r="CM392" s="39">
        <f t="shared" si="465"/>
        <v>0</v>
      </c>
      <c r="CN392" s="39">
        <f t="shared" si="466"/>
        <v>0</v>
      </c>
      <c r="CO392" s="39">
        <f t="shared" si="467"/>
        <v>0</v>
      </c>
      <c r="CP392" s="39">
        <f t="shared" si="468"/>
        <v>0</v>
      </c>
    </row>
    <row r="393" spans="12:94" ht="16" customHeight="1" x14ac:dyDescent="0.2">
      <c r="L393" s="63">
        <v>30705</v>
      </c>
      <c r="M393" s="38">
        <v>0</v>
      </c>
      <c r="N393" s="38">
        <v>5.6</v>
      </c>
      <c r="O393" s="39">
        <v>2.3664000000000001</v>
      </c>
      <c r="P393" s="39">
        <v>1.1000000000000001</v>
      </c>
      <c r="Q393" s="46">
        <f t="shared" si="399"/>
        <v>9.8053446276100756E-2</v>
      </c>
      <c r="R393" s="81">
        <f t="shared" si="400"/>
        <v>0</v>
      </c>
      <c r="S393" s="82">
        <f t="shared" si="401"/>
        <v>0</v>
      </c>
      <c r="T393" s="39">
        <f t="shared" si="402"/>
        <v>0</v>
      </c>
      <c r="U393" s="83">
        <f t="shared" si="403"/>
        <v>6.16</v>
      </c>
      <c r="V393" s="84">
        <f t="shared" si="404"/>
        <v>0</v>
      </c>
      <c r="W393" s="52">
        <f t="shared" si="405"/>
        <v>66.955225333020621</v>
      </c>
      <c r="X393" s="52">
        <f t="shared" si="406"/>
        <v>62.914884992375562</v>
      </c>
      <c r="Y393" s="52">
        <f t="shared" si="407"/>
        <v>129.87011032539618</v>
      </c>
      <c r="Z393" s="53">
        <f t="shared" si="408"/>
        <v>0.5230876979142236</v>
      </c>
      <c r="AA393" s="53">
        <f t="shared" si="409"/>
        <v>0.37449336304985453</v>
      </c>
      <c r="AB393" s="53">
        <f t="shared" si="410"/>
        <v>0.43875037272093304</v>
      </c>
      <c r="AC393" s="39" t="str">
        <f t="shared" si="411"/>
        <v>Si</v>
      </c>
      <c r="AD393" s="85">
        <f t="shared" si="412"/>
        <v>0</v>
      </c>
      <c r="AE393" s="46">
        <f t="shared" si="413"/>
        <v>0</v>
      </c>
      <c r="AF393" s="46">
        <f t="shared" si="414"/>
        <v>2.1257999999999999</v>
      </c>
      <c r="AG393" s="39">
        <f t="shared" si="469"/>
        <v>55.626966503790293</v>
      </c>
      <c r="AH393" s="39">
        <f t="shared" si="470"/>
        <v>59.387591578493684</v>
      </c>
      <c r="AI393" s="39">
        <f t="shared" si="471"/>
        <v>45.842539860256366</v>
      </c>
      <c r="AJ393" s="39">
        <f t="shared" si="472"/>
        <v>55.098127390480258</v>
      </c>
      <c r="AK393" s="39">
        <f t="shared" si="473"/>
        <v>53.535757329766646</v>
      </c>
      <c r="AL393" s="39">
        <f t="shared" si="474"/>
        <v>46.299104817428635</v>
      </c>
      <c r="AM393" s="39">
        <f t="shared" si="475"/>
        <v>49.707822746589514</v>
      </c>
      <c r="AN393" s="39">
        <f t="shared" si="476"/>
        <v>54.372200098590767</v>
      </c>
      <c r="AO393" s="39">
        <f t="shared" si="415"/>
        <v>2.5626966503790296</v>
      </c>
      <c r="AP393" s="39">
        <f t="shared" si="416"/>
        <v>2.1387591578493685</v>
      </c>
      <c r="AQ393" s="39">
        <f t="shared" si="417"/>
        <v>0.69196850643382635</v>
      </c>
      <c r="AR393" s="39">
        <f t="shared" si="418"/>
        <v>0.4855817942588927</v>
      </c>
      <c r="AS393" s="39">
        <f t="shared" si="419"/>
        <v>0.6336842722441195</v>
      </c>
      <c r="AT393" s="39">
        <f t="shared" si="420"/>
        <v>0.84221994735692052</v>
      </c>
      <c r="AU393" s="39">
        <f t="shared" si="421"/>
        <v>1.3292920996735891</v>
      </c>
      <c r="AV393" s="39">
        <f t="shared" si="422"/>
        <v>2.1372200098590759</v>
      </c>
      <c r="AW393" s="39">
        <f t="shared" si="423"/>
        <v>10.821422438054823</v>
      </c>
      <c r="AX393" s="39">
        <f t="shared" si="424"/>
        <v>6.16</v>
      </c>
      <c r="AY393" s="39">
        <f t="shared" si="425"/>
        <v>6.16</v>
      </c>
      <c r="AZ393" s="39">
        <f t="shared" si="426"/>
        <v>1.4587926362453727</v>
      </c>
      <c r="BA393" s="39">
        <f t="shared" si="427"/>
        <v>1.2174699294633864</v>
      </c>
      <c r="BB393" s="39">
        <f t="shared" si="428"/>
        <v>0.39389701529834836</v>
      </c>
      <c r="BC393" s="39">
        <f t="shared" si="429"/>
        <v>0.27641318595196174</v>
      </c>
      <c r="BD393" s="39">
        <f t="shared" si="430"/>
        <v>0.36071922516365962</v>
      </c>
      <c r="BE393" s="39">
        <f t="shared" si="431"/>
        <v>0.4794263328519684</v>
      </c>
      <c r="BF393" s="39">
        <f t="shared" si="432"/>
        <v>0.7566878920828084</v>
      </c>
      <c r="BG393" s="39">
        <f t="shared" si="433"/>
        <v>1.2165937829424944</v>
      </c>
      <c r="BH393" s="84">
        <f t="shared" si="434"/>
        <v>0</v>
      </c>
      <c r="BI393" s="84">
        <f t="shared" si="435"/>
        <v>0</v>
      </c>
      <c r="BJ393" s="84">
        <f t="shared" si="436"/>
        <v>0</v>
      </c>
      <c r="BK393" s="39">
        <f t="shared" si="437"/>
        <v>54.168173867544922</v>
      </c>
      <c r="BL393" s="39">
        <f t="shared" si="438"/>
        <v>58.1701216490303</v>
      </c>
      <c r="BM393" s="39">
        <f t="shared" si="439"/>
        <v>45.448642844958016</v>
      </c>
      <c r="BN393" s="39">
        <f t="shared" si="440"/>
        <v>54.821714204528298</v>
      </c>
      <c r="BO393" s="39">
        <f t="shared" si="441"/>
        <v>53.17503810460299</v>
      </c>
      <c r="BP393" s="39">
        <f t="shared" si="442"/>
        <v>45.819678484576663</v>
      </c>
      <c r="BQ393" s="39">
        <f t="shared" si="443"/>
        <v>48.951134854506705</v>
      </c>
      <c r="BR393" s="39">
        <f t="shared" si="444"/>
        <v>53.155606315648271</v>
      </c>
      <c r="BS393" s="39">
        <f t="shared" si="445"/>
        <v>0</v>
      </c>
      <c r="BT393" s="39">
        <f t="shared" si="446"/>
        <v>0</v>
      </c>
      <c r="BU393" s="39">
        <f t="shared" si="447"/>
        <v>0</v>
      </c>
      <c r="BV393" s="39">
        <f t="shared" si="448"/>
        <v>0</v>
      </c>
      <c r="BW393" s="39">
        <f t="shared" si="449"/>
        <v>0</v>
      </c>
      <c r="BX393" s="39">
        <f t="shared" si="450"/>
        <v>0</v>
      </c>
      <c r="BY393" s="39">
        <f t="shared" si="451"/>
        <v>0</v>
      </c>
      <c r="BZ393" s="39">
        <f t="shared" si="452"/>
        <v>0</v>
      </c>
      <c r="CA393" s="39">
        <f t="shared" si="453"/>
        <v>54.168173867544922</v>
      </c>
      <c r="CB393" s="39">
        <f t="shared" si="454"/>
        <v>58.1701216490303</v>
      </c>
      <c r="CC393" s="39">
        <f t="shared" si="455"/>
        <v>45.448642844958016</v>
      </c>
      <c r="CD393" s="39">
        <f t="shared" si="456"/>
        <v>54.821714204528298</v>
      </c>
      <c r="CE393" s="39">
        <f t="shared" si="457"/>
        <v>53.17503810460299</v>
      </c>
      <c r="CF393" s="39">
        <f t="shared" si="458"/>
        <v>45.819678484576663</v>
      </c>
      <c r="CG393" s="39">
        <f t="shared" si="459"/>
        <v>48.951134854506705</v>
      </c>
      <c r="CH393" s="39">
        <f t="shared" si="460"/>
        <v>53.155606315648271</v>
      </c>
      <c r="CI393" s="39">
        <f t="shared" si="461"/>
        <v>0</v>
      </c>
      <c r="CJ393" s="39">
        <f t="shared" si="462"/>
        <v>0</v>
      </c>
      <c r="CK393" s="39">
        <f t="shared" si="463"/>
        <v>0</v>
      </c>
      <c r="CL393" s="39">
        <f t="shared" si="464"/>
        <v>0</v>
      </c>
      <c r="CM393" s="39">
        <f t="shared" si="465"/>
        <v>0</v>
      </c>
      <c r="CN393" s="39">
        <f t="shared" si="466"/>
        <v>0</v>
      </c>
      <c r="CO393" s="39">
        <f t="shared" si="467"/>
        <v>0</v>
      </c>
      <c r="CP393" s="39">
        <f t="shared" si="468"/>
        <v>0</v>
      </c>
    </row>
    <row r="394" spans="12:94" ht="16" customHeight="1" x14ac:dyDescent="0.2">
      <c r="L394" s="63">
        <v>30706</v>
      </c>
      <c r="M394" s="38">
        <v>32.6</v>
      </c>
      <c r="N394" s="38">
        <v>4.8</v>
      </c>
      <c r="O394" s="39">
        <v>2.3664000000000001</v>
      </c>
      <c r="P394" s="39">
        <v>1.1000000000000001</v>
      </c>
      <c r="Q394" s="46">
        <f t="shared" si="399"/>
        <v>0.10101045837659813</v>
      </c>
      <c r="R394" s="81">
        <f t="shared" si="400"/>
        <v>6.1684565297586254</v>
      </c>
      <c r="S394" s="82">
        <f t="shared" si="401"/>
        <v>26.431543470241376</v>
      </c>
      <c r="T394" s="39">
        <f t="shared" si="402"/>
        <v>0</v>
      </c>
      <c r="U394" s="83">
        <f t="shared" si="403"/>
        <v>5.28</v>
      </c>
      <c r="V394" s="84">
        <f t="shared" si="404"/>
        <v>0</v>
      </c>
      <c r="W394" s="52">
        <f t="shared" si="405"/>
        <v>63.608652566061522</v>
      </c>
      <c r="X394" s="52">
        <f t="shared" si="406"/>
        <v>60.101457759334636</v>
      </c>
      <c r="Y394" s="52">
        <f t="shared" si="407"/>
        <v>123.71011032539616</v>
      </c>
      <c r="Z394" s="53">
        <f t="shared" si="408"/>
        <v>0.49694259817235564</v>
      </c>
      <c r="AA394" s="53">
        <f t="shared" si="409"/>
        <v>0.35774677237699187</v>
      </c>
      <c r="AB394" s="53">
        <f t="shared" si="410"/>
        <v>0.41793956191012216</v>
      </c>
      <c r="AC394" s="39" t="str">
        <f t="shared" si="411"/>
        <v>Si</v>
      </c>
      <c r="AD394" s="85">
        <f t="shared" si="412"/>
        <v>0</v>
      </c>
      <c r="AE394" s="46">
        <f t="shared" si="413"/>
        <v>0</v>
      </c>
      <c r="AF394" s="46">
        <f t="shared" si="414"/>
        <v>2.1257999999999999</v>
      </c>
      <c r="AG394" s="39">
        <f t="shared" si="469"/>
        <v>54.168173867544922</v>
      </c>
      <c r="AH394" s="39">
        <f t="shared" si="470"/>
        <v>58.1701216490303</v>
      </c>
      <c r="AI394" s="39">
        <f t="shared" si="471"/>
        <v>45.448642844958016</v>
      </c>
      <c r="AJ394" s="39">
        <f t="shared" si="472"/>
        <v>54.821714204528298</v>
      </c>
      <c r="AK394" s="39">
        <f t="shared" si="473"/>
        <v>53.17503810460299</v>
      </c>
      <c r="AL394" s="39">
        <f t="shared" si="474"/>
        <v>45.819678484576663</v>
      </c>
      <c r="AM394" s="39">
        <f t="shared" si="475"/>
        <v>48.951134854506705</v>
      </c>
      <c r="AN394" s="39">
        <f t="shared" si="476"/>
        <v>53.155606315648271</v>
      </c>
      <c r="AO394" s="39">
        <f t="shared" si="415"/>
        <v>2.4168173867544924</v>
      </c>
      <c r="AP394" s="39">
        <f t="shared" si="416"/>
        <v>2.0170121649030301</v>
      </c>
      <c r="AQ394" s="39">
        <f t="shared" si="417"/>
        <v>0.63769179722554703</v>
      </c>
      <c r="AR394" s="39">
        <f t="shared" si="418"/>
        <v>0.45936223769253709</v>
      </c>
      <c r="AS394" s="39">
        <f t="shared" si="419"/>
        <v>0.59467369828251893</v>
      </c>
      <c r="AT394" s="39">
        <f t="shared" si="420"/>
        <v>0.78259122118056001</v>
      </c>
      <c r="AU394" s="39">
        <f t="shared" si="421"/>
        <v>1.2116128721269448</v>
      </c>
      <c r="AV394" s="39">
        <f t="shared" si="422"/>
        <v>1.9345165045304766</v>
      </c>
      <c r="AW394" s="39">
        <f t="shared" si="423"/>
        <v>10.054277882696107</v>
      </c>
      <c r="AX394" s="39">
        <f t="shared" si="424"/>
        <v>5.28</v>
      </c>
      <c r="AY394" s="39">
        <f t="shared" si="425"/>
        <v>0</v>
      </c>
      <c r="AZ394" s="39">
        <f t="shared" si="426"/>
        <v>0</v>
      </c>
      <c r="BA394" s="39">
        <f t="shared" si="427"/>
        <v>0</v>
      </c>
      <c r="BB394" s="39">
        <f t="shared" si="428"/>
        <v>0</v>
      </c>
      <c r="BC394" s="39">
        <f t="shared" si="429"/>
        <v>0</v>
      </c>
      <c r="BD394" s="39">
        <f t="shared" si="430"/>
        <v>0</v>
      </c>
      <c r="BE394" s="39">
        <f t="shared" si="431"/>
        <v>0</v>
      </c>
      <c r="BF394" s="39">
        <f t="shared" si="432"/>
        <v>0</v>
      </c>
      <c r="BG394" s="39">
        <f t="shared" si="433"/>
        <v>0</v>
      </c>
      <c r="BH394" s="84">
        <f t="shared" si="434"/>
        <v>0</v>
      </c>
      <c r="BI394" s="84">
        <f t="shared" si="435"/>
        <v>0</v>
      </c>
      <c r="BJ394" s="84">
        <f t="shared" si="436"/>
        <v>0</v>
      </c>
      <c r="BK394" s="39">
        <f t="shared" si="437"/>
        <v>54.168173867544922</v>
      </c>
      <c r="BL394" s="39">
        <f t="shared" si="438"/>
        <v>58.1701216490303</v>
      </c>
      <c r="BM394" s="39">
        <f t="shared" si="439"/>
        <v>45.448642844958016</v>
      </c>
      <c r="BN394" s="39">
        <f t="shared" si="440"/>
        <v>54.821714204528298</v>
      </c>
      <c r="BO394" s="39">
        <f t="shared" si="441"/>
        <v>53.17503810460299</v>
      </c>
      <c r="BP394" s="39">
        <f t="shared" si="442"/>
        <v>45.819678484576663</v>
      </c>
      <c r="BQ394" s="39">
        <f t="shared" si="443"/>
        <v>48.951134854506705</v>
      </c>
      <c r="BR394" s="39">
        <f t="shared" si="444"/>
        <v>53.155606315648271</v>
      </c>
      <c r="BS394" s="39">
        <f t="shared" si="445"/>
        <v>0</v>
      </c>
      <c r="BT394" s="39">
        <f t="shared" si="446"/>
        <v>0</v>
      </c>
      <c r="BU394" s="39">
        <f t="shared" si="447"/>
        <v>0</v>
      </c>
      <c r="BV394" s="39">
        <f t="shared" si="448"/>
        <v>0</v>
      </c>
      <c r="BW394" s="39">
        <f t="shared" si="449"/>
        <v>0</v>
      </c>
      <c r="BX394" s="39">
        <f t="shared" si="450"/>
        <v>0</v>
      </c>
      <c r="BY394" s="39">
        <f t="shared" si="451"/>
        <v>0</v>
      </c>
      <c r="BZ394" s="39">
        <f t="shared" si="452"/>
        <v>0</v>
      </c>
      <c r="CA394" s="39">
        <f t="shared" si="453"/>
        <v>80.599717337786302</v>
      </c>
      <c r="CB394" s="39">
        <f t="shared" si="454"/>
        <v>58.1701216490303</v>
      </c>
      <c r="CC394" s="39">
        <f t="shared" si="455"/>
        <v>45.448642844958016</v>
      </c>
      <c r="CD394" s="39">
        <f t="shared" si="456"/>
        <v>54.821714204528298</v>
      </c>
      <c r="CE394" s="39">
        <f t="shared" si="457"/>
        <v>53.17503810460299</v>
      </c>
      <c r="CF394" s="39">
        <f t="shared" si="458"/>
        <v>45.819678484576663</v>
      </c>
      <c r="CG394" s="39">
        <f t="shared" si="459"/>
        <v>48.951134854506705</v>
      </c>
      <c r="CH394" s="39">
        <f t="shared" si="460"/>
        <v>53.155606315648271</v>
      </c>
      <c r="CI394" s="39">
        <f t="shared" si="461"/>
        <v>0</v>
      </c>
      <c r="CJ394" s="39">
        <f t="shared" si="462"/>
        <v>0</v>
      </c>
      <c r="CK394" s="39">
        <f t="shared" si="463"/>
        <v>0</v>
      </c>
      <c r="CL394" s="39">
        <f t="shared" si="464"/>
        <v>0</v>
      </c>
      <c r="CM394" s="39">
        <f t="shared" si="465"/>
        <v>0</v>
      </c>
      <c r="CN394" s="39">
        <f t="shared" si="466"/>
        <v>0</v>
      </c>
      <c r="CO394" s="39">
        <f t="shared" si="467"/>
        <v>0</v>
      </c>
      <c r="CP394" s="39">
        <f t="shared" si="468"/>
        <v>0</v>
      </c>
    </row>
    <row r="395" spans="12:94" ht="16" customHeight="1" x14ac:dyDescent="0.2">
      <c r="L395" s="63">
        <v>30707</v>
      </c>
      <c r="M395" s="38">
        <v>14.1</v>
      </c>
      <c r="N395" s="38">
        <v>5.4</v>
      </c>
      <c r="O395" s="39">
        <v>2.3664000000000001</v>
      </c>
      <c r="P395" s="39">
        <v>1.1000000000000001</v>
      </c>
      <c r="Q395" s="46">
        <f t="shared" si="399"/>
        <v>4.743300539637911E-2</v>
      </c>
      <c r="R395" s="81">
        <f t="shared" si="400"/>
        <v>1.2767688285792729</v>
      </c>
      <c r="S395" s="82">
        <f t="shared" si="401"/>
        <v>12.823231171420726</v>
      </c>
      <c r="T395" s="39">
        <f t="shared" si="402"/>
        <v>0</v>
      </c>
      <c r="U395" s="83">
        <f t="shared" si="403"/>
        <v>5.9400000000000013</v>
      </c>
      <c r="V395" s="84">
        <f t="shared" si="404"/>
        <v>0</v>
      </c>
      <c r="W395" s="52">
        <f t="shared" si="405"/>
        <v>90.040196036302916</v>
      </c>
      <c r="X395" s="52">
        <f t="shared" si="406"/>
        <v>60.101457759334636</v>
      </c>
      <c r="Y395" s="52">
        <f t="shared" si="407"/>
        <v>150.14165379563755</v>
      </c>
      <c r="Z395" s="53">
        <f t="shared" si="408"/>
        <v>0.70343903153361653</v>
      </c>
      <c r="AA395" s="53">
        <f t="shared" si="409"/>
        <v>0.35774677237699187</v>
      </c>
      <c r="AB395" s="53">
        <f t="shared" si="410"/>
        <v>0.50723531687715384</v>
      </c>
      <c r="AC395" s="39" t="str">
        <f t="shared" si="411"/>
        <v>Si</v>
      </c>
      <c r="AD395" s="85">
        <f t="shared" si="412"/>
        <v>0</v>
      </c>
      <c r="AE395" s="46">
        <f t="shared" si="413"/>
        <v>0</v>
      </c>
      <c r="AF395" s="46">
        <f t="shared" si="414"/>
        <v>2.1257999999999999</v>
      </c>
      <c r="AG395" s="39">
        <f t="shared" si="469"/>
        <v>80.599717337786302</v>
      </c>
      <c r="AH395" s="39">
        <f t="shared" si="470"/>
        <v>58.1701216490303</v>
      </c>
      <c r="AI395" s="39">
        <f t="shared" si="471"/>
        <v>45.448642844958016</v>
      </c>
      <c r="AJ395" s="39">
        <f t="shared" si="472"/>
        <v>54.821714204528298</v>
      </c>
      <c r="AK395" s="39">
        <f t="shared" si="473"/>
        <v>53.17503810460299</v>
      </c>
      <c r="AL395" s="39">
        <f t="shared" si="474"/>
        <v>45.819678484576663</v>
      </c>
      <c r="AM395" s="39">
        <f t="shared" si="475"/>
        <v>48.951134854506705</v>
      </c>
      <c r="AN395" s="39">
        <f t="shared" si="476"/>
        <v>53.155606315648271</v>
      </c>
      <c r="AO395" s="39">
        <f t="shared" si="415"/>
        <v>5.0599717337786307</v>
      </c>
      <c r="AP395" s="39">
        <f t="shared" si="416"/>
        <v>2.0170121649030301</v>
      </c>
      <c r="AQ395" s="39">
        <f t="shared" si="417"/>
        <v>0.63769179722554703</v>
      </c>
      <c r="AR395" s="39">
        <f t="shared" si="418"/>
        <v>0.45936223769253709</v>
      </c>
      <c r="AS395" s="39">
        <f t="shared" si="419"/>
        <v>0.59467369828251893</v>
      </c>
      <c r="AT395" s="39">
        <f t="shared" si="420"/>
        <v>0.78259122118056001</v>
      </c>
      <c r="AU395" s="39">
        <f t="shared" si="421"/>
        <v>1.2116128721269448</v>
      </c>
      <c r="AV395" s="39">
        <f t="shared" si="422"/>
        <v>1.9345165045304766</v>
      </c>
      <c r="AW395" s="39">
        <f t="shared" si="423"/>
        <v>12.697432229720246</v>
      </c>
      <c r="AX395" s="39">
        <f t="shared" si="424"/>
        <v>5.9400000000000013</v>
      </c>
      <c r="AY395" s="39">
        <f t="shared" si="425"/>
        <v>0</v>
      </c>
      <c r="AZ395" s="39">
        <f t="shared" si="426"/>
        <v>0</v>
      </c>
      <c r="BA395" s="39">
        <f t="shared" si="427"/>
        <v>0</v>
      </c>
      <c r="BB395" s="39">
        <f t="shared" si="428"/>
        <v>0</v>
      </c>
      <c r="BC395" s="39">
        <f t="shared" si="429"/>
        <v>0</v>
      </c>
      <c r="BD395" s="39">
        <f t="shared" si="430"/>
        <v>0</v>
      </c>
      <c r="BE395" s="39">
        <f t="shared" si="431"/>
        <v>0</v>
      </c>
      <c r="BF395" s="39">
        <f t="shared" si="432"/>
        <v>0</v>
      </c>
      <c r="BG395" s="39">
        <f t="shared" si="433"/>
        <v>0</v>
      </c>
      <c r="BH395" s="84">
        <f t="shared" si="434"/>
        <v>0</v>
      </c>
      <c r="BI395" s="84">
        <f t="shared" si="435"/>
        <v>0</v>
      </c>
      <c r="BJ395" s="84">
        <f t="shared" si="436"/>
        <v>0</v>
      </c>
      <c r="BK395" s="39">
        <f t="shared" si="437"/>
        <v>80.599717337786302</v>
      </c>
      <c r="BL395" s="39">
        <f t="shared" si="438"/>
        <v>58.1701216490303</v>
      </c>
      <c r="BM395" s="39">
        <f t="shared" si="439"/>
        <v>45.448642844958016</v>
      </c>
      <c r="BN395" s="39">
        <f t="shared" si="440"/>
        <v>54.821714204528298</v>
      </c>
      <c r="BO395" s="39">
        <f t="shared" si="441"/>
        <v>53.17503810460299</v>
      </c>
      <c r="BP395" s="39">
        <f t="shared" si="442"/>
        <v>45.819678484576663</v>
      </c>
      <c r="BQ395" s="39">
        <f t="shared" si="443"/>
        <v>48.951134854506705</v>
      </c>
      <c r="BR395" s="39">
        <f t="shared" si="444"/>
        <v>53.155606315648271</v>
      </c>
      <c r="BS395" s="39">
        <f t="shared" si="445"/>
        <v>12.359830402671781</v>
      </c>
      <c r="BT395" s="39">
        <f t="shared" si="446"/>
        <v>0</v>
      </c>
      <c r="BU395" s="39">
        <f t="shared" si="447"/>
        <v>0</v>
      </c>
      <c r="BV395" s="39">
        <f t="shared" si="448"/>
        <v>0</v>
      </c>
      <c r="BW395" s="39">
        <f t="shared" si="449"/>
        <v>0</v>
      </c>
      <c r="BX395" s="39">
        <f t="shared" si="450"/>
        <v>0</v>
      </c>
      <c r="BY395" s="39">
        <f t="shared" si="451"/>
        <v>0</v>
      </c>
      <c r="BZ395" s="39">
        <f t="shared" si="452"/>
        <v>0</v>
      </c>
      <c r="CA395" s="39">
        <f t="shared" si="453"/>
        <v>81.063118106535256</v>
      </c>
      <c r="CB395" s="39">
        <f t="shared" si="454"/>
        <v>70.529952051702082</v>
      </c>
      <c r="CC395" s="39">
        <f t="shared" si="455"/>
        <v>45.448642844958016</v>
      </c>
      <c r="CD395" s="39">
        <f t="shared" si="456"/>
        <v>54.821714204528298</v>
      </c>
      <c r="CE395" s="39">
        <f t="shared" si="457"/>
        <v>53.17503810460299</v>
      </c>
      <c r="CF395" s="39">
        <f t="shared" si="458"/>
        <v>45.819678484576663</v>
      </c>
      <c r="CG395" s="39">
        <f t="shared" si="459"/>
        <v>48.951134854506705</v>
      </c>
      <c r="CH395" s="39">
        <f t="shared" si="460"/>
        <v>53.155606315648271</v>
      </c>
      <c r="CI395" s="39">
        <f t="shared" si="461"/>
        <v>0</v>
      </c>
      <c r="CJ395" s="39">
        <f t="shared" si="462"/>
        <v>0</v>
      </c>
      <c r="CK395" s="39">
        <f t="shared" si="463"/>
        <v>0</v>
      </c>
      <c r="CL395" s="39">
        <f t="shared" si="464"/>
        <v>0</v>
      </c>
      <c r="CM395" s="39">
        <f t="shared" si="465"/>
        <v>0</v>
      </c>
      <c r="CN395" s="39">
        <f t="shared" si="466"/>
        <v>0</v>
      </c>
      <c r="CO395" s="39">
        <f t="shared" si="467"/>
        <v>0</v>
      </c>
      <c r="CP395" s="39">
        <f t="shared" si="468"/>
        <v>0</v>
      </c>
    </row>
    <row r="396" spans="12:94" ht="16" customHeight="1" x14ac:dyDescent="0.2">
      <c r="L396" s="63">
        <v>30708</v>
      </c>
      <c r="M396" s="38">
        <v>0</v>
      </c>
      <c r="N396" s="38">
        <v>7.1</v>
      </c>
      <c r="O396" s="39">
        <v>2.3664000000000001</v>
      </c>
      <c r="P396" s="39">
        <v>1.1000000000000001</v>
      </c>
      <c r="Q396" s="46">
        <f t="shared" si="399"/>
        <v>4.6493679513779883E-2</v>
      </c>
      <c r="R396" s="81">
        <f t="shared" si="400"/>
        <v>0</v>
      </c>
      <c r="S396" s="82">
        <f t="shared" si="401"/>
        <v>0</v>
      </c>
      <c r="T396" s="39">
        <f t="shared" si="402"/>
        <v>0</v>
      </c>
      <c r="U396" s="83">
        <f t="shared" si="403"/>
        <v>7.8100000000000005</v>
      </c>
      <c r="V396" s="84">
        <f t="shared" si="404"/>
        <v>0</v>
      </c>
      <c r="W396" s="52">
        <f t="shared" si="405"/>
        <v>102.86342720772365</v>
      </c>
      <c r="X396" s="52">
        <f t="shared" si="406"/>
        <v>60.101457759334636</v>
      </c>
      <c r="Y396" s="52">
        <f t="shared" si="407"/>
        <v>162.96488496705828</v>
      </c>
      <c r="Z396" s="53">
        <f t="shared" si="408"/>
        <v>0.80362052506034098</v>
      </c>
      <c r="AA396" s="53">
        <f t="shared" si="409"/>
        <v>0.35774677237699187</v>
      </c>
      <c r="AB396" s="53">
        <f t="shared" si="410"/>
        <v>0.55055704380762938</v>
      </c>
      <c r="AC396" s="39" t="str">
        <f t="shared" si="411"/>
        <v>Si</v>
      </c>
      <c r="AD396" s="85">
        <f t="shared" si="412"/>
        <v>0</v>
      </c>
      <c r="AE396" s="46">
        <f t="shared" si="413"/>
        <v>0</v>
      </c>
      <c r="AF396" s="46">
        <f t="shared" si="414"/>
        <v>2.1257999999999999</v>
      </c>
      <c r="AG396" s="39">
        <f t="shared" si="469"/>
        <v>81.063118106535256</v>
      </c>
      <c r="AH396" s="39">
        <f t="shared" si="470"/>
        <v>70.529952051702082</v>
      </c>
      <c r="AI396" s="39">
        <f t="shared" si="471"/>
        <v>45.448642844958016</v>
      </c>
      <c r="AJ396" s="39">
        <f t="shared" si="472"/>
        <v>54.821714204528298</v>
      </c>
      <c r="AK396" s="39">
        <f t="shared" si="473"/>
        <v>53.17503810460299</v>
      </c>
      <c r="AL396" s="39">
        <f t="shared" si="474"/>
        <v>45.819678484576663</v>
      </c>
      <c r="AM396" s="39">
        <f t="shared" si="475"/>
        <v>48.951134854506705</v>
      </c>
      <c r="AN396" s="39">
        <f t="shared" si="476"/>
        <v>53.155606315648271</v>
      </c>
      <c r="AO396" s="39">
        <f t="shared" si="415"/>
        <v>5.1063118106535264</v>
      </c>
      <c r="AP396" s="39">
        <f t="shared" si="416"/>
        <v>3.2529952051702082</v>
      </c>
      <c r="AQ396" s="39">
        <f t="shared" si="417"/>
        <v>0.63769179722554703</v>
      </c>
      <c r="AR396" s="39">
        <f t="shared" si="418"/>
        <v>0.45936223769253709</v>
      </c>
      <c r="AS396" s="39">
        <f t="shared" si="419"/>
        <v>0.59467369828251893</v>
      </c>
      <c r="AT396" s="39">
        <f t="shared" si="420"/>
        <v>0.78259122118056001</v>
      </c>
      <c r="AU396" s="39">
        <f t="shared" si="421"/>
        <v>1.2116128721269448</v>
      </c>
      <c r="AV396" s="39">
        <f t="shared" si="422"/>
        <v>1.9345165045304766</v>
      </c>
      <c r="AW396" s="39">
        <f t="shared" si="423"/>
        <v>13.979755346862317</v>
      </c>
      <c r="AX396" s="39">
        <f t="shared" si="424"/>
        <v>7.8100000000000005</v>
      </c>
      <c r="AY396" s="39">
        <f t="shared" si="425"/>
        <v>7.8100000000000005</v>
      </c>
      <c r="AZ396" s="39">
        <f t="shared" si="426"/>
        <v>2.852717680081216</v>
      </c>
      <c r="BA396" s="39">
        <f t="shared" si="427"/>
        <v>1.817334561443634</v>
      </c>
      <c r="BB396" s="39">
        <f t="shared" si="428"/>
        <v>0.35625608694570904</v>
      </c>
      <c r="BC396" s="39">
        <f t="shared" si="429"/>
        <v>0.25662960383523004</v>
      </c>
      <c r="BD396" s="39">
        <f t="shared" si="430"/>
        <v>0.33222338076387614</v>
      </c>
      <c r="BE396" s="39">
        <f t="shared" si="431"/>
        <v>0.43720632341337706</v>
      </c>
      <c r="BF396" s="39">
        <f t="shared" si="432"/>
        <v>0.67688570339932963</v>
      </c>
      <c r="BG396" s="39">
        <f t="shared" si="433"/>
        <v>1.0807466601176294</v>
      </c>
      <c r="BH396" s="84">
        <f t="shared" si="434"/>
        <v>0</v>
      </c>
      <c r="BI396" s="84">
        <f t="shared" si="435"/>
        <v>0</v>
      </c>
      <c r="BJ396" s="84">
        <f t="shared" si="436"/>
        <v>0</v>
      </c>
      <c r="BK396" s="39">
        <f t="shared" si="437"/>
        <v>78.210400426454044</v>
      </c>
      <c r="BL396" s="39">
        <f t="shared" si="438"/>
        <v>68.712617490258452</v>
      </c>
      <c r="BM396" s="39">
        <f t="shared" si="439"/>
        <v>45.09238675801231</v>
      </c>
      <c r="BN396" s="39">
        <f t="shared" si="440"/>
        <v>54.565084600693069</v>
      </c>
      <c r="BO396" s="39">
        <f t="shared" si="441"/>
        <v>52.842814723839112</v>
      </c>
      <c r="BP396" s="39">
        <f t="shared" si="442"/>
        <v>45.382472161163285</v>
      </c>
      <c r="BQ396" s="39">
        <f t="shared" si="443"/>
        <v>48.274249151107377</v>
      </c>
      <c r="BR396" s="39">
        <f t="shared" si="444"/>
        <v>52.074859655530645</v>
      </c>
      <c r="BS396" s="39">
        <f t="shared" si="445"/>
        <v>10.926240255872425</v>
      </c>
      <c r="BT396" s="39">
        <f t="shared" si="446"/>
        <v>1.6275704941550713</v>
      </c>
      <c r="BU396" s="39">
        <f t="shared" si="447"/>
        <v>0</v>
      </c>
      <c r="BV396" s="39">
        <f t="shared" si="448"/>
        <v>0</v>
      </c>
      <c r="BW396" s="39">
        <f t="shared" si="449"/>
        <v>0</v>
      </c>
      <c r="BX396" s="39">
        <f t="shared" si="450"/>
        <v>0</v>
      </c>
      <c r="BY396" s="39">
        <f t="shared" si="451"/>
        <v>0</v>
      </c>
      <c r="BZ396" s="39">
        <f t="shared" si="452"/>
        <v>0</v>
      </c>
      <c r="CA396" s="39">
        <f t="shared" si="453"/>
        <v>67.284160170581615</v>
      </c>
      <c r="CB396" s="39">
        <f t="shared" si="454"/>
        <v>78.011287251975816</v>
      </c>
      <c r="CC396" s="39">
        <f t="shared" si="455"/>
        <v>46.719957252167383</v>
      </c>
      <c r="CD396" s="39">
        <f t="shared" si="456"/>
        <v>54.565084600693069</v>
      </c>
      <c r="CE396" s="39">
        <f t="shared" si="457"/>
        <v>52.842814723839112</v>
      </c>
      <c r="CF396" s="39">
        <f t="shared" si="458"/>
        <v>45.382472161163285</v>
      </c>
      <c r="CG396" s="39">
        <f t="shared" si="459"/>
        <v>48.274249151107377</v>
      </c>
      <c r="CH396" s="39">
        <f t="shared" si="460"/>
        <v>52.074859655530645</v>
      </c>
      <c r="CI396" s="39">
        <f t="shared" si="461"/>
        <v>0</v>
      </c>
      <c r="CJ396" s="39">
        <f t="shared" si="462"/>
        <v>0</v>
      </c>
      <c r="CK396" s="39">
        <f t="shared" si="463"/>
        <v>0</v>
      </c>
      <c r="CL396" s="39">
        <f t="shared" si="464"/>
        <v>0</v>
      </c>
      <c r="CM396" s="39">
        <f t="shared" si="465"/>
        <v>0</v>
      </c>
      <c r="CN396" s="39">
        <f t="shared" si="466"/>
        <v>0</v>
      </c>
      <c r="CO396" s="39">
        <f t="shared" si="467"/>
        <v>0</v>
      </c>
      <c r="CP396" s="39">
        <f t="shared" si="468"/>
        <v>0</v>
      </c>
    </row>
    <row r="397" spans="12:94" ht="16" customHeight="1" x14ac:dyDescent="0.2">
      <c r="L397" s="63">
        <v>30709</v>
      </c>
      <c r="M397" s="38">
        <v>0</v>
      </c>
      <c r="N397" s="38">
        <v>8.1</v>
      </c>
      <c r="O397" s="39">
        <v>2.3664000000000001</v>
      </c>
      <c r="P397" s="39">
        <v>1.1000000000000001</v>
      </c>
      <c r="Q397" s="46">
        <f t="shared" si="399"/>
        <v>7.4423999654226455E-2</v>
      </c>
      <c r="R397" s="81">
        <f t="shared" si="400"/>
        <v>0</v>
      </c>
      <c r="S397" s="82">
        <f t="shared" si="401"/>
        <v>0</v>
      </c>
      <c r="T397" s="39">
        <f t="shared" si="402"/>
        <v>0</v>
      </c>
      <c r="U397" s="83">
        <f t="shared" si="403"/>
        <v>8.91</v>
      </c>
      <c r="V397" s="84">
        <f t="shared" si="404"/>
        <v>0</v>
      </c>
      <c r="W397" s="52">
        <f t="shared" si="405"/>
        <v>97.580489275417875</v>
      </c>
      <c r="X397" s="52">
        <f t="shared" si="406"/>
        <v>57.574395691640404</v>
      </c>
      <c r="Y397" s="52">
        <f t="shared" si="407"/>
        <v>155.15488496705828</v>
      </c>
      <c r="Z397" s="53">
        <f t="shared" si="408"/>
        <v>0.76234757246420215</v>
      </c>
      <c r="AA397" s="53">
        <f t="shared" si="409"/>
        <v>0.34270473625976433</v>
      </c>
      <c r="AB397" s="53">
        <f t="shared" si="410"/>
        <v>0.52417190867249419</v>
      </c>
      <c r="AC397" s="39" t="str">
        <f t="shared" si="411"/>
        <v>Si</v>
      </c>
      <c r="AD397" s="85">
        <f t="shared" si="412"/>
        <v>0</v>
      </c>
      <c r="AE397" s="46">
        <f t="shared" si="413"/>
        <v>0</v>
      </c>
      <c r="AF397" s="46">
        <f t="shared" si="414"/>
        <v>2.1257999999999999</v>
      </c>
      <c r="AG397" s="39">
        <f t="shared" si="469"/>
        <v>67.284160170581615</v>
      </c>
      <c r="AH397" s="39">
        <f t="shared" si="470"/>
        <v>78.011287251975816</v>
      </c>
      <c r="AI397" s="39">
        <f t="shared" si="471"/>
        <v>46.719957252167383</v>
      </c>
      <c r="AJ397" s="39">
        <f t="shared" si="472"/>
        <v>54.565084600693069</v>
      </c>
      <c r="AK397" s="39">
        <f t="shared" si="473"/>
        <v>52.842814723839112</v>
      </c>
      <c r="AL397" s="39">
        <f t="shared" si="474"/>
        <v>45.382472161163285</v>
      </c>
      <c r="AM397" s="39">
        <f t="shared" si="475"/>
        <v>48.274249151107377</v>
      </c>
      <c r="AN397" s="39">
        <f t="shared" si="476"/>
        <v>52.074859655530645</v>
      </c>
      <c r="AO397" s="39">
        <f t="shared" si="415"/>
        <v>3.7284160170581617</v>
      </c>
      <c r="AP397" s="39">
        <f t="shared" si="416"/>
        <v>4.0011287251975816</v>
      </c>
      <c r="AQ397" s="39">
        <f t="shared" si="417"/>
        <v>0.8208391677735456</v>
      </c>
      <c r="AR397" s="39">
        <f t="shared" si="418"/>
        <v>0.43567068294483591</v>
      </c>
      <c r="AS397" s="39">
        <f t="shared" si="419"/>
        <v>0.55984110064524961</v>
      </c>
      <c r="AT397" s="39">
        <f t="shared" si="420"/>
        <v>0.7301219848665883</v>
      </c>
      <c r="AU397" s="39">
        <f t="shared" si="421"/>
        <v>1.1109651768100199</v>
      </c>
      <c r="AV397" s="39">
        <f t="shared" si="422"/>
        <v>1.7326203375151921</v>
      </c>
      <c r="AW397" s="39">
        <f t="shared" si="423"/>
        <v>13.119603192811175</v>
      </c>
      <c r="AX397" s="39">
        <f t="shared" si="424"/>
        <v>8.91</v>
      </c>
      <c r="AY397" s="39">
        <f t="shared" si="425"/>
        <v>8.91</v>
      </c>
      <c r="AZ397" s="39">
        <f t="shared" si="426"/>
        <v>2.532103008282375</v>
      </c>
      <c r="BA397" s="39">
        <f t="shared" si="427"/>
        <v>2.717312133422201</v>
      </c>
      <c r="BB397" s="39">
        <f t="shared" si="428"/>
        <v>0.55746175226319239</v>
      </c>
      <c r="BC397" s="39">
        <f t="shared" si="429"/>
        <v>0.29587981648450434</v>
      </c>
      <c r="BD397" s="39">
        <f t="shared" si="430"/>
        <v>0.38020846617391801</v>
      </c>
      <c r="BE397" s="39">
        <f t="shared" si="431"/>
        <v>0.49585241181119705</v>
      </c>
      <c r="BF397" s="39">
        <f t="shared" si="432"/>
        <v>0.75449688377779778</v>
      </c>
      <c r="BG397" s="39">
        <f t="shared" si="433"/>
        <v>1.1766855277848152</v>
      </c>
      <c r="BH397" s="84">
        <f t="shared" si="434"/>
        <v>0</v>
      </c>
      <c r="BI397" s="84">
        <f t="shared" si="435"/>
        <v>0</v>
      </c>
      <c r="BJ397" s="84">
        <f t="shared" si="436"/>
        <v>0</v>
      </c>
      <c r="BK397" s="39">
        <f t="shared" si="437"/>
        <v>64.752057162299238</v>
      </c>
      <c r="BL397" s="39">
        <f t="shared" si="438"/>
        <v>75.293975118553618</v>
      </c>
      <c r="BM397" s="39">
        <f t="shared" si="439"/>
        <v>46.162495499904189</v>
      </c>
      <c r="BN397" s="39">
        <f t="shared" si="440"/>
        <v>54.269204784208561</v>
      </c>
      <c r="BO397" s="39">
        <f t="shared" si="441"/>
        <v>52.462606257665193</v>
      </c>
      <c r="BP397" s="39">
        <f t="shared" si="442"/>
        <v>44.886619749352086</v>
      </c>
      <c r="BQ397" s="39">
        <f t="shared" si="443"/>
        <v>47.519752267329579</v>
      </c>
      <c r="BR397" s="39">
        <f t="shared" si="444"/>
        <v>50.898174127745833</v>
      </c>
      <c r="BS397" s="39">
        <f t="shared" si="445"/>
        <v>2.8512342973795426</v>
      </c>
      <c r="BT397" s="39">
        <f t="shared" si="446"/>
        <v>5.5763850711321705</v>
      </c>
      <c r="BU397" s="39">
        <f t="shared" si="447"/>
        <v>0</v>
      </c>
      <c r="BV397" s="39">
        <f t="shared" si="448"/>
        <v>0</v>
      </c>
      <c r="BW397" s="39">
        <f t="shared" si="449"/>
        <v>0</v>
      </c>
      <c r="BX397" s="39">
        <f t="shared" si="450"/>
        <v>0</v>
      </c>
      <c r="BY397" s="39">
        <f t="shared" si="451"/>
        <v>0</v>
      </c>
      <c r="BZ397" s="39">
        <f t="shared" si="452"/>
        <v>0</v>
      </c>
      <c r="CA397" s="39">
        <f t="shared" si="453"/>
        <v>61.900822864919697</v>
      </c>
      <c r="CB397" s="39">
        <f t="shared" si="454"/>
        <v>72.568824344801001</v>
      </c>
      <c r="CC397" s="39">
        <f t="shared" si="455"/>
        <v>51.738880571036361</v>
      </c>
      <c r="CD397" s="39">
        <f t="shared" si="456"/>
        <v>54.269204784208561</v>
      </c>
      <c r="CE397" s="39">
        <f t="shared" si="457"/>
        <v>52.462606257665193</v>
      </c>
      <c r="CF397" s="39">
        <f t="shared" si="458"/>
        <v>44.886619749352086</v>
      </c>
      <c r="CG397" s="39">
        <f t="shared" si="459"/>
        <v>47.519752267329579</v>
      </c>
      <c r="CH397" s="39">
        <f t="shared" si="460"/>
        <v>50.898174127745833</v>
      </c>
      <c r="CI397" s="39">
        <f t="shared" si="461"/>
        <v>0</v>
      </c>
      <c r="CJ397" s="39">
        <f t="shared" si="462"/>
        <v>0</v>
      </c>
      <c r="CK397" s="39">
        <f t="shared" si="463"/>
        <v>0</v>
      </c>
      <c r="CL397" s="39">
        <f t="shared" si="464"/>
        <v>0</v>
      </c>
      <c r="CM397" s="39">
        <f t="shared" si="465"/>
        <v>0</v>
      </c>
      <c r="CN397" s="39">
        <f t="shared" si="466"/>
        <v>0</v>
      </c>
      <c r="CO397" s="39">
        <f t="shared" si="467"/>
        <v>0</v>
      </c>
      <c r="CP397" s="39">
        <f t="shared" si="468"/>
        <v>0</v>
      </c>
    </row>
    <row r="398" spans="12:94" ht="16" customHeight="1" x14ac:dyDescent="0.2">
      <c r="L398" s="63">
        <v>30710</v>
      </c>
      <c r="M398" s="38">
        <v>0</v>
      </c>
      <c r="N398" s="38">
        <v>6.5</v>
      </c>
      <c r="O398" s="39">
        <v>2.3664000000000001</v>
      </c>
      <c r="P398" s="39">
        <v>1.1000000000000001</v>
      </c>
      <c r="Q398" s="46">
        <f t="shared" si="399"/>
        <v>8.5336169868406017E-2</v>
      </c>
      <c r="R398" s="81">
        <f t="shared" si="400"/>
        <v>0</v>
      </c>
      <c r="S398" s="82">
        <f t="shared" si="401"/>
        <v>0</v>
      </c>
      <c r="T398" s="39">
        <f t="shared" si="402"/>
        <v>0</v>
      </c>
      <c r="U398" s="83">
        <f t="shared" si="403"/>
        <v>7.15</v>
      </c>
      <c r="V398" s="84">
        <f t="shared" si="404"/>
        <v>0</v>
      </c>
      <c r="W398" s="52">
        <f t="shared" si="405"/>
        <v>91.477732564965635</v>
      </c>
      <c r="X398" s="52">
        <f t="shared" si="406"/>
        <v>54.767152402092677</v>
      </c>
      <c r="Y398" s="52">
        <f t="shared" si="407"/>
        <v>146.24488496705831</v>
      </c>
      <c r="Z398" s="53">
        <f t="shared" si="408"/>
        <v>0.71466978566379402</v>
      </c>
      <c r="AA398" s="53">
        <f t="shared" si="409"/>
        <v>0.32599495477436119</v>
      </c>
      <c r="AB398" s="53">
        <f t="shared" si="410"/>
        <v>0.49407055732114297</v>
      </c>
      <c r="AC398" s="39" t="str">
        <f t="shared" si="411"/>
        <v>Si</v>
      </c>
      <c r="AD398" s="85">
        <f t="shared" si="412"/>
        <v>0</v>
      </c>
      <c r="AE398" s="46">
        <f t="shared" si="413"/>
        <v>0</v>
      </c>
      <c r="AF398" s="46">
        <f t="shared" si="414"/>
        <v>2.1257999999999999</v>
      </c>
      <c r="AG398" s="39">
        <f t="shared" si="469"/>
        <v>61.900822864919697</v>
      </c>
      <c r="AH398" s="39">
        <f t="shared" si="470"/>
        <v>72.568824344801001</v>
      </c>
      <c r="AI398" s="39">
        <f t="shared" si="471"/>
        <v>51.738880571036361</v>
      </c>
      <c r="AJ398" s="39">
        <f t="shared" si="472"/>
        <v>54.269204784208561</v>
      </c>
      <c r="AK398" s="39">
        <f t="shared" si="473"/>
        <v>52.462606257665193</v>
      </c>
      <c r="AL398" s="39">
        <f t="shared" si="474"/>
        <v>44.886619749352086</v>
      </c>
      <c r="AM398" s="39">
        <f t="shared" si="475"/>
        <v>47.519752267329579</v>
      </c>
      <c r="AN398" s="39">
        <f t="shared" si="476"/>
        <v>50.898174127745833</v>
      </c>
      <c r="AO398" s="39">
        <f t="shared" si="415"/>
        <v>3.19008228649197</v>
      </c>
      <c r="AP398" s="39">
        <f t="shared" si="416"/>
        <v>3.4568824344801001</v>
      </c>
      <c r="AQ398" s="39">
        <f t="shared" si="417"/>
        <v>1.5738880571036375</v>
      </c>
      <c r="AR398" s="39">
        <f t="shared" si="418"/>
        <v>0.40913408253140354</v>
      </c>
      <c r="AS398" s="39">
        <f t="shared" si="419"/>
        <v>0.52126728429969071</v>
      </c>
      <c r="AT398" s="39">
        <f t="shared" si="420"/>
        <v>0.67281775745565164</v>
      </c>
      <c r="AU398" s="39">
        <f t="shared" si="421"/>
        <v>1.0039200281172487</v>
      </c>
      <c r="AV398" s="39">
        <f t="shared" si="422"/>
        <v>1.5254506528910001</v>
      </c>
      <c r="AW398" s="39">
        <f t="shared" si="423"/>
        <v>12.353442583370704</v>
      </c>
      <c r="AX398" s="39">
        <f t="shared" si="424"/>
        <v>7.15</v>
      </c>
      <c r="AY398" s="39">
        <f t="shared" si="425"/>
        <v>7.15</v>
      </c>
      <c r="AZ398" s="39">
        <f t="shared" si="426"/>
        <v>1.8463750646416168</v>
      </c>
      <c r="BA398" s="39">
        <f t="shared" si="427"/>
        <v>2.0007952633223498</v>
      </c>
      <c r="BB398" s="39">
        <f t="shared" si="428"/>
        <v>0.9109444215525293</v>
      </c>
      <c r="BC398" s="39">
        <f t="shared" si="429"/>
        <v>0.23680109170842556</v>
      </c>
      <c r="BD398" s="39">
        <f t="shared" si="430"/>
        <v>0.30170222248491962</v>
      </c>
      <c r="BE398" s="39">
        <f t="shared" si="431"/>
        <v>0.38941751931430418</v>
      </c>
      <c r="BF398" s="39">
        <f t="shared" si="432"/>
        <v>0.58105488835159702</v>
      </c>
      <c r="BG398" s="39">
        <f t="shared" si="433"/>
        <v>0.88290952862425698</v>
      </c>
      <c r="BH398" s="84">
        <f t="shared" si="434"/>
        <v>0</v>
      </c>
      <c r="BI398" s="84">
        <f t="shared" si="435"/>
        <v>0</v>
      </c>
      <c r="BJ398" s="84">
        <f t="shared" si="436"/>
        <v>0</v>
      </c>
      <c r="BK398" s="39">
        <f t="shared" si="437"/>
        <v>60.054447800278076</v>
      </c>
      <c r="BL398" s="39">
        <f t="shared" si="438"/>
        <v>70.568029081478656</v>
      </c>
      <c r="BM398" s="39">
        <f t="shared" si="439"/>
        <v>50.827936149483833</v>
      </c>
      <c r="BN398" s="39">
        <f t="shared" si="440"/>
        <v>54.032403692500139</v>
      </c>
      <c r="BO398" s="39">
        <f t="shared" si="441"/>
        <v>52.160904035180273</v>
      </c>
      <c r="BP398" s="39">
        <f t="shared" si="442"/>
        <v>44.497202230037779</v>
      </c>
      <c r="BQ398" s="39">
        <f t="shared" si="443"/>
        <v>46.938697378977984</v>
      </c>
      <c r="BR398" s="39">
        <f t="shared" si="444"/>
        <v>50.015264599121579</v>
      </c>
      <c r="BS398" s="39">
        <f t="shared" si="445"/>
        <v>3.2668680166845827E-2</v>
      </c>
      <c r="BT398" s="39">
        <f t="shared" si="446"/>
        <v>2.7408174488871935</v>
      </c>
      <c r="BU398" s="39">
        <f t="shared" si="447"/>
        <v>0</v>
      </c>
      <c r="BV398" s="39">
        <f t="shared" si="448"/>
        <v>0</v>
      </c>
      <c r="BW398" s="39">
        <f t="shared" si="449"/>
        <v>0</v>
      </c>
      <c r="BX398" s="39">
        <f t="shared" si="450"/>
        <v>0</v>
      </c>
      <c r="BY398" s="39">
        <f t="shared" si="451"/>
        <v>0</v>
      </c>
      <c r="BZ398" s="39">
        <f t="shared" si="452"/>
        <v>0</v>
      </c>
      <c r="CA398" s="39">
        <f t="shared" si="453"/>
        <v>60.021779120111233</v>
      </c>
      <c r="CB398" s="39">
        <f t="shared" si="454"/>
        <v>67.859880312758307</v>
      </c>
      <c r="CC398" s="39">
        <f t="shared" si="455"/>
        <v>53.568753598371025</v>
      </c>
      <c r="CD398" s="39">
        <f t="shared" si="456"/>
        <v>54.032403692500139</v>
      </c>
      <c r="CE398" s="39">
        <f t="shared" si="457"/>
        <v>52.160904035180273</v>
      </c>
      <c r="CF398" s="39">
        <f t="shared" si="458"/>
        <v>44.497202230037779</v>
      </c>
      <c r="CG398" s="39">
        <f t="shared" si="459"/>
        <v>46.938697378977984</v>
      </c>
      <c r="CH398" s="39">
        <f t="shared" si="460"/>
        <v>50.015264599121579</v>
      </c>
      <c r="CI398" s="39">
        <f t="shared" si="461"/>
        <v>0</v>
      </c>
      <c r="CJ398" s="39">
        <f t="shared" si="462"/>
        <v>0</v>
      </c>
      <c r="CK398" s="39">
        <f t="shared" si="463"/>
        <v>0</v>
      </c>
      <c r="CL398" s="39">
        <f t="shared" si="464"/>
        <v>0</v>
      </c>
      <c r="CM398" s="39">
        <f t="shared" si="465"/>
        <v>0</v>
      </c>
      <c r="CN398" s="39">
        <f t="shared" si="466"/>
        <v>0</v>
      </c>
      <c r="CO398" s="39">
        <f t="shared" si="467"/>
        <v>0</v>
      </c>
      <c r="CP398" s="39">
        <f t="shared" si="468"/>
        <v>0</v>
      </c>
    </row>
    <row r="399" spans="12:94" ht="16" customHeight="1" x14ac:dyDescent="0.2">
      <c r="L399" s="63">
        <v>30711</v>
      </c>
      <c r="M399" s="38">
        <v>8.1999999999999993</v>
      </c>
      <c r="N399" s="38">
        <v>3.5</v>
      </c>
      <c r="O399" s="39">
        <v>2.3664000000000001</v>
      </c>
      <c r="P399" s="39">
        <v>1.1000000000000001</v>
      </c>
      <c r="Q399" s="46">
        <f t="shared" si="399"/>
        <v>8.9145042324098839E-2</v>
      </c>
      <c r="R399" s="81">
        <f t="shared" si="400"/>
        <v>2.6694814302218307E-2</v>
      </c>
      <c r="S399" s="82">
        <f t="shared" si="401"/>
        <v>8.1733051856977816</v>
      </c>
      <c r="T399" s="39">
        <f t="shared" si="402"/>
        <v>0</v>
      </c>
      <c r="U399" s="83">
        <f t="shared" si="403"/>
        <v>3.8500000000000005</v>
      </c>
      <c r="V399" s="84">
        <f t="shared" si="404"/>
        <v>0</v>
      </c>
      <c r="W399" s="52">
        <f t="shared" si="405"/>
        <v>86.482816723740711</v>
      </c>
      <c r="X399" s="52">
        <f t="shared" si="406"/>
        <v>52.612068243317594</v>
      </c>
      <c r="Y399" s="52">
        <f t="shared" si="407"/>
        <v>139.09488496705831</v>
      </c>
      <c r="Z399" s="53">
        <f t="shared" si="408"/>
        <v>0.67564700565422431</v>
      </c>
      <c r="AA399" s="53">
        <f t="shared" si="409"/>
        <v>0.31316707287689044</v>
      </c>
      <c r="AB399" s="53">
        <f t="shared" si="410"/>
        <v>0.46991515191573752</v>
      </c>
      <c r="AC399" s="39" t="str">
        <f t="shared" si="411"/>
        <v>Si</v>
      </c>
      <c r="AD399" s="85">
        <f t="shared" si="412"/>
        <v>0</v>
      </c>
      <c r="AE399" s="46">
        <f t="shared" si="413"/>
        <v>0</v>
      </c>
      <c r="AF399" s="46">
        <f t="shared" si="414"/>
        <v>2.1257999999999999</v>
      </c>
      <c r="AG399" s="39">
        <f t="shared" si="469"/>
        <v>60.021779120111233</v>
      </c>
      <c r="AH399" s="39">
        <f t="shared" si="470"/>
        <v>67.859880312758307</v>
      </c>
      <c r="AI399" s="39">
        <f t="shared" si="471"/>
        <v>53.568753598371025</v>
      </c>
      <c r="AJ399" s="39">
        <f t="shared" si="472"/>
        <v>54.032403692500139</v>
      </c>
      <c r="AK399" s="39">
        <f t="shared" si="473"/>
        <v>52.160904035180273</v>
      </c>
      <c r="AL399" s="39">
        <f t="shared" si="474"/>
        <v>44.497202230037779</v>
      </c>
      <c r="AM399" s="39">
        <f t="shared" si="475"/>
        <v>46.938697378977984</v>
      </c>
      <c r="AN399" s="39">
        <f t="shared" si="476"/>
        <v>50.015264599121579</v>
      </c>
      <c r="AO399" s="39">
        <f t="shared" si="415"/>
        <v>3.0021779120111236</v>
      </c>
      <c r="AP399" s="39">
        <f t="shared" si="416"/>
        <v>2.9859880312758307</v>
      </c>
      <c r="AQ399" s="39">
        <f t="shared" si="417"/>
        <v>1.7568753598371041</v>
      </c>
      <c r="AR399" s="39">
        <f t="shared" si="418"/>
        <v>0.38849674506804771</v>
      </c>
      <c r="AS399" s="39">
        <f t="shared" si="419"/>
        <v>0.49163795624829965</v>
      </c>
      <c r="AT399" s="39">
        <f t="shared" si="420"/>
        <v>0.62945551961135948</v>
      </c>
      <c r="AU399" s="39">
        <f t="shared" si="421"/>
        <v>0.92517754582251188</v>
      </c>
      <c r="AV399" s="39">
        <f t="shared" si="422"/>
        <v>1.3786629970386657</v>
      </c>
      <c r="AW399" s="39">
        <f t="shared" si="423"/>
        <v>11.558472066912943</v>
      </c>
      <c r="AX399" s="39">
        <f t="shared" si="424"/>
        <v>3.8500000000000005</v>
      </c>
      <c r="AY399" s="39">
        <f t="shared" si="425"/>
        <v>0</v>
      </c>
      <c r="AZ399" s="39">
        <f t="shared" si="426"/>
        <v>0</v>
      </c>
      <c r="BA399" s="39">
        <f t="shared" si="427"/>
        <v>0</v>
      </c>
      <c r="BB399" s="39">
        <f t="shared" si="428"/>
        <v>0</v>
      </c>
      <c r="BC399" s="39">
        <f t="shared" si="429"/>
        <v>0</v>
      </c>
      <c r="BD399" s="39">
        <f t="shared" si="430"/>
        <v>0</v>
      </c>
      <c r="BE399" s="39">
        <f t="shared" si="431"/>
        <v>0</v>
      </c>
      <c r="BF399" s="39">
        <f t="shared" si="432"/>
        <v>0</v>
      </c>
      <c r="BG399" s="39">
        <f t="shared" si="433"/>
        <v>0</v>
      </c>
      <c r="BH399" s="84">
        <f t="shared" si="434"/>
        <v>0</v>
      </c>
      <c r="BI399" s="84">
        <f t="shared" si="435"/>
        <v>0</v>
      </c>
      <c r="BJ399" s="84">
        <f t="shared" si="436"/>
        <v>0</v>
      </c>
      <c r="BK399" s="39">
        <f t="shared" si="437"/>
        <v>60.021779120111233</v>
      </c>
      <c r="BL399" s="39">
        <f t="shared" si="438"/>
        <v>67.859880312758307</v>
      </c>
      <c r="BM399" s="39">
        <f t="shared" si="439"/>
        <v>53.568753598371025</v>
      </c>
      <c r="BN399" s="39">
        <f t="shared" si="440"/>
        <v>54.032403692500139</v>
      </c>
      <c r="BO399" s="39">
        <f t="shared" si="441"/>
        <v>52.160904035180273</v>
      </c>
      <c r="BP399" s="39">
        <f t="shared" si="442"/>
        <v>44.497202230037779</v>
      </c>
      <c r="BQ399" s="39">
        <f t="shared" si="443"/>
        <v>46.938697378977984</v>
      </c>
      <c r="BR399" s="39">
        <f t="shared" si="444"/>
        <v>50.015264599121579</v>
      </c>
      <c r="BS399" s="39">
        <f t="shared" si="445"/>
        <v>1.3067472066740037E-2</v>
      </c>
      <c r="BT399" s="39">
        <f t="shared" si="446"/>
        <v>1.115928187654984</v>
      </c>
      <c r="BU399" s="39">
        <f t="shared" si="447"/>
        <v>0</v>
      </c>
      <c r="BV399" s="39">
        <f t="shared" si="448"/>
        <v>0</v>
      </c>
      <c r="BW399" s="39">
        <f t="shared" si="449"/>
        <v>0</v>
      </c>
      <c r="BX399" s="39">
        <f t="shared" si="450"/>
        <v>0</v>
      </c>
      <c r="BY399" s="39">
        <f t="shared" si="451"/>
        <v>0</v>
      </c>
      <c r="BZ399" s="39">
        <f t="shared" si="452"/>
        <v>0</v>
      </c>
      <c r="CA399" s="39">
        <f t="shared" si="453"/>
        <v>68.182016833742281</v>
      </c>
      <c r="CB399" s="39">
        <f t="shared" si="454"/>
        <v>66.757019597170057</v>
      </c>
      <c r="CC399" s="39">
        <f t="shared" si="455"/>
        <v>54.684681786026012</v>
      </c>
      <c r="CD399" s="39">
        <f t="shared" si="456"/>
        <v>54.032403692500139</v>
      </c>
      <c r="CE399" s="39">
        <f t="shared" si="457"/>
        <v>52.160904035180273</v>
      </c>
      <c r="CF399" s="39">
        <f t="shared" si="458"/>
        <v>44.497202230037779</v>
      </c>
      <c r="CG399" s="39">
        <f t="shared" si="459"/>
        <v>46.938697378977984</v>
      </c>
      <c r="CH399" s="39">
        <f t="shared" si="460"/>
        <v>50.015264599121579</v>
      </c>
      <c r="CI399" s="39">
        <f t="shared" si="461"/>
        <v>0</v>
      </c>
      <c r="CJ399" s="39">
        <f t="shared" si="462"/>
        <v>0</v>
      </c>
      <c r="CK399" s="39">
        <f t="shared" si="463"/>
        <v>0</v>
      </c>
      <c r="CL399" s="39">
        <f t="shared" si="464"/>
        <v>0</v>
      </c>
      <c r="CM399" s="39">
        <f t="shared" si="465"/>
        <v>0</v>
      </c>
      <c r="CN399" s="39">
        <f t="shared" si="466"/>
        <v>0</v>
      </c>
      <c r="CO399" s="39">
        <f t="shared" si="467"/>
        <v>0</v>
      </c>
      <c r="CP399" s="39">
        <f t="shared" si="468"/>
        <v>0</v>
      </c>
    </row>
    <row r="400" spans="12:94" ht="16" customHeight="1" x14ac:dyDescent="0.2">
      <c r="L400" s="63">
        <v>30712</v>
      </c>
      <c r="M400" s="38">
        <v>0</v>
      </c>
      <c r="N400" s="38">
        <v>4.8</v>
      </c>
      <c r="O400" s="39">
        <v>2.3664000000000001</v>
      </c>
      <c r="P400" s="39">
        <v>1.1000000000000001</v>
      </c>
      <c r="Q400" s="46">
        <f t="shared" si="399"/>
        <v>7.2604019931603481E-2</v>
      </c>
      <c r="R400" s="81">
        <f t="shared" si="400"/>
        <v>0</v>
      </c>
      <c r="S400" s="82">
        <f t="shared" si="401"/>
        <v>0</v>
      </c>
      <c r="T400" s="39">
        <f t="shared" si="402"/>
        <v>0</v>
      </c>
      <c r="U400" s="83">
        <f t="shared" si="403"/>
        <v>5.28</v>
      </c>
      <c r="V400" s="84">
        <f t="shared" si="404"/>
        <v>0</v>
      </c>
      <c r="W400" s="52">
        <f t="shared" si="405"/>
        <v>94.656121909438468</v>
      </c>
      <c r="X400" s="52">
        <f t="shared" si="406"/>
        <v>52.612068243317594</v>
      </c>
      <c r="Y400" s="52">
        <f t="shared" si="407"/>
        <v>147.26819015275606</v>
      </c>
      <c r="Z400" s="53">
        <f t="shared" si="408"/>
        <v>0.73950095241748803</v>
      </c>
      <c r="AA400" s="53">
        <f t="shared" si="409"/>
        <v>0.31316707287689044</v>
      </c>
      <c r="AB400" s="53">
        <f t="shared" si="410"/>
        <v>0.49752766943498672</v>
      </c>
      <c r="AC400" s="39" t="str">
        <f t="shared" si="411"/>
        <v>Si</v>
      </c>
      <c r="AD400" s="85">
        <f t="shared" si="412"/>
        <v>0</v>
      </c>
      <c r="AE400" s="46">
        <f t="shared" si="413"/>
        <v>0</v>
      </c>
      <c r="AF400" s="46">
        <f t="shared" si="414"/>
        <v>2.1257999999999999</v>
      </c>
      <c r="AG400" s="39">
        <f t="shared" si="469"/>
        <v>68.182016833742281</v>
      </c>
      <c r="AH400" s="39">
        <f t="shared" si="470"/>
        <v>66.757019597170057</v>
      </c>
      <c r="AI400" s="39">
        <f t="shared" si="471"/>
        <v>54.684681786026012</v>
      </c>
      <c r="AJ400" s="39">
        <f t="shared" si="472"/>
        <v>54.032403692500139</v>
      </c>
      <c r="AK400" s="39">
        <f t="shared" si="473"/>
        <v>52.160904035180273</v>
      </c>
      <c r="AL400" s="39">
        <f t="shared" si="474"/>
        <v>44.497202230037779</v>
      </c>
      <c r="AM400" s="39">
        <f t="shared" si="475"/>
        <v>46.938697378977984</v>
      </c>
      <c r="AN400" s="39">
        <f t="shared" si="476"/>
        <v>50.015264599121579</v>
      </c>
      <c r="AO400" s="39">
        <f t="shared" si="415"/>
        <v>3.8182016833742285</v>
      </c>
      <c r="AP400" s="39">
        <f t="shared" si="416"/>
        <v>2.8757019597170057</v>
      </c>
      <c r="AQ400" s="39">
        <f t="shared" si="417"/>
        <v>1.8684681786026027</v>
      </c>
      <c r="AR400" s="39">
        <f t="shared" si="418"/>
        <v>0.38849674506804771</v>
      </c>
      <c r="AS400" s="39">
        <f t="shared" si="419"/>
        <v>0.49163795624829965</v>
      </c>
      <c r="AT400" s="39">
        <f t="shared" si="420"/>
        <v>0.62945551961135948</v>
      </c>
      <c r="AU400" s="39">
        <f t="shared" si="421"/>
        <v>0.92517754582251188</v>
      </c>
      <c r="AV400" s="39">
        <f t="shared" si="422"/>
        <v>1.3786629970386657</v>
      </c>
      <c r="AW400" s="39">
        <f t="shared" si="423"/>
        <v>12.375802585482722</v>
      </c>
      <c r="AX400" s="39">
        <f t="shared" si="424"/>
        <v>5.28</v>
      </c>
      <c r="AY400" s="39">
        <f t="shared" si="425"/>
        <v>5.28</v>
      </c>
      <c r="AZ400" s="39">
        <f t="shared" si="426"/>
        <v>1.6289937358781468</v>
      </c>
      <c r="BA400" s="39">
        <f t="shared" si="427"/>
        <v>1.2268865992672544</v>
      </c>
      <c r="BB400" s="39">
        <f t="shared" si="428"/>
        <v>0.79716138932228575</v>
      </c>
      <c r="BC400" s="39">
        <f t="shared" si="429"/>
        <v>0.16574786158640734</v>
      </c>
      <c r="BD400" s="39">
        <f t="shared" si="430"/>
        <v>0.20975192445587723</v>
      </c>
      <c r="BE400" s="39">
        <f t="shared" si="431"/>
        <v>0.26855027143424193</v>
      </c>
      <c r="BF400" s="39">
        <f t="shared" si="432"/>
        <v>0.3947168200366315</v>
      </c>
      <c r="BG400" s="39">
        <f t="shared" si="433"/>
        <v>0.58819139801915499</v>
      </c>
      <c r="BH400" s="84">
        <f t="shared" si="434"/>
        <v>0</v>
      </c>
      <c r="BI400" s="84">
        <f t="shared" si="435"/>
        <v>0</v>
      </c>
      <c r="BJ400" s="84">
        <f t="shared" si="436"/>
        <v>0</v>
      </c>
      <c r="BK400" s="39">
        <f t="shared" si="437"/>
        <v>66.553023097864141</v>
      </c>
      <c r="BL400" s="39">
        <f t="shared" si="438"/>
        <v>65.530132997902797</v>
      </c>
      <c r="BM400" s="39">
        <f t="shared" si="439"/>
        <v>53.887520396703728</v>
      </c>
      <c r="BN400" s="39">
        <f t="shared" si="440"/>
        <v>53.866655830913729</v>
      </c>
      <c r="BO400" s="39">
        <f t="shared" si="441"/>
        <v>51.951152110724394</v>
      </c>
      <c r="BP400" s="39">
        <f t="shared" si="442"/>
        <v>44.228651958603535</v>
      </c>
      <c r="BQ400" s="39">
        <f t="shared" si="443"/>
        <v>46.54398055894135</v>
      </c>
      <c r="BR400" s="39">
        <f t="shared" si="444"/>
        <v>49.427073201102424</v>
      </c>
      <c r="BS400" s="39">
        <f t="shared" si="445"/>
        <v>3.9318138587184848</v>
      </c>
      <c r="BT400" s="39">
        <f t="shared" si="446"/>
        <v>0</v>
      </c>
      <c r="BU400" s="39">
        <f t="shared" si="447"/>
        <v>0</v>
      </c>
      <c r="BV400" s="39">
        <f t="shared" si="448"/>
        <v>0</v>
      </c>
      <c r="BW400" s="39">
        <f t="shared" si="449"/>
        <v>0</v>
      </c>
      <c r="BX400" s="39">
        <f t="shared" si="450"/>
        <v>0</v>
      </c>
      <c r="BY400" s="39">
        <f t="shared" si="451"/>
        <v>0</v>
      </c>
      <c r="BZ400" s="39">
        <f t="shared" si="452"/>
        <v>0</v>
      </c>
      <c r="CA400" s="39">
        <f t="shared" si="453"/>
        <v>62.621209239145657</v>
      </c>
      <c r="CB400" s="39">
        <f t="shared" si="454"/>
        <v>69.461946856621282</v>
      </c>
      <c r="CC400" s="39">
        <f t="shared" si="455"/>
        <v>53.887520396703728</v>
      </c>
      <c r="CD400" s="39">
        <f t="shared" si="456"/>
        <v>53.866655830913729</v>
      </c>
      <c r="CE400" s="39">
        <f t="shared" si="457"/>
        <v>51.951152110724394</v>
      </c>
      <c r="CF400" s="39">
        <f t="shared" si="458"/>
        <v>44.228651958603535</v>
      </c>
      <c r="CG400" s="39">
        <f t="shared" si="459"/>
        <v>46.54398055894135</v>
      </c>
      <c r="CH400" s="39">
        <f t="shared" si="460"/>
        <v>49.427073201102424</v>
      </c>
      <c r="CI400" s="39">
        <f t="shared" si="461"/>
        <v>0</v>
      </c>
      <c r="CJ400" s="39">
        <f t="shared" si="462"/>
        <v>0</v>
      </c>
      <c r="CK400" s="39">
        <f t="shared" si="463"/>
        <v>0</v>
      </c>
      <c r="CL400" s="39">
        <f t="shared" si="464"/>
        <v>0</v>
      </c>
      <c r="CM400" s="39">
        <f t="shared" si="465"/>
        <v>0</v>
      </c>
      <c r="CN400" s="39">
        <f t="shared" si="466"/>
        <v>0</v>
      </c>
      <c r="CO400" s="39">
        <f t="shared" si="467"/>
        <v>0</v>
      </c>
      <c r="CP400" s="39">
        <f t="shared" si="468"/>
        <v>0</v>
      </c>
    </row>
    <row r="401" spans="12:94" ht="16" customHeight="1" x14ac:dyDescent="0.2">
      <c r="L401" s="63">
        <v>30713</v>
      </c>
      <c r="M401" s="38">
        <v>0</v>
      </c>
      <c r="N401" s="38">
        <v>5.3</v>
      </c>
      <c r="O401" s="39">
        <v>2.3664000000000001</v>
      </c>
      <c r="P401" s="39">
        <v>1.1000000000000001</v>
      </c>
      <c r="Q401" s="46">
        <f t="shared" si="399"/>
        <v>8.3875927217947982E-2</v>
      </c>
      <c r="R401" s="81">
        <f t="shared" si="400"/>
        <v>0</v>
      </c>
      <c r="S401" s="82">
        <f t="shared" si="401"/>
        <v>0</v>
      </c>
      <c r="T401" s="39">
        <f t="shared" si="402"/>
        <v>0</v>
      </c>
      <c r="U401" s="83">
        <f t="shared" si="403"/>
        <v>5.83</v>
      </c>
      <c r="V401" s="84">
        <f t="shared" si="404"/>
        <v>0</v>
      </c>
      <c r="W401" s="52">
        <f t="shared" si="405"/>
        <v>90.837332323384373</v>
      </c>
      <c r="X401" s="52">
        <f t="shared" si="406"/>
        <v>51.150857829371688</v>
      </c>
      <c r="Y401" s="52">
        <f t="shared" si="407"/>
        <v>141.98819015275606</v>
      </c>
      <c r="Z401" s="53">
        <f t="shared" si="408"/>
        <v>0.70966665877644042</v>
      </c>
      <c r="AA401" s="53">
        <f t="shared" si="409"/>
        <v>0.30446939184149813</v>
      </c>
      <c r="AB401" s="53">
        <f t="shared" si="410"/>
        <v>0.47968983159714884</v>
      </c>
      <c r="AC401" s="39" t="str">
        <f t="shared" si="411"/>
        <v>Si</v>
      </c>
      <c r="AD401" s="85">
        <f t="shared" si="412"/>
        <v>0</v>
      </c>
      <c r="AE401" s="46">
        <f t="shared" si="413"/>
        <v>0</v>
      </c>
      <c r="AF401" s="46">
        <f t="shared" si="414"/>
        <v>2.1257999999999999</v>
      </c>
      <c r="AG401" s="39">
        <f t="shared" si="469"/>
        <v>62.621209239145657</v>
      </c>
      <c r="AH401" s="39">
        <f t="shared" si="470"/>
        <v>69.461946856621282</v>
      </c>
      <c r="AI401" s="39">
        <f t="shared" si="471"/>
        <v>53.887520396703728</v>
      </c>
      <c r="AJ401" s="39">
        <f t="shared" si="472"/>
        <v>53.866655830913729</v>
      </c>
      <c r="AK401" s="39">
        <f t="shared" si="473"/>
        <v>51.951152110724394</v>
      </c>
      <c r="AL401" s="39">
        <f t="shared" si="474"/>
        <v>44.228651958603535</v>
      </c>
      <c r="AM401" s="39">
        <f t="shared" si="475"/>
        <v>46.54398055894135</v>
      </c>
      <c r="AN401" s="39">
        <f t="shared" si="476"/>
        <v>49.427073201102424</v>
      </c>
      <c r="AO401" s="39">
        <f t="shared" si="415"/>
        <v>3.2621209239145657</v>
      </c>
      <c r="AP401" s="39">
        <f t="shared" si="416"/>
        <v>3.1461946856621283</v>
      </c>
      <c r="AQ401" s="39">
        <f t="shared" si="417"/>
        <v>1.7887520396703742</v>
      </c>
      <c r="AR401" s="39">
        <f t="shared" si="418"/>
        <v>0.37436945535179189</v>
      </c>
      <c r="AS401" s="39">
        <f t="shared" si="419"/>
        <v>0.47154965871797488</v>
      </c>
      <c r="AT401" s="39">
        <f t="shared" si="420"/>
        <v>0.60039345146405154</v>
      </c>
      <c r="AU401" s="39">
        <f t="shared" si="421"/>
        <v>0.87352099705229058</v>
      </c>
      <c r="AV401" s="39">
        <f t="shared" si="422"/>
        <v>1.2849939712113199</v>
      </c>
      <c r="AW401" s="39">
        <f t="shared" si="423"/>
        <v>11.801895183044497</v>
      </c>
      <c r="AX401" s="39">
        <f t="shared" si="424"/>
        <v>5.83</v>
      </c>
      <c r="AY401" s="39">
        <f t="shared" si="425"/>
        <v>5.83</v>
      </c>
      <c r="AZ401" s="39">
        <f t="shared" si="426"/>
        <v>1.6114500841987536</v>
      </c>
      <c r="BA401" s="39">
        <f t="shared" si="427"/>
        <v>1.5541838605516662</v>
      </c>
      <c r="BB401" s="39">
        <f t="shared" si="428"/>
        <v>0.88362286137404045</v>
      </c>
      <c r="BC401" s="39">
        <f t="shared" si="429"/>
        <v>0.18493418987796123</v>
      </c>
      <c r="BD401" s="39">
        <f t="shared" si="430"/>
        <v>0.232940088662659</v>
      </c>
      <c r="BE401" s="39">
        <f t="shared" si="431"/>
        <v>0.29658743513196167</v>
      </c>
      <c r="BF401" s="39">
        <f t="shared" si="432"/>
        <v>0.43150929014615474</v>
      </c>
      <c r="BG401" s="39">
        <f t="shared" si="433"/>
        <v>0.63477219005680352</v>
      </c>
      <c r="BH401" s="84">
        <f t="shared" si="434"/>
        <v>0</v>
      </c>
      <c r="BI401" s="84">
        <f t="shared" si="435"/>
        <v>0</v>
      </c>
      <c r="BJ401" s="84">
        <f t="shared" si="436"/>
        <v>0</v>
      </c>
      <c r="BK401" s="39">
        <f t="shared" si="437"/>
        <v>61.009759154946906</v>
      </c>
      <c r="BL401" s="39">
        <f t="shared" si="438"/>
        <v>67.907762996069621</v>
      </c>
      <c r="BM401" s="39">
        <f t="shared" si="439"/>
        <v>53.003897535329685</v>
      </c>
      <c r="BN401" s="39">
        <f t="shared" si="440"/>
        <v>53.681721641035764</v>
      </c>
      <c r="BO401" s="39">
        <f t="shared" si="441"/>
        <v>51.718212022061735</v>
      </c>
      <c r="BP401" s="39">
        <f t="shared" si="442"/>
        <v>43.932064523471574</v>
      </c>
      <c r="BQ401" s="39">
        <f t="shared" si="443"/>
        <v>46.112471268795197</v>
      </c>
      <c r="BR401" s="39">
        <f t="shared" si="444"/>
        <v>48.792301011045623</v>
      </c>
      <c r="BS401" s="39">
        <f t="shared" si="445"/>
        <v>0.60585549296814345</v>
      </c>
      <c r="BT401" s="39">
        <f t="shared" si="446"/>
        <v>1.1446577976417729</v>
      </c>
      <c r="BU401" s="39">
        <f t="shared" si="447"/>
        <v>0</v>
      </c>
      <c r="BV401" s="39">
        <f t="shared" si="448"/>
        <v>0</v>
      </c>
      <c r="BW401" s="39">
        <f t="shared" si="449"/>
        <v>0</v>
      </c>
      <c r="BX401" s="39">
        <f t="shared" si="450"/>
        <v>0</v>
      </c>
      <c r="BY401" s="39">
        <f t="shared" si="451"/>
        <v>0</v>
      </c>
      <c r="BZ401" s="39">
        <f t="shared" si="452"/>
        <v>0</v>
      </c>
      <c r="CA401" s="39">
        <f t="shared" si="453"/>
        <v>60.403903661978759</v>
      </c>
      <c r="CB401" s="39">
        <f t="shared" si="454"/>
        <v>67.368960691395998</v>
      </c>
      <c r="CC401" s="39">
        <f t="shared" si="455"/>
        <v>54.148555332971455</v>
      </c>
      <c r="CD401" s="39">
        <f t="shared" si="456"/>
        <v>53.681721641035764</v>
      </c>
      <c r="CE401" s="39">
        <f t="shared" si="457"/>
        <v>51.718212022061735</v>
      </c>
      <c r="CF401" s="39">
        <f t="shared" si="458"/>
        <v>43.932064523471574</v>
      </c>
      <c r="CG401" s="39">
        <f t="shared" si="459"/>
        <v>46.112471268795197</v>
      </c>
      <c r="CH401" s="39">
        <f t="shared" si="460"/>
        <v>48.792301011045623</v>
      </c>
      <c r="CI401" s="39">
        <f t="shared" si="461"/>
        <v>0</v>
      </c>
      <c r="CJ401" s="39">
        <f t="shared" si="462"/>
        <v>0</v>
      </c>
      <c r="CK401" s="39">
        <f t="shared" si="463"/>
        <v>0</v>
      </c>
      <c r="CL401" s="39">
        <f t="shared" si="464"/>
        <v>0</v>
      </c>
      <c r="CM401" s="39">
        <f t="shared" si="465"/>
        <v>0</v>
      </c>
      <c r="CN401" s="39">
        <f t="shared" si="466"/>
        <v>0</v>
      </c>
      <c r="CO401" s="39">
        <f t="shared" si="467"/>
        <v>0</v>
      </c>
      <c r="CP401" s="39">
        <f t="shared" si="468"/>
        <v>0</v>
      </c>
    </row>
    <row r="402" spans="12:94" ht="16" customHeight="1" x14ac:dyDescent="0.2">
      <c r="L402" s="63">
        <v>30714</v>
      </c>
      <c r="M402" s="38">
        <v>0</v>
      </c>
      <c r="N402" s="38">
        <v>6.4</v>
      </c>
      <c r="O402" s="39">
        <v>2.3664000000000001</v>
      </c>
      <c r="P402" s="39">
        <v>1.1000000000000001</v>
      </c>
      <c r="Q402" s="46">
        <f t="shared" si="399"/>
        <v>8.8370465550043048E-2</v>
      </c>
      <c r="R402" s="81">
        <f t="shared" si="400"/>
        <v>0</v>
      </c>
      <c r="S402" s="82">
        <f t="shared" si="401"/>
        <v>0</v>
      </c>
      <c r="T402" s="39">
        <f t="shared" si="402"/>
        <v>0</v>
      </c>
      <c r="U402" s="83">
        <f t="shared" si="403"/>
        <v>7.0400000000000009</v>
      </c>
      <c r="V402" s="84">
        <f t="shared" si="404"/>
        <v>0</v>
      </c>
      <c r="W402" s="52">
        <f t="shared" si="405"/>
        <v>86.603141327381991</v>
      </c>
      <c r="X402" s="52">
        <f t="shared" si="406"/>
        <v>49.555048825374115</v>
      </c>
      <c r="Y402" s="52">
        <f t="shared" si="407"/>
        <v>136.15819015275611</v>
      </c>
      <c r="Z402" s="53">
        <f t="shared" si="408"/>
        <v>0.6765870416201718</v>
      </c>
      <c r="AA402" s="53">
        <f t="shared" si="409"/>
        <v>0.29497052872246499</v>
      </c>
      <c r="AB402" s="53">
        <f t="shared" si="410"/>
        <v>0.45999388565120308</v>
      </c>
      <c r="AC402" s="39" t="str">
        <f t="shared" si="411"/>
        <v>Si</v>
      </c>
      <c r="AD402" s="85">
        <f t="shared" si="412"/>
        <v>0</v>
      </c>
      <c r="AE402" s="46">
        <f t="shared" si="413"/>
        <v>0</v>
      </c>
      <c r="AF402" s="46">
        <f t="shared" si="414"/>
        <v>2.1257999999999999</v>
      </c>
      <c r="AG402" s="39">
        <f t="shared" si="469"/>
        <v>60.403903661978759</v>
      </c>
      <c r="AH402" s="39">
        <f t="shared" si="470"/>
        <v>67.368960691395998</v>
      </c>
      <c r="AI402" s="39">
        <f t="shared" si="471"/>
        <v>54.148555332971455</v>
      </c>
      <c r="AJ402" s="39">
        <f t="shared" si="472"/>
        <v>53.681721641035764</v>
      </c>
      <c r="AK402" s="39">
        <f t="shared" si="473"/>
        <v>51.718212022061735</v>
      </c>
      <c r="AL402" s="39">
        <f t="shared" si="474"/>
        <v>43.932064523471574</v>
      </c>
      <c r="AM402" s="39">
        <f t="shared" si="475"/>
        <v>46.112471268795197</v>
      </c>
      <c r="AN402" s="39">
        <f t="shared" si="476"/>
        <v>48.792301011045623</v>
      </c>
      <c r="AO402" s="39">
        <f t="shared" si="415"/>
        <v>3.0403903661978759</v>
      </c>
      <c r="AP402" s="39">
        <f t="shared" si="416"/>
        <v>2.9368960691395998</v>
      </c>
      <c r="AQ402" s="39">
        <f t="shared" si="417"/>
        <v>1.814855533297147</v>
      </c>
      <c r="AR402" s="39">
        <f t="shared" si="418"/>
        <v>0.3589156697734695</v>
      </c>
      <c r="AS402" s="39">
        <f t="shared" si="419"/>
        <v>0.44973164240831143</v>
      </c>
      <c r="AT402" s="39">
        <f t="shared" si="420"/>
        <v>0.56909540354926469</v>
      </c>
      <c r="AU402" s="39">
        <f t="shared" si="421"/>
        <v>0.8187471560713302</v>
      </c>
      <c r="AV402" s="39">
        <f t="shared" si="422"/>
        <v>1.1876036724927255</v>
      </c>
      <c r="AW402" s="39">
        <f t="shared" si="423"/>
        <v>11.176235512929724</v>
      </c>
      <c r="AX402" s="39">
        <f t="shared" si="424"/>
        <v>7.0400000000000009</v>
      </c>
      <c r="AY402" s="39">
        <f t="shared" si="425"/>
        <v>7.0400000000000009</v>
      </c>
      <c r="AZ402" s="39">
        <f t="shared" si="426"/>
        <v>1.9151661714063271</v>
      </c>
      <c r="BA402" s="39">
        <f t="shared" si="427"/>
        <v>1.8499742872117475</v>
      </c>
      <c r="BB402" s="39">
        <f t="shared" si="428"/>
        <v>1.1431919933711812</v>
      </c>
      <c r="BC402" s="39">
        <f t="shared" si="429"/>
        <v>0.22608384659414379</v>
      </c>
      <c r="BD402" s="39">
        <f t="shared" si="430"/>
        <v>0.28328955298871944</v>
      </c>
      <c r="BE402" s="39">
        <f t="shared" si="431"/>
        <v>0.3584777393382419</v>
      </c>
      <c r="BF402" s="39">
        <f t="shared" si="432"/>
        <v>0.51573537190352237</v>
      </c>
      <c r="BG402" s="39">
        <f t="shared" si="433"/>
        <v>0.74808103718611763</v>
      </c>
      <c r="BH402" s="84">
        <f t="shared" si="434"/>
        <v>0</v>
      </c>
      <c r="BI402" s="84">
        <f t="shared" si="435"/>
        <v>0</v>
      </c>
      <c r="BJ402" s="84">
        <f t="shared" si="436"/>
        <v>0</v>
      </c>
      <c r="BK402" s="39">
        <f t="shared" si="437"/>
        <v>58.488737490572433</v>
      </c>
      <c r="BL402" s="39">
        <f t="shared" si="438"/>
        <v>65.518986404184247</v>
      </c>
      <c r="BM402" s="39">
        <f t="shared" si="439"/>
        <v>53.005363339600272</v>
      </c>
      <c r="BN402" s="39">
        <f t="shared" si="440"/>
        <v>53.455637794441621</v>
      </c>
      <c r="BO402" s="39">
        <f t="shared" si="441"/>
        <v>51.434922469073015</v>
      </c>
      <c r="BP402" s="39">
        <f t="shared" si="442"/>
        <v>43.573586784133333</v>
      </c>
      <c r="BQ402" s="39">
        <f t="shared" si="443"/>
        <v>45.596735896891673</v>
      </c>
      <c r="BR402" s="39">
        <f t="shared" si="444"/>
        <v>48.044219973859505</v>
      </c>
      <c r="BS402" s="39">
        <f t="shared" si="445"/>
        <v>0</v>
      </c>
      <c r="BT402" s="39">
        <f t="shared" si="446"/>
        <v>0</v>
      </c>
      <c r="BU402" s="39">
        <f t="shared" si="447"/>
        <v>0</v>
      </c>
      <c r="BV402" s="39">
        <f t="shared" si="448"/>
        <v>0</v>
      </c>
      <c r="BW402" s="39">
        <f t="shared" si="449"/>
        <v>0</v>
      </c>
      <c r="BX402" s="39">
        <f t="shared" si="450"/>
        <v>0</v>
      </c>
      <c r="BY402" s="39">
        <f t="shared" si="451"/>
        <v>0</v>
      </c>
      <c r="BZ402" s="39">
        <f t="shared" si="452"/>
        <v>0</v>
      </c>
      <c r="CA402" s="39">
        <f t="shared" si="453"/>
        <v>58.488737490572433</v>
      </c>
      <c r="CB402" s="39">
        <f t="shared" si="454"/>
        <v>65.518986404184247</v>
      </c>
      <c r="CC402" s="39">
        <f t="shared" si="455"/>
        <v>53.005363339600272</v>
      </c>
      <c r="CD402" s="39">
        <f t="shared" si="456"/>
        <v>53.455637794441621</v>
      </c>
      <c r="CE402" s="39">
        <f t="shared" si="457"/>
        <v>51.434922469073015</v>
      </c>
      <c r="CF402" s="39">
        <f t="shared" si="458"/>
        <v>43.573586784133333</v>
      </c>
      <c r="CG402" s="39">
        <f t="shared" si="459"/>
        <v>45.596735896891673</v>
      </c>
      <c r="CH402" s="39">
        <f t="shared" si="460"/>
        <v>48.044219973859505</v>
      </c>
      <c r="CI402" s="39">
        <f t="shared" si="461"/>
        <v>0</v>
      </c>
      <c r="CJ402" s="39">
        <f t="shared" si="462"/>
        <v>0</v>
      </c>
      <c r="CK402" s="39">
        <f t="shared" si="463"/>
        <v>0</v>
      </c>
      <c r="CL402" s="39">
        <f t="shared" si="464"/>
        <v>0</v>
      </c>
      <c r="CM402" s="39">
        <f t="shared" si="465"/>
        <v>0</v>
      </c>
      <c r="CN402" s="39">
        <f t="shared" si="466"/>
        <v>0</v>
      </c>
      <c r="CO402" s="39">
        <f t="shared" si="467"/>
        <v>0</v>
      </c>
      <c r="CP402" s="39">
        <f t="shared" si="468"/>
        <v>0</v>
      </c>
    </row>
    <row r="403" spans="12:94" ht="16" customHeight="1" x14ac:dyDescent="0.2">
      <c r="L403" s="63">
        <v>30715</v>
      </c>
      <c r="M403" s="38">
        <v>19</v>
      </c>
      <c r="N403" s="38">
        <v>6</v>
      </c>
      <c r="O403" s="39">
        <v>2.3664000000000001</v>
      </c>
      <c r="P403" s="39">
        <v>1.1000000000000001</v>
      </c>
      <c r="Q403" s="46">
        <f t="shared" si="399"/>
        <v>9.2252559140731549E-2</v>
      </c>
      <c r="R403" s="81">
        <f t="shared" si="400"/>
        <v>1.6389822636792075</v>
      </c>
      <c r="S403" s="82">
        <f t="shared" si="401"/>
        <v>17.361017736320793</v>
      </c>
      <c r="T403" s="39">
        <f t="shared" si="402"/>
        <v>0</v>
      </c>
      <c r="U403" s="83">
        <f t="shared" si="403"/>
        <v>6.6000000000000005</v>
      </c>
      <c r="V403" s="84">
        <f t="shared" si="404"/>
        <v>0</v>
      </c>
      <c r="W403" s="52">
        <f t="shared" si="405"/>
        <v>81.468725028798588</v>
      </c>
      <c r="X403" s="52">
        <f t="shared" si="406"/>
        <v>47.649465123957526</v>
      </c>
      <c r="Y403" s="52">
        <f t="shared" si="407"/>
        <v>129.11819015275611</v>
      </c>
      <c r="Z403" s="53">
        <f t="shared" si="408"/>
        <v>0.63647441428748897</v>
      </c>
      <c r="AA403" s="53">
        <f t="shared" si="409"/>
        <v>0.28362776859498529</v>
      </c>
      <c r="AB403" s="53">
        <f t="shared" si="410"/>
        <v>0.43621010186741932</v>
      </c>
      <c r="AC403" s="39" t="str">
        <f t="shared" si="411"/>
        <v>Si</v>
      </c>
      <c r="AD403" s="85">
        <f t="shared" si="412"/>
        <v>0</v>
      </c>
      <c r="AE403" s="46">
        <f t="shared" si="413"/>
        <v>0</v>
      </c>
      <c r="AF403" s="46">
        <f t="shared" si="414"/>
        <v>2.1257999999999999</v>
      </c>
      <c r="AG403" s="39">
        <f t="shared" si="469"/>
        <v>58.488737490572433</v>
      </c>
      <c r="AH403" s="39">
        <f t="shared" si="470"/>
        <v>65.518986404184247</v>
      </c>
      <c r="AI403" s="39">
        <f t="shared" si="471"/>
        <v>53.005363339600272</v>
      </c>
      <c r="AJ403" s="39">
        <f t="shared" si="472"/>
        <v>53.455637794441621</v>
      </c>
      <c r="AK403" s="39">
        <f t="shared" si="473"/>
        <v>51.434922469073015</v>
      </c>
      <c r="AL403" s="39">
        <f t="shared" si="474"/>
        <v>43.573586784133333</v>
      </c>
      <c r="AM403" s="39">
        <f t="shared" si="475"/>
        <v>45.596735896891673</v>
      </c>
      <c r="AN403" s="39">
        <f t="shared" si="476"/>
        <v>48.044219973859505</v>
      </c>
      <c r="AO403" s="39">
        <f t="shared" si="415"/>
        <v>2.8488737490572436</v>
      </c>
      <c r="AP403" s="39">
        <f t="shared" si="416"/>
        <v>2.7518986404184247</v>
      </c>
      <c r="AQ403" s="39">
        <f t="shared" si="417"/>
        <v>1.7005363339600288</v>
      </c>
      <c r="AR403" s="39">
        <f t="shared" si="418"/>
        <v>0.34046576433709258</v>
      </c>
      <c r="AS403" s="39">
        <f t="shared" si="419"/>
        <v>0.42389410474961431</v>
      </c>
      <c r="AT403" s="39">
        <f t="shared" si="420"/>
        <v>0.53238446419809016</v>
      </c>
      <c r="AU403" s="39">
        <f t="shared" si="421"/>
        <v>0.75560835836209073</v>
      </c>
      <c r="AV403" s="39">
        <f t="shared" si="422"/>
        <v>1.0777550220089192</v>
      </c>
      <c r="AW403" s="39">
        <f t="shared" si="423"/>
        <v>10.431416437091505</v>
      </c>
      <c r="AX403" s="39">
        <f t="shared" si="424"/>
        <v>6.6000000000000005</v>
      </c>
      <c r="AY403" s="39">
        <f t="shared" si="425"/>
        <v>0</v>
      </c>
      <c r="AZ403" s="39">
        <f t="shared" si="426"/>
        <v>0</v>
      </c>
      <c r="BA403" s="39">
        <f t="shared" si="427"/>
        <v>0</v>
      </c>
      <c r="BB403" s="39">
        <f t="shared" si="428"/>
        <v>0</v>
      </c>
      <c r="BC403" s="39">
        <f t="shared" si="429"/>
        <v>0</v>
      </c>
      <c r="BD403" s="39">
        <f t="shared" si="430"/>
        <v>0</v>
      </c>
      <c r="BE403" s="39">
        <f t="shared" si="431"/>
        <v>0</v>
      </c>
      <c r="BF403" s="39">
        <f t="shared" si="432"/>
        <v>0</v>
      </c>
      <c r="BG403" s="39">
        <f t="shared" si="433"/>
        <v>0</v>
      </c>
      <c r="BH403" s="84">
        <f t="shared" si="434"/>
        <v>0</v>
      </c>
      <c r="BI403" s="84">
        <f t="shared" si="435"/>
        <v>0</v>
      </c>
      <c r="BJ403" s="84">
        <f t="shared" si="436"/>
        <v>0</v>
      </c>
      <c r="BK403" s="39">
        <f t="shared" si="437"/>
        <v>58.488737490572433</v>
      </c>
      <c r="BL403" s="39">
        <f t="shared" si="438"/>
        <v>65.518986404184247</v>
      </c>
      <c r="BM403" s="39">
        <f t="shared" si="439"/>
        <v>53.005363339600272</v>
      </c>
      <c r="BN403" s="39">
        <f t="shared" si="440"/>
        <v>53.455637794441621</v>
      </c>
      <c r="BO403" s="39">
        <f t="shared" si="441"/>
        <v>51.434922469073015</v>
      </c>
      <c r="BP403" s="39">
        <f t="shared" si="442"/>
        <v>43.573586784133333</v>
      </c>
      <c r="BQ403" s="39">
        <f t="shared" si="443"/>
        <v>45.596735896891673</v>
      </c>
      <c r="BR403" s="39">
        <f t="shared" si="444"/>
        <v>48.044219973859505</v>
      </c>
      <c r="BS403" s="39">
        <f t="shared" si="445"/>
        <v>0</v>
      </c>
      <c r="BT403" s="39">
        <f t="shared" si="446"/>
        <v>0</v>
      </c>
      <c r="BU403" s="39">
        <f t="shared" si="447"/>
        <v>0</v>
      </c>
      <c r="BV403" s="39">
        <f t="shared" si="448"/>
        <v>0</v>
      </c>
      <c r="BW403" s="39">
        <f t="shared" si="449"/>
        <v>0</v>
      </c>
      <c r="BX403" s="39">
        <f t="shared" si="450"/>
        <v>0</v>
      </c>
      <c r="BY403" s="39">
        <f t="shared" si="451"/>
        <v>0</v>
      </c>
      <c r="BZ403" s="39">
        <f t="shared" si="452"/>
        <v>0</v>
      </c>
      <c r="CA403" s="39">
        <f t="shared" si="453"/>
        <v>75.849755226893222</v>
      </c>
      <c r="CB403" s="39">
        <f t="shared" si="454"/>
        <v>65.518986404184247</v>
      </c>
      <c r="CC403" s="39">
        <f t="shared" si="455"/>
        <v>53.005363339600272</v>
      </c>
      <c r="CD403" s="39">
        <f t="shared" si="456"/>
        <v>53.455637794441621</v>
      </c>
      <c r="CE403" s="39">
        <f t="shared" si="457"/>
        <v>51.434922469073015</v>
      </c>
      <c r="CF403" s="39">
        <f t="shared" si="458"/>
        <v>43.573586784133333</v>
      </c>
      <c r="CG403" s="39">
        <f t="shared" si="459"/>
        <v>45.596735896891673</v>
      </c>
      <c r="CH403" s="39">
        <f t="shared" si="460"/>
        <v>48.044219973859505</v>
      </c>
      <c r="CI403" s="39">
        <f t="shared" si="461"/>
        <v>0</v>
      </c>
      <c r="CJ403" s="39">
        <f t="shared" si="462"/>
        <v>0</v>
      </c>
      <c r="CK403" s="39">
        <f t="shared" si="463"/>
        <v>0</v>
      </c>
      <c r="CL403" s="39">
        <f t="shared" si="464"/>
        <v>0</v>
      </c>
      <c r="CM403" s="39">
        <f t="shared" si="465"/>
        <v>0</v>
      </c>
      <c r="CN403" s="39">
        <f t="shared" si="466"/>
        <v>0</v>
      </c>
      <c r="CO403" s="39">
        <f t="shared" si="467"/>
        <v>0</v>
      </c>
      <c r="CP403" s="39">
        <f t="shared" si="468"/>
        <v>0</v>
      </c>
    </row>
    <row r="404" spans="12:94" ht="16" customHeight="1" x14ac:dyDescent="0.2">
      <c r="L404" s="63">
        <v>30716</v>
      </c>
      <c r="M404" s="38">
        <v>7</v>
      </c>
      <c r="N404" s="38">
        <v>3.7</v>
      </c>
      <c r="O404" s="39">
        <v>2.3664000000000001</v>
      </c>
      <c r="P404" s="39">
        <v>1.1000000000000001</v>
      </c>
      <c r="Q404" s="46">
        <f t="shared" si="399"/>
        <v>5.7061306972513728E-2</v>
      </c>
      <c r="R404" s="81">
        <f t="shared" si="400"/>
        <v>9.0817826712330116E-2</v>
      </c>
      <c r="S404" s="82">
        <f t="shared" si="401"/>
        <v>6.9091821732876699</v>
      </c>
      <c r="T404" s="39">
        <f t="shared" si="402"/>
        <v>0</v>
      </c>
      <c r="U404" s="83">
        <f t="shared" si="403"/>
        <v>4.07</v>
      </c>
      <c r="V404" s="84">
        <f t="shared" si="404"/>
        <v>0</v>
      </c>
      <c r="W404" s="52">
        <f t="shared" si="405"/>
        <v>98.829742765119363</v>
      </c>
      <c r="X404" s="52">
        <f t="shared" si="406"/>
        <v>47.649465123957526</v>
      </c>
      <c r="Y404" s="52">
        <f t="shared" si="407"/>
        <v>146.47920788907689</v>
      </c>
      <c r="Z404" s="53">
        <f t="shared" si="408"/>
        <v>0.77210736535249502</v>
      </c>
      <c r="AA404" s="53">
        <f t="shared" si="409"/>
        <v>0.28362776859498529</v>
      </c>
      <c r="AB404" s="53">
        <f t="shared" si="410"/>
        <v>0.49486218881444893</v>
      </c>
      <c r="AC404" s="39" t="str">
        <f t="shared" si="411"/>
        <v>Si</v>
      </c>
      <c r="AD404" s="85">
        <f t="shared" si="412"/>
        <v>0</v>
      </c>
      <c r="AE404" s="46">
        <f t="shared" si="413"/>
        <v>0</v>
      </c>
      <c r="AF404" s="46">
        <f t="shared" si="414"/>
        <v>2.1257999999999999</v>
      </c>
      <c r="AG404" s="39">
        <f t="shared" si="469"/>
        <v>75.849755226893222</v>
      </c>
      <c r="AH404" s="39">
        <f t="shared" si="470"/>
        <v>65.518986404184247</v>
      </c>
      <c r="AI404" s="39">
        <f t="shared" si="471"/>
        <v>53.005363339600272</v>
      </c>
      <c r="AJ404" s="39">
        <f t="shared" si="472"/>
        <v>53.455637794441621</v>
      </c>
      <c r="AK404" s="39">
        <f t="shared" si="473"/>
        <v>51.434922469073015</v>
      </c>
      <c r="AL404" s="39">
        <f t="shared" si="474"/>
        <v>43.573586784133333</v>
      </c>
      <c r="AM404" s="39">
        <f t="shared" si="475"/>
        <v>45.596735896891673</v>
      </c>
      <c r="AN404" s="39">
        <f t="shared" si="476"/>
        <v>48.044219973859505</v>
      </c>
      <c r="AO404" s="39">
        <f t="shared" si="415"/>
        <v>4.5849755226893221</v>
      </c>
      <c r="AP404" s="39">
        <f t="shared" si="416"/>
        <v>2.7518986404184247</v>
      </c>
      <c r="AQ404" s="39">
        <f t="shared" si="417"/>
        <v>1.7005363339600288</v>
      </c>
      <c r="AR404" s="39">
        <f t="shared" si="418"/>
        <v>0.34046576433709258</v>
      </c>
      <c r="AS404" s="39">
        <f t="shared" si="419"/>
        <v>0.42389410474961431</v>
      </c>
      <c r="AT404" s="39">
        <f t="shared" si="420"/>
        <v>0.53238446419809016</v>
      </c>
      <c r="AU404" s="39">
        <f t="shared" si="421"/>
        <v>0.75560835836209073</v>
      </c>
      <c r="AV404" s="39">
        <f t="shared" si="422"/>
        <v>1.0777550220089192</v>
      </c>
      <c r="AW404" s="39">
        <f t="shared" si="423"/>
        <v>12.167518210723582</v>
      </c>
      <c r="AX404" s="39">
        <f t="shared" si="424"/>
        <v>4.07</v>
      </c>
      <c r="AY404" s="39">
        <f t="shared" si="425"/>
        <v>0</v>
      </c>
      <c r="AZ404" s="39">
        <f t="shared" si="426"/>
        <v>0</v>
      </c>
      <c r="BA404" s="39">
        <f t="shared" si="427"/>
        <v>0</v>
      </c>
      <c r="BB404" s="39">
        <f t="shared" si="428"/>
        <v>0</v>
      </c>
      <c r="BC404" s="39">
        <f t="shared" si="429"/>
        <v>0</v>
      </c>
      <c r="BD404" s="39">
        <f t="shared" si="430"/>
        <v>0</v>
      </c>
      <c r="BE404" s="39">
        <f t="shared" si="431"/>
        <v>0</v>
      </c>
      <c r="BF404" s="39">
        <f t="shared" si="432"/>
        <v>0</v>
      </c>
      <c r="BG404" s="39">
        <f t="shared" si="433"/>
        <v>0</v>
      </c>
      <c r="BH404" s="84">
        <f t="shared" si="434"/>
        <v>0</v>
      </c>
      <c r="BI404" s="84">
        <f t="shared" si="435"/>
        <v>0</v>
      </c>
      <c r="BJ404" s="84">
        <f t="shared" si="436"/>
        <v>0</v>
      </c>
      <c r="BK404" s="39">
        <f t="shared" si="437"/>
        <v>75.849755226893222</v>
      </c>
      <c r="BL404" s="39">
        <f t="shared" si="438"/>
        <v>65.518986404184247</v>
      </c>
      <c r="BM404" s="39">
        <f t="shared" si="439"/>
        <v>53.005363339600272</v>
      </c>
      <c r="BN404" s="39">
        <f t="shared" si="440"/>
        <v>53.455637794441621</v>
      </c>
      <c r="BO404" s="39">
        <f t="shared" si="441"/>
        <v>51.434922469073015</v>
      </c>
      <c r="BP404" s="39">
        <f t="shared" si="442"/>
        <v>43.573586784133333</v>
      </c>
      <c r="BQ404" s="39">
        <f t="shared" si="443"/>
        <v>45.596735896891673</v>
      </c>
      <c r="BR404" s="39">
        <f t="shared" si="444"/>
        <v>48.044219973859505</v>
      </c>
      <c r="BS404" s="39">
        <f t="shared" si="445"/>
        <v>9.5098531361359324</v>
      </c>
      <c r="BT404" s="39">
        <f t="shared" si="446"/>
        <v>0</v>
      </c>
      <c r="BU404" s="39">
        <f t="shared" si="447"/>
        <v>0</v>
      </c>
      <c r="BV404" s="39">
        <f t="shared" si="448"/>
        <v>0</v>
      </c>
      <c r="BW404" s="39">
        <f t="shared" si="449"/>
        <v>0</v>
      </c>
      <c r="BX404" s="39">
        <f t="shared" si="450"/>
        <v>0</v>
      </c>
      <c r="BY404" s="39">
        <f t="shared" si="451"/>
        <v>0</v>
      </c>
      <c r="BZ404" s="39">
        <f t="shared" si="452"/>
        <v>0</v>
      </c>
      <c r="CA404" s="39">
        <f t="shared" si="453"/>
        <v>73.249084264044967</v>
      </c>
      <c r="CB404" s="39">
        <f t="shared" si="454"/>
        <v>75.028839540320178</v>
      </c>
      <c r="CC404" s="39">
        <f t="shared" si="455"/>
        <v>53.005363339600272</v>
      </c>
      <c r="CD404" s="39">
        <f t="shared" si="456"/>
        <v>53.455637794441621</v>
      </c>
      <c r="CE404" s="39">
        <f t="shared" si="457"/>
        <v>51.434922469073015</v>
      </c>
      <c r="CF404" s="39">
        <f t="shared" si="458"/>
        <v>43.573586784133333</v>
      </c>
      <c r="CG404" s="39">
        <f t="shared" si="459"/>
        <v>45.596735896891673</v>
      </c>
      <c r="CH404" s="39">
        <f t="shared" si="460"/>
        <v>48.044219973859505</v>
      </c>
      <c r="CI404" s="39">
        <f t="shared" si="461"/>
        <v>0</v>
      </c>
      <c r="CJ404" s="39">
        <f t="shared" si="462"/>
        <v>0</v>
      </c>
      <c r="CK404" s="39">
        <f t="shared" si="463"/>
        <v>0</v>
      </c>
      <c r="CL404" s="39">
        <f t="shared" si="464"/>
        <v>0</v>
      </c>
      <c r="CM404" s="39">
        <f t="shared" si="465"/>
        <v>0</v>
      </c>
      <c r="CN404" s="39">
        <f t="shared" si="466"/>
        <v>0</v>
      </c>
      <c r="CO404" s="39">
        <f t="shared" si="467"/>
        <v>0</v>
      </c>
      <c r="CP404" s="39">
        <f t="shared" si="468"/>
        <v>0</v>
      </c>
    </row>
    <row r="405" spans="12:94" ht="16" customHeight="1" x14ac:dyDescent="0.2">
      <c r="L405" s="63">
        <v>30717</v>
      </c>
      <c r="M405" s="38">
        <v>0</v>
      </c>
      <c r="N405" s="38">
        <v>5.6</v>
      </c>
      <c r="O405" s="39">
        <v>2.3664000000000001</v>
      </c>
      <c r="P405" s="39">
        <v>1.1000000000000001</v>
      </c>
      <c r="Q405" s="46">
        <f t="shared" si="399"/>
        <v>6.2332937302611559E-2</v>
      </c>
      <c r="R405" s="81">
        <f t="shared" si="400"/>
        <v>0</v>
      </c>
      <c r="S405" s="82">
        <f t="shared" si="401"/>
        <v>0</v>
      </c>
      <c r="T405" s="39">
        <f t="shared" si="402"/>
        <v>0</v>
      </c>
      <c r="U405" s="83">
        <f t="shared" si="403"/>
        <v>6.16</v>
      </c>
      <c r="V405" s="84">
        <f t="shared" si="404"/>
        <v>0</v>
      </c>
      <c r="W405" s="52">
        <f t="shared" si="405"/>
        <v>105.73892493840705</v>
      </c>
      <c r="X405" s="52">
        <f t="shared" si="406"/>
        <v>47.649465123957526</v>
      </c>
      <c r="Y405" s="52">
        <f t="shared" si="407"/>
        <v>153.38839006236458</v>
      </c>
      <c r="Z405" s="53">
        <f t="shared" si="408"/>
        <v>0.8260853510813051</v>
      </c>
      <c r="AA405" s="53">
        <f t="shared" si="409"/>
        <v>0.28362776859498529</v>
      </c>
      <c r="AB405" s="53">
        <f t="shared" si="410"/>
        <v>0.51820402048096137</v>
      </c>
      <c r="AC405" s="39" t="str">
        <f t="shared" si="411"/>
        <v>Si</v>
      </c>
      <c r="AD405" s="85">
        <f t="shared" si="412"/>
        <v>0</v>
      </c>
      <c r="AE405" s="46">
        <f t="shared" si="413"/>
        <v>0</v>
      </c>
      <c r="AF405" s="46">
        <f t="shared" si="414"/>
        <v>2.1257999999999999</v>
      </c>
      <c r="AG405" s="39">
        <f t="shared" si="469"/>
        <v>73.249084264044967</v>
      </c>
      <c r="AH405" s="39">
        <f t="shared" si="470"/>
        <v>75.028839540320178</v>
      </c>
      <c r="AI405" s="39">
        <f t="shared" si="471"/>
        <v>53.005363339600272</v>
      </c>
      <c r="AJ405" s="39">
        <f t="shared" si="472"/>
        <v>53.455637794441621</v>
      </c>
      <c r="AK405" s="39">
        <f t="shared" si="473"/>
        <v>51.434922469073015</v>
      </c>
      <c r="AL405" s="39">
        <f t="shared" si="474"/>
        <v>43.573586784133333</v>
      </c>
      <c r="AM405" s="39">
        <f t="shared" si="475"/>
        <v>45.596735896891673</v>
      </c>
      <c r="AN405" s="39">
        <f t="shared" si="476"/>
        <v>48.044219973859505</v>
      </c>
      <c r="AO405" s="39">
        <f t="shared" si="415"/>
        <v>4.3249084264044972</v>
      </c>
      <c r="AP405" s="39">
        <f t="shared" si="416"/>
        <v>3.7028839540320178</v>
      </c>
      <c r="AQ405" s="39">
        <f t="shared" si="417"/>
        <v>1.7005363339600288</v>
      </c>
      <c r="AR405" s="39">
        <f t="shared" si="418"/>
        <v>0.34046576433709258</v>
      </c>
      <c r="AS405" s="39">
        <f t="shared" si="419"/>
        <v>0.42389410474961431</v>
      </c>
      <c r="AT405" s="39">
        <f t="shared" si="420"/>
        <v>0.53238446419809016</v>
      </c>
      <c r="AU405" s="39">
        <f t="shared" si="421"/>
        <v>0.75560835836209073</v>
      </c>
      <c r="AV405" s="39">
        <f t="shared" si="422"/>
        <v>1.0777550220089192</v>
      </c>
      <c r="AW405" s="39">
        <f t="shared" si="423"/>
        <v>12.858436428052352</v>
      </c>
      <c r="AX405" s="39">
        <f t="shared" si="424"/>
        <v>6.16</v>
      </c>
      <c r="AY405" s="39">
        <f t="shared" si="425"/>
        <v>6.16</v>
      </c>
      <c r="AZ405" s="39">
        <f t="shared" si="426"/>
        <v>2.0719032252265093</v>
      </c>
      <c r="BA405" s="39">
        <f t="shared" si="427"/>
        <v>1.7739143701076097</v>
      </c>
      <c r="BB405" s="39">
        <f t="shared" si="428"/>
        <v>0.81466388824231684</v>
      </c>
      <c r="BC405" s="39">
        <f t="shared" si="429"/>
        <v>0.16310452052638569</v>
      </c>
      <c r="BD405" s="39">
        <f t="shared" si="430"/>
        <v>0.20307194423429109</v>
      </c>
      <c r="BE405" s="39">
        <f t="shared" si="431"/>
        <v>0.25504565176412936</v>
      </c>
      <c r="BF405" s="39">
        <f t="shared" si="432"/>
        <v>0.36198394054785527</v>
      </c>
      <c r="BG405" s="39">
        <f t="shared" si="433"/>
        <v>0.51631245935090231</v>
      </c>
      <c r="BH405" s="84">
        <f t="shared" si="434"/>
        <v>0</v>
      </c>
      <c r="BI405" s="84">
        <f t="shared" si="435"/>
        <v>0</v>
      </c>
      <c r="BJ405" s="84">
        <f t="shared" si="436"/>
        <v>0</v>
      </c>
      <c r="BK405" s="39">
        <f t="shared" si="437"/>
        <v>71.17718103881846</v>
      </c>
      <c r="BL405" s="39">
        <f t="shared" si="438"/>
        <v>73.254925170212573</v>
      </c>
      <c r="BM405" s="39">
        <f t="shared" si="439"/>
        <v>52.190699451357958</v>
      </c>
      <c r="BN405" s="39">
        <f t="shared" si="440"/>
        <v>53.292533273915232</v>
      </c>
      <c r="BO405" s="39">
        <f t="shared" si="441"/>
        <v>51.231850524838727</v>
      </c>
      <c r="BP405" s="39">
        <f t="shared" si="442"/>
        <v>43.318541132369205</v>
      </c>
      <c r="BQ405" s="39">
        <f t="shared" si="443"/>
        <v>45.234751956343814</v>
      </c>
      <c r="BR405" s="39">
        <f t="shared" si="444"/>
        <v>47.527907514508605</v>
      </c>
      <c r="BS405" s="39">
        <f t="shared" si="445"/>
        <v>6.7063086232910765</v>
      </c>
      <c r="BT405" s="39">
        <f t="shared" si="446"/>
        <v>4.3529551021275434</v>
      </c>
      <c r="BU405" s="39">
        <f t="shared" si="447"/>
        <v>0</v>
      </c>
      <c r="BV405" s="39">
        <f t="shared" si="448"/>
        <v>0</v>
      </c>
      <c r="BW405" s="39">
        <f t="shared" si="449"/>
        <v>0</v>
      </c>
      <c r="BX405" s="39">
        <f t="shared" si="450"/>
        <v>0</v>
      </c>
      <c r="BY405" s="39">
        <f t="shared" si="451"/>
        <v>0</v>
      </c>
      <c r="BZ405" s="39">
        <f t="shared" si="452"/>
        <v>0</v>
      </c>
      <c r="CA405" s="39">
        <f t="shared" si="453"/>
        <v>64.470872415527381</v>
      </c>
      <c r="CB405" s="39">
        <f t="shared" si="454"/>
        <v>75.608278691376114</v>
      </c>
      <c r="CC405" s="39">
        <f t="shared" si="455"/>
        <v>56.543654553485503</v>
      </c>
      <c r="CD405" s="39">
        <f t="shared" si="456"/>
        <v>53.292533273915232</v>
      </c>
      <c r="CE405" s="39">
        <f t="shared" si="457"/>
        <v>51.231850524838727</v>
      </c>
      <c r="CF405" s="39">
        <f t="shared" si="458"/>
        <v>43.318541132369205</v>
      </c>
      <c r="CG405" s="39">
        <f t="shared" si="459"/>
        <v>45.234751956343814</v>
      </c>
      <c r="CH405" s="39">
        <f t="shared" si="460"/>
        <v>47.527907514508605</v>
      </c>
      <c r="CI405" s="39">
        <f t="shared" si="461"/>
        <v>0</v>
      </c>
      <c r="CJ405" s="39">
        <f t="shared" si="462"/>
        <v>0</v>
      </c>
      <c r="CK405" s="39">
        <f t="shared" si="463"/>
        <v>0</v>
      </c>
      <c r="CL405" s="39">
        <f t="shared" si="464"/>
        <v>0</v>
      </c>
      <c r="CM405" s="39">
        <f t="shared" si="465"/>
        <v>0</v>
      </c>
      <c r="CN405" s="39">
        <f t="shared" si="466"/>
        <v>0</v>
      </c>
      <c r="CO405" s="39">
        <f t="shared" si="467"/>
        <v>0</v>
      </c>
      <c r="CP405" s="39">
        <f t="shared" si="468"/>
        <v>0</v>
      </c>
    </row>
    <row r="406" spans="12:94" ht="16" customHeight="1" x14ac:dyDescent="0.2">
      <c r="L406" s="63">
        <v>30718</v>
      </c>
      <c r="M406" s="38">
        <v>0</v>
      </c>
      <c r="N406" s="38">
        <v>5.9</v>
      </c>
      <c r="O406" s="39">
        <v>2.3664000000000001</v>
      </c>
      <c r="P406" s="39">
        <v>1.1000000000000001</v>
      </c>
      <c r="Q406" s="46">
        <f t="shared" si="399"/>
        <v>8.0126609968525581E-2</v>
      </c>
      <c r="R406" s="81">
        <f t="shared" si="400"/>
        <v>0</v>
      </c>
      <c r="S406" s="82">
        <f t="shared" si="401"/>
        <v>0</v>
      </c>
      <c r="T406" s="39">
        <f t="shared" si="402"/>
        <v>0</v>
      </c>
      <c r="U406" s="83">
        <f t="shared" si="403"/>
        <v>6.4900000000000011</v>
      </c>
      <c r="V406" s="84">
        <f t="shared" si="404"/>
        <v>0</v>
      </c>
      <c r="W406" s="52">
        <f t="shared" si="405"/>
        <v>100.91533893430426</v>
      </c>
      <c r="X406" s="52">
        <f t="shared" si="406"/>
        <v>46.313051128060351</v>
      </c>
      <c r="Y406" s="52">
        <f t="shared" si="407"/>
        <v>147.22839006236461</v>
      </c>
      <c r="Z406" s="53">
        <f t="shared" si="408"/>
        <v>0.78840108542425202</v>
      </c>
      <c r="AA406" s="53">
        <f t="shared" si="409"/>
        <v>0.27567292338131161</v>
      </c>
      <c r="AB406" s="53">
        <f t="shared" si="410"/>
        <v>0.49739320967015072</v>
      </c>
      <c r="AC406" s="39" t="str">
        <f t="shared" si="411"/>
        <v>Si</v>
      </c>
      <c r="AD406" s="85">
        <f t="shared" si="412"/>
        <v>0</v>
      </c>
      <c r="AE406" s="46">
        <f t="shared" si="413"/>
        <v>0</v>
      </c>
      <c r="AF406" s="46">
        <f t="shared" si="414"/>
        <v>2.1257999999999999</v>
      </c>
      <c r="AG406" s="39">
        <f t="shared" si="469"/>
        <v>64.470872415527381</v>
      </c>
      <c r="AH406" s="39">
        <f t="shared" si="470"/>
        <v>75.608278691376114</v>
      </c>
      <c r="AI406" s="39">
        <f t="shared" si="471"/>
        <v>56.543654553485503</v>
      </c>
      <c r="AJ406" s="39">
        <f t="shared" si="472"/>
        <v>53.292533273915232</v>
      </c>
      <c r="AK406" s="39">
        <f t="shared" si="473"/>
        <v>51.231850524838727</v>
      </c>
      <c r="AL406" s="39">
        <f t="shared" si="474"/>
        <v>43.318541132369205</v>
      </c>
      <c r="AM406" s="39">
        <f t="shared" si="475"/>
        <v>45.234751956343814</v>
      </c>
      <c r="AN406" s="39">
        <f t="shared" si="476"/>
        <v>47.527907514508605</v>
      </c>
      <c r="AO406" s="39">
        <f t="shared" si="415"/>
        <v>3.4470872415527385</v>
      </c>
      <c r="AP406" s="39">
        <f t="shared" si="416"/>
        <v>3.7608278691376116</v>
      </c>
      <c r="AQ406" s="39">
        <f t="shared" si="417"/>
        <v>2.054365455348552</v>
      </c>
      <c r="AR406" s="39">
        <f t="shared" si="418"/>
        <v>0.32745765761424361</v>
      </c>
      <c r="AS406" s="39">
        <f t="shared" si="419"/>
        <v>0.40584316244269153</v>
      </c>
      <c r="AT406" s="39">
        <f t="shared" si="420"/>
        <v>0.50701091000188092</v>
      </c>
      <c r="AU406" s="39">
        <f t="shared" si="421"/>
        <v>0.7128055020631362</v>
      </c>
      <c r="AV406" s="39">
        <f t="shared" si="422"/>
        <v>1.0050480797624541</v>
      </c>
      <c r="AW406" s="39">
        <f t="shared" si="423"/>
        <v>12.220445877923307</v>
      </c>
      <c r="AX406" s="39">
        <f t="shared" si="424"/>
        <v>6.4900000000000011</v>
      </c>
      <c r="AY406" s="39">
        <f t="shared" si="425"/>
        <v>6.4900000000000011</v>
      </c>
      <c r="AZ406" s="39">
        <f t="shared" si="426"/>
        <v>1.8306693897390767</v>
      </c>
      <c r="BA406" s="39">
        <f t="shared" si="427"/>
        <v>1.9972898791521723</v>
      </c>
      <c r="BB406" s="39">
        <f t="shared" si="428"/>
        <v>1.0910266236110389</v>
      </c>
      <c r="BC406" s="39">
        <f t="shared" si="429"/>
        <v>0.17390529111181574</v>
      </c>
      <c r="BD406" s="39">
        <f t="shared" si="430"/>
        <v>0.21553404438469365</v>
      </c>
      <c r="BE406" s="39">
        <f t="shared" si="431"/>
        <v>0.26926192700191248</v>
      </c>
      <c r="BF406" s="39">
        <f t="shared" si="432"/>
        <v>0.37855473970446457</v>
      </c>
      <c r="BG406" s="39">
        <f t="shared" si="433"/>
        <v>0.53375810529482737</v>
      </c>
      <c r="BH406" s="84">
        <f t="shared" si="434"/>
        <v>0</v>
      </c>
      <c r="BI406" s="84">
        <f t="shared" si="435"/>
        <v>0</v>
      </c>
      <c r="BJ406" s="84">
        <f t="shared" si="436"/>
        <v>0</v>
      </c>
      <c r="BK406" s="39">
        <f t="shared" si="437"/>
        <v>62.640203025788303</v>
      </c>
      <c r="BL406" s="39">
        <f t="shared" si="438"/>
        <v>73.610988812223937</v>
      </c>
      <c r="BM406" s="39">
        <f t="shared" si="439"/>
        <v>55.452627929874467</v>
      </c>
      <c r="BN406" s="39">
        <f t="shared" si="440"/>
        <v>53.118627982803417</v>
      </c>
      <c r="BO406" s="39">
        <f t="shared" si="441"/>
        <v>51.01631648045403</v>
      </c>
      <c r="BP406" s="39">
        <f t="shared" si="442"/>
        <v>43.049279205367291</v>
      </c>
      <c r="BQ406" s="39">
        <f t="shared" si="443"/>
        <v>44.856197216639352</v>
      </c>
      <c r="BR406" s="39">
        <f t="shared" si="444"/>
        <v>46.994149409213776</v>
      </c>
      <c r="BS406" s="39">
        <f t="shared" si="445"/>
        <v>1.5841218154729815</v>
      </c>
      <c r="BT406" s="39">
        <f t="shared" si="446"/>
        <v>4.5665932873343618</v>
      </c>
      <c r="BU406" s="39">
        <f t="shared" si="447"/>
        <v>0</v>
      </c>
      <c r="BV406" s="39">
        <f t="shared" si="448"/>
        <v>0</v>
      </c>
      <c r="BW406" s="39">
        <f t="shared" si="449"/>
        <v>0</v>
      </c>
      <c r="BX406" s="39">
        <f t="shared" si="450"/>
        <v>0</v>
      </c>
      <c r="BY406" s="39">
        <f t="shared" si="451"/>
        <v>0</v>
      </c>
      <c r="BZ406" s="39">
        <f t="shared" si="452"/>
        <v>0</v>
      </c>
      <c r="CA406" s="39">
        <f t="shared" si="453"/>
        <v>61.05608121031532</v>
      </c>
      <c r="CB406" s="39">
        <f t="shared" si="454"/>
        <v>70.628517340362563</v>
      </c>
      <c r="CC406" s="39">
        <f t="shared" si="455"/>
        <v>60.01922121720883</v>
      </c>
      <c r="CD406" s="39">
        <f t="shared" si="456"/>
        <v>53.118627982803417</v>
      </c>
      <c r="CE406" s="39">
        <f t="shared" si="457"/>
        <v>51.01631648045403</v>
      </c>
      <c r="CF406" s="39">
        <f t="shared" si="458"/>
        <v>43.049279205367291</v>
      </c>
      <c r="CG406" s="39">
        <f t="shared" si="459"/>
        <v>44.856197216639352</v>
      </c>
      <c r="CH406" s="39">
        <f t="shared" si="460"/>
        <v>46.994149409213776</v>
      </c>
      <c r="CI406" s="39">
        <f t="shared" si="461"/>
        <v>0</v>
      </c>
      <c r="CJ406" s="39">
        <f t="shared" si="462"/>
        <v>0</v>
      </c>
      <c r="CK406" s="39">
        <f t="shared" si="463"/>
        <v>0</v>
      </c>
      <c r="CL406" s="39">
        <f t="shared" si="464"/>
        <v>0</v>
      </c>
      <c r="CM406" s="39">
        <f t="shared" si="465"/>
        <v>0</v>
      </c>
      <c r="CN406" s="39">
        <f t="shared" si="466"/>
        <v>0</v>
      </c>
      <c r="CO406" s="39">
        <f t="shared" si="467"/>
        <v>0</v>
      </c>
      <c r="CP406" s="39">
        <f t="shared" si="468"/>
        <v>0</v>
      </c>
    </row>
    <row r="407" spans="12:94" ht="16" customHeight="1" x14ac:dyDescent="0.2">
      <c r="L407" s="63">
        <v>30719</v>
      </c>
      <c r="M407" s="38">
        <v>0</v>
      </c>
      <c r="N407" s="38">
        <v>6.4</v>
      </c>
      <c r="O407" s="39">
        <v>2.3664000000000001</v>
      </c>
      <c r="P407" s="39">
        <v>1.1000000000000001</v>
      </c>
      <c r="Q407" s="46">
        <f t="shared" si="399"/>
        <v>8.7048484033144621E-2</v>
      </c>
      <c r="R407" s="81">
        <f t="shared" si="400"/>
        <v>0</v>
      </c>
      <c r="S407" s="82">
        <f t="shared" si="401"/>
        <v>0</v>
      </c>
      <c r="T407" s="39">
        <f t="shared" si="402"/>
        <v>0</v>
      </c>
      <c r="U407" s="83">
        <f t="shared" si="403"/>
        <v>7.0400000000000009</v>
      </c>
      <c r="V407" s="84">
        <f t="shared" si="404"/>
        <v>0</v>
      </c>
      <c r="W407" s="52">
        <f t="shared" si="405"/>
        <v>95.822447750690145</v>
      </c>
      <c r="X407" s="52">
        <f t="shared" si="406"/>
        <v>44.915942311674456</v>
      </c>
      <c r="Y407" s="52">
        <f t="shared" si="407"/>
        <v>140.7383900623646</v>
      </c>
      <c r="Z407" s="53">
        <f t="shared" si="408"/>
        <v>0.74861287305226676</v>
      </c>
      <c r="AA407" s="53">
        <f t="shared" si="409"/>
        <v>0.26735679947425273</v>
      </c>
      <c r="AB407" s="53">
        <f t="shared" si="410"/>
        <v>0.475467533994475</v>
      </c>
      <c r="AC407" s="39" t="str">
        <f t="shared" si="411"/>
        <v>Si</v>
      </c>
      <c r="AD407" s="85">
        <f t="shared" si="412"/>
        <v>0</v>
      </c>
      <c r="AE407" s="46">
        <f t="shared" si="413"/>
        <v>0</v>
      </c>
      <c r="AF407" s="46">
        <f t="shared" si="414"/>
        <v>2.1257999999999999</v>
      </c>
      <c r="AG407" s="39">
        <f t="shared" si="469"/>
        <v>61.05608121031532</v>
      </c>
      <c r="AH407" s="39">
        <f t="shared" si="470"/>
        <v>70.628517340362563</v>
      </c>
      <c r="AI407" s="39">
        <f t="shared" si="471"/>
        <v>60.01922121720883</v>
      </c>
      <c r="AJ407" s="39">
        <f t="shared" si="472"/>
        <v>53.118627982803417</v>
      </c>
      <c r="AK407" s="39">
        <f t="shared" si="473"/>
        <v>51.01631648045403</v>
      </c>
      <c r="AL407" s="39">
        <f t="shared" si="474"/>
        <v>43.049279205367291</v>
      </c>
      <c r="AM407" s="39">
        <f t="shared" si="475"/>
        <v>44.856197216639352</v>
      </c>
      <c r="AN407" s="39">
        <f t="shared" si="476"/>
        <v>46.994149409213776</v>
      </c>
      <c r="AO407" s="39">
        <f t="shared" si="415"/>
        <v>3.1056081210315321</v>
      </c>
      <c r="AP407" s="39">
        <f t="shared" si="416"/>
        <v>3.2628517340362566</v>
      </c>
      <c r="AQ407" s="39">
        <f t="shared" si="417"/>
        <v>2.4019221217208848</v>
      </c>
      <c r="AR407" s="39">
        <f t="shared" si="418"/>
        <v>0.31386723963408841</v>
      </c>
      <c r="AS407" s="39">
        <f t="shared" si="419"/>
        <v>0.38711410893193854</v>
      </c>
      <c r="AT407" s="39">
        <f t="shared" si="420"/>
        <v>0.48089529784489193</v>
      </c>
      <c r="AU407" s="39">
        <f t="shared" si="421"/>
        <v>0.66937815447545967</v>
      </c>
      <c r="AV407" s="39">
        <f t="shared" si="422"/>
        <v>0.93255341755903831</v>
      </c>
      <c r="AW407" s="39">
        <f t="shared" si="423"/>
        <v>11.554190195234092</v>
      </c>
      <c r="AX407" s="39">
        <f t="shared" si="424"/>
        <v>7.0400000000000009</v>
      </c>
      <c r="AY407" s="39">
        <f t="shared" si="425"/>
        <v>7.0400000000000009</v>
      </c>
      <c r="AZ407" s="39">
        <f t="shared" si="426"/>
        <v>1.8922556062025275</v>
      </c>
      <c r="BA407" s="39">
        <f t="shared" si="427"/>
        <v>1.9880645739318175</v>
      </c>
      <c r="BB407" s="39">
        <f t="shared" si="428"/>
        <v>1.4634977831583496</v>
      </c>
      <c r="BC407" s="39">
        <f t="shared" si="429"/>
        <v>0.19124017604759663</v>
      </c>
      <c r="BD407" s="39">
        <f t="shared" si="430"/>
        <v>0.23586969582731818</v>
      </c>
      <c r="BE407" s="39">
        <f t="shared" si="431"/>
        <v>0.2930108332667487</v>
      </c>
      <c r="BF407" s="39">
        <f t="shared" si="432"/>
        <v>0.40785395842376138</v>
      </c>
      <c r="BG407" s="39">
        <f t="shared" si="433"/>
        <v>0.56820737314188019</v>
      </c>
      <c r="BH407" s="84">
        <f t="shared" si="434"/>
        <v>0</v>
      </c>
      <c r="BI407" s="84">
        <f t="shared" si="435"/>
        <v>0</v>
      </c>
      <c r="BJ407" s="84">
        <f t="shared" si="436"/>
        <v>0</v>
      </c>
      <c r="BK407" s="39">
        <f t="shared" si="437"/>
        <v>59.163825604112795</v>
      </c>
      <c r="BL407" s="39">
        <f t="shared" si="438"/>
        <v>68.640452766430741</v>
      </c>
      <c r="BM407" s="39">
        <f t="shared" si="439"/>
        <v>58.555723434050478</v>
      </c>
      <c r="BN407" s="39">
        <f t="shared" si="440"/>
        <v>52.927387806755817</v>
      </c>
      <c r="BO407" s="39">
        <f t="shared" si="441"/>
        <v>50.780446784626712</v>
      </c>
      <c r="BP407" s="39">
        <f t="shared" si="442"/>
        <v>42.756268372100543</v>
      </c>
      <c r="BQ407" s="39">
        <f t="shared" si="443"/>
        <v>44.448343258215587</v>
      </c>
      <c r="BR407" s="39">
        <f t="shared" si="444"/>
        <v>46.425942036071895</v>
      </c>
      <c r="BS407" s="39">
        <f t="shared" si="445"/>
        <v>0</v>
      </c>
      <c r="BT407" s="39">
        <f t="shared" si="446"/>
        <v>1.5842716598584445</v>
      </c>
      <c r="BU407" s="39">
        <f t="shared" si="447"/>
        <v>0</v>
      </c>
      <c r="BV407" s="39">
        <f t="shared" si="448"/>
        <v>0</v>
      </c>
      <c r="BW407" s="39">
        <f t="shared" si="449"/>
        <v>0</v>
      </c>
      <c r="BX407" s="39">
        <f t="shared" si="450"/>
        <v>0</v>
      </c>
      <c r="BY407" s="39">
        <f t="shared" si="451"/>
        <v>0</v>
      </c>
      <c r="BZ407" s="39">
        <f t="shared" si="452"/>
        <v>0</v>
      </c>
      <c r="CA407" s="39">
        <f t="shared" si="453"/>
        <v>59.163825604112795</v>
      </c>
      <c r="CB407" s="39">
        <f t="shared" si="454"/>
        <v>67.056181106572296</v>
      </c>
      <c r="CC407" s="39">
        <f t="shared" si="455"/>
        <v>60.139995093908922</v>
      </c>
      <c r="CD407" s="39">
        <f t="shared" si="456"/>
        <v>52.927387806755817</v>
      </c>
      <c r="CE407" s="39">
        <f t="shared" si="457"/>
        <v>50.780446784626712</v>
      </c>
      <c r="CF407" s="39">
        <f t="shared" si="458"/>
        <v>42.756268372100543</v>
      </c>
      <c r="CG407" s="39">
        <f t="shared" si="459"/>
        <v>44.448343258215587</v>
      </c>
      <c r="CH407" s="39">
        <f t="shared" si="460"/>
        <v>46.425942036071895</v>
      </c>
      <c r="CI407" s="39">
        <f t="shared" si="461"/>
        <v>0</v>
      </c>
      <c r="CJ407" s="39">
        <f t="shared" si="462"/>
        <v>0</v>
      </c>
      <c r="CK407" s="39">
        <f t="shared" si="463"/>
        <v>0</v>
      </c>
      <c r="CL407" s="39">
        <f t="shared" si="464"/>
        <v>0</v>
      </c>
      <c r="CM407" s="39">
        <f t="shared" si="465"/>
        <v>0</v>
      </c>
      <c r="CN407" s="39">
        <f t="shared" si="466"/>
        <v>0</v>
      </c>
      <c r="CO407" s="39">
        <f t="shared" si="467"/>
        <v>0</v>
      </c>
      <c r="CP407" s="39">
        <f t="shared" si="468"/>
        <v>0</v>
      </c>
    </row>
    <row r="408" spans="12:94" ht="16" customHeight="1" x14ac:dyDescent="0.2">
      <c r="L408" s="63">
        <v>30720</v>
      </c>
      <c r="M408" s="38">
        <v>0</v>
      </c>
      <c r="N408" s="38">
        <v>6</v>
      </c>
      <c r="O408" s="39">
        <v>2.3664000000000001</v>
      </c>
      <c r="P408" s="39">
        <v>1.1000000000000001</v>
      </c>
      <c r="Q408" s="46">
        <f t="shared" si="399"/>
        <v>9.0884137288960554E-2</v>
      </c>
      <c r="R408" s="81">
        <f t="shared" si="400"/>
        <v>0</v>
      </c>
      <c r="S408" s="82">
        <f t="shared" si="401"/>
        <v>0</v>
      </c>
      <c r="T408" s="39">
        <f t="shared" si="402"/>
        <v>0</v>
      </c>
      <c r="U408" s="83">
        <f t="shared" si="403"/>
        <v>6.6000000000000005</v>
      </c>
      <c r="V408" s="84">
        <f t="shared" si="404"/>
        <v>0</v>
      </c>
      <c r="W408" s="52">
        <f t="shared" si="405"/>
        <v>90.287389611349795</v>
      </c>
      <c r="X408" s="52">
        <f t="shared" si="406"/>
        <v>43.411000451014729</v>
      </c>
      <c r="Y408" s="52">
        <f t="shared" si="407"/>
        <v>133.69839006236452</v>
      </c>
      <c r="Z408" s="53">
        <f t="shared" si="408"/>
        <v>0.70537023133867027</v>
      </c>
      <c r="AA408" s="53">
        <f t="shared" si="409"/>
        <v>0.25839881220842098</v>
      </c>
      <c r="AB408" s="53">
        <f t="shared" si="410"/>
        <v>0.45168375021069096</v>
      </c>
      <c r="AC408" s="39" t="str">
        <f t="shared" si="411"/>
        <v>Si</v>
      </c>
      <c r="AD408" s="85">
        <f t="shared" si="412"/>
        <v>0</v>
      </c>
      <c r="AE408" s="46">
        <f t="shared" si="413"/>
        <v>0</v>
      </c>
      <c r="AF408" s="46">
        <f t="shared" si="414"/>
        <v>2.1257999999999999</v>
      </c>
      <c r="AG408" s="39">
        <f t="shared" si="469"/>
        <v>59.163825604112795</v>
      </c>
      <c r="AH408" s="39">
        <f t="shared" si="470"/>
        <v>67.056181106572296</v>
      </c>
      <c r="AI408" s="39">
        <f t="shared" si="471"/>
        <v>60.139995093908922</v>
      </c>
      <c r="AJ408" s="39">
        <f t="shared" si="472"/>
        <v>52.927387806755817</v>
      </c>
      <c r="AK408" s="39">
        <f t="shared" si="473"/>
        <v>50.780446784626712</v>
      </c>
      <c r="AL408" s="39">
        <f t="shared" si="474"/>
        <v>42.756268372100543</v>
      </c>
      <c r="AM408" s="39">
        <f t="shared" si="475"/>
        <v>44.448343258215587</v>
      </c>
      <c r="AN408" s="39">
        <f t="shared" si="476"/>
        <v>46.425942036071895</v>
      </c>
      <c r="AO408" s="39">
        <f t="shared" si="415"/>
        <v>2.9163825604112796</v>
      </c>
      <c r="AP408" s="39">
        <f t="shared" si="416"/>
        <v>2.9056181106572296</v>
      </c>
      <c r="AQ408" s="39">
        <f t="shared" si="417"/>
        <v>2.4139995093908939</v>
      </c>
      <c r="AR408" s="39">
        <f t="shared" si="418"/>
        <v>0.29925465447000327</v>
      </c>
      <c r="AS408" s="39">
        <f t="shared" si="419"/>
        <v>0.36712497970315094</v>
      </c>
      <c r="AT408" s="39">
        <f t="shared" si="420"/>
        <v>0.453260821659282</v>
      </c>
      <c r="AU408" s="39">
        <f t="shared" si="421"/>
        <v>0.62411696837109576</v>
      </c>
      <c r="AV408" s="39">
        <f t="shared" si="422"/>
        <v>0.85836152169505786</v>
      </c>
      <c r="AW408" s="39">
        <f t="shared" si="423"/>
        <v>10.838119126357991</v>
      </c>
      <c r="AX408" s="39">
        <f t="shared" si="424"/>
        <v>6.6000000000000005</v>
      </c>
      <c r="AY408" s="39">
        <f t="shared" si="425"/>
        <v>6.6000000000000005</v>
      </c>
      <c r="AZ408" s="39">
        <f t="shared" si="426"/>
        <v>1.7759654303765275</v>
      </c>
      <c r="BA408" s="39">
        <f t="shared" si="427"/>
        <v>1.7694102922064787</v>
      </c>
      <c r="BB408" s="39">
        <f t="shared" si="428"/>
        <v>1.4700333679884341</v>
      </c>
      <c r="BC408" s="39">
        <f t="shared" si="429"/>
        <v>0.18223463836069884</v>
      </c>
      <c r="BD408" s="39">
        <f t="shared" si="430"/>
        <v>0.22356507045102231</v>
      </c>
      <c r="BE408" s="39">
        <f t="shared" si="431"/>
        <v>0.27601850358665719</v>
      </c>
      <c r="BF408" s="39">
        <f t="shared" si="432"/>
        <v>0.38006336184583223</v>
      </c>
      <c r="BG408" s="39">
        <f t="shared" si="433"/>
        <v>0.52270933518435081</v>
      </c>
      <c r="BH408" s="84">
        <f t="shared" si="434"/>
        <v>0</v>
      </c>
      <c r="BI408" s="84">
        <f t="shared" si="435"/>
        <v>0</v>
      </c>
      <c r="BJ408" s="84">
        <f t="shared" si="436"/>
        <v>0</v>
      </c>
      <c r="BK408" s="39">
        <f t="shared" si="437"/>
        <v>57.387860173736264</v>
      </c>
      <c r="BL408" s="39">
        <f t="shared" si="438"/>
        <v>65.286770814365823</v>
      </c>
      <c r="BM408" s="39">
        <f t="shared" si="439"/>
        <v>58.669961725920487</v>
      </c>
      <c r="BN408" s="39">
        <f t="shared" si="440"/>
        <v>52.74515316839512</v>
      </c>
      <c r="BO408" s="39">
        <f t="shared" si="441"/>
        <v>50.556881714175688</v>
      </c>
      <c r="BP408" s="39">
        <f t="shared" si="442"/>
        <v>42.480249868513887</v>
      </c>
      <c r="BQ408" s="39">
        <f t="shared" si="443"/>
        <v>44.068279896369752</v>
      </c>
      <c r="BR408" s="39">
        <f t="shared" si="444"/>
        <v>45.903232700887543</v>
      </c>
      <c r="BS408" s="39">
        <f t="shared" si="445"/>
        <v>0</v>
      </c>
      <c r="BT408" s="39">
        <f t="shared" si="446"/>
        <v>0</v>
      </c>
      <c r="BU408" s="39">
        <f t="shared" si="447"/>
        <v>0</v>
      </c>
      <c r="BV408" s="39">
        <f t="shared" si="448"/>
        <v>0</v>
      </c>
      <c r="BW408" s="39">
        <f t="shared" si="449"/>
        <v>0</v>
      </c>
      <c r="BX408" s="39">
        <f t="shared" si="450"/>
        <v>0</v>
      </c>
      <c r="BY408" s="39">
        <f t="shared" si="451"/>
        <v>0</v>
      </c>
      <c r="BZ408" s="39">
        <f t="shared" si="452"/>
        <v>0</v>
      </c>
      <c r="CA408" s="39">
        <f t="shared" si="453"/>
        <v>57.387860173736264</v>
      </c>
      <c r="CB408" s="39">
        <f t="shared" si="454"/>
        <v>65.286770814365823</v>
      </c>
      <c r="CC408" s="39">
        <f t="shared" si="455"/>
        <v>58.669961725920487</v>
      </c>
      <c r="CD408" s="39">
        <f t="shared" si="456"/>
        <v>52.74515316839512</v>
      </c>
      <c r="CE408" s="39">
        <f t="shared" si="457"/>
        <v>50.556881714175688</v>
      </c>
      <c r="CF408" s="39">
        <f t="shared" si="458"/>
        <v>42.480249868513887</v>
      </c>
      <c r="CG408" s="39">
        <f t="shared" si="459"/>
        <v>44.068279896369752</v>
      </c>
      <c r="CH408" s="39">
        <f t="shared" si="460"/>
        <v>45.903232700887543</v>
      </c>
      <c r="CI408" s="39">
        <f t="shared" si="461"/>
        <v>0</v>
      </c>
      <c r="CJ408" s="39">
        <f t="shared" si="462"/>
        <v>0</v>
      </c>
      <c r="CK408" s="39">
        <f t="shared" si="463"/>
        <v>0</v>
      </c>
      <c r="CL408" s="39">
        <f t="shared" si="464"/>
        <v>0</v>
      </c>
      <c r="CM408" s="39">
        <f t="shared" si="465"/>
        <v>0</v>
      </c>
      <c r="CN408" s="39">
        <f t="shared" si="466"/>
        <v>0</v>
      </c>
      <c r="CO408" s="39">
        <f t="shared" si="467"/>
        <v>0</v>
      </c>
      <c r="CP408" s="39">
        <f t="shared" si="468"/>
        <v>0</v>
      </c>
    </row>
    <row r="409" spans="12:94" ht="16" customHeight="1" x14ac:dyDescent="0.2">
      <c r="L409" s="63">
        <v>30721</v>
      </c>
      <c r="M409" s="38">
        <v>1.6</v>
      </c>
      <c r="N409" s="38">
        <v>6.4</v>
      </c>
      <c r="O409" s="39">
        <v>2.3664000000000001</v>
      </c>
      <c r="P409" s="39">
        <v>1.1000000000000001</v>
      </c>
      <c r="Q409" s="46">
        <f t="shared" si="399"/>
        <v>9.4484067215399453E-2</v>
      </c>
      <c r="R409" s="81">
        <f t="shared" si="400"/>
        <v>0</v>
      </c>
      <c r="S409" s="82">
        <f t="shared" si="401"/>
        <v>1.6</v>
      </c>
      <c r="T409" s="39">
        <f t="shared" si="402"/>
        <v>0</v>
      </c>
      <c r="U409" s="83">
        <f t="shared" si="403"/>
        <v>7.0400000000000009</v>
      </c>
      <c r="V409" s="84">
        <f t="shared" si="404"/>
        <v>0</v>
      </c>
      <c r="W409" s="52">
        <f t="shared" si="405"/>
        <v>85.089745882417674</v>
      </c>
      <c r="X409" s="52">
        <f t="shared" si="406"/>
        <v>42.008644179946856</v>
      </c>
      <c r="Y409" s="52">
        <f t="shared" si="407"/>
        <v>127.09839006236453</v>
      </c>
      <c r="Z409" s="53">
        <f t="shared" si="408"/>
        <v>0.66476363970638808</v>
      </c>
      <c r="AA409" s="53">
        <f t="shared" si="409"/>
        <v>0.25005145345206464</v>
      </c>
      <c r="AB409" s="53">
        <f t="shared" si="410"/>
        <v>0.42938645291339367</v>
      </c>
      <c r="AC409" s="39" t="str">
        <f t="shared" si="411"/>
        <v>Si</v>
      </c>
      <c r="AD409" s="85">
        <f t="shared" si="412"/>
        <v>0</v>
      </c>
      <c r="AE409" s="46">
        <f t="shared" si="413"/>
        <v>0</v>
      </c>
      <c r="AF409" s="46">
        <f t="shared" si="414"/>
        <v>2.1257999999999999</v>
      </c>
      <c r="AG409" s="39">
        <f t="shared" si="469"/>
        <v>57.387860173736264</v>
      </c>
      <c r="AH409" s="39">
        <f t="shared" si="470"/>
        <v>65.286770814365823</v>
      </c>
      <c r="AI409" s="39">
        <f t="shared" si="471"/>
        <v>58.669961725920487</v>
      </c>
      <c r="AJ409" s="39">
        <f t="shared" si="472"/>
        <v>52.74515316839512</v>
      </c>
      <c r="AK409" s="39">
        <f t="shared" si="473"/>
        <v>50.556881714175688</v>
      </c>
      <c r="AL409" s="39">
        <f t="shared" si="474"/>
        <v>42.480249868513887</v>
      </c>
      <c r="AM409" s="39">
        <f t="shared" si="475"/>
        <v>44.068279896369752</v>
      </c>
      <c r="AN409" s="39">
        <f t="shared" si="476"/>
        <v>45.903232700887543</v>
      </c>
      <c r="AO409" s="39">
        <f t="shared" si="415"/>
        <v>2.7387860173736267</v>
      </c>
      <c r="AP409" s="39">
        <f t="shared" si="416"/>
        <v>2.7286770814365826</v>
      </c>
      <c r="AQ409" s="39">
        <f t="shared" si="417"/>
        <v>2.2669961725920502</v>
      </c>
      <c r="AR409" s="39">
        <f t="shared" si="418"/>
        <v>0.28565427429476598</v>
      </c>
      <c r="AS409" s="39">
        <f t="shared" si="419"/>
        <v>0.34866773652568761</v>
      </c>
      <c r="AT409" s="39">
        <f t="shared" si="420"/>
        <v>0.42797684556884491</v>
      </c>
      <c r="AU409" s="39">
        <f t="shared" si="421"/>
        <v>0.58336580887801259</v>
      </c>
      <c r="AV409" s="39">
        <f t="shared" si="422"/>
        <v>0.79282578158692107</v>
      </c>
      <c r="AW409" s="39">
        <f t="shared" si="423"/>
        <v>10.17294971825649</v>
      </c>
      <c r="AX409" s="39">
        <f t="shared" si="424"/>
        <v>7.0400000000000009</v>
      </c>
      <c r="AY409" s="39">
        <f t="shared" si="425"/>
        <v>5.4400000000000013</v>
      </c>
      <c r="AZ409" s="39">
        <f t="shared" si="426"/>
        <v>1.4645698983230624</v>
      </c>
      <c r="BA409" s="39">
        <f t="shared" si="427"/>
        <v>1.4591641297878233</v>
      </c>
      <c r="BB409" s="39">
        <f t="shared" si="428"/>
        <v>1.2122795767651133</v>
      </c>
      <c r="BC409" s="39">
        <f t="shared" si="429"/>
        <v>0.15275404825551969</v>
      </c>
      <c r="BD409" s="39">
        <f t="shared" si="430"/>
        <v>0.18645059095257374</v>
      </c>
      <c r="BE409" s="39">
        <f t="shared" si="431"/>
        <v>0.22886125503169585</v>
      </c>
      <c r="BF409" s="39">
        <f t="shared" si="432"/>
        <v>0.31195573439247148</v>
      </c>
      <c r="BG409" s="39">
        <f t="shared" si="433"/>
        <v>0.42396476649174264</v>
      </c>
      <c r="BH409" s="84">
        <f t="shared" si="434"/>
        <v>0</v>
      </c>
      <c r="BI409" s="84">
        <f t="shared" si="435"/>
        <v>0</v>
      </c>
      <c r="BJ409" s="84">
        <f t="shared" si="436"/>
        <v>0</v>
      </c>
      <c r="BK409" s="39">
        <f t="shared" si="437"/>
        <v>55.923290275413201</v>
      </c>
      <c r="BL409" s="39">
        <f t="shared" si="438"/>
        <v>63.827606684578001</v>
      </c>
      <c r="BM409" s="39">
        <f t="shared" si="439"/>
        <v>57.457682149155374</v>
      </c>
      <c r="BN409" s="39">
        <f t="shared" si="440"/>
        <v>52.592399120139603</v>
      </c>
      <c r="BO409" s="39">
        <f t="shared" si="441"/>
        <v>50.370431123223113</v>
      </c>
      <c r="BP409" s="39">
        <f t="shared" si="442"/>
        <v>42.251388613482192</v>
      </c>
      <c r="BQ409" s="39">
        <f t="shared" si="443"/>
        <v>43.756324161977282</v>
      </c>
      <c r="BR409" s="39">
        <f t="shared" si="444"/>
        <v>45.4792679343958</v>
      </c>
      <c r="BS409" s="39">
        <f t="shared" si="445"/>
        <v>0</v>
      </c>
      <c r="BT409" s="39">
        <f t="shared" si="446"/>
        <v>0</v>
      </c>
      <c r="BU409" s="39">
        <f t="shared" si="447"/>
        <v>0</v>
      </c>
      <c r="BV409" s="39">
        <f t="shared" si="448"/>
        <v>0</v>
      </c>
      <c r="BW409" s="39">
        <f t="shared" si="449"/>
        <v>0</v>
      </c>
      <c r="BX409" s="39">
        <f t="shared" si="450"/>
        <v>0</v>
      </c>
      <c r="BY409" s="39">
        <f t="shared" si="451"/>
        <v>0</v>
      </c>
      <c r="BZ409" s="39">
        <f t="shared" si="452"/>
        <v>0</v>
      </c>
      <c r="CA409" s="39">
        <f t="shared" si="453"/>
        <v>55.923290275413201</v>
      </c>
      <c r="CB409" s="39">
        <f t="shared" si="454"/>
        <v>63.827606684578001</v>
      </c>
      <c r="CC409" s="39">
        <f t="shared" si="455"/>
        <v>57.457682149155374</v>
      </c>
      <c r="CD409" s="39">
        <f t="shared" si="456"/>
        <v>52.592399120139603</v>
      </c>
      <c r="CE409" s="39">
        <f t="shared" si="457"/>
        <v>50.370431123223113</v>
      </c>
      <c r="CF409" s="39">
        <f t="shared" si="458"/>
        <v>42.251388613482192</v>
      </c>
      <c r="CG409" s="39">
        <f t="shared" si="459"/>
        <v>43.756324161977282</v>
      </c>
      <c r="CH409" s="39">
        <f t="shared" si="460"/>
        <v>45.4792679343958</v>
      </c>
      <c r="CI409" s="39">
        <f t="shared" si="461"/>
        <v>0</v>
      </c>
      <c r="CJ409" s="39">
        <f t="shared" si="462"/>
        <v>0</v>
      </c>
      <c r="CK409" s="39">
        <f t="shared" si="463"/>
        <v>0</v>
      </c>
      <c r="CL409" s="39">
        <f t="shared" si="464"/>
        <v>0</v>
      </c>
      <c r="CM409" s="39">
        <f t="shared" si="465"/>
        <v>0</v>
      </c>
      <c r="CN409" s="39">
        <f t="shared" si="466"/>
        <v>0</v>
      </c>
      <c r="CO409" s="39">
        <f t="shared" si="467"/>
        <v>0</v>
      </c>
      <c r="CP409" s="39">
        <f t="shared" si="468"/>
        <v>0</v>
      </c>
    </row>
    <row r="410" spans="12:94" ht="16" customHeight="1" x14ac:dyDescent="0.2">
      <c r="L410" s="63">
        <v>30722</v>
      </c>
      <c r="M410" s="38">
        <v>94.3</v>
      </c>
      <c r="N410" s="38">
        <v>4.7</v>
      </c>
      <c r="O410" s="39">
        <v>2.3664000000000001</v>
      </c>
      <c r="P410" s="39">
        <v>1.1000000000000001</v>
      </c>
      <c r="Q410" s="46">
        <f t="shared" si="399"/>
        <v>9.7452789982270527E-2</v>
      </c>
      <c r="R410" s="81">
        <f t="shared" si="400"/>
        <v>46.399210696254229</v>
      </c>
      <c r="S410" s="82">
        <f t="shared" si="401"/>
        <v>47.900789303745768</v>
      </c>
      <c r="T410" s="39">
        <f t="shared" si="402"/>
        <v>0</v>
      </c>
      <c r="U410" s="83">
        <f t="shared" si="403"/>
        <v>5.1700000000000008</v>
      </c>
      <c r="V410" s="84">
        <f t="shared" si="404"/>
        <v>0</v>
      </c>
      <c r="W410" s="52">
        <f t="shared" si="405"/>
        <v>80.800978229286159</v>
      </c>
      <c r="X410" s="52">
        <f t="shared" si="406"/>
        <v>40.857411833078402</v>
      </c>
      <c r="Y410" s="52">
        <f t="shared" si="407"/>
        <v>121.65839006236456</v>
      </c>
      <c r="Z410" s="53">
        <f t="shared" si="408"/>
        <v>0.63125764241629811</v>
      </c>
      <c r="AA410" s="53">
        <f t="shared" si="409"/>
        <v>0.24319887995880002</v>
      </c>
      <c r="AB410" s="53">
        <f t="shared" si="410"/>
        <v>0.41100807453501542</v>
      </c>
      <c r="AC410" s="39" t="str">
        <f t="shared" si="411"/>
        <v>Si</v>
      </c>
      <c r="AD410" s="85">
        <f t="shared" si="412"/>
        <v>0</v>
      </c>
      <c r="AE410" s="46">
        <f t="shared" si="413"/>
        <v>0</v>
      </c>
      <c r="AF410" s="46">
        <f t="shared" si="414"/>
        <v>2.1257999999999999</v>
      </c>
      <c r="AG410" s="39">
        <f t="shared" si="469"/>
        <v>55.923290275413201</v>
      </c>
      <c r="AH410" s="39">
        <f t="shared" si="470"/>
        <v>63.827606684578001</v>
      </c>
      <c r="AI410" s="39">
        <f t="shared" si="471"/>
        <v>57.457682149155374</v>
      </c>
      <c r="AJ410" s="39">
        <f t="shared" si="472"/>
        <v>52.592399120139603</v>
      </c>
      <c r="AK410" s="39">
        <f t="shared" si="473"/>
        <v>50.370431123223113</v>
      </c>
      <c r="AL410" s="39">
        <f t="shared" si="474"/>
        <v>42.251388613482192</v>
      </c>
      <c r="AM410" s="39">
        <f t="shared" si="475"/>
        <v>43.756324161977282</v>
      </c>
      <c r="AN410" s="39">
        <f t="shared" si="476"/>
        <v>45.4792679343958</v>
      </c>
      <c r="AO410" s="39">
        <f t="shared" si="415"/>
        <v>2.5923290275413202</v>
      </c>
      <c r="AP410" s="39">
        <f t="shared" si="416"/>
        <v>2.5827606684578002</v>
      </c>
      <c r="AQ410" s="39">
        <f t="shared" si="417"/>
        <v>2.145768214915539</v>
      </c>
      <c r="AR410" s="39">
        <f t="shared" si="418"/>
        <v>0.2744977352356977</v>
      </c>
      <c r="AS410" s="39">
        <f t="shared" si="419"/>
        <v>0.33363865327915371</v>
      </c>
      <c r="AT410" s="39">
        <f t="shared" si="420"/>
        <v>0.40756281560794194</v>
      </c>
      <c r="AU410" s="39">
        <f t="shared" si="421"/>
        <v>0.55094528322636249</v>
      </c>
      <c r="AV410" s="39">
        <f t="shared" si="422"/>
        <v>0.74158156275447151</v>
      </c>
      <c r="AW410" s="39">
        <f t="shared" si="423"/>
        <v>9.629083961018285</v>
      </c>
      <c r="AX410" s="39">
        <f t="shared" si="424"/>
        <v>5.1700000000000008</v>
      </c>
      <c r="AY410" s="39">
        <f t="shared" si="425"/>
        <v>0</v>
      </c>
      <c r="AZ410" s="39">
        <f t="shared" si="426"/>
        <v>0</v>
      </c>
      <c r="BA410" s="39">
        <f t="shared" si="427"/>
        <v>0</v>
      </c>
      <c r="BB410" s="39">
        <f t="shared" si="428"/>
        <v>0</v>
      </c>
      <c r="BC410" s="39">
        <f t="shared" si="429"/>
        <v>0</v>
      </c>
      <c r="BD410" s="39">
        <f t="shared" si="430"/>
        <v>0</v>
      </c>
      <c r="BE410" s="39">
        <f t="shared" si="431"/>
        <v>0</v>
      </c>
      <c r="BF410" s="39">
        <f t="shared" si="432"/>
        <v>0</v>
      </c>
      <c r="BG410" s="39">
        <f t="shared" si="433"/>
        <v>0</v>
      </c>
      <c r="BH410" s="84">
        <f t="shared" si="434"/>
        <v>0</v>
      </c>
      <c r="BI410" s="84">
        <f t="shared" si="435"/>
        <v>0</v>
      </c>
      <c r="BJ410" s="84">
        <f t="shared" si="436"/>
        <v>0</v>
      </c>
      <c r="BK410" s="39">
        <f t="shared" si="437"/>
        <v>55.923290275413201</v>
      </c>
      <c r="BL410" s="39">
        <f t="shared" si="438"/>
        <v>63.827606684578001</v>
      </c>
      <c r="BM410" s="39">
        <f t="shared" si="439"/>
        <v>57.457682149155374</v>
      </c>
      <c r="BN410" s="39">
        <f t="shared" si="440"/>
        <v>52.592399120139603</v>
      </c>
      <c r="BO410" s="39">
        <f t="shared" si="441"/>
        <v>50.370431123223113</v>
      </c>
      <c r="BP410" s="39">
        <f t="shared" si="442"/>
        <v>42.251388613482192</v>
      </c>
      <c r="BQ410" s="39">
        <f t="shared" si="443"/>
        <v>43.756324161977282</v>
      </c>
      <c r="BR410" s="39">
        <f t="shared" si="444"/>
        <v>45.4792679343958</v>
      </c>
      <c r="BS410" s="39">
        <f t="shared" si="445"/>
        <v>0</v>
      </c>
      <c r="BT410" s="39">
        <f t="shared" si="446"/>
        <v>0</v>
      </c>
      <c r="BU410" s="39">
        <f t="shared" si="447"/>
        <v>0</v>
      </c>
      <c r="BV410" s="39">
        <f t="shared" si="448"/>
        <v>0</v>
      </c>
      <c r="BW410" s="39">
        <f t="shared" si="449"/>
        <v>0</v>
      </c>
      <c r="BX410" s="39">
        <f t="shared" si="450"/>
        <v>0</v>
      </c>
      <c r="BY410" s="39">
        <f t="shared" si="451"/>
        <v>0</v>
      </c>
      <c r="BZ410" s="39">
        <f t="shared" si="452"/>
        <v>0</v>
      </c>
      <c r="CA410" s="39">
        <f t="shared" si="453"/>
        <v>103.82407957915896</v>
      </c>
      <c r="CB410" s="39">
        <f t="shared" si="454"/>
        <v>63.827606684578001</v>
      </c>
      <c r="CC410" s="39">
        <f t="shared" si="455"/>
        <v>57.457682149155374</v>
      </c>
      <c r="CD410" s="39">
        <f t="shared" si="456"/>
        <v>52.592399120139603</v>
      </c>
      <c r="CE410" s="39">
        <f t="shared" si="457"/>
        <v>50.370431123223113</v>
      </c>
      <c r="CF410" s="39">
        <f t="shared" si="458"/>
        <v>42.251388613482192</v>
      </c>
      <c r="CG410" s="39">
        <f t="shared" si="459"/>
        <v>43.756324161977282</v>
      </c>
      <c r="CH410" s="39">
        <f t="shared" si="460"/>
        <v>45.4792679343958</v>
      </c>
      <c r="CI410" s="39">
        <f t="shared" si="461"/>
        <v>0</v>
      </c>
      <c r="CJ410" s="39">
        <f t="shared" si="462"/>
        <v>0</v>
      </c>
      <c r="CK410" s="39">
        <f t="shared" si="463"/>
        <v>0</v>
      </c>
      <c r="CL410" s="39">
        <f t="shared" si="464"/>
        <v>0</v>
      </c>
      <c r="CM410" s="39">
        <f t="shared" si="465"/>
        <v>0</v>
      </c>
      <c r="CN410" s="39">
        <f t="shared" si="466"/>
        <v>0</v>
      </c>
      <c r="CO410" s="39">
        <f t="shared" si="467"/>
        <v>0</v>
      </c>
      <c r="CP410" s="39">
        <f t="shared" si="468"/>
        <v>0</v>
      </c>
    </row>
    <row r="411" spans="12:94" ht="16" customHeight="1" x14ac:dyDescent="0.2">
      <c r="L411" s="63">
        <v>30723</v>
      </c>
      <c r="M411" s="38">
        <v>32.5</v>
      </c>
      <c r="N411" s="38">
        <v>3.3</v>
      </c>
      <c r="O411" s="39">
        <v>2.3664000000000001</v>
      </c>
      <c r="P411" s="39">
        <v>1.1000000000000001</v>
      </c>
      <c r="Q411" s="46">
        <f t="shared" si="399"/>
        <v>3.5659544765075292E-4</v>
      </c>
      <c r="R411" s="81">
        <f t="shared" si="400"/>
        <v>9.7328985852428005</v>
      </c>
      <c r="S411" s="82">
        <f t="shared" si="401"/>
        <v>22.7671014147572</v>
      </c>
      <c r="T411" s="39">
        <f t="shared" si="402"/>
        <v>0</v>
      </c>
      <c r="U411" s="83">
        <f t="shared" si="403"/>
        <v>3.63</v>
      </c>
      <c r="V411" s="84">
        <f t="shared" si="404"/>
        <v>0</v>
      </c>
      <c r="W411" s="52">
        <f t="shared" si="405"/>
        <v>128.70176753303195</v>
      </c>
      <c r="X411" s="52">
        <f t="shared" si="406"/>
        <v>40.857411833078402</v>
      </c>
      <c r="Y411" s="52">
        <f t="shared" si="407"/>
        <v>169.55917936611036</v>
      </c>
      <c r="Z411" s="53">
        <f t="shared" si="408"/>
        <v>1.0054825588518121</v>
      </c>
      <c r="AA411" s="53">
        <f t="shared" si="409"/>
        <v>0.24319887995880002</v>
      </c>
      <c r="AB411" s="53">
        <f t="shared" si="410"/>
        <v>0.57283506542604845</v>
      </c>
      <c r="AC411" s="39" t="str">
        <f t="shared" si="411"/>
        <v>Si</v>
      </c>
      <c r="AD411" s="85">
        <f t="shared" si="412"/>
        <v>0</v>
      </c>
      <c r="AE411" s="46">
        <f t="shared" si="413"/>
        <v>0</v>
      </c>
      <c r="AF411" s="46">
        <f t="shared" si="414"/>
        <v>2.1257999999999999</v>
      </c>
      <c r="AG411" s="39">
        <f t="shared" si="469"/>
        <v>103.82407957915896</v>
      </c>
      <c r="AH411" s="39">
        <f t="shared" si="470"/>
        <v>63.827606684578001</v>
      </c>
      <c r="AI411" s="39">
        <f t="shared" si="471"/>
        <v>57.457682149155374</v>
      </c>
      <c r="AJ411" s="39">
        <f t="shared" si="472"/>
        <v>52.592399120139603</v>
      </c>
      <c r="AK411" s="39">
        <f t="shared" si="473"/>
        <v>50.370431123223113</v>
      </c>
      <c r="AL411" s="39">
        <f t="shared" si="474"/>
        <v>42.251388613482192</v>
      </c>
      <c r="AM411" s="39">
        <f t="shared" si="475"/>
        <v>43.756324161977282</v>
      </c>
      <c r="AN411" s="39">
        <f t="shared" si="476"/>
        <v>45.4792679343958</v>
      </c>
      <c r="AO411" s="39">
        <f t="shared" si="415"/>
        <v>7.3824079579158965</v>
      </c>
      <c r="AP411" s="39">
        <f t="shared" si="416"/>
        <v>2.5827606684578002</v>
      </c>
      <c r="AQ411" s="39">
        <f t="shared" si="417"/>
        <v>2.145768214915539</v>
      </c>
      <c r="AR411" s="39">
        <f t="shared" si="418"/>
        <v>0.2744977352356977</v>
      </c>
      <c r="AS411" s="39">
        <f t="shared" si="419"/>
        <v>0.33363865327915371</v>
      </c>
      <c r="AT411" s="39">
        <f t="shared" si="420"/>
        <v>0.40756281560794194</v>
      </c>
      <c r="AU411" s="39">
        <f t="shared" si="421"/>
        <v>0.55094528322636249</v>
      </c>
      <c r="AV411" s="39">
        <f t="shared" si="422"/>
        <v>0.74158156275447151</v>
      </c>
      <c r="AW411" s="39">
        <f t="shared" si="423"/>
        <v>14.419162891392862</v>
      </c>
      <c r="AX411" s="39">
        <f t="shared" si="424"/>
        <v>3.63</v>
      </c>
      <c r="AY411" s="39">
        <f t="shared" si="425"/>
        <v>0</v>
      </c>
      <c r="AZ411" s="39">
        <f t="shared" si="426"/>
        <v>0</v>
      </c>
      <c r="BA411" s="39">
        <f t="shared" si="427"/>
        <v>0</v>
      </c>
      <c r="BB411" s="39">
        <f t="shared" si="428"/>
        <v>0</v>
      </c>
      <c r="BC411" s="39">
        <f t="shared" si="429"/>
        <v>0</v>
      </c>
      <c r="BD411" s="39">
        <f t="shared" si="430"/>
        <v>0</v>
      </c>
      <c r="BE411" s="39">
        <f t="shared" si="431"/>
        <v>0</v>
      </c>
      <c r="BF411" s="39">
        <f t="shared" si="432"/>
        <v>0</v>
      </c>
      <c r="BG411" s="39">
        <f t="shared" si="433"/>
        <v>0</v>
      </c>
      <c r="BH411" s="84">
        <f t="shared" si="434"/>
        <v>0</v>
      </c>
      <c r="BI411" s="84">
        <f t="shared" si="435"/>
        <v>0</v>
      </c>
      <c r="BJ411" s="84">
        <f t="shared" si="436"/>
        <v>0</v>
      </c>
      <c r="BK411" s="39">
        <f t="shared" si="437"/>
        <v>103.82407957915896</v>
      </c>
      <c r="BL411" s="39">
        <f t="shared" si="438"/>
        <v>63.827606684578001</v>
      </c>
      <c r="BM411" s="39">
        <f t="shared" si="439"/>
        <v>57.457682149155374</v>
      </c>
      <c r="BN411" s="39">
        <f t="shared" si="440"/>
        <v>52.592399120139603</v>
      </c>
      <c r="BO411" s="39">
        <f t="shared" si="441"/>
        <v>50.370431123223113</v>
      </c>
      <c r="BP411" s="39">
        <f t="shared" si="442"/>
        <v>42.251388613482192</v>
      </c>
      <c r="BQ411" s="39">
        <f t="shared" si="443"/>
        <v>43.756324161977282</v>
      </c>
      <c r="BR411" s="39">
        <f t="shared" si="444"/>
        <v>45.4792679343958</v>
      </c>
      <c r="BS411" s="39">
        <f t="shared" si="445"/>
        <v>26.294447747495376</v>
      </c>
      <c r="BT411" s="39">
        <f t="shared" si="446"/>
        <v>0</v>
      </c>
      <c r="BU411" s="39">
        <f t="shared" si="447"/>
        <v>0</v>
      </c>
      <c r="BV411" s="39">
        <f t="shared" si="448"/>
        <v>0</v>
      </c>
      <c r="BW411" s="39">
        <f t="shared" si="449"/>
        <v>0</v>
      </c>
      <c r="BX411" s="39">
        <f t="shared" si="450"/>
        <v>0</v>
      </c>
      <c r="BY411" s="39">
        <f t="shared" si="451"/>
        <v>0</v>
      </c>
      <c r="BZ411" s="39">
        <f t="shared" si="452"/>
        <v>0</v>
      </c>
      <c r="CA411" s="39">
        <f t="shared" si="453"/>
        <v>100.29673324642079</v>
      </c>
      <c r="CB411" s="39">
        <f t="shared" si="454"/>
        <v>90.122054432073384</v>
      </c>
      <c r="CC411" s="39">
        <f t="shared" si="455"/>
        <v>57.457682149155374</v>
      </c>
      <c r="CD411" s="39">
        <f t="shared" si="456"/>
        <v>52.592399120139603</v>
      </c>
      <c r="CE411" s="39">
        <f t="shared" si="457"/>
        <v>50.370431123223113</v>
      </c>
      <c r="CF411" s="39">
        <f t="shared" si="458"/>
        <v>42.251388613482192</v>
      </c>
      <c r="CG411" s="39">
        <f t="shared" si="459"/>
        <v>43.756324161977282</v>
      </c>
      <c r="CH411" s="39">
        <f t="shared" si="460"/>
        <v>45.4792679343958</v>
      </c>
      <c r="CI411" s="39">
        <f t="shared" si="461"/>
        <v>0</v>
      </c>
      <c r="CJ411" s="39">
        <f t="shared" si="462"/>
        <v>0</v>
      </c>
      <c r="CK411" s="39">
        <f t="shared" si="463"/>
        <v>0</v>
      </c>
      <c r="CL411" s="39">
        <f t="shared" si="464"/>
        <v>0</v>
      </c>
      <c r="CM411" s="39">
        <f t="shared" si="465"/>
        <v>0</v>
      </c>
      <c r="CN411" s="39">
        <f t="shared" si="466"/>
        <v>0</v>
      </c>
      <c r="CO411" s="39">
        <f t="shared" si="467"/>
        <v>0</v>
      </c>
      <c r="CP411" s="39">
        <f t="shared" si="468"/>
        <v>0</v>
      </c>
    </row>
    <row r="412" spans="12:94" ht="16" customHeight="1" x14ac:dyDescent="0.2">
      <c r="L412" s="63">
        <v>30724</v>
      </c>
      <c r="M412" s="38">
        <v>44.7</v>
      </c>
      <c r="N412" s="38">
        <v>1.7</v>
      </c>
      <c r="O412" s="39">
        <v>2.3664000000000001</v>
      </c>
      <c r="P412" s="39">
        <v>1.1000000000000001</v>
      </c>
      <c r="Q412" s="46">
        <f t="shared" si="399"/>
        <v>7.5066217977957051E-3</v>
      </c>
      <c r="R412" s="81">
        <f t="shared" si="400"/>
        <v>16.229073037061458</v>
      </c>
      <c r="S412" s="82">
        <f t="shared" si="401"/>
        <v>28.470926962938545</v>
      </c>
      <c r="T412" s="39">
        <f t="shared" si="402"/>
        <v>0</v>
      </c>
      <c r="U412" s="83">
        <f t="shared" si="403"/>
        <v>1.87</v>
      </c>
      <c r="V412" s="84">
        <f t="shared" si="404"/>
        <v>0</v>
      </c>
      <c r="W412" s="52">
        <f t="shared" si="405"/>
        <v>151.46886894778913</v>
      </c>
      <c r="X412" s="52">
        <f t="shared" si="406"/>
        <v>40.857411833078402</v>
      </c>
      <c r="Y412" s="52">
        <f t="shared" si="407"/>
        <v>192.32628078086753</v>
      </c>
      <c r="Z412" s="53">
        <f t="shared" si="408"/>
        <v>1.1833505386546026</v>
      </c>
      <c r="AA412" s="53">
        <f t="shared" si="409"/>
        <v>0.24319887995880002</v>
      </c>
      <c r="AB412" s="53">
        <f t="shared" si="410"/>
        <v>0.64975094858401194</v>
      </c>
      <c r="AC412" s="39" t="str">
        <f t="shared" si="411"/>
        <v>Si</v>
      </c>
      <c r="AD412" s="85">
        <f t="shared" si="412"/>
        <v>0</v>
      </c>
      <c r="AE412" s="46">
        <f t="shared" si="413"/>
        <v>0</v>
      </c>
      <c r="AF412" s="46">
        <f t="shared" si="414"/>
        <v>2.1257999999999999</v>
      </c>
      <c r="AG412" s="39">
        <f t="shared" si="469"/>
        <v>100.29673324642079</v>
      </c>
      <c r="AH412" s="39">
        <f t="shared" si="470"/>
        <v>90.122054432073384</v>
      </c>
      <c r="AI412" s="39">
        <f t="shared" si="471"/>
        <v>57.457682149155374</v>
      </c>
      <c r="AJ412" s="39">
        <f t="shared" si="472"/>
        <v>52.592399120139603</v>
      </c>
      <c r="AK412" s="39">
        <f t="shared" si="473"/>
        <v>50.370431123223113</v>
      </c>
      <c r="AL412" s="39">
        <f t="shared" si="474"/>
        <v>42.251388613482192</v>
      </c>
      <c r="AM412" s="39">
        <f t="shared" si="475"/>
        <v>43.756324161977282</v>
      </c>
      <c r="AN412" s="39">
        <f t="shared" si="476"/>
        <v>45.4792679343958</v>
      </c>
      <c r="AO412" s="39">
        <f t="shared" si="415"/>
        <v>7.0296733246420793</v>
      </c>
      <c r="AP412" s="39">
        <f t="shared" si="416"/>
        <v>5.2122054432073384</v>
      </c>
      <c r="AQ412" s="39">
        <f t="shared" si="417"/>
        <v>2.145768214915539</v>
      </c>
      <c r="AR412" s="39">
        <f t="shared" si="418"/>
        <v>0.2744977352356977</v>
      </c>
      <c r="AS412" s="39">
        <f t="shared" si="419"/>
        <v>0.33363865327915371</v>
      </c>
      <c r="AT412" s="39">
        <f t="shared" si="420"/>
        <v>0.40756281560794194</v>
      </c>
      <c r="AU412" s="39">
        <f t="shared" si="421"/>
        <v>0.55094528322636249</v>
      </c>
      <c r="AV412" s="39">
        <f t="shared" si="422"/>
        <v>0.74158156275447151</v>
      </c>
      <c r="AW412" s="39">
        <f t="shared" si="423"/>
        <v>16.695873032868583</v>
      </c>
      <c r="AX412" s="39">
        <f t="shared" si="424"/>
        <v>1.87</v>
      </c>
      <c r="AY412" s="39">
        <f t="shared" si="425"/>
        <v>0</v>
      </c>
      <c r="AZ412" s="39">
        <f t="shared" si="426"/>
        <v>0</v>
      </c>
      <c r="BA412" s="39">
        <f t="shared" si="427"/>
        <v>0</v>
      </c>
      <c r="BB412" s="39">
        <f t="shared" si="428"/>
        <v>0</v>
      </c>
      <c r="BC412" s="39">
        <f t="shared" si="429"/>
        <v>0</v>
      </c>
      <c r="BD412" s="39">
        <f t="shared" si="430"/>
        <v>0</v>
      </c>
      <c r="BE412" s="39">
        <f t="shared" si="431"/>
        <v>0</v>
      </c>
      <c r="BF412" s="39">
        <f t="shared" si="432"/>
        <v>0</v>
      </c>
      <c r="BG412" s="39">
        <f t="shared" si="433"/>
        <v>0</v>
      </c>
      <c r="BH412" s="84">
        <f t="shared" si="434"/>
        <v>0</v>
      </c>
      <c r="BI412" s="84">
        <f t="shared" si="435"/>
        <v>0</v>
      </c>
      <c r="BJ412" s="84">
        <f t="shared" si="436"/>
        <v>0</v>
      </c>
      <c r="BK412" s="39">
        <f t="shared" si="437"/>
        <v>100.29673324642079</v>
      </c>
      <c r="BL412" s="39">
        <f t="shared" si="438"/>
        <v>90.122054432073384</v>
      </c>
      <c r="BM412" s="39">
        <f t="shared" si="439"/>
        <v>57.457682149155374</v>
      </c>
      <c r="BN412" s="39">
        <f t="shared" si="440"/>
        <v>52.592399120139603</v>
      </c>
      <c r="BO412" s="39">
        <f t="shared" si="441"/>
        <v>50.370431123223113</v>
      </c>
      <c r="BP412" s="39">
        <f t="shared" si="442"/>
        <v>42.251388613482192</v>
      </c>
      <c r="BQ412" s="39">
        <f t="shared" si="443"/>
        <v>43.756324161977282</v>
      </c>
      <c r="BR412" s="39">
        <f t="shared" si="444"/>
        <v>45.4792679343958</v>
      </c>
      <c r="BS412" s="39">
        <f t="shared" si="445"/>
        <v>24.178039947852472</v>
      </c>
      <c r="BT412" s="39">
        <f t="shared" si="446"/>
        <v>14.473232659244029</v>
      </c>
      <c r="BU412" s="39">
        <f t="shared" si="447"/>
        <v>0</v>
      </c>
      <c r="BV412" s="39">
        <f t="shared" si="448"/>
        <v>0</v>
      </c>
      <c r="BW412" s="39">
        <f t="shared" si="449"/>
        <v>0</v>
      </c>
      <c r="BX412" s="39">
        <f t="shared" si="450"/>
        <v>0</v>
      </c>
      <c r="BY412" s="39">
        <f t="shared" si="451"/>
        <v>0</v>
      </c>
      <c r="BZ412" s="39">
        <f t="shared" si="452"/>
        <v>0</v>
      </c>
      <c r="CA412" s="39">
        <f t="shared" si="453"/>
        <v>104.58962026150687</v>
      </c>
      <c r="CB412" s="39">
        <f t="shared" si="454"/>
        <v>100.41648198218869</v>
      </c>
      <c r="CC412" s="39">
        <f t="shared" si="455"/>
        <v>78.347396790588093</v>
      </c>
      <c r="CD412" s="39">
        <f t="shared" si="456"/>
        <v>52.592399120139603</v>
      </c>
      <c r="CE412" s="39">
        <f t="shared" si="457"/>
        <v>50.370431123223113</v>
      </c>
      <c r="CF412" s="39">
        <f t="shared" si="458"/>
        <v>42.251388613482192</v>
      </c>
      <c r="CG412" s="39">
        <f t="shared" si="459"/>
        <v>43.756324161977282</v>
      </c>
      <c r="CH412" s="39">
        <f t="shared" si="460"/>
        <v>45.4792679343958</v>
      </c>
      <c r="CI412" s="39">
        <f t="shared" si="461"/>
        <v>0.58962026150686597</v>
      </c>
      <c r="CJ412" s="39">
        <f t="shared" si="462"/>
        <v>6.4164819821886852</v>
      </c>
      <c r="CK412" s="39">
        <f t="shared" si="463"/>
        <v>0</v>
      </c>
      <c r="CL412" s="39">
        <f t="shared" si="464"/>
        <v>0</v>
      </c>
      <c r="CM412" s="39">
        <f t="shared" si="465"/>
        <v>0</v>
      </c>
      <c r="CN412" s="39">
        <f t="shared" si="466"/>
        <v>0</v>
      </c>
      <c r="CO412" s="39">
        <f t="shared" si="467"/>
        <v>0</v>
      </c>
      <c r="CP412" s="39">
        <f t="shared" si="468"/>
        <v>0</v>
      </c>
    </row>
    <row r="413" spans="12:94" ht="16" customHeight="1" x14ac:dyDescent="0.2">
      <c r="L413" s="63">
        <v>30725</v>
      </c>
      <c r="M413" s="38">
        <v>0</v>
      </c>
      <c r="N413" s="38">
        <v>4.4000000000000004</v>
      </c>
      <c r="O413" s="39">
        <v>2.3664000000000001</v>
      </c>
      <c r="P413" s="39">
        <v>1.1000000000000001</v>
      </c>
      <c r="Q413" s="46">
        <f t="shared" si="399"/>
        <v>0</v>
      </c>
      <c r="R413" s="81">
        <f t="shared" si="400"/>
        <v>0</v>
      </c>
      <c r="S413" s="82">
        <f t="shared" si="401"/>
        <v>0</v>
      </c>
      <c r="T413" s="39">
        <f t="shared" si="402"/>
        <v>0</v>
      </c>
      <c r="U413" s="83">
        <f t="shared" si="403"/>
        <v>4.8400000000000007</v>
      </c>
      <c r="V413" s="84">
        <f t="shared" si="404"/>
        <v>0</v>
      </c>
      <c r="W413" s="52">
        <f t="shared" si="405"/>
        <v>179.9397959107277</v>
      </c>
      <c r="X413" s="52">
        <f t="shared" si="406"/>
        <v>40.857411833078402</v>
      </c>
      <c r="Y413" s="52">
        <f t="shared" si="407"/>
        <v>220.7972077438061</v>
      </c>
      <c r="Z413" s="53">
        <f t="shared" si="408"/>
        <v>1.4057796555525601</v>
      </c>
      <c r="AA413" s="53">
        <f t="shared" si="409"/>
        <v>0.24319887995880002</v>
      </c>
      <c r="AB413" s="53">
        <f t="shared" si="410"/>
        <v>0.74593651264799354</v>
      </c>
      <c r="AC413" s="39" t="str">
        <f t="shared" si="411"/>
        <v>Si</v>
      </c>
      <c r="AD413" s="85">
        <f t="shared" si="412"/>
        <v>0</v>
      </c>
      <c r="AE413" s="46">
        <f t="shared" si="413"/>
        <v>0</v>
      </c>
      <c r="AF413" s="46">
        <f t="shared" si="414"/>
        <v>2.1257999999999999</v>
      </c>
      <c r="AG413" s="39">
        <f t="shared" si="469"/>
        <v>104</v>
      </c>
      <c r="AH413" s="39">
        <f t="shared" si="470"/>
        <v>94</v>
      </c>
      <c r="AI413" s="39">
        <f t="shared" si="471"/>
        <v>78.347396790588093</v>
      </c>
      <c r="AJ413" s="39">
        <f t="shared" si="472"/>
        <v>52.592399120139603</v>
      </c>
      <c r="AK413" s="39">
        <f t="shared" si="473"/>
        <v>50.370431123223113</v>
      </c>
      <c r="AL413" s="39">
        <f t="shared" si="474"/>
        <v>42.251388613482192</v>
      </c>
      <c r="AM413" s="39">
        <f t="shared" si="475"/>
        <v>43.756324161977282</v>
      </c>
      <c r="AN413" s="39">
        <f t="shared" si="476"/>
        <v>45.4792679343958</v>
      </c>
      <c r="AO413" s="39">
        <f t="shared" si="415"/>
        <v>7.4</v>
      </c>
      <c r="AP413" s="39">
        <f t="shared" si="416"/>
        <v>5.6000000000000005</v>
      </c>
      <c r="AQ413" s="39">
        <f t="shared" si="417"/>
        <v>4.2347396790588112</v>
      </c>
      <c r="AR413" s="39">
        <f t="shared" si="418"/>
        <v>0.2744977352356977</v>
      </c>
      <c r="AS413" s="39">
        <f t="shared" si="419"/>
        <v>0.33363865327915371</v>
      </c>
      <c r="AT413" s="39">
        <f t="shared" si="420"/>
        <v>0.40756281560794194</v>
      </c>
      <c r="AU413" s="39">
        <f t="shared" si="421"/>
        <v>0.55094528322636249</v>
      </c>
      <c r="AV413" s="39">
        <f t="shared" si="422"/>
        <v>0.74158156275447151</v>
      </c>
      <c r="AW413" s="39">
        <f t="shared" si="423"/>
        <v>19.542965729162439</v>
      </c>
      <c r="AX413" s="39">
        <f t="shared" si="424"/>
        <v>4.8400000000000007</v>
      </c>
      <c r="AY413" s="39">
        <f t="shared" si="425"/>
        <v>4.8400000000000007</v>
      </c>
      <c r="AZ413" s="39">
        <f t="shared" si="426"/>
        <v>1.8326798755295668</v>
      </c>
      <c r="BA413" s="39">
        <f t="shared" si="427"/>
        <v>1.3868928787791317</v>
      </c>
      <c r="BB413" s="39">
        <f t="shared" si="428"/>
        <v>1.0487732686375162</v>
      </c>
      <c r="BC413" s="39">
        <f t="shared" si="429"/>
        <v>6.7981956114176539E-2</v>
      </c>
      <c r="BD413" s="39">
        <f t="shared" si="430"/>
        <v>8.2628762913985354E-2</v>
      </c>
      <c r="BE413" s="39">
        <f t="shared" si="431"/>
        <v>0.10093677975389767</v>
      </c>
      <c r="BF413" s="39">
        <f t="shared" si="432"/>
        <v>0.13644680176849891</v>
      </c>
      <c r="BG413" s="39">
        <f t="shared" si="433"/>
        <v>0.1836596765032279</v>
      </c>
      <c r="BH413" s="84">
        <f t="shared" si="434"/>
        <v>0</v>
      </c>
      <c r="BI413" s="84">
        <f t="shared" si="435"/>
        <v>0</v>
      </c>
      <c r="BJ413" s="84">
        <f t="shared" si="436"/>
        <v>0</v>
      </c>
      <c r="BK413" s="39">
        <f t="shared" si="437"/>
        <v>102.16732012447044</v>
      </c>
      <c r="BL413" s="39">
        <f t="shared" si="438"/>
        <v>92.613107121220864</v>
      </c>
      <c r="BM413" s="39">
        <f t="shared" si="439"/>
        <v>77.298623521950574</v>
      </c>
      <c r="BN413" s="39">
        <f t="shared" si="440"/>
        <v>52.524417164025429</v>
      </c>
      <c r="BO413" s="39">
        <f t="shared" si="441"/>
        <v>50.287802360309129</v>
      </c>
      <c r="BP413" s="39">
        <f t="shared" si="442"/>
        <v>42.150451833728297</v>
      </c>
      <c r="BQ413" s="39">
        <f t="shared" si="443"/>
        <v>43.619877360208783</v>
      </c>
      <c r="BR413" s="39">
        <f t="shared" si="444"/>
        <v>45.295608257892574</v>
      </c>
      <c r="BS413" s="39">
        <f t="shared" si="445"/>
        <v>25.300392074682261</v>
      </c>
      <c r="BT413" s="39">
        <f t="shared" si="446"/>
        <v>15.967864272732518</v>
      </c>
      <c r="BU413" s="39">
        <f t="shared" si="447"/>
        <v>7.9791741131703526</v>
      </c>
      <c r="BV413" s="39">
        <f t="shared" si="448"/>
        <v>0</v>
      </c>
      <c r="BW413" s="39">
        <f t="shared" si="449"/>
        <v>0</v>
      </c>
      <c r="BX413" s="39">
        <f t="shared" si="450"/>
        <v>0</v>
      </c>
      <c r="BY413" s="39">
        <f t="shared" si="451"/>
        <v>0</v>
      </c>
      <c r="BZ413" s="39">
        <f t="shared" si="452"/>
        <v>0</v>
      </c>
      <c r="CA413" s="39">
        <f t="shared" si="453"/>
        <v>76.866928049788172</v>
      </c>
      <c r="CB413" s="39">
        <f t="shared" si="454"/>
        <v>101.94563492317062</v>
      </c>
      <c r="CC413" s="39">
        <f t="shared" si="455"/>
        <v>93.232948604683344</v>
      </c>
      <c r="CD413" s="39">
        <f t="shared" si="456"/>
        <v>63.736539881879153</v>
      </c>
      <c r="CE413" s="39">
        <f t="shared" si="457"/>
        <v>50.287802360309129</v>
      </c>
      <c r="CF413" s="39">
        <f t="shared" si="458"/>
        <v>42.150451833728297</v>
      </c>
      <c r="CG413" s="39">
        <f t="shared" si="459"/>
        <v>43.619877360208783</v>
      </c>
      <c r="CH413" s="39">
        <f t="shared" si="460"/>
        <v>45.295608257892574</v>
      </c>
      <c r="CI413" s="39">
        <f t="shared" si="461"/>
        <v>0</v>
      </c>
      <c r="CJ413" s="39">
        <f t="shared" si="462"/>
        <v>7.9456349231706156</v>
      </c>
      <c r="CK413" s="39">
        <f t="shared" si="463"/>
        <v>3.2329486046833722</v>
      </c>
      <c r="CL413" s="39">
        <f t="shared" si="464"/>
        <v>0</v>
      </c>
      <c r="CM413" s="39">
        <f t="shared" si="465"/>
        <v>0</v>
      </c>
      <c r="CN413" s="39">
        <f t="shared" si="466"/>
        <v>0</v>
      </c>
      <c r="CO413" s="39">
        <f t="shared" si="467"/>
        <v>0</v>
      </c>
      <c r="CP413" s="39">
        <f t="shared" si="468"/>
        <v>0</v>
      </c>
    </row>
    <row r="414" spans="12:94" ht="16" customHeight="1" x14ac:dyDescent="0.2">
      <c r="L414" s="63">
        <v>30726</v>
      </c>
      <c r="M414" s="38">
        <v>0</v>
      </c>
      <c r="N414" s="38">
        <v>5.5</v>
      </c>
      <c r="O414" s="39">
        <v>2.3664000000000001</v>
      </c>
      <c r="P414" s="39">
        <v>1.1000000000000001</v>
      </c>
      <c r="Q414" s="46">
        <f t="shared" si="399"/>
        <v>5.4999470169348301E-2</v>
      </c>
      <c r="R414" s="81">
        <f t="shared" si="400"/>
        <v>0</v>
      </c>
      <c r="S414" s="82">
        <f t="shared" si="401"/>
        <v>0</v>
      </c>
      <c r="T414" s="39">
        <f t="shared" si="402"/>
        <v>0</v>
      </c>
      <c r="U414" s="83">
        <f t="shared" si="403"/>
        <v>6.0500000000000007</v>
      </c>
      <c r="V414" s="84">
        <f t="shared" si="404"/>
        <v>0</v>
      </c>
      <c r="W414" s="52">
        <f t="shared" si="405"/>
        <v>175.6034679316673</v>
      </c>
      <c r="X414" s="52">
        <f t="shared" si="406"/>
        <v>40.353739812138798</v>
      </c>
      <c r="Y414" s="52">
        <f t="shared" si="407"/>
        <v>215.95720774380609</v>
      </c>
      <c r="Z414" s="53">
        <f t="shared" si="408"/>
        <v>1.3719020932161508</v>
      </c>
      <c r="AA414" s="53">
        <f t="shared" si="409"/>
        <v>0.2402008322151119</v>
      </c>
      <c r="AB414" s="53">
        <f t="shared" si="410"/>
        <v>0.72958516129664219</v>
      </c>
      <c r="AC414" s="39" t="str">
        <f t="shared" si="411"/>
        <v>No</v>
      </c>
      <c r="AD414" s="85">
        <f t="shared" si="412"/>
        <v>0</v>
      </c>
      <c r="AE414" s="46">
        <f t="shared" si="413"/>
        <v>0</v>
      </c>
      <c r="AF414" s="46">
        <f t="shared" si="414"/>
        <v>2.1257999999999999</v>
      </c>
      <c r="AG414" s="39">
        <f t="shared" si="469"/>
        <v>76.866928049788172</v>
      </c>
      <c r="AH414" s="39">
        <f t="shared" si="470"/>
        <v>94</v>
      </c>
      <c r="AI414" s="39">
        <f t="shared" si="471"/>
        <v>89.999999999999972</v>
      </c>
      <c r="AJ414" s="39">
        <f t="shared" si="472"/>
        <v>63.736539881879153</v>
      </c>
      <c r="AK414" s="39">
        <f t="shared" si="473"/>
        <v>50.287802360309129</v>
      </c>
      <c r="AL414" s="39">
        <f t="shared" si="474"/>
        <v>42.150451833728297</v>
      </c>
      <c r="AM414" s="39">
        <f t="shared" si="475"/>
        <v>43.619877360208783</v>
      </c>
      <c r="AN414" s="39">
        <f t="shared" si="476"/>
        <v>45.295608257892574</v>
      </c>
      <c r="AO414" s="39">
        <f t="shared" si="415"/>
        <v>4.6866928049788177</v>
      </c>
      <c r="AP414" s="39">
        <f t="shared" si="416"/>
        <v>5.6000000000000005</v>
      </c>
      <c r="AQ414" s="39">
        <f t="shared" si="417"/>
        <v>5.3999999999999986</v>
      </c>
      <c r="AR414" s="39">
        <f t="shared" si="418"/>
        <v>1.6717044130726084</v>
      </c>
      <c r="AS414" s="39">
        <f t="shared" si="419"/>
        <v>0.32708413315974144</v>
      </c>
      <c r="AT414" s="39">
        <f t="shared" si="420"/>
        <v>0.39871794648276865</v>
      </c>
      <c r="AU414" s="39">
        <f t="shared" si="421"/>
        <v>0.53705616736130901</v>
      </c>
      <c r="AV414" s="39">
        <f t="shared" si="422"/>
        <v>0.71991420205502787</v>
      </c>
      <c r="AW414" s="39">
        <f t="shared" si="423"/>
        <v>19.341169667110272</v>
      </c>
      <c r="AX414" s="39">
        <f t="shared" si="424"/>
        <v>6.0500000000000007</v>
      </c>
      <c r="AY414" s="39">
        <f t="shared" si="425"/>
        <v>6.0500000000000007</v>
      </c>
      <c r="AZ414" s="39">
        <f t="shared" si="426"/>
        <v>1.4660174104329773</v>
      </c>
      <c r="BA414" s="39">
        <f t="shared" si="427"/>
        <v>1.7517037791986836</v>
      </c>
      <c r="BB414" s="39">
        <f t="shared" si="428"/>
        <v>1.689142929941587</v>
      </c>
      <c r="BC414" s="39">
        <f t="shared" si="429"/>
        <v>0.52291623894328654</v>
      </c>
      <c r="BD414" s="39">
        <f t="shared" si="430"/>
        <v>0.10231330574497222</v>
      </c>
      <c r="BE414" s="39">
        <f t="shared" si="431"/>
        <v>0.12472066673003647</v>
      </c>
      <c r="BF414" s="39">
        <f t="shared" si="432"/>
        <v>0.16799344964442242</v>
      </c>
      <c r="BG414" s="39">
        <f t="shared" si="433"/>
        <v>0.22519221936403516</v>
      </c>
      <c r="BH414" s="84">
        <f t="shared" si="434"/>
        <v>0</v>
      </c>
      <c r="BI414" s="84">
        <f t="shared" si="435"/>
        <v>0</v>
      </c>
      <c r="BJ414" s="84">
        <f t="shared" si="436"/>
        <v>0</v>
      </c>
      <c r="BK414" s="39">
        <f t="shared" si="437"/>
        <v>75.400910639355189</v>
      </c>
      <c r="BL414" s="39">
        <f t="shared" si="438"/>
        <v>92.248296220801322</v>
      </c>
      <c r="BM414" s="39">
        <f t="shared" si="439"/>
        <v>88.31085707005839</v>
      </c>
      <c r="BN414" s="39">
        <f t="shared" si="440"/>
        <v>63.213623642935865</v>
      </c>
      <c r="BO414" s="39">
        <f t="shared" si="441"/>
        <v>50.185489054564158</v>
      </c>
      <c r="BP414" s="39">
        <f t="shared" si="442"/>
        <v>42.025731166998263</v>
      </c>
      <c r="BQ414" s="39">
        <f t="shared" si="443"/>
        <v>43.451883910564362</v>
      </c>
      <c r="BR414" s="39">
        <f t="shared" si="444"/>
        <v>45.070416038528542</v>
      </c>
      <c r="BS414" s="39">
        <f t="shared" si="445"/>
        <v>9.240546383613113</v>
      </c>
      <c r="BT414" s="39">
        <f t="shared" si="446"/>
        <v>15.748977732480792</v>
      </c>
      <c r="BU414" s="39">
        <f t="shared" si="447"/>
        <v>14.586514242035042</v>
      </c>
      <c r="BV414" s="39">
        <f t="shared" si="448"/>
        <v>0</v>
      </c>
      <c r="BW414" s="39">
        <f t="shared" si="449"/>
        <v>0</v>
      </c>
      <c r="BX414" s="39">
        <f t="shared" si="450"/>
        <v>0</v>
      </c>
      <c r="BY414" s="39">
        <f t="shared" si="451"/>
        <v>0</v>
      </c>
      <c r="BZ414" s="39">
        <f t="shared" si="452"/>
        <v>0</v>
      </c>
      <c r="CA414" s="39">
        <f t="shared" si="453"/>
        <v>66.160364255742081</v>
      </c>
      <c r="CB414" s="39">
        <f t="shared" si="454"/>
        <v>85.739864871933634</v>
      </c>
      <c r="CC414" s="39">
        <f t="shared" si="455"/>
        <v>89.473320560504149</v>
      </c>
      <c r="CD414" s="39">
        <f t="shared" si="456"/>
        <v>77.800137884970908</v>
      </c>
      <c r="CE414" s="39">
        <f t="shared" si="457"/>
        <v>50.185489054564158</v>
      </c>
      <c r="CF414" s="39">
        <f t="shared" si="458"/>
        <v>42.025731166998263</v>
      </c>
      <c r="CG414" s="39">
        <f t="shared" si="459"/>
        <v>43.451883910564362</v>
      </c>
      <c r="CH414" s="39">
        <f t="shared" si="460"/>
        <v>45.070416038528542</v>
      </c>
      <c r="CI414" s="39">
        <f t="shared" si="461"/>
        <v>0</v>
      </c>
      <c r="CJ414" s="39">
        <f t="shared" si="462"/>
        <v>0</v>
      </c>
      <c r="CK414" s="39">
        <f t="shared" si="463"/>
        <v>0</v>
      </c>
      <c r="CL414" s="39">
        <f t="shared" si="464"/>
        <v>0</v>
      </c>
      <c r="CM414" s="39">
        <f t="shared" si="465"/>
        <v>0</v>
      </c>
      <c r="CN414" s="39">
        <f t="shared" si="466"/>
        <v>0</v>
      </c>
      <c r="CO414" s="39">
        <f t="shared" si="467"/>
        <v>0</v>
      </c>
      <c r="CP414" s="39">
        <f t="shared" si="468"/>
        <v>0</v>
      </c>
    </row>
    <row r="415" spans="12:94" ht="16" customHeight="1" x14ac:dyDescent="0.2">
      <c r="L415" s="63">
        <v>30727</v>
      </c>
      <c r="M415" s="38">
        <v>0</v>
      </c>
      <c r="N415" s="38">
        <v>5.4</v>
      </c>
      <c r="O415" s="39">
        <v>2.3664000000000001</v>
      </c>
      <c r="P415" s="39">
        <v>1.1000000000000001</v>
      </c>
      <c r="Q415" s="46">
        <f t="shared" si="399"/>
        <v>7.6701964346468754E-2</v>
      </c>
      <c r="R415" s="81">
        <f t="shared" si="400"/>
        <v>0</v>
      </c>
      <c r="S415" s="82">
        <f t="shared" si="401"/>
        <v>0</v>
      </c>
      <c r="T415" s="39">
        <f t="shared" si="402"/>
        <v>0</v>
      </c>
      <c r="U415" s="83">
        <f t="shared" si="403"/>
        <v>5.9400000000000013</v>
      </c>
      <c r="V415" s="84">
        <f t="shared" si="404"/>
        <v>0</v>
      </c>
      <c r="W415" s="52">
        <f t="shared" si="405"/>
        <v>170.1736875731508</v>
      </c>
      <c r="X415" s="52">
        <f t="shared" si="406"/>
        <v>39.733520170655339</v>
      </c>
      <c r="Y415" s="52">
        <f t="shared" si="407"/>
        <v>209.90720774380614</v>
      </c>
      <c r="Z415" s="53">
        <f t="shared" si="408"/>
        <v>1.3294819341652406</v>
      </c>
      <c r="AA415" s="53">
        <f t="shared" si="409"/>
        <v>0.2365090486348532</v>
      </c>
      <c r="AB415" s="53">
        <f t="shared" si="410"/>
        <v>0.70914597210745323</v>
      </c>
      <c r="AC415" s="39" t="str">
        <f t="shared" si="411"/>
        <v>No</v>
      </c>
      <c r="AD415" s="85">
        <f t="shared" si="412"/>
        <v>0</v>
      </c>
      <c r="AE415" s="46">
        <f t="shared" si="413"/>
        <v>0</v>
      </c>
      <c r="AF415" s="46">
        <f t="shared" si="414"/>
        <v>2.1257999999999999</v>
      </c>
      <c r="AG415" s="39">
        <f t="shared" si="469"/>
        <v>66.160364255742081</v>
      </c>
      <c r="AH415" s="39">
        <f t="shared" si="470"/>
        <v>85.739864871933634</v>
      </c>
      <c r="AI415" s="39">
        <f t="shared" si="471"/>
        <v>89.473320560504149</v>
      </c>
      <c r="AJ415" s="39">
        <f t="shared" si="472"/>
        <v>77.800137884970908</v>
      </c>
      <c r="AK415" s="39">
        <f t="shared" si="473"/>
        <v>50.185489054564158</v>
      </c>
      <c r="AL415" s="39">
        <f t="shared" si="474"/>
        <v>42.025731166998263</v>
      </c>
      <c r="AM415" s="39">
        <f t="shared" si="475"/>
        <v>43.451883910564362</v>
      </c>
      <c r="AN415" s="39">
        <f t="shared" si="476"/>
        <v>45.070416038528542</v>
      </c>
      <c r="AO415" s="39">
        <f t="shared" si="415"/>
        <v>3.6160364255742081</v>
      </c>
      <c r="AP415" s="39">
        <f t="shared" si="416"/>
        <v>4.7739864871933637</v>
      </c>
      <c r="AQ415" s="39">
        <f t="shared" si="417"/>
        <v>5.3473320560504165</v>
      </c>
      <c r="AR415" s="39">
        <f t="shared" si="418"/>
        <v>3.2800137884970901</v>
      </c>
      <c r="AS415" s="39">
        <f t="shared" si="419"/>
        <v>0.31905824315423698</v>
      </c>
      <c r="AT415" s="39">
        <f t="shared" si="420"/>
        <v>0.38792296713773183</v>
      </c>
      <c r="AU415" s="39">
        <f t="shared" si="421"/>
        <v>0.52019941561863814</v>
      </c>
      <c r="AV415" s="39">
        <f t="shared" si="422"/>
        <v>0.69378544449127078</v>
      </c>
      <c r="AW415" s="39">
        <f t="shared" si="423"/>
        <v>18.938334827716961</v>
      </c>
      <c r="AX415" s="39">
        <f t="shared" si="424"/>
        <v>5.9400000000000013</v>
      </c>
      <c r="AY415" s="39">
        <f t="shared" si="425"/>
        <v>5.9400000000000013</v>
      </c>
      <c r="AZ415" s="39">
        <f t="shared" si="426"/>
        <v>1.1341681601528719</v>
      </c>
      <c r="BA415" s="39">
        <f t="shared" si="427"/>
        <v>1.4973586638898344</v>
      </c>
      <c r="BB415" s="39">
        <f t="shared" si="428"/>
        <v>1.6771882376085629</v>
      </c>
      <c r="BC415" s="39">
        <f t="shared" si="429"/>
        <v>1.0287748147296567</v>
      </c>
      <c r="BD415" s="39">
        <f t="shared" si="430"/>
        <v>0.10007247107926634</v>
      </c>
      <c r="BE415" s="39">
        <f t="shared" si="431"/>
        <v>0.1216718600531739</v>
      </c>
      <c r="BF415" s="39">
        <f t="shared" si="432"/>
        <v>0.16316030722259717</v>
      </c>
      <c r="BG415" s="39">
        <f t="shared" si="433"/>
        <v>0.21760548526403634</v>
      </c>
      <c r="BH415" s="84">
        <f t="shared" si="434"/>
        <v>0</v>
      </c>
      <c r="BI415" s="84">
        <f t="shared" si="435"/>
        <v>0</v>
      </c>
      <c r="BJ415" s="84">
        <f t="shared" si="436"/>
        <v>0</v>
      </c>
      <c r="BK415" s="39">
        <f t="shared" si="437"/>
        <v>65.026196095589214</v>
      </c>
      <c r="BL415" s="39">
        <f t="shared" si="438"/>
        <v>84.242506208043793</v>
      </c>
      <c r="BM415" s="39">
        <f t="shared" si="439"/>
        <v>87.796132322895588</v>
      </c>
      <c r="BN415" s="39">
        <f t="shared" si="440"/>
        <v>76.77136307024125</v>
      </c>
      <c r="BO415" s="39">
        <f t="shared" si="441"/>
        <v>50.085416583484893</v>
      </c>
      <c r="BP415" s="39">
        <f t="shared" si="442"/>
        <v>41.904059306945086</v>
      </c>
      <c r="BQ415" s="39">
        <f t="shared" si="443"/>
        <v>43.288723603341765</v>
      </c>
      <c r="BR415" s="39">
        <f t="shared" si="444"/>
        <v>44.852810553264504</v>
      </c>
      <c r="BS415" s="39">
        <f t="shared" si="445"/>
        <v>3.015717657353528</v>
      </c>
      <c r="BT415" s="39">
        <f t="shared" si="446"/>
        <v>10.945503724826276</v>
      </c>
      <c r="BU415" s="39">
        <f t="shared" si="447"/>
        <v>14.27767939373736</v>
      </c>
      <c r="BV415" s="39">
        <f t="shared" si="448"/>
        <v>0</v>
      </c>
      <c r="BW415" s="39">
        <f t="shared" si="449"/>
        <v>0</v>
      </c>
      <c r="BX415" s="39">
        <f t="shared" si="450"/>
        <v>0</v>
      </c>
      <c r="BY415" s="39">
        <f t="shared" si="451"/>
        <v>0</v>
      </c>
      <c r="BZ415" s="39">
        <f t="shared" si="452"/>
        <v>0</v>
      </c>
      <c r="CA415" s="39">
        <f t="shared" si="453"/>
        <v>62.010478438235687</v>
      </c>
      <c r="CB415" s="39">
        <f t="shared" si="454"/>
        <v>76.312720140571045</v>
      </c>
      <c r="CC415" s="39">
        <f t="shared" si="455"/>
        <v>84.463956653984511</v>
      </c>
      <c r="CD415" s="39">
        <f t="shared" si="456"/>
        <v>91.049042463978608</v>
      </c>
      <c r="CE415" s="39">
        <f t="shared" si="457"/>
        <v>50.085416583484893</v>
      </c>
      <c r="CF415" s="39">
        <f t="shared" si="458"/>
        <v>41.904059306945086</v>
      </c>
      <c r="CG415" s="39">
        <f t="shared" si="459"/>
        <v>43.288723603341765</v>
      </c>
      <c r="CH415" s="39">
        <f t="shared" si="460"/>
        <v>44.852810553264504</v>
      </c>
      <c r="CI415" s="39">
        <f t="shared" si="461"/>
        <v>0</v>
      </c>
      <c r="CJ415" s="39">
        <f t="shared" si="462"/>
        <v>0</v>
      </c>
      <c r="CK415" s="39">
        <f t="shared" si="463"/>
        <v>0</v>
      </c>
      <c r="CL415" s="39">
        <f t="shared" si="464"/>
        <v>0</v>
      </c>
      <c r="CM415" s="39">
        <f t="shared" si="465"/>
        <v>0</v>
      </c>
      <c r="CN415" s="39">
        <f t="shared" si="466"/>
        <v>0</v>
      </c>
      <c r="CO415" s="39">
        <f t="shared" si="467"/>
        <v>0</v>
      </c>
      <c r="CP415" s="39">
        <f t="shared" si="468"/>
        <v>0</v>
      </c>
    </row>
    <row r="416" spans="12:94" ht="16" customHeight="1" x14ac:dyDescent="0.2">
      <c r="L416" s="63">
        <v>30728</v>
      </c>
      <c r="M416" s="38">
        <v>0</v>
      </c>
      <c r="N416" s="38">
        <v>5.3</v>
      </c>
      <c r="O416" s="39">
        <v>2.3664000000000001</v>
      </c>
      <c r="P416" s="39">
        <v>1.1000000000000001</v>
      </c>
      <c r="Q416" s="46">
        <f t="shared" si="399"/>
        <v>8.5113895057630368E-2</v>
      </c>
      <c r="R416" s="81">
        <f t="shared" si="400"/>
        <v>0</v>
      </c>
      <c r="S416" s="82">
        <f t="shared" si="401"/>
        <v>0</v>
      </c>
      <c r="T416" s="39">
        <f t="shared" si="402"/>
        <v>0</v>
      </c>
      <c r="U416" s="83">
        <f t="shared" si="403"/>
        <v>5.83</v>
      </c>
      <c r="V416" s="84">
        <f t="shared" si="404"/>
        <v>0</v>
      </c>
      <c r="W416" s="52">
        <f t="shared" si="405"/>
        <v>164.83619769676983</v>
      </c>
      <c r="X416" s="52">
        <f t="shared" si="406"/>
        <v>39.131010047036256</v>
      </c>
      <c r="Y416" s="52">
        <f t="shared" si="407"/>
        <v>203.96720774380609</v>
      </c>
      <c r="Z416" s="53">
        <f t="shared" si="408"/>
        <v>1.2877827945060143</v>
      </c>
      <c r="AA416" s="53">
        <f t="shared" si="409"/>
        <v>0.23292267885140627</v>
      </c>
      <c r="AB416" s="53">
        <f t="shared" si="410"/>
        <v>0.68907840453988545</v>
      </c>
      <c r="AC416" s="39" t="str">
        <f t="shared" si="411"/>
        <v>No</v>
      </c>
      <c r="AD416" s="85">
        <f t="shared" si="412"/>
        <v>0</v>
      </c>
      <c r="AE416" s="46">
        <f t="shared" si="413"/>
        <v>0</v>
      </c>
      <c r="AF416" s="46">
        <f t="shared" si="414"/>
        <v>2.1257999999999999</v>
      </c>
      <c r="AG416" s="39">
        <f t="shared" si="469"/>
        <v>62.010478438235687</v>
      </c>
      <c r="AH416" s="39">
        <f t="shared" si="470"/>
        <v>76.312720140571045</v>
      </c>
      <c r="AI416" s="39">
        <f t="shared" si="471"/>
        <v>84.463956653984511</v>
      </c>
      <c r="AJ416" s="39">
        <f t="shared" si="472"/>
        <v>91.049042463978608</v>
      </c>
      <c r="AK416" s="39">
        <f t="shared" si="473"/>
        <v>50.085416583484893</v>
      </c>
      <c r="AL416" s="39">
        <f t="shared" si="474"/>
        <v>41.904059306945086</v>
      </c>
      <c r="AM416" s="39">
        <f t="shared" si="475"/>
        <v>43.288723603341765</v>
      </c>
      <c r="AN416" s="39">
        <f t="shared" si="476"/>
        <v>44.852810553264504</v>
      </c>
      <c r="AO416" s="39">
        <f t="shared" si="415"/>
        <v>3.2010478438235688</v>
      </c>
      <c r="AP416" s="39">
        <f t="shared" si="416"/>
        <v>3.8312720140571046</v>
      </c>
      <c r="AQ416" s="39">
        <f t="shared" si="417"/>
        <v>4.846395665398453</v>
      </c>
      <c r="AR416" s="39">
        <f t="shared" si="418"/>
        <v>4.6049042463978607</v>
      </c>
      <c r="AS416" s="39">
        <f t="shared" si="419"/>
        <v>0.31130457775472692</v>
      </c>
      <c r="AT416" s="39">
        <f t="shared" si="420"/>
        <v>0.37753462924569181</v>
      </c>
      <c r="AU416" s="39">
        <f t="shared" si="421"/>
        <v>0.50408492088553236</v>
      </c>
      <c r="AV416" s="39">
        <f t="shared" si="422"/>
        <v>0.66899580005513437</v>
      </c>
      <c r="AW416" s="39">
        <f t="shared" si="423"/>
        <v>18.345539697618072</v>
      </c>
      <c r="AX416" s="39">
        <f t="shared" si="424"/>
        <v>5.83</v>
      </c>
      <c r="AY416" s="39">
        <f t="shared" si="425"/>
        <v>5.83</v>
      </c>
      <c r="AZ416" s="39">
        <f t="shared" si="426"/>
        <v>1.0172559236245546</v>
      </c>
      <c r="BA416" s="39">
        <f t="shared" si="427"/>
        <v>1.2175338643677514</v>
      </c>
      <c r="BB416" s="39">
        <f t="shared" si="428"/>
        <v>1.5401284015068499</v>
      </c>
      <c r="BC416" s="39">
        <f t="shared" si="429"/>
        <v>1.4633852260004763</v>
      </c>
      <c r="BD416" s="39">
        <f t="shared" si="430"/>
        <v>9.8928988638350035E-2</v>
      </c>
      <c r="BE416" s="39">
        <f t="shared" si="431"/>
        <v>0.11997613178903413</v>
      </c>
      <c r="BF416" s="39">
        <f t="shared" si="432"/>
        <v>0.16019234850551822</v>
      </c>
      <c r="BG416" s="39">
        <f t="shared" si="433"/>
        <v>0.21259911556746566</v>
      </c>
      <c r="BH416" s="84">
        <f t="shared" si="434"/>
        <v>0</v>
      </c>
      <c r="BI416" s="84">
        <f t="shared" si="435"/>
        <v>0</v>
      </c>
      <c r="BJ416" s="84">
        <f t="shared" si="436"/>
        <v>0</v>
      </c>
      <c r="BK416" s="39">
        <f t="shared" si="437"/>
        <v>60.993222514611134</v>
      </c>
      <c r="BL416" s="39">
        <f t="shared" si="438"/>
        <v>75.095186276203293</v>
      </c>
      <c r="BM416" s="39">
        <f t="shared" si="439"/>
        <v>82.923828252477662</v>
      </c>
      <c r="BN416" s="39">
        <f t="shared" si="440"/>
        <v>89.585657237978126</v>
      </c>
      <c r="BO416" s="39">
        <f t="shared" si="441"/>
        <v>49.986487594846544</v>
      </c>
      <c r="BP416" s="39">
        <f t="shared" si="442"/>
        <v>41.784083175156056</v>
      </c>
      <c r="BQ416" s="39">
        <f t="shared" si="443"/>
        <v>43.128531254836247</v>
      </c>
      <c r="BR416" s="39">
        <f t="shared" si="444"/>
        <v>44.64021143769704</v>
      </c>
      <c r="BS416" s="39">
        <f t="shared" si="445"/>
        <v>0.59593350876668005</v>
      </c>
      <c r="BT416" s="39">
        <f t="shared" si="446"/>
        <v>5.4571117657219759</v>
      </c>
      <c r="BU416" s="39">
        <f t="shared" si="447"/>
        <v>11.354296951486605</v>
      </c>
      <c r="BV416" s="39">
        <f t="shared" si="448"/>
        <v>1.5513943427868668</v>
      </c>
      <c r="BW416" s="39">
        <f t="shared" si="449"/>
        <v>0</v>
      </c>
      <c r="BX416" s="39">
        <f t="shared" si="450"/>
        <v>0</v>
      </c>
      <c r="BY416" s="39">
        <f t="shared" si="451"/>
        <v>0</v>
      </c>
      <c r="BZ416" s="39">
        <f t="shared" si="452"/>
        <v>0</v>
      </c>
      <c r="CA416" s="39">
        <f t="shared" si="453"/>
        <v>60.397289005844456</v>
      </c>
      <c r="CB416" s="39">
        <f t="shared" si="454"/>
        <v>70.234008019247995</v>
      </c>
      <c r="CC416" s="39">
        <f t="shared" si="455"/>
        <v>77.026643066713035</v>
      </c>
      <c r="CD416" s="39">
        <f t="shared" si="456"/>
        <v>99.388559846677865</v>
      </c>
      <c r="CE416" s="39">
        <f t="shared" si="457"/>
        <v>51.537881937633408</v>
      </c>
      <c r="CF416" s="39">
        <f t="shared" si="458"/>
        <v>41.784083175156056</v>
      </c>
      <c r="CG416" s="39">
        <f t="shared" si="459"/>
        <v>43.128531254836247</v>
      </c>
      <c r="CH416" s="39">
        <f t="shared" si="460"/>
        <v>44.64021143769704</v>
      </c>
      <c r="CI416" s="39">
        <f t="shared" si="461"/>
        <v>0</v>
      </c>
      <c r="CJ416" s="39">
        <f t="shared" si="462"/>
        <v>0</v>
      </c>
      <c r="CK416" s="39">
        <f t="shared" si="463"/>
        <v>0</v>
      </c>
      <c r="CL416" s="39">
        <f t="shared" si="464"/>
        <v>0</v>
      </c>
      <c r="CM416" s="39">
        <f t="shared" si="465"/>
        <v>0</v>
      </c>
      <c r="CN416" s="39">
        <f t="shared" si="466"/>
        <v>0</v>
      </c>
      <c r="CO416" s="39">
        <f t="shared" si="467"/>
        <v>0</v>
      </c>
      <c r="CP416" s="39">
        <f t="shared" si="468"/>
        <v>0</v>
      </c>
    </row>
    <row r="417" spans="12:94" ht="16" customHeight="1" x14ac:dyDescent="0.2">
      <c r="L417" s="63">
        <v>30729</v>
      </c>
      <c r="M417" s="38">
        <v>0</v>
      </c>
      <c r="N417" s="38">
        <v>4.9000000000000004</v>
      </c>
      <c r="O417" s="39">
        <v>2.3664000000000001</v>
      </c>
      <c r="P417" s="39">
        <v>1.1000000000000001</v>
      </c>
      <c r="Q417" s="46">
        <f t="shared" si="399"/>
        <v>8.8383873636801766E-2</v>
      </c>
      <c r="R417" s="81">
        <f t="shared" si="400"/>
        <v>0</v>
      </c>
      <c r="S417" s="82">
        <f t="shared" si="401"/>
        <v>0</v>
      </c>
      <c r="T417" s="39">
        <f t="shared" si="402"/>
        <v>0</v>
      </c>
      <c r="U417" s="83">
        <f t="shared" si="403"/>
        <v>5.3900000000000006</v>
      </c>
      <c r="V417" s="84">
        <f t="shared" si="404"/>
        <v>0</v>
      </c>
      <c r="W417" s="52">
        <f t="shared" si="405"/>
        <v>158.04649993848335</v>
      </c>
      <c r="X417" s="52">
        <f t="shared" si="406"/>
        <v>40.090707805322751</v>
      </c>
      <c r="Y417" s="52">
        <f t="shared" si="407"/>
        <v>198.1372077438061</v>
      </c>
      <c r="Z417" s="53">
        <f t="shared" si="408"/>
        <v>1.2347382807694012</v>
      </c>
      <c r="AA417" s="53">
        <f t="shared" si="409"/>
        <v>0.2386351655078735</v>
      </c>
      <c r="AB417" s="53">
        <f t="shared" si="410"/>
        <v>0.66938245859393952</v>
      </c>
      <c r="AC417" s="39" t="str">
        <f t="shared" si="411"/>
        <v>No</v>
      </c>
      <c r="AD417" s="85">
        <f t="shared" si="412"/>
        <v>0</v>
      </c>
      <c r="AE417" s="46">
        <f t="shared" si="413"/>
        <v>0</v>
      </c>
      <c r="AF417" s="46">
        <f t="shared" si="414"/>
        <v>2.1257999999999999</v>
      </c>
      <c r="AG417" s="39">
        <f t="shared" si="469"/>
        <v>60.397289005844456</v>
      </c>
      <c r="AH417" s="39">
        <f t="shared" si="470"/>
        <v>70.234008019247995</v>
      </c>
      <c r="AI417" s="39">
        <f t="shared" si="471"/>
        <v>77.026643066713035</v>
      </c>
      <c r="AJ417" s="39">
        <f t="shared" si="472"/>
        <v>99.388559846677865</v>
      </c>
      <c r="AK417" s="39">
        <f t="shared" si="473"/>
        <v>51.537881937633408</v>
      </c>
      <c r="AL417" s="39">
        <f t="shared" si="474"/>
        <v>41.784083175156056</v>
      </c>
      <c r="AM417" s="39">
        <f t="shared" si="475"/>
        <v>43.128531254836247</v>
      </c>
      <c r="AN417" s="39">
        <f t="shared" si="476"/>
        <v>44.64021143769704</v>
      </c>
      <c r="AO417" s="39">
        <f t="shared" si="415"/>
        <v>3.0397289005844459</v>
      </c>
      <c r="AP417" s="39">
        <f t="shared" si="416"/>
        <v>3.2234008019247997</v>
      </c>
      <c r="AQ417" s="39">
        <f t="shared" si="417"/>
        <v>4.1026643066713051</v>
      </c>
      <c r="AR417" s="39">
        <f t="shared" si="418"/>
        <v>5.4388559846677857</v>
      </c>
      <c r="AS417" s="39">
        <f t="shared" si="419"/>
        <v>0.43319615169635128</v>
      </c>
      <c r="AT417" s="39">
        <f t="shared" si="420"/>
        <v>0.36742912965742647</v>
      </c>
      <c r="AU417" s="39">
        <f t="shared" si="421"/>
        <v>0.48851021609616452</v>
      </c>
      <c r="AV417" s="39">
        <f t="shared" si="422"/>
        <v>0.64521201102044201</v>
      </c>
      <c r="AW417" s="39">
        <f t="shared" si="423"/>
        <v>17.738997502318718</v>
      </c>
      <c r="AX417" s="39">
        <f t="shared" si="424"/>
        <v>5.3900000000000006</v>
      </c>
      <c r="AY417" s="39">
        <f t="shared" si="425"/>
        <v>5.3900000000000006</v>
      </c>
      <c r="AZ417" s="39">
        <f t="shared" si="426"/>
        <v>0.9236225875790639</v>
      </c>
      <c r="BA417" s="39">
        <f t="shared" si="427"/>
        <v>0.9794313528768267</v>
      </c>
      <c r="BB417" s="39">
        <f t="shared" si="428"/>
        <v>1.2465958468097103</v>
      </c>
      <c r="BC417" s="39">
        <f t="shared" si="429"/>
        <v>1.6525981106614092</v>
      </c>
      <c r="BD417" s="39">
        <f t="shared" si="430"/>
        <v>0.13162678766588295</v>
      </c>
      <c r="BE417" s="39">
        <f t="shared" si="431"/>
        <v>0.11164345722438143</v>
      </c>
      <c r="BF417" s="39">
        <f t="shared" si="432"/>
        <v>0.14843398362360388</v>
      </c>
      <c r="BG417" s="39">
        <f t="shared" si="433"/>
        <v>0.19604787355912323</v>
      </c>
      <c r="BH417" s="84">
        <f t="shared" si="434"/>
        <v>0</v>
      </c>
      <c r="BI417" s="84">
        <f t="shared" si="435"/>
        <v>0</v>
      </c>
      <c r="BJ417" s="84">
        <f t="shared" si="436"/>
        <v>0</v>
      </c>
      <c r="BK417" s="39">
        <f t="shared" si="437"/>
        <v>59.473666418265395</v>
      </c>
      <c r="BL417" s="39">
        <f t="shared" si="438"/>
        <v>69.254576666371165</v>
      </c>
      <c r="BM417" s="39">
        <f t="shared" si="439"/>
        <v>75.780047219903324</v>
      </c>
      <c r="BN417" s="39">
        <f t="shared" si="440"/>
        <v>97.735961736016449</v>
      </c>
      <c r="BO417" s="39">
        <f t="shared" si="441"/>
        <v>51.406255149967528</v>
      </c>
      <c r="BP417" s="39">
        <f t="shared" si="442"/>
        <v>41.672439717931674</v>
      </c>
      <c r="BQ417" s="39">
        <f t="shared" si="443"/>
        <v>42.980097271212642</v>
      </c>
      <c r="BR417" s="39">
        <f t="shared" si="444"/>
        <v>44.444163564137916</v>
      </c>
      <c r="BS417" s="39">
        <f t="shared" si="445"/>
        <v>0</v>
      </c>
      <c r="BT417" s="39">
        <f t="shared" si="446"/>
        <v>1.9527459998226986</v>
      </c>
      <c r="BU417" s="39">
        <f t="shared" si="447"/>
        <v>7.0680283319420028</v>
      </c>
      <c r="BV417" s="39">
        <f t="shared" si="448"/>
        <v>6.441577041609861</v>
      </c>
      <c r="BW417" s="39">
        <f t="shared" si="449"/>
        <v>0</v>
      </c>
      <c r="BX417" s="39">
        <f t="shared" si="450"/>
        <v>0</v>
      </c>
      <c r="BY417" s="39">
        <f t="shared" si="451"/>
        <v>0</v>
      </c>
      <c r="BZ417" s="39">
        <f t="shared" si="452"/>
        <v>0</v>
      </c>
      <c r="CA417" s="39">
        <f t="shared" si="453"/>
        <v>59.473666418265395</v>
      </c>
      <c r="CB417" s="39">
        <f t="shared" si="454"/>
        <v>67.301830666548469</v>
      </c>
      <c r="CC417" s="39">
        <f t="shared" si="455"/>
        <v>70.664764887784017</v>
      </c>
      <c r="CD417" s="39">
        <f t="shared" si="456"/>
        <v>98.362413026348591</v>
      </c>
      <c r="CE417" s="39">
        <f t="shared" si="457"/>
        <v>57.847832191577389</v>
      </c>
      <c r="CF417" s="39">
        <f t="shared" si="458"/>
        <v>41.672439717931674</v>
      </c>
      <c r="CG417" s="39">
        <f t="shared" si="459"/>
        <v>42.980097271212642</v>
      </c>
      <c r="CH417" s="39">
        <f t="shared" si="460"/>
        <v>44.444163564137916</v>
      </c>
      <c r="CI417" s="39">
        <f t="shared" si="461"/>
        <v>0</v>
      </c>
      <c r="CJ417" s="39">
        <f t="shared" si="462"/>
        <v>0</v>
      </c>
      <c r="CK417" s="39">
        <f t="shared" si="463"/>
        <v>0</v>
      </c>
      <c r="CL417" s="39">
        <f t="shared" si="464"/>
        <v>0</v>
      </c>
      <c r="CM417" s="39">
        <f t="shared" si="465"/>
        <v>0</v>
      </c>
      <c r="CN417" s="39">
        <f t="shared" si="466"/>
        <v>0</v>
      </c>
      <c r="CO417" s="39">
        <f t="shared" si="467"/>
        <v>0</v>
      </c>
      <c r="CP417" s="39">
        <f t="shared" si="468"/>
        <v>0</v>
      </c>
    </row>
    <row r="418" spans="12:94" ht="16" customHeight="1" x14ac:dyDescent="0.2">
      <c r="L418" s="63">
        <v>30730</v>
      </c>
      <c r="M418" s="38">
        <v>0</v>
      </c>
      <c r="N418" s="38">
        <v>2.7</v>
      </c>
      <c r="O418" s="39">
        <v>2.3664000000000001</v>
      </c>
      <c r="P418" s="39">
        <v>1.1000000000000001</v>
      </c>
      <c r="Q418" s="46">
        <f t="shared" si="399"/>
        <v>9.0256081584597178E-2</v>
      </c>
      <c r="R418" s="81">
        <f t="shared" si="400"/>
        <v>0</v>
      </c>
      <c r="S418" s="82">
        <f t="shared" si="401"/>
        <v>0</v>
      </c>
      <c r="T418" s="39">
        <f t="shared" si="402"/>
        <v>0</v>
      </c>
      <c r="U418" s="83">
        <f t="shared" si="403"/>
        <v>2.9700000000000006</v>
      </c>
      <c r="V418" s="84">
        <f t="shared" si="404"/>
        <v>0</v>
      </c>
      <c r="W418" s="52">
        <f t="shared" si="405"/>
        <v>146.80267499894649</v>
      </c>
      <c r="X418" s="52">
        <f t="shared" si="406"/>
        <v>45.9445327448596</v>
      </c>
      <c r="Y418" s="52">
        <f t="shared" si="407"/>
        <v>192.74720774380609</v>
      </c>
      <c r="Z418" s="53">
        <f t="shared" si="408"/>
        <v>1.1468958984292694</v>
      </c>
      <c r="AA418" s="53">
        <f t="shared" si="409"/>
        <v>0.27347936157654523</v>
      </c>
      <c r="AB418" s="53">
        <f t="shared" si="410"/>
        <v>0.65117299913448001</v>
      </c>
      <c r="AC418" s="39" t="str">
        <f t="shared" si="411"/>
        <v>No</v>
      </c>
      <c r="AD418" s="85">
        <f t="shared" si="412"/>
        <v>0</v>
      </c>
      <c r="AE418" s="46">
        <f t="shared" si="413"/>
        <v>0</v>
      </c>
      <c r="AF418" s="46">
        <f t="shared" si="414"/>
        <v>2.1257999999999999</v>
      </c>
      <c r="AG418" s="39">
        <f t="shared" si="469"/>
        <v>59.473666418265395</v>
      </c>
      <c r="AH418" s="39">
        <f t="shared" si="470"/>
        <v>67.301830666548469</v>
      </c>
      <c r="AI418" s="39">
        <f t="shared" si="471"/>
        <v>70.664764887784017</v>
      </c>
      <c r="AJ418" s="39">
        <f t="shared" si="472"/>
        <v>98.362413026348591</v>
      </c>
      <c r="AK418" s="39">
        <f t="shared" si="473"/>
        <v>57.847832191577389</v>
      </c>
      <c r="AL418" s="39">
        <f t="shared" si="474"/>
        <v>41.672439717931674</v>
      </c>
      <c r="AM418" s="39">
        <f t="shared" si="475"/>
        <v>42.980097271212642</v>
      </c>
      <c r="AN418" s="39">
        <f t="shared" si="476"/>
        <v>44.444163564137916</v>
      </c>
      <c r="AO418" s="39">
        <f t="shared" si="415"/>
        <v>2.9473666418265396</v>
      </c>
      <c r="AP418" s="39">
        <f t="shared" si="416"/>
        <v>2.930183066654847</v>
      </c>
      <c r="AQ418" s="39">
        <f t="shared" si="417"/>
        <v>3.4664764887784032</v>
      </c>
      <c r="AR418" s="39">
        <f t="shared" si="418"/>
        <v>5.3362413026348587</v>
      </c>
      <c r="AS418" s="39">
        <f t="shared" si="419"/>
        <v>1.1959704055828424</v>
      </c>
      <c r="AT418" s="39">
        <f t="shared" si="420"/>
        <v>0.35814862219599369</v>
      </c>
      <c r="AU418" s="39">
        <f t="shared" si="421"/>
        <v>0.47429686448983754</v>
      </c>
      <c r="AV418" s="39">
        <f t="shared" si="422"/>
        <v>0.62366133182257943</v>
      </c>
      <c r="AW418" s="39">
        <f t="shared" si="423"/>
        <v>17.332344723985901</v>
      </c>
      <c r="AX418" s="39">
        <f t="shared" si="424"/>
        <v>2.9700000000000006</v>
      </c>
      <c r="AY418" s="39">
        <f t="shared" si="425"/>
        <v>2.9700000000000006</v>
      </c>
      <c r="AZ418" s="39">
        <f t="shared" si="426"/>
        <v>0.50504874358463314</v>
      </c>
      <c r="BA418" s="39">
        <f t="shared" si="427"/>
        <v>0.50210423612919919</v>
      </c>
      <c r="BB418" s="39">
        <f t="shared" si="428"/>
        <v>0.59400129270589708</v>
      </c>
      <c r="BC418" s="39">
        <f t="shared" si="429"/>
        <v>0.91439657595160262</v>
      </c>
      <c r="BD418" s="39">
        <f t="shared" si="430"/>
        <v>0.20493661770213081</v>
      </c>
      <c r="BE418" s="39">
        <f t="shared" si="431"/>
        <v>6.1370889216740852E-2</v>
      </c>
      <c r="BF418" s="39">
        <f t="shared" si="432"/>
        <v>8.1273578962769974E-2</v>
      </c>
      <c r="BG418" s="39">
        <f t="shared" si="433"/>
        <v>0.10686806574702698</v>
      </c>
      <c r="BH418" s="84">
        <f t="shared" si="434"/>
        <v>0</v>
      </c>
      <c r="BI418" s="84">
        <f t="shared" si="435"/>
        <v>0</v>
      </c>
      <c r="BJ418" s="84">
        <f t="shared" si="436"/>
        <v>0</v>
      </c>
      <c r="BK418" s="39">
        <f t="shared" si="437"/>
        <v>58.968617674680765</v>
      </c>
      <c r="BL418" s="39">
        <f t="shared" si="438"/>
        <v>66.79972643041927</v>
      </c>
      <c r="BM418" s="39">
        <f t="shared" si="439"/>
        <v>70.07076359507812</v>
      </c>
      <c r="BN418" s="39">
        <f t="shared" si="440"/>
        <v>97.448016450396992</v>
      </c>
      <c r="BO418" s="39">
        <f t="shared" si="441"/>
        <v>57.642895573875258</v>
      </c>
      <c r="BP418" s="39">
        <f t="shared" si="442"/>
        <v>41.611068828714934</v>
      </c>
      <c r="BQ418" s="39">
        <f t="shared" si="443"/>
        <v>42.89882369224987</v>
      </c>
      <c r="BR418" s="39">
        <f t="shared" si="444"/>
        <v>44.337295498390887</v>
      </c>
      <c r="BS418" s="39">
        <f t="shared" si="445"/>
        <v>0</v>
      </c>
      <c r="BT418" s="39">
        <f t="shared" si="446"/>
        <v>0.47983585825156183</v>
      </c>
      <c r="BU418" s="39">
        <f t="shared" si="447"/>
        <v>3.6424581570468799</v>
      </c>
      <c r="BV418" s="39">
        <f t="shared" si="448"/>
        <v>6.2688098702381865</v>
      </c>
      <c r="BW418" s="39">
        <f t="shared" si="449"/>
        <v>0</v>
      </c>
      <c r="BX418" s="39">
        <f t="shared" si="450"/>
        <v>0</v>
      </c>
      <c r="BY418" s="39">
        <f t="shared" si="451"/>
        <v>0</v>
      </c>
      <c r="BZ418" s="39">
        <f t="shared" si="452"/>
        <v>0</v>
      </c>
      <c r="CA418" s="39">
        <f t="shared" si="453"/>
        <v>58.968617674680765</v>
      </c>
      <c r="CB418" s="39">
        <f t="shared" si="454"/>
        <v>66.319890572167708</v>
      </c>
      <c r="CC418" s="39">
        <f t="shared" si="455"/>
        <v>66.908141296282807</v>
      </c>
      <c r="CD418" s="39">
        <f t="shared" si="456"/>
        <v>94.82166473720568</v>
      </c>
      <c r="CE418" s="39">
        <f t="shared" si="457"/>
        <v>63.911705444113444</v>
      </c>
      <c r="CF418" s="39">
        <f t="shared" si="458"/>
        <v>41.611068828714934</v>
      </c>
      <c r="CG418" s="39">
        <f t="shared" si="459"/>
        <v>42.89882369224987</v>
      </c>
      <c r="CH418" s="39">
        <f t="shared" si="460"/>
        <v>44.337295498390887</v>
      </c>
      <c r="CI418" s="39">
        <f t="shared" si="461"/>
        <v>0</v>
      </c>
      <c r="CJ418" s="39">
        <f t="shared" si="462"/>
        <v>0</v>
      </c>
      <c r="CK418" s="39">
        <f t="shared" si="463"/>
        <v>0</v>
      </c>
      <c r="CL418" s="39">
        <f t="shared" si="464"/>
        <v>0</v>
      </c>
      <c r="CM418" s="39">
        <f t="shared" si="465"/>
        <v>0</v>
      </c>
      <c r="CN418" s="39">
        <f t="shared" si="466"/>
        <v>0</v>
      </c>
      <c r="CO418" s="39">
        <f t="shared" si="467"/>
        <v>0</v>
      </c>
      <c r="CP418" s="39">
        <f t="shared" si="468"/>
        <v>0</v>
      </c>
    </row>
    <row r="419" spans="12:94" ht="16" customHeight="1" x14ac:dyDescent="0.2">
      <c r="L419" s="63">
        <v>30731</v>
      </c>
      <c r="M419" s="38">
        <v>0</v>
      </c>
      <c r="N419" s="38">
        <v>1.1000000000000001</v>
      </c>
      <c r="O419" s="39">
        <v>2.3664000000000001</v>
      </c>
      <c r="P419" s="39">
        <v>1.1000000000000001</v>
      </c>
      <c r="Q419" s="46">
        <f t="shared" si="399"/>
        <v>9.1279829037809262E-2</v>
      </c>
      <c r="R419" s="81">
        <f t="shared" si="400"/>
        <v>0</v>
      </c>
      <c r="S419" s="82">
        <f t="shared" si="401"/>
        <v>0</v>
      </c>
      <c r="T419" s="39">
        <f t="shared" si="402"/>
        <v>0</v>
      </c>
      <c r="U419" s="83">
        <f t="shared" si="403"/>
        <v>1.2100000000000002</v>
      </c>
      <c r="V419" s="84">
        <f t="shared" si="404"/>
        <v>0</v>
      </c>
      <c r="W419" s="52">
        <f t="shared" si="405"/>
        <v>138.01831428033699</v>
      </c>
      <c r="X419" s="52">
        <f t="shared" si="406"/>
        <v>51.758893463469121</v>
      </c>
      <c r="Y419" s="52">
        <f t="shared" si="407"/>
        <v>189.77720774380612</v>
      </c>
      <c r="Z419" s="53">
        <f t="shared" si="408"/>
        <v>1.0782680803151328</v>
      </c>
      <c r="AA419" s="53">
        <f t="shared" si="409"/>
        <v>0.30808865156826859</v>
      </c>
      <c r="AB419" s="53">
        <f t="shared" si="410"/>
        <v>0.64113921535069629</v>
      </c>
      <c r="AC419" s="39" t="str">
        <f t="shared" si="411"/>
        <v>No</v>
      </c>
      <c r="AD419" s="85">
        <f t="shared" si="412"/>
        <v>0</v>
      </c>
      <c r="AE419" s="46">
        <f t="shared" si="413"/>
        <v>0</v>
      </c>
      <c r="AF419" s="46">
        <f t="shared" si="414"/>
        <v>2.1257999999999999</v>
      </c>
      <c r="AG419" s="39">
        <f t="shared" si="469"/>
        <v>58.968617674680765</v>
      </c>
      <c r="AH419" s="39">
        <f t="shared" si="470"/>
        <v>66.319890572167708</v>
      </c>
      <c r="AI419" s="39">
        <f t="shared" si="471"/>
        <v>66.908141296282807</v>
      </c>
      <c r="AJ419" s="39">
        <f t="shared" si="472"/>
        <v>94.82166473720568</v>
      </c>
      <c r="AK419" s="39">
        <f t="shared" si="473"/>
        <v>63.911705444113444</v>
      </c>
      <c r="AL419" s="39">
        <f t="shared" si="474"/>
        <v>41.611068828714934</v>
      </c>
      <c r="AM419" s="39">
        <f t="shared" si="475"/>
        <v>42.89882369224987</v>
      </c>
      <c r="AN419" s="39">
        <f t="shared" si="476"/>
        <v>44.337295498390887</v>
      </c>
      <c r="AO419" s="39">
        <f t="shared" si="415"/>
        <v>2.8968617674680766</v>
      </c>
      <c r="AP419" s="39">
        <f t="shared" si="416"/>
        <v>2.831989057216771</v>
      </c>
      <c r="AQ419" s="39">
        <f t="shared" si="417"/>
        <v>3.0908141296282823</v>
      </c>
      <c r="AR419" s="39">
        <f t="shared" si="418"/>
        <v>4.982166473720568</v>
      </c>
      <c r="AS419" s="39">
        <f t="shared" si="419"/>
        <v>2.1911705444113454</v>
      </c>
      <c r="AT419" s="39">
        <f t="shared" si="420"/>
        <v>0.35309764939459931</v>
      </c>
      <c r="AU419" s="39">
        <f t="shared" si="421"/>
        <v>0.46660338328689138</v>
      </c>
      <c r="AV419" s="39">
        <f t="shared" si="422"/>
        <v>0.61206794865635283</v>
      </c>
      <c r="AW419" s="39">
        <f t="shared" si="423"/>
        <v>17.424770953782886</v>
      </c>
      <c r="AX419" s="39">
        <f t="shared" si="424"/>
        <v>1.2100000000000002</v>
      </c>
      <c r="AY419" s="39">
        <f t="shared" si="425"/>
        <v>1.2100000000000002</v>
      </c>
      <c r="AZ419" s="39">
        <f t="shared" si="426"/>
        <v>0.20116205532534706</v>
      </c>
      <c r="BA419" s="39">
        <f t="shared" si="427"/>
        <v>0.19665720532690051</v>
      </c>
      <c r="BB419" s="39">
        <f t="shared" si="428"/>
        <v>0.21463037343617422</v>
      </c>
      <c r="BC419" s="39">
        <f t="shared" si="429"/>
        <v>0.34596847494819605</v>
      </c>
      <c r="BD419" s="39">
        <f t="shared" si="430"/>
        <v>0.15215788866149385</v>
      </c>
      <c r="BE419" s="39">
        <f t="shared" si="431"/>
        <v>2.451958518712755E-2</v>
      </c>
      <c r="BF419" s="39">
        <f t="shared" si="432"/>
        <v>3.2401579066642892E-2</v>
      </c>
      <c r="BG419" s="39">
        <f t="shared" si="433"/>
        <v>4.2502838048118143E-2</v>
      </c>
      <c r="BH419" s="84">
        <f t="shared" si="434"/>
        <v>0</v>
      </c>
      <c r="BI419" s="84">
        <f t="shared" si="435"/>
        <v>0</v>
      </c>
      <c r="BJ419" s="84">
        <f t="shared" si="436"/>
        <v>0</v>
      </c>
      <c r="BK419" s="39">
        <f t="shared" si="437"/>
        <v>58.767455619355417</v>
      </c>
      <c r="BL419" s="39">
        <f t="shared" si="438"/>
        <v>66.123233366840807</v>
      </c>
      <c r="BM419" s="39">
        <f t="shared" si="439"/>
        <v>66.693510922846627</v>
      </c>
      <c r="BN419" s="39">
        <f t="shared" si="440"/>
        <v>94.475696262257486</v>
      </c>
      <c r="BO419" s="39">
        <f t="shared" si="441"/>
        <v>63.759547555451952</v>
      </c>
      <c r="BP419" s="39">
        <f t="shared" si="442"/>
        <v>41.586549243527806</v>
      </c>
      <c r="BQ419" s="39">
        <f t="shared" si="443"/>
        <v>42.866422113183226</v>
      </c>
      <c r="BR419" s="39">
        <f t="shared" si="444"/>
        <v>44.294792660342772</v>
      </c>
      <c r="BS419" s="39">
        <f t="shared" si="445"/>
        <v>0</v>
      </c>
      <c r="BT419" s="39">
        <f t="shared" si="446"/>
        <v>7.3940020104484458E-2</v>
      </c>
      <c r="BU419" s="39">
        <f t="shared" si="447"/>
        <v>1.6161065537079848</v>
      </c>
      <c r="BV419" s="39">
        <f t="shared" si="448"/>
        <v>4.4854177573544831</v>
      </c>
      <c r="BW419" s="39">
        <f t="shared" si="449"/>
        <v>0</v>
      </c>
      <c r="BX419" s="39">
        <f t="shared" si="450"/>
        <v>0</v>
      </c>
      <c r="BY419" s="39">
        <f t="shared" si="451"/>
        <v>0</v>
      </c>
      <c r="BZ419" s="39">
        <f t="shared" si="452"/>
        <v>0</v>
      </c>
      <c r="CA419" s="39">
        <f t="shared" si="453"/>
        <v>58.767455619355417</v>
      </c>
      <c r="CB419" s="39">
        <f t="shared" si="454"/>
        <v>66.04929334673632</v>
      </c>
      <c r="CC419" s="39">
        <f t="shared" si="455"/>
        <v>65.151344389243135</v>
      </c>
      <c r="CD419" s="39">
        <f t="shared" si="456"/>
        <v>91.606385058610982</v>
      </c>
      <c r="CE419" s="39">
        <f t="shared" si="457"/>
        <v>68.244965312806443</v>
      </c>
      <c r="CF419" s="39">
        <f t="shared" si="458"/>
        <v>41.586549243527806</v>
      </c>
      <c r="CG419" s="39">
        <f t="shared" si="459"/>
        <v>42.866422113183226</v>
      </c>
      <c r="CH419" s="39">
        <f t="shared" si="460"/>
        <v>44.294792660342772</v>
      </c>
      <c r="CI419" s="39">
        <f t="shared" si="461"/>
        <v>0</v>
      </c>
      <c r="CJ419" s="39">
        <f t="shared" si="462"/>
        <v>0</v>
      </c>
      <c r="CK419" s="39">
        <f t="shared" si="463"/>
        <v>0</v>
      </c>
      <c r="CL419" s="39">
        <f t="shared" si="464"/>
        <v>0</v>
      </c>
      <c r="CM419" s="39">
        <f t="shared" si="465"/>
        <v>0</v>
      </c>
      <c r="CN419" s="39">
        <f t="shared" si="466"/>
        <v>0</v>
      </c>
      <c r="CO419" s="39">
        <f t="shared" si="467"/>
        <v>0</v>
      </c>
      <c r="CP419" s="39">
        <f t="shared" si="468"/>
        <v>0</v>
      </c>
    </row>
    <row r="420" spans="12:94" ht="16" customHeight="1" x14ac:dyDescent="0.2">
      <c r="L420" s="63">
        <v>30732</v>
      </c>
      <c r="M420" s="38">
        <v>0.5</v>
      </c>
      <c r="N420" s="38">
        <v>5.0999999999999996</v>
      </c>
      <c r="O420" s="39">
        <v>2.3664000000000001</v>
      </c>
      <c r="P420" s="39">
        <v>1.1000000000000001</v>
      </c>
      <c r="Q420" s="46">
        <f t="shared" si="399"/>
        <v>9.168758996076605E-2</v>
      </c>
      <c r="R420" s="81">
        <f t="shared" si="400"/>
        <v>0</v>
      </c>
      <c r="S420" s="82">
        <f t="shared" si="401"/>
        <v>0.5</v>
      </c>
      <c r="T420" s="39">
        <f t="shared" si="402"/>
        <v>0</v>
      </c>
      <c r="U420" s="83">
        <f t="shared" si="403"/>
        <v>5.61</v>
      </c>
      <c r="V420" s="84">
        <f t="shared" si="404"/>
        <v>0</v>
      </c>
      <c r="W420" s="52">
        <f t="shared" si="405"/>
        <v>132.57447841394583</v>
      </c>
      <c r="X420" s="52">
        <f t="shared" si="406"/>
        <v>55.992729329860254</v>
      </c>
      <c r="Y420" s="52">
        <f t="shared" si="407"/>
        <v>188.56720774380608</v>
      </c>
      <c r="Z420" s="53">
        <f t="shared" si="408"/>
        <v>1.0357381126089518</v>
      </c>
      <c r="AA420" s="53">
        <f t="shared" si="409"/>
        <v>0.33329005553488245</v>
      </c>
      <c r="AB420" s="53">
        <f t="shared" si="410"/>
        <v>0.63705137751285834</v>
      </c>
      <c r="AC420" s="39" t="str">
        <f t="shared" si="411"/>
        <v>No</v>
      </c>
      <c r="AD420" s="85">
        <f t="shared" si="412"/>
        <v>0</v>
      </c>
      <c r="AE420" s="46">
        <f t="shared" si="413"/>
        <v>0</v>
      </c>
      <c r="AF420" s="46">
        <f t="shared" si="414"/>
        <v>2.1257999999999999</v>
      </c>
      <c r="AG420" s="39">
        <f t="shared" si="469"/>
        <v>58.767455619355417</v>
      </c>
      <c r="AH420" s="39">
        <f t="shared" si="470"/>
        <v>66.04929334673632</v>
      </c>
      <c r="AI420" s="39">
        <f t="shared" si="471"/>
        <v>65.151344389243135</v>
      </c>
      <c r="AJ420" s="39">
        <f t="shared" si="472"/>
        <v>91.606385058610982</v>
      </c>
      <c r="AK420" s="39">
        <f t="shared" si="473"/>
        <v>68.244965312806443</v>
      </c>
      <c r="AL420" s="39">
        <f t="shared" si="474"/>
        <v>41.586549243527806</v>
      </c>
      <c r="AM420" s="39">
        <f t="shared" si="475"/>
        <v>42.866422113183226</v>
      </c>
      <c r="AN420" s="39">
        <f t="shared" si="476"/>
        <v>44.294792660342772</v>
      </c>
      <c r="AO420" s="39">
        <f t="shared" si="415"/>
        <v>2.8767455619355418</v>
      </c>
      <c r="AP420" s="39">
        <f t="shared" si="416"/>
        <v>2.8049293346736324</v>
      </c>
      <c r="AQ420" s="39">
        <f t="shared" si="417"/>
        <v>2.9151344389243152</v>
      </c>
      <c r="AR420" s="39">
        <f t="shared" si="418"/>
        <v>4.6606385058610975</v>
      </c>
      <c r="AS420" s="39">
        <f t="shared" si="419"/>
        <v>2.624496531280645</v>
      </c>
      <c r="AT420" s="39">
        <f t="shared" si="420"/>
        <v>0.35108965672156095</v>
      </c>
      <c r="AU420" s="39">
        <f t="shared" si="421"/>
        <v>0.46355373959767054</v>
      </c>
      <c r="AV420" s="39">
        <f t="shared" si="422"/>
        <v>0.60748733923872744</v>
      </c>
      <c r="AW420" s="39">
        <f t="shared" si="423"/>
        <v>17.304075108233192</v>
      </c>
      <c r="AX420" s="39">
        <f t="shared" si="424"/>
        <v>5.61</v>
      </c>
      <c r="AY420" s="39">
        <f t="shared" si="425"/>
        <v>5.1100000000000003</v>
      </c>
      <c r="AZ420" s="39">
        <f t="shared" si="426"/>
        <v>0.84952068975338368</v>
      </c>
      <c r="BA420" s="39">
        <f t="shared" si="427"/>
        <v>0.8283129153411154</v>
      </c>
      <c r="BB420" s="39">
        <f t="shared" si="428"/>
        <v>0.86085716166451731</v>
      </c>
      <c r="BC420" s="39">
        <f t="shared" si="429"/>
        <v>1.3763152677035448</v>
      </c>
      <c r="BD420" s="39">
        <f t="shared" si="430"/>
        <v>0.77502999674701634</v>
      </c>
      <c r="BE420" s="39">
        <f t="shared" si="431"/>
        <v>0.10367893889882436</v>
      </c>
      <c r="BF420" s="39">
        <f t="shared" si="432"/>
        <v>0.13689027552920482</v>
      </c>
      <c r="BG420" s="39">
        <f t="shared" si="433"/>
        <v>0.1793947543623933</v>
      </c>
      <c r="BH420" s="84">
        <f t="shared" si="434"/>
        <v>0</v>
      </c>
      <c r="BI420" s="84">
        <f t="shared" si="435"/>
        <v>0</v>
      </c>
      <c r="BJ420" s="84">
        <f t="shared" si="436"/>
        <v>0</v>
      </c>
      <c r="BK420" s="39">
        <f t="shared" si="437"/>
        <v>57.917934929602033</v>
      </c>
      <c r="BL420" s="39">
        <f t="shared" si="438"/>
        <v>65.220980431395205</v>
      </c>
      <c r="BM420" s="39">
        <f t="shared" si="439"/>
        <v>64.290487227578623</v>
      </c>
      <c r="BN420" s="39">
        <f t="shared" si="440"/>
        <v>90.230069790907436</v>
      </c>
      <c r="BO420" s="39">
        <f t="shared" si="441"/>
        <v>67.46993531605942</v>
      </c>
      <c r="BP420" s="39">
        <f t="shared" si="442"/>
        <v>41.482870304628982</v>
      </c>
      <c r="BQ420" s="39">
        <f t="shared" si="443"/>
        <v>42.729531837654022</v>
      </c>
      <c r="BR420" s="39">
        <f t="shared" si="444"/>
        <v>44.11539790598038</v>
      </c>
      <c r="BS420" s="39">
        <f t="shared" si="445"/>
        <v>0</v>
      </c>
      <c r="BT420" s="39">
        <f t="shared" si="446"/>
        <v>0</v>
      </c>
      <c r="BU420" s="39">
        <f t="shared" si="447"/>
        <v>0.17429233654718246</v>
      </c>
      <c r="BV420" s="39">
        <f t="shared" si="448"/>
        <v>1.938041874544453</v>
      </c>
      <c r="BW420" s="39">
        <f t="shared" si="449"/>
        <v>0</v>
      </c>
      <c r="BX420" s="39">
        <f t="shared" si="450"/>
        <v>0</v>
      </c>
      <c r="BY420" s="39">
        <f t="shared" si="451"/>
        <v>0</v>
      </c>
      <c r="BZ420" s="39">
        <f t="shared" si="452"/>
        <v>0</v>
      </c>
      <c r="CA420" s="39">
        <f t="shared" si="453"/>
        <v>57.917934929602033</v>
      </c>
      <c r="CB420" s="39">
        <f t="shared" si="454"/>
        <v>65.220980431395205</v>
      </c>
      <c r="CC420" s="39">
        <f t="shared" si="455"/>
        <v>64.116194891031441</v>
      </c>
      <c r="CD420" s="39">
        <f t="shared" si="456"/>
        <v>88.466320252910165</v>
      </c>
      <c r="CE420" s="39">
        <f t="shared" si="457"/>
        <v>69.407977190603873</v>
      </c>
      <c r="CF420" s="39">
        <f t="shared" si="458"/>
        <v>41.482870304628982</v>
      </c>
      <c r="CG420" s="39">
        <f t="shared" si="459"/>
        <v>42.729531837654022</v>
      </c>
      <c r="CH420" s="39">
        <f t="shared" si="460"/>
        <v>44.11539790598038</v>
      </c>
      <c r="CI420" s="39">
        <f t="shared" si="461"/>
        <v>0</v>
      </c>
      <c r="CJ420" s="39">
        <f t="shared" si="462"/>
        <v>0</v>
      </c>
      <c r="CK420" s="39">
        <f t="shared" si="463"/>
        <v>0</v>
      </c>
      <c r="CL420" s="39">
        <f t="shared" si="464"/>
        <v>0</v>
      </c>
      <c r="CM420" s="39">
        <f t="shared" si="465"/>
        <v>0</v>
      </c>
      <c r="CN420" s="39">
        <f t="shared" si="466"/>
        <v>0</v>
      </c>
      <c r="CO420" s="39">
        <f t="shared" si="467"/>
        <v>0</v>
      </c>
      <c r="CP420" s="39">
        <f t="shared" si="468"/>
        <v>0</v>
      </c>
    </row>
    <row r="421" spans="12:94" ht="16" customHeight="1" x14ac:dyDescent="0.2">
      <c r="L421" s="63">
        <v>30733</v>
      </c>
      <c r="M421" s="38">
        <v>52.9</v>
      </c>
      <c r="N421" s="38">
        <v>3.7</v>
      </c>
      <c r="O421" s="39">
        <v>2.3664000000000001</v>
      </c>
      <c r="P421" s="39">
        <v>1.1000000000000001</v>
      </c>
      <c r="Q421" s="46">
        <f t="shared" si="399"/>
        <v>9.3409591358914801E-2</v>
      </c>
      <c r="R421" s="81">
        <f t="shared" si="400"/>
        <v>17.248332885785345</v>
      </c>
      <c r="S421" s="82">
        <f t="shared" si="401"/>
        <v>35.651667114214654</v>
      </c>
      <c r="T421" s="39">
        <f t="shared" si="402"/>
        <v>0</v>
      </c>
      <c r="U421" s="83">
        <f t="shared" si="403"/>
        <v>4.07</v>
      </c>
      <c r="V421" s="84">
        <f t="shared" si="404"/>
        <v>0</v>
      </c>
      <c r="W421" s="52">
        <f t="shared" si="405"/>
        <v>126.72143050493884</v>
      </c>
      <c r="X421" s="52">
        <f t="shared" si="406"/>
        <v>56.735777238867286</v>
      </c>
      <c r="Y421" s="52">
        <f t="shared" si="407"/>
        <v>183.45720774380612</v>
      </c>
      <c r="Z421" s="53">
        <f t="shared" si="408"/>
        <v>0.99001117581983467</v>
      </c>
      <c r="AA421" s="53">
        <f t="shared" si="409"/>
        <v>0.33771295975516241</v>
      </c>
      <c r="AB421" s="53">
        <f t="shared" si="410"/>
        <v>0.61978786399934505</v>
      </c>
      <c r="AC421" s="39" t="str">
        <f t="shared" si="411"/>
        <v>No</v>
      </c>
      <c r="AD421" s="85">
        <f t="shared" si="412"/>
        <v>0</v>
      </c>
      <c r="AE421" s="46">
        <f t="shared" si="413"/>
        <v>0</v>
      </c>
      <c r="AF421" s="46">
        <f t="shared" si="414"/>
        <v>2.1257999999999999</v>
      </c>
      <c r="AG421" s="39">
        <f t="shared" si="469"/>
        <v>57.917934929602033</v>
      </c>
      <c r="AH421" s="39">
        <f t="shared" si="470"/>
        <v>65.220980431395205</v>
      </c>
      <c r="AI421" s="39">
        <f t="shared" si="471"/>
        <v>64.116194891031441</v>
      </c>
      <c r="AJ421" s="39">
        <f t="shared" si="472"/>
        <v>88.466320252910165</v>
      </c>
      <c r="AK421" s="39">
        <f t="shared" si="473"/>
        <v>69.407977190603873</v>
      </c>
      <c r="AL421" s="39">
        <f t="shared" si="474"/>
        <v>41.482870304628982</v>
      </c>
      <c r="AM421" s="39">
        <f t="shared" si="475"/>
        <v>42.729531837654022</v>
      </c>
      <c r="AN421" s="39">
        <f t="shared" si="476"/>
        <v>44.11539790598038</v>
      </c>
      <c r="AO421" s="39">
        <f t="shared" si="415"/>
        <v>2.7917934929602035</v>
      </c>
      <c r="AP421" s="39">
        <f t="shared" si="416"/>
        <v>2.7220980431395208</v>
      </c>
      <c r="AQ421" s="39">
        <f t="shared" si="417"/>
        <v>2.8116194891031459</v>
      </c>
      <c r="AR421" s="39">
        <f t="shared" si="418"/>
        <v>4.346632025291016</v>
      </c>
      <c r="AS421" s="39">
        <f t="shared" si="419"/>
        <v>2.7407977190603883</v>
      </c>
      <c r="AT421" s="39">
        <f t="shared" si="420"/>
        <v>0.34266232669121938</v>
      </c>
      <c r="AU421" s="39">
        <f t="shared" si="421"/>
        <v>0.45077995133296717</v>
      </c>
      <c r="AV421" s="39">
        <f t="shared" si="422"/>
        <v>0.58834319337272789</v>
      </c>
      <c r="AW421" s="39">
        <f t="shared" si="423"/>
        <v>16.794726240951192</v>
      </c>
      <c r="AX421" s="39">
        <f t="shared" si="424"/>
        <v>4.07</v>
      </c>
      <c r="AY421" s="39">
        <f t="shared" si="425"/>
        <v>0</v>
      </c>
      <c r="AZ421" s="39">
        <f t="shared" si="426"/>
        <v>0</v>
      </c>
      <c r="BA421" s="39">
        <f t="shared" si="427"/>
        <v>0</v>
      </c>
      <c r="BB421" s="39">
        <f t="shared" si="428"/>
        <v>0</v>
      </c>
      <c r="BC421" s="39">
        <f t="shared" si="429"/>
        <v>0</v>
      </c>
      <c r="BD421" s="39">
        <f t="shared" si="430"/>
        <v>0</v>
      </c>
      <c r="BE421" s="39">
        <f t="shared" si="431"/>
        <v>0</v>
      </c>
      <c r="BF421" s="39">
        <f t="shared" si="432"/>
        <v>0</v>
      </c>
      <c r="BG421" s="39">
        <f t="shared" si="433"/>
        <v>0</v>
      </c>
      <c r="BH421" s="84">
        <f t="shared" si="434"/>
        <v>0</v>
      </c>
      <c r="BI421" s="84">
        <f t="shared" si="435"/>
        <v>0</v>
      </c>
      <c r="BJ421" s="84">
        <f t="shared" si="436"/>
        <v>0</v>
      </c>
      <c r="BK421" s="39">
        <f t="shared" si="437"/>
        <v>57.917934929602033</v>
      </c>
      <c r="BL421" s="39">
        <f t="shared" si="438"/>
        <v>65.220980431395205</v>
      </c>
      <c r="BM421" s="39">
        <f t="shared" si="439"/>
        <v>64.116194891031441</v>
      </c>
      <c r="BN421" s="39">
        <f t="shared" si="440"/>
        <v>88.466320252910165</v>
      </c>
      <c r="BO421" s="39">
        <f t="shared" si="441"/>
        <v>69.407977190603873</v>
      </c>
      <c r="BP421" s="39">
        <f t="shared" si="442"/>
        <v>41.482870304628982</v>
      </c>
      <c r="BQ421" s="39">
        <f t="shared" si="443"/>
        <v>42.729531837654022</v>
      </c>
      <c r="BR421" s="39">
        <f t="shared" si="444"/>
        <v>44.11539790598038</v>
      </c>
      <c r="BS421" s="39">
        <f t="shared" si="445"/>
        <v>0</v>
      </c>
      <c r="BT421" s="39">
        <f t="shared" si="446"/>
        <v>0</v>
      </c>
      <c r="BU421" s="39">
        <f t="shared" si="447"/>
        <v>6.9716934618872975E-2</v>
      </c>
      <c r="BV421" s="39">
        <f t="shared" si="448"/>
        <v>0.8797921517460906</v>
      </c>
      <c r="BW421" s="39">
        <f t="shared" si="449"/>
        <v>0</v>
      </c>
      <c r="BX421" s="39">
        <f t="shared" si="450"/>
        <v>0</v>
      </c>
      <c r="BY421" s="39">
        <f t="shared" si="451"/>
        <v>0</v>
      </c>
      <c r="BZ421" s="39">
        <f t="shared" si="452"/>
        <v>0</v>
      </c>
      <c r="CA421" s="39">
        <f t="shared" si="453"/>
        <v>93.569602043816687</v>
      </c>
      <c r="CB421" s="39">
        <f t="shared" si="454"/>
        <v>65.220980431395205</v>
      </c>
      <c r="CC421" s="39">
        <f t="shared" si="455"/>
        <v>64.046477956412573</v>
      </c>
      <c r="CD421" s="39">
        <f t="shared" si="456"/>
        <v>87.656245035782945</v>
      </c>
      <c r="CE421" s="39">
        <f t="shared" si="457"/>
        <v>70.287769342349961</v>
      </c>
      <c r="CF421" s="39">
        <f t="shared" si="458"/>
        <v>41.482870304628982</v>
      </c>
      <c r="CG421" s="39">
        <f t="shared" si="459"/>
        <v>42.729531837654022</v>
      </c>
      <c r="CH421" s="39">
        <f t="shared" si="460"/>
        <v>44.11539790598038</v>
      </c>
      <c r="CI421" s="39">
        <f t="shared" si="461"/>
        <v>0</v>
      </c>
      <c r="CJ421" s="39">
        <f t="shared" si="462"/>
        <v>0</v>
      </c>
      <c r="CK421" s="39">
        <f t="shared" si="463"/>
        <v>0</v>
      </c>
      <c r="CL421" s="39">
        <f t="shared" si="464"/>
        <v>0</v>
      </c>
      <c r="CM421" s="39">
        <f t="shared" si="465"/>
        <v>0</v>
      </c>
      <c r="CN421" s="39">
        <f t="shared" si="466"/>
        <v>0</v>
      </c>
      <c r="CO421" s="39">
        <f t="shared" si="467"/>
        <v>0</v>
      </c>
      <c r="CP421" s="39">
        <f t="shared" si="468"/>
        <v>0</v>
      </c>
    </row>
    <row r="422" spans="12:94" ht="16" customHeight="1" x14ac:dyDescent="0.2">
      <c r="L422" s="63">
        <v>30734</v>
      </c>
      <c r="M422" s="38">
        <v>0.4</v>
      </c>
      <c r="N422" s="38">
        <v>2.4</v>
      </c>
      <c r="O422" s="39">
        <v>2.3664000000000001</v>
      </c>
      <c r="P422" s="39">
        <v>1.1000000000000001</v>
      </c>
      <c r="Q422" s="46">
        <f t="shared" si="399"/>
        <v>2.1142698559831041E-2</v>
      </c>
      <c r="R422" s="81">
        <f t="shared" si="400"/>
        <v>0</v>
      </c>
      <c r="S422" s="82">
        <f t="shared" si="401"/>
        <v>0.4</v>
      </c>
      <c r="T422" s="39">
        <f t="shared" si="402"/>
        <v>0</v>
      </c>
      <c r="U422" s="83">
        <f t="shared" si="403"/>
        <v>2.64</v>
      </c>
      <c r="V422" s="84">
        <f t="shared" si="404"/>
        <v>0</v>
      </c>
      <c r="W422" s="52">
        <f t="shared" si="405"/>
        <v>161.49330546740742</v>
      </c>
      <c r="X422" s="52">
        <f t="shared" si="406"/>
        <v>57.615569390613359</v>
      </c>
      <c r="Y422" s="52">
        <f t="shared" si="407"/>
        <v>219.10887485802078</v>
      </c>
      <c r="Z422" s="53">
        <f t="shared" si="408"/>
        <v>1.2616664489641205</v>
      </c>
      <c r="AA422" s="53">
        <f t="shared" si="409"/>
        <v>0.34294981780126998</v>
      </c>
      <c r="AB422" s="53">
        <f t="shared" si="410"/>
        <v>0.74023268533115127</v>
      </c>
      <c r="AC422" s="39" t="str">
        <f t="shared" si="411"/>
        <v>No</v>
      </c>
      <c r="AD422" s="85">
        <f t="shared" si="412"/>
        <v>0</v>
      </c>
      <c r="AE422" s="46">
        <f t="shared" si="413"/>
        <v>0</v>
      </c>
      <c r="AF422" s="46">
        <f t="shared" si="414"/>
        <v>2.1257999999999999</v>
      </c>
      <c r="AG422" s="39">
        <f t="shared" si="469"/>
        <v>93.569602043816687</v>
      </c>
      <c r="AH422" s="39">
        <f t="shared" si="470"/>
        <v>65.220980431395205</v>
      </c>
      <c r="AI422" s="39">
        <f t="shared" si="471"/>
        <v>64.046477956412573</v>
      </c>
      <c r="AJ422" s="39">
        <f t="shared" si="472"/>
        <v>87.656245035782945</v>
      </c>
      <c r="AK422" s="39">
        <f t="shared" si="473"/>
        <v>70.287769342349961</v>
      </c>
      <c r="AL422" s="39">
        <f t="shared" si="474"/>
        <v>41.482870304628982</v>
      </c>
      <c r="AM422" s="39">
        <f t="shared" si="475"/>
        <v>42.729531837654022</v>
      </c>
      <c r="AN422" s="39">
        <f t="shared" si="476"/>
        <v>44.11539790598038</v>
      </c>
      <c r="AO422" s="39">
        <f t="shared" si="415"/>
        <v>6.3569602043816689</v>
      </c>
      <c r="AP422" s="39">
        <f t="shared" si="416"/>
        <v>2.7220980431395208</v>
      </c>
      <c r="AQ422" s="39">
        <f t="shared" si="417"/>
        <v>2.8046477956412588</v>
      </c>
      <c r="AR422" s="39">
        <f t="shared" si="418"/>
        <v>4.2656245035782936</v>
      </c>
      <c r="AS422" s="39">
        <f t="shared" si="419"/>
        <v>2.8287769342349969</v>
      </c>
      <c r="AT422" s="39">
        <f t="shared" si="420"/>
        <v>0.34266232669121938</v>
      </c>
      <c r="AU422" s="39">
        <f t="shared" si="421"/>
        <v>0.45077995133296717</v>
      </c>
      <c r="AV422" s="39">
        <f t="shared" si="422"/>
        <v>0.58834319337272789</v>
      </c>
      <c r="AW422" s="39">
        <f t="shared" si="423"/>
        <v>20.359892952372658</v>
      </c>
      <c r="AX422" s="39">
        <f t="shared" si="424"/>
        <v>2.64</v>
      </c>
      <c r="AY422" s="39">
        <f t="shared" si="425"/>
        <v>2.2400000000000002</v>
      </c>
      <c r="AZ422" s="39">
        <f t="shared" si="426"/>
        <v>0.69939419087935417</v>
      </c>
      <c r="BA422" s="39">
        <f t="shared" si="427"/>
        <v>0.29948583869749418</v>
      </c>
      <c r="BB422" s="39">
        <f t="shared" si="428"/>
        <v>0.30856798102684985</v>
      </c>
      <c r="BC422" s="39">
        <f t="shared" si="429"/>
        <v>0.46930496689580475</v>
      </c>
      <c r="BD422" s="39">
        <f t="shared" si="430"/>
        <v>0.31122267427972744</v>
      </c>
      <c r="BE422" s="39">
        <f t="shared" si="431"/>
        <v>3.7699786221070612E-2</v>
      </c>
      <c r="BF422" s="39">
        <f t="shared" si="432"/>
        <v>4.9594911591525577E-2</v>
      </c>
      <c r="BG422" s="39">
        <f t="shared" si="433"/>
        <v>6.4729650408173162E-2</v>
      </c>
      <c r="BH422" s="84">
        <f t="shared" si="434"/>
        <v>0</v>
      </c>
      <c r="BI422" s="84">
        <f t="shared" si="435"/>
        <v>0</v>
      </c>
      <c r="BJ422" s="84">
        <f t="shared" si="436"/>
        <v>0</v>
      </c>
      <c r="BK422" s="39">
        <f t="shared" si="437"/>
        <v>92.870207852937327</v>
      </c>
      <c r="BL422" s="39">
        <f t="shared" si="438"/>
        <v>64.921494592697712</v>
      </c>
      <c r="BM422" s="39">
        <f t="shared" si="439"/>
        <v>63.737909975385726</v>
      </c>
      <c r="BN422" s="39">
        <f t="shared" si="440"/>
        <v>87.186940068887139</v>
      </c>
      <c r="BO422" s="39">
        <f t="shared" si="441"/>
        <v>69.976546668070227</v>
      </c>
      <c r="BP422" s="39">
        <f t="shared" si="442"/>
        <v>41.445170518407913</v>
      </c>
      <c r="BQ422" s="39">
        <f t="shared" si="443"/>
        <v>42.679936926062496</v>
      </c>
      <c r="BR422" s="39">
        <f t="shared" si="444"/>
        <v>44.050668255572205</v>
      </c>
      <c r="BS422" s="39">
        <f t="shared" si="445"/>
        <v>19.722124711762394</v>
      </c>
      <c r="BT422" s="39">
        <f t="shared" si="446"/>
        <v>0</v>
      </c>
      <c r="BU422" s="39">
        <f t="shared" si="447"/>
        <v>0</v>
      </c>
      <c r="BV422" s="39">
        <f t="shared" si="448"/>
        <v>0.11216404133227513</v>
      </c>
      <c r="BW422" s="39">
        <f t="shared" si="449"/>
        <v>0</v>
      </c>
      <c r="BX422" s="39">
        <f t="shared" si="450"/>
        <v>0</v>
      </c>
      <c r="BY422" s="39">
        <f t="shared" si="451"/>
        <v>0</v>
      </c>
      <c r="BZ422" s="39">
        <f t="shared" si="452"/>
        <v>0</v>
      </c>
      <c r="CA422" s="39">
        <f t="shared" si="453"/>
        <v>73.148083141174936</v>
      </c>
      <c r="CB422" s="39">
        <f t="shared" si="454"/>
        <v>84.643619304460103</v>
      </c>
      <c r="CC422" s="39">
        <f t="shared" si="455"/>
        <v>63.737909975385726</v>
      </c>
      <c r="CD422" s="39">
        <f t="shared" si="456"/>
        <v>87.074776027554861</v>
      </c>
      <c r="CE422" s="39">
        <f t="shared" si="457"/>
        <v>70.088710709402505</v>
      </c>
      <c r="CF422" s="39">
        <f t="shared" si="458"/>
        <v>41.445170518407913</v>
      </c>
      <c r="CG422" s="39">
        <f t="shared" si="459"/>
        <v>42.679936926062496</v>
      </c>
      <c r="CH422" s="39">
        <f t="shared" si="460"/>
        <v>44.050668255572205</v>
      </c>
      <c r="CI422" s="39">
        <f t="shared" si="461"/>
        <v>0</v>
      </c>
      <c r="CJ422" s="39">
        <f t="shared" si="462"/>
        <v>0</v>
      </c>
      <c r="CK422" s="39">
        <f t="shared" si="463"/>
        <v>0</v>
      </c>
      <c r="CL422" s="39">
        <f t="shared" si="464"/>
        <v>0</v>
      </c>
      <c r="CM422" s="39">
        <f t="shared" si="465"/>
        <v>0</v>
      </c>
      <c r="CN422" s="39">
        <f t="shared" si="466"/>
        <v>0</v>
      </c>
      <c r="CO422" s="39">
        <f t="shared" si="467"/>
        <v>0</v>
      </c>
      <c r="CP422" s="39">
        <f t="shared" si="468"/>
        <v>0</v>
      </c>
    </row>
    <row r="423" spans="12:94" ht="16" customHeight="1" x14ac:dyDescent="0.2">
      <c r="L423" s="63">
        <v>30735</v>
      </c>
      <c r="M423" s="38">
        <v>8.4</v>
      </c>
      <c r="N423" s="38">
        <v>2.4</v>
      </c>
      <c r="O423" s="39">
        <v>2.3664000000000001</v>
      </c>
      <c r="P423" s="39">
        <v>1.1000000000000001</v>
      </c>
      <c r="Q423" s="46">
        <f t="shared" si="399"/>
        <v>6.2537669308429189E-2</v>
      </c>
      <c r="R423" s="81">
        <f t="shared" si="400"/>
        <v>0.16800820327102992</v>
      </c>
      <c r="S423" s="82">
        <f t="shared" si="401"/>
        <v>8.2319917967289697</v>
      </c>
      <c r="T423" s="39">
        <f t="shared" si="402"/>
        <v>0</v>
      </c>
      <c r="U423" s="83">
        <f t="shared" si="403"/>
        <v>2.64</v>
      </c>
      <c r="V423" s="84">
        <f t="shared" si="404"/>
        <v>0</v>
      </c>
      <c r="W423" s="52">
        <f t="shared" si="405"/>
        <v>159.60438844857561</v>
      </c>
      <c r="X423" s="52">
        <f t="shared" si="406"/>
        <v>57.264486409445112</v>
      </c>
      <c r="Y423" s="52">
        <f t="shared" si="407"/>
        <v>216.86887485802072</v>
      </c>
      <c r="Z423" s="53">
        <f t="shared" si="408"/>
        <v>1.2469092847544969</v>
      </c>
      <c r="AA423" s="53">
        <f t="shared" si="409"/>
        <v>0.34086003815145899</v>
      </c>
      <c r="AB423" s="53">
        <f t="shared" si="410"/>
        <v>0.73266511776358345</v>
      </c>
      <c r="AC423" s="39" t="str">
        <f t="shared" si="411"/>
        <v>No</v>
      </c>
      <c r="AD423" s="85">
        <f t="shared" si="412"/>
        <v>0</v>
      </c>
      <c r="AE423" s="46">
        <f t="shared" si="413"/>
        <v>0</v>
      </c>
      <c r="AF423" s="46">
        <f t="shared" si="414"/>
        <v>2.1257999999999999</v>
      </c>
      <c r="AG423" s="39">
        <f t="shared" si="469"/>
        <v>73.148083141174936</v>
      </c>
      <c r="AH423" s="39">
        <f t="shared" si="470"/>
        <v>84.643619304460103</v>
      </c>
      <c r="AI423" s="39">
        <f t="shared" si="471"/>
        <v>63.737909975385726</v>
      </c>
      <c r="AJ423" s="39">
        <f t="shared" si="472"/>
        <v>87.074776027554861</v>
      </c>
      <c r="AK423" s="39">
        <f t="shared" si="473"/>
        <v>70.088710709402505</v>
      </c>
      <c r="AL423" s="39">
        <f t="shared" si="474"/>
        <v>41.445170518407913</v>
      </c>
      <c r="AM423" s="39">
        <f t="shared" si="475"/>
        <v>42.679936926062496</v>
      </c>
      <c r="AN423" s="39">
        <f t="shared" si="476"/>
        <v>44.050668255572205</v>
      </c>
      <c r="AO423" s="39">
        <f t="shared" si="415"/>
        <v>4.314808314117494</v>
      </c>
      <c r="AP423" s="39">
        <f t="shared" si="416"/>
        <v>4.6643619304460104</v>
      </c>
      <c r="AQ423" s="39">
        <f t="shared" si="417"/>
        <v>2.7737909975385744</v>
      </c>
      <c r="AR423" s="39">
        <f t="shared" si="418"/>
        <v>4.2074776027554854</v>
      </c>
      <c r="AS423" s="39">
        <f t="shared" si="419"/>
        <v>2.8088710709402513</v>
      </c>
      <c r="AT423" s="39">
        <f t="shared" si="420"/>
        <v>0.33962335754755263</v>
      </c>
      <c r="AU423" s="39">
        <f t="shared" si="421"/>
        <v>0.44619608996451471</v>
      </c>
      <c r="AV423" s="39">
        <f t="shared" si="422"/>
        <v>0.58151080426052892</v>
      </c>
      <c r="AW423" s="39">
        <f t="shared" si="423"/>
        <v>20.136640167570413</v>
      </c>
      <c r="AX423" s="39">
        <f t="shared" si="424"/>
        <v>2.64</v>
      </c>
      <c r="AY423" s="39">
        <f t="shared" si="425"/>
        <v>0</v>
      </c>
      <c r="AZ423" s="39">
        <f t="shared" si="426"/>
        <v>0</v>
      </c>
      <c r="BA423" s="39">
        <f t="shared" si="427"/>
        <v>0</v>
      </c>
      <c r="BB423" s="39">
        <f t="shared" si="428"/>
        <v>0</v>
      </c>
      <c r="BC423" s="39">
        <f t="shared" si="429"/>
        <v>0</v>
      </c>
      <c r="BD423" s="39">
        <f t="shared" si="430"/>
        <v>0</v>
      </c>
      <c r="BE423" s="39">
        <f t="shared" si="431"/>
        <v>0</v>
      </c>
      <c r="BF423" s="39">
        <f t="shared" si="432"/>
        <v>0</v>
      </c>
      <c r="BG423" s="39">
        <f t="shared" si="433"/>
        <v>0</v>
      </c>
      <c r="BH423" s="84">
        <f t="shared" si="434"/>
        <v>0</v>
      </c>
      <c r="BI423" s="84">
        <f t="shared" si="435"/>
        <v>0</v>
      </c>
      <c r="BJ423" s="84">
        <f t="shared" si="436"/>
        <v>0</v>
      </c>
      <c r="BK423" s="39">
        <f t="shared" si="437"/>
        <v>73.148083141174936</v>
      </c>
      <c r="BL423" s="39">
        <f t="shared" si="438"/>
        <v>84.643619304460103</v>
      </c>
      <c r="BM423" s="39">
        <f t="shared" si="439"/>
        <v>63.737909975385726</v>
      </c>
      <c r="BN423" s="39">
        <f t="shared" si="440"/>
        <v>87.074776027554861</v>
      </c>
      <c r="BO423" s="39">
        <f t="shared" si="441"/>
        <v>70.088710709402505</v>
      </c>
      <c r="BP423" s="39">
        <f t="shared" si="442"/>
        <v>41.445170518407913</v>
      </c>
      <c r="BQ423" s="39">
        <f t="shared" si="443"/>
        <v>42.679936926062496</v>
      </c>
      <c r="BR423" s="39">
        <f t="shared" si="444"/>
        <v>44.050668255572205</v>
      </c>
      <c r="BS423" s="39">
        <f t="shared" si="445"/>
        <v>7.8888498847049613</v>
      </c>
      <c r="BT423" s="39">
        <f t="shared" si="446"/>
        <v>11.186171582676062</v>
      </c>
      <c r="BU423" s="39">
        <f t="shared" si="447"/>
        <v>0</v>
      </c>
      <c r="BV423" s="39">
        <f t="shared" si="448"/>
        <v>4.4865616532908346E-2</v>
      </c>
      <c r="BW423" s="39">
        <f t="shared" si="449"/>
        <v>0</v>
      </c>
      <c r="BX423" s="39">
        <f t="shared" si="450"/>
        <v>0</v>
      </c>
      <c r="BY423" s="39">
        <f t="shared" si="451"/>
        <v>0</v>
      </c>
      <c r="BZ423" s="39">
        <f t="shared" si="452"/>
        <v>0</v>
      </c>
      <c r="CA423" s="39">
        <f t="shared" si="453"/>
        <v>73.491225053198946</v>
      </c>
      <c r="CB423" s="39">
        <f t="shared" si="454"/>
        <v>81.346297606489003</v>
      </c>
      <c r="CC423" s="39">
        <f t="shared" si="455"/>
        <v>74.924081558061786</v>
      </c>
      <c r="CD423" s="39">
        <f t="shared" si="456"/>
        <v>87.029910411021959</v>
      </c>
      <c r="CE423" s="39">
        <f t="shared" si="457"/>
        <v>70.133576325935408</v>
      </c>
      <c r="CF423" s="39">
        <f t="shared" si="458"/>
        <v>41.445170518407913</v>
      </c>
      <c r="CG423" s="39">
        <f t="shared" si="459"/>
        <v>42.679936926062496</v>
      </c>
      <c r="CH423" s="39">
        <f t="shared" si="460"/>
        <v>44.050668255572205</v>
      </c>
      <c r="CI423" s="39">
        <f t="shared" si="461"/>
        <v>0</v>
      </c>
      <c r="CJ423" s="39">
        <f t="shared" si="462"/>
        <v>0</v>
      </c>
      <c r="CK423" s="39">
        <f t="shared" si="463"/>
        <v>0</v>
      </c>
      <c r="CL423" s="39">
        <f t="shared" si="464"/>
        <v>0</v>
      </c>
      <c r="CM423" s="39">
        <f t="shared" si="465"/>
        <v>0</v>
      </c>
      <c r="CN423" s="39">
        <f t="shared" si="466"/>
        <v>0</v>
      </c>
      <c r="CO423" s="39">
        <f t="shared" si="467"/>
        <v>0</v>
      </c>
      <c r="CP423" s="39">
        <f t="shared" si="468"/>
        <v>0</v>
      </c>
    </row>
    <row r="424" spans="12:94" ht="16" customHeight="1" x14ac:dyDescent="0.2">
      <c r="L424" s="63">
        <v>30736</v>
      </c>
      <c r="M424" s="38">
        <v>0.1</v>
      </c>
      <c r="N424" s="38">
        <v>2.4</v>
      </c>
      <c r="O424" s="39">
        <v>2.3664000000000001</v>
      </c>
      <c r="P424" s="39">
        <v>1.1000000000000001</v>
      </c>
      <c r="Q424" s="46">
        <f t="shared" si="399"/>
        <v>6.1842111378650783E-2</v>
      </c>
      <c r="R424" s="81">
        <f t="shared" si="400"/>
        <v>0</v>
      </c>
      <c r="S424" s="82">
        <f t="shared" si="401"/>
        <v>0.1</v>
      </c>
      <c r="T424" s="39">
        <f t="shared" si="402"/>
        <v>0</v>
      </c>
      <c r="U424" s="83">
        <f t="shared" si="403"/>
        <v>2.64</v>
      </c>
      <c r="V424" s="84">
        <f t="shared" si="404"/>
        <v>0</v>
      </c>
      <c r="W424" s="52">
        <f t="shared" si="405"/>
        <v>167.79151462877167</v>
      </c>
      <c r="X424" s="52">
        <f t="shared" si="406"/>
        <v>57.309352025978001</v>
      </c>
      <c r="Y424" s="52">
        <f t="shared" si="407"/>
        <v>225.10086665474967</v>
      </c>
      <c r="Z424" s="53">
        <f t="shared" si="408"/>
        <v>1.3108712080372786</v>
      </c>
      <c r="AA424" s="53">
        <f t="shared" si="409"/>
        <v>0.34112709539272618</v>
      </c>
      <c r="AB424" s="53">
        <f t="shared" si="410"/>
        <v>0.76047590086064076</v>
      </c>
      <c r="AC424" s="39" t="str">
        <f t="shared" si="411"/>
        <v>No</v>
      </c>
      <c r="AD424" s="85">
        <f t="shared" si="412"/>
        <v>0</v>
      </c>
      <c r="AE424" s="46">
        <f t="shared" si="413"/>
        <v>0</v>
      </c>
      <c r="AF424" s="46">
        <f t="shared" si="414"/>
        <v>2.1257999999999999</v>
      </c>
      <c r="AG424" s="39">
        <f t="shared" si="469"/>
        <v>73.491225053198946</v>
      </c>
      <c r="AH424" s="39">
        <f t="shared" si="470"/>
        <v>81.346297606489003</v>
      </c>
      <c r="AI424" s="39">
        <f t="shared" si="471"/>
        <v>74.924081558061786</v>
      </c>
      <c r="AJ424" s="39">
        <f t="shared" si="472"/>
        <v>87.029910411021959</v>
      </c>
      <c r="AK424" s="39">
        <f t="shared" si="473"/>
        <v>70.133576325935408</v>
      </c>
      <c r="AL424" s="39">
        <f t="shared" si="474"/>
        <v>41.445170518407913</v>
      </c>
      <c r="AM424" s="39">
        <f t="shared" si="475"/>
        <v>42.679936926062496</v>
      </c>
      <c r="AN424" s="39">
        <f t="shared" si="476"/>
        <v>44.050668255572205</v>
      </c>
      <c r="AO424" s="39">
        <f t="shared" si="415"/>
        <v>4.3491225053198947</v>
      </c>
      <c r="AP424" s="39">
        <f t="shared" si="416"/>
        <v>4.3346297606489008</v>
      </c>
      <c r="AQ424" s="39">
        <f t="shared" si="417"/>
        <v>3.89240815580618</v>
      </c>
      <c r="AR424" s="39">
        <f t="shared" si="418"/>
        <v>4.2029910411021953</v>
      </c>
      <c r="AS424" s="39">
        <f t="shared" si="419"/>
        <v>2.8133576325935419</v>
      </c>
      <c r="AT424" s="39">
        <f t="shared" si="420"/>
        <v>0.33962335754755263</v>
      </c>
      <c r="AU424" s="39">
        <f t="shared" si="421"/>
        <v>0.44619608996451471</v>
      </c>
      <c r="AV424" s="39">
        <f t="shared" si="422"/>
        <v>0.58151080426052892</v>
      </c>
      <c r="AW424" s="39">
        <f t="shared" si="423"/>
        <v>20.959839347243307</v>
      </c>
      <c r="AX424" s="39">
        <f t="shared" si="424"/>
        <v>2.64</v>
      </c>
      <c r="AY424" s="39">
        <f t="shared" si="425"/>
        <v>2.54</v>
      </c>
      <c r="AZ424" s="39">
        <f t="shared" si="426"/>
        <v>0.52704464860153777</v>
      </c>
      <c r="BA424" s="39">
        <f t="shared" si="427"/>
        <v>0.52528835787552286</v>
      </c>
      <c r="BB424" s="39">
        <f t="shared" si="428"/>
        <v>0.47169811523617544</v>
      </c>
      <c r="BC424" s="39">
        <f t="shared" si="429"/>
        <v>0.5093358335212459</v>
      </c>
      <c r="BD424" s="39">
        <f t="shared" si="430"/>
        <v>0.34093431101261984</v>
      </c>
      <c r="BE424" s="39">
        <f t="shared" si="431"/>
        <v>4.1156962793430993E-2</v>
      </c>
      <c r="BF424" s="39">
        <f t="shared" si="432"/>
        <v>5.4071887180706234E-2</v>
      </c>
      <c r="BG424" s="39">
        <f t="shared" si="433"/>
        <v>7.0469883778761275E-2</v>
      </c>
      <c r="BH424" s="84">
        <f t="shared" si="434"/>
        <v>0</v>
      </c>
      <c r="BI424" s="84">
        <f t="shared" si="435"/>
        <v>0</v>
      </c>
      <c r="BJ424" s="84">
        <f t="shared" si="436"/>
        <v>0</v>
      </c>
      <c r="BK424" s="39">
        <f t="shared" si="437"/>
        <v>72.964180404597414</v>
      </c>
      <c r="BL424" s="39">
        <f t="shared" si="438"/>
        <v>80.821009248613478</v>
      </c>
      <c r="BM424" s="39">
        <f t="shared" si="439"/>
        <v>74.452383442825607</v>
      </c>
      <c r="BN424" s="39">
        <f t="shared" si="440"/>
        <v>86.52057457750071</v>
      </c>
      <c r="BO424" s="39">
        <f t="shared" si="441"/>
        <v>69.792642014922791</v>
      </c>
      <c r="BP424" s="39">
        <f t="shared" si="442"/>
        <v>41.404013555614483</v>
      </c>
      <c r="BQ424" s="39">
        <f t="shared" si="443"/>
        <v>42.625865038881791</v>
      </c>
      <c r="BR424" s="39">
        <f t="shared" si="444"/>
        <v>43.980198371793442</v>
      </c>
      <c r="BS424" s="39">
        <f t="shared" si="445"/>
        <v>7.7785082427584484</v>
      </c>
      <c r="BT424" s="39">
        <f t="shared" si="446"/>
        <v>8.8926055491680867</v>
      </c>
      <c r="BU424" s="39">
        <f t="shared" si="447"/>
        <v>6.2714300656953723</v>
      </c>
      <c r="BV424" s="39">
        <f t="shared" si="448"/>
        <v>0</v>
      </c>
      <c r="BW424" s="39">
        <f t="shared" si="449"/>
        <v>0</v>
      </c>
      <c r="BX424" s="39">
        <f t="shared" si="450"/>
        <v>0</v>
      </c>
      <c r="BY424" s="39">
        <f t="shared" si="451"/>
        <v>0</v>
      </c>
      <c r="BZ424" s="39">
        <f t="shared" si="452"/>
        <v>0</v>
      </c>
      <c r="CA424" s="39">
        <f t="shared" si="453"/>
        <v>65.185672161838966</v>
      </c>
      <c r="CB424" s="39">
        <f t="shared" si="454"/>
        <v>79.706911942203845</v>
      </c>
      <c r="CC424" s="39">
        <f t="shared" si="455"/>
        <v>77.073558926298318</v>
      </c>
      <c r="CD424" s="39">
        <f t="shared" si="456"/>
        <v>92.79200464319608</v>
      </c>
      <c r="CE424" s="39">
        <f t="shared" si="457"/>
        <v>69.792642014922791</v>
      </c>
      <c r="CF424" s="39">
        <f t="shared" si="458"/>
        <v>41.404013555614483</v>
      </c>
      <c r="CG424" s="39">
        <f t="shared" si="459"/>
        <v>42.625865038881791</v>
      </c>
      <c r="CH424" s="39">
        <f t="shared" si="460"/>
        <v>43.980198371793442</v>
      </c>
      <c r="CI424" s="39">
        <f t="shared" si="461"/>
        <v>0</v>
      </c>
      <c r="CJ424" s="39">
        <f t="shared" si="462"/>
        <v>0</v>
      </c>
      <c r="CK424" s="39">
        <f t="shared" si="463"/>
        <v>0</v>
      </c>
      <c r="CL424" s="39">
        <f t="shared" si="464"/>
        <v>0</v>
      </c>
      <c r="CM424" s="39">
        <f t="shared" si="465"/>
        <v>0</v>
      </c>
      <c r="CN424" s="39">
        <f t="shared" si="466"/>
        <v>0</v>
      </c>
      <c r="CO424" s="39">
        <f t="shared" si="467"/>
        <v>0</v>
      </c>
      <c r="CP424" s="39">
        <f t="shared" si="468"/>
        <v>0</v>
      </c>
    </row>
    <row r="425" spans="12:94" ht="16" customHeight="1" x14ac:dyDescent="0.2">
      <c r="L425" s="63">
        <v>30737</v>
      </c>
      <c r="M425" s="38">
        <v>24.5</v>
      </c>
      <c r="N425" s="38">
        <v>5.3</v>
      </c>
      <c r="O425" s="39">
        <v>2.3664000000000001</v>
      </c>
      <c r="P425" s="39">
        <v>1.1000000000000001</v>
      </c>
      <c r="Q425" s="46">
        <f t="shared" si="399"/>
        <v>7.8677691563839927E-2</v>
      </c>
      <c r="R425" s="81">
        <f t="shared" si="400"/>
        <v>3.6375452236412182</v>
      </c>
      <c r="S425" s="82">
        <f t="shared" si="401"/>
        <v>20.862454776358781</v>
      </c>
      <c r="T425" s="39">
        <f t="shared" si="402"/>
        <v>0</v>
      </c>
      <c r="U425" s="83">
        <f t="shared" si="403"/>
        <v>5.83</v>
      </c>
      <c r="V425" s="84">
        <f t="shared" si="404"/>
        <v>0</v>
      </c>
      <c r="W425" s="52">
        <f t="shared" si="405"/>
        <v>165.75814767353722</v>
      </c>
      <c r="X425" s="52">
        <f t="shared" si="406"/>
        <v>56.802718981212507</v>
      </c>
      <c r="Y425" s="52">
        <f t="shared" si="407"/>
        <v>222.56086665474973</v>
      </c>
      <c r="Z425" s="53">
        <f t="shared" si="408"/>
        <v>1.2949855286995096</v>
      </c>
      <c r="AA425" s="53">
        <f t="shared" si="409"/>
        <v>0.33811142250721732</v>
      </c>
      <c r="AB425" s="53">
        <f t="shared" si="410"/>
        <v>0.75189481977955985</v>
      </c>
      <c r="AC425" s="39" t="str">
        <f t="shared" si="411"/>
        <v>No</v>
      </c>
      <c r="AD425" s="85">
        <f t="shared" si="412"/>
        <v>0</v>
      </c>
      <c r="AE425" s="46">
        <f t="shared" si="413"/>
        <v>0</v>
      </c>
      <c r="AF425" s="46">
        <f t="shared" si="414"/>
        <v>2.1257999999999999</v>
      </c>
      <c r="AG425" s="39">
        <f t="shared" si="469"/>
        <v>65.185672161838966</v>
      </c>
      <c r="AH425" s="39">
        <f t="shared" si="470"/>
        <v>79.706911942203845</v>
      </c>
      <c r="AI425" s="39">
        <f t="shared" si="471"/>
        <v>77.073558926298318</v>
      </c>
      <c r="AJ425" s="39">
        <f t="shared" si="472"/>
        <v>92.79200464319608</v>
      </c>
      <c r="AK425" s="39">
        <f t="shared" si="473"/>
        <v>69.792642014922791</v>
      </c>
      <c r="AL425" s="39">
        <f t="shared" si="474"/>
        <v>41.404013555614483</v>
      </c>
      <c r="AM425" s="39">
        <f t="shared" si="475"/>
        <v>42.625865038881791</v>
      </c>
      <c r="AN425" s="39">
        <f t="shared" si="476"/>
        <v>43.980198371793442</v>
      </c>
      <c r="AO425" s="39">
        <f t="shared" si="415"/>
        <v>3.5185672161838966</v>
      </c>
      <c r="AP425" s="39">
        <f t="shared" si="416"/>
        <v>4.1706911942203844</v>
      </c>
      <c r="AQ425" s="39">
        <f t="shared" si="417"/>
        <v>4.1073558926298332</v>
      </c>
      <c r="AR425" s="39">
        <f t="shared" si="418"/>
        <v>4.7792004643196071</v>
      </c>
      <c r="AS425" s="39">
        <f t="shared" si="419"/>
        <v>2.7792642014922802</v>
      </c>
      <c r="AT425" s="39">
        <f t="shared" si="420"/>
        <v>0.33632116115691363</v>
      </c>
      <c r="AU425" s="39">
        <f t="shared" si="421"/>
        <v>0.44122513212746001</v>
      </c>
      <c r="AV425" s="39">
        <f t="shared" si="422"/>
        <v>0.57411788706635802</v>
      </c>
      <c r="AW425" s="39">
        <f t="shared" si="423"/>
        <v>20.706743149196733</v>
      </c>
      <c r="AX425" s="39">
        <f t="shared" si="424"/>
        <v>5.83</v>
      </c>
      <c r="AY425" s="39">
        <f t="shared" si="425"/>
        <v>0</v>
      </c>
      <c r="AZ425" s="39">
        <f t="shared" si="426"/>
        <v>0</v>
      </c>
      <c r="BA425" s="39">
        <f t="shared" si="427"/>
        <v>0</v>
      </c>
      <c r="BB425" s="39">
        <f t="shared" si="428"/>
        <v>0</v>
      </c>
      <c r="BC425" s="39">
        <f t="shared" si="429"/>
        <v>0</v>
      </c>
      <c r="BD425" s="39">
        <f t="shared" si="430"/>
        <v>0</v>
      </c>
      <c r="BE425" s="39">
        <f t="shared" si="431"/>
        <v>0</v>
      </c>
      <c r="BF425" s="39">
        <f t="shared" si="432"/>
        <v>0</v>
      </c>
      <c r="BG425" s="39">
        <f t="shared" si="433"/>
        <v>0</v>
      </c>
      <c r="BH425" s="84">
        <f t="shared" si="434"/>
        <v>0</v>
      </c>
      <c r="BI425" s="84">
        <f t="shared" si="435"/>
        <v>0</v>
      </c>
      <c r="BJ425" s="84">
        <f t="shared" si="436"/>
        <v>0</v>
      </c>
      <c r="BK425" s="39">
        <f t="shared" si="437"/>
        <v>65.185672161838966</v>
      </c>
      <c r="BL425" s="39">
        <f t="shared" si="438"/>
        <v>79.706911942203845</v>
      </c>
      <c r="BM425" s="39">
        <f t="shared" si="439"/>
        <v>77.073558926298318</v>
      </c>
      <c r="BN425" s="39">
        <f t="shared" si="440"/>
        <v>92.79200464319608</v>
      </c>
      <c r="BO425" s="39">
        <f t="shared" si="441"/>
        <v>69.792642014922791</v>
      </c>
      <c r="BP425" s="39">
        <f t="shared" si="442"/>
        <v>41.404013555614483</v>
      </c>
      <c r="BQ425" s="39">
        <f t="shared" si="443"/>
        <v>42.625865038881791</v>
      </c>
      <c r="BR425" s="39">
        <f t="shared" si="444"/>
        <v>43.980198371793442</v>
      </c>
      <c r="BS425" s="39">
        <f t="shared" si="445"/>
        <v>3.1114032971033794</v>
      </c>
      <c r="BT425" s="39">
        <f t="shared" si="446"/>
        <v>8.2241471653223073</v>
      </c>
      <c r="BU425" s="39">
        <f t="shared" si="447"/>
        <v>7.8441353557789988</v>
      </c>
      <c r="BV425" s="39">
        <f t="shared" si="448"/>
        <v>3.4752027859176393</v>
      </c>
      <c r="BW425" s="39">
        <f t="shared" si="449"/>
        <v>0</v>
      </c>
      <c r="BX425" s="39">
        <f t="shared" si="450"/>
        <v>0</v>
      </c>
      <c r="BY425" s="39">
        <f t="shared" si="451"/>
        <v>0</v>
      </c>
      <c r="BZ425" s="39">
        <f t="shared" si="452"/>
        <v>0</v>
      </c>
      <c r="CA425" s="39">
        <f t="shared" si="453"/>
        <v>82.936723641094375</v>
      </c>
      <c r="CB425" s="39">
        <f t="shared" si="454"/>
        <v>74.594168073984918</v>
      </c>
      <c r="CC425" s="39">
        <f t="shared" si="455"/>
        <v>77.453570735841623</v>
      </c>
      <c r="CD425" s="39">
        <f t="shared" si="456"/>
        <v>97.160937213057437</v>
      </c>
      <c r="CE425" s="39">
        <f t="shared" si="457"/>
        <v>73.267844800840436</v>
      </c>
      <c r="CF425" s="39">
        <f t="shared" si="458"/>
        <v>41.404013555614483</v>
      </c>
      <c r="CG425" s="39">
        <f t="shared" si="459"/>
        <v>42.625865038881791</v>
      </c>
      <c r="CH425" s="39">
        <f t="shared" si="460"/>
        <v>43.980198371793442</v>
      </c>
      <c r="CI425" s="39">
        <f t="shared" si="461"/>
        <v>0</v>
      </c>
      <c r="CJ425" s="39">
        <f t="shared" si="462"/>
        <v>0</v>
      </c>
      <c r="CK425" s="39">
        <f t="shared" si="463"/>
        <v>0</v>
      </c>
      <c r="CL425" s="39">
        <f t="shared" si="464"/>
        <v>0</v>
      </c>
      <c r="CM425" s="39">
        <f t="shared" si="465"/>
        <v>0</v>
      </c>
      <c r="CN425" s="39">
        <f t="shared" si="466"/>
        <v>0</v>
      </c>
      <c r="CO425" s="39">
        <f t="shared" si="467"/>
        <v>0</v>
      </c>
      <c r="CP425" s="39">
        <f t="shared" si="468"/>
        <v>0</v>
      </c>
    </row>
    <row r="426" spans="12:94" ht="16" customHeight="1" x14ac:dyDescent="0.2">
      <c r="L426" s="63">
        <v>30738</v>
      </c>
      <c r="M426" s="38">
        <v>1.7</v>
      </c>
      <c r="N426" s="38">
        <v>0.9</v>
      </c>
      <c r="O426" s="39">
        <v>2.3664000000000001</v>
      </c>
      <c r="P426" s="39">
        <v>1.1000000000000001</v>
      </c>
      <c r="Q426" s="46">
        <f t="shared" si="399"/>
        <v>4.2695830457241131E-2</v>
      </c>
      <c r="R426" s="81">
        <f t="shared" si="400"/>
        <v>0</v>
      </c>
      <c r="S426" s="82">
        <f t="shared" si="401"/>
        <v>1.7</v>
      </c>
      <c r="T426" s="39">
        <f t="shared" si="402"/>
        <v>0</v>
      </c>
      <c r="U426" s="83">
        <f t="shared" si="403"/>
        <v>0.9900000000000001</v>
      </c>
      <c r="V426" s="84">
        <f t="shared" si="404"/>
        <v>0</v>
      </c>
      <c r="W426" s="52">
        <f t="shared" si="405"/>
        <v>183.14539966397837</v>
      </c>
      <c r="X426" s="52">
        <f t="shared" si="406"/>
        <v>60.277921767130152</v>
      </c>
      <c r="Y426" s="52">
        <f t="shared" si="407"/>
        <v>243.42332143110852</v>
      </c>
      <c r="Z426" s="53">
        <f t="shared" si="408"/>
        <v>1.430823434874831</v>
      </c>
      <c r="AA426" s="53">
        <f t="shared" si="409"/>
        <v>0.35879715337577472</v>
      </c>
      <c r="AB426" s="53">
        <f t="shared" si="410"/>
        <v>0.82237608591590716</v>
      </c>
      <c r="AC426" s="39" t="str">
        <f t="shared" si="411"/>
        <v>No</v>
      </c>
      <c r="AD426" s="85">
        <f t="shared" si="412"/>
        <v>0</v>
      </c>
      <c r="AE426" s="46">
        <f t="shared" si="413"/>
        <v>0</v>
      </c>
      <c r="AF426" s="46">
        <f t="shared" si="414"/>
        <v>2.1257999999999999</v>
      </c>
      <c r="AG426" s="39">
        <f t="shared" si="469"/>
        <v>82.936723641094375</v>
      </c>
      <c r="AH426" s="39">
        <f t="shared" si="470"/>
        <v>74.594168073984918</v>
      </c>
      <c r="AI426" s="39">
        <f t="shared" si="471"/>
        <v>77.453570735841623</v>
      </c>
      <c r="AJ426" s="39">
        <f t="shared" si="472"/>
        <v>97.160937213057437</v>
      </c>
      <c r="AK426" s="39">
        <f t="shared" si="473"/>
        <v>73.267844800840436</v>
      </c>
      <c r="AL426" s="39">
        <f t="shared" si="474"/>
        <v>41.404013555614483</v>
      </c>
      <c r="AM426" s="39">
        <f t="shared" si="475"/>
        <v>42.625865038881791</v>
      </c>
      <c r="AN426" s="39">
        <f t="shared" si="476"/>
        <v>43.980198371793442</v>
      </c>
      <c r="AO426" s="39">
        <f t="shared" si="415"/>
        <v>5.2936723641094376</v>
      </c>
      <c r="AP426" s="39">
        <f t="shared" si="416"/>
        <v>3.6594168073984918</v>
      </c>
      <c r="AQ426" s="39">
        <f t="shared" si="417"/>
        <v>4.1453570735841643</v>
      </c>
      <c r="AR426" s="39">
        <f t="shared" si="418"/>
        <v>5.216093721305743</v>
      </c>
      <c r="AS426" s="39">
        <f t="shared" si="419"/>
        <v>3.1267844800840443</v>
      </c>
      <c r="AT426" s="39">
        <f t="shared" si="420"/>
        <v>0.33632116115691363</v>
      </c>
      <c r="AU426" s="39">
        <f t="shared" si="421"/>
        <v>0.44122513212746001</v>
      </c>
      <c r="AV426" s="39">
        <f t="shared" si="422"/>
        <v>0.57411788706635802</v>
      </c>
      <c r="AW426" s="39">
        <f t="shared" si="423"/>
        <v>22.792988626832614</v>
      </c>
      <c r="AX426" s="39">
        <f t="shared" si="424"/>
        <v>0.9900000000000001</v>
      </c>
      <c r="AY426" s="39">
        <f t="shared" si="425"/>
        <v>0</v>
      </c>
      <c r="AZ426" s="39">
        <f t="shared" si="426"/>
        <v>0</v>
      </c>
      <c r="BA426" s="39">
        <f t="shared" si="427"/>
        <v>0</v>
      </c>
      <c r="BB426" s="39">
        <f t="shared" si="428"/>
        <v>0</v>
      </c>
      <c r="BC426" s="39">
        <f t="shared" si="429"/>
        <v>0</v>
      </c>
      <c r="BD426" s="39">
        <f t="shared" si="430"/>
        <v>0</v>
      </c>
      <c r="BE426" s="39">
        <f t="shared" si="431"/>
        <v>0</v>
      </c>
      <c r="BF426" s="39">
        <f t="shared" si="432"/>
        <v>0</v>
      </c>
      <c r="BG426" s="39">
        <f t="shared" si="433"/>
        <v>0</v>
      </c>
      <c r="BH426" s="84">
        <f t="shared" si="434"/>
        <v>0</v>
      </c>
      <c r="BI426" s="84">
        <f t="shared" si="435"/>
        <v>0</v>
      </c>
      <c r="BJ426" s="84">
        <f t="shared" si="436"/>
        <v>0</v>
      </c>
      <c r="BK426" s="39">
        <f t="shared" si="437"/>
        <v>82.936723641094375</v>
      </c>
      <c r="BL426" s="39">
        <f t="shared" si="438"/>
        <v>74.594168073984918</v>
      </c>
      <c r="BM426" s="39">
        <f t="shared" si="439"/>
        <v>77.453570735841623</v>
      </c>
      <c r="BN426" s="39">
        <f t="shared" si="440"/>
        <v>97.160937213057437</v>
      </c>
      <c r="BO426" s="39">
        <f t="shared" si="441"/>
        <v>73.267844800840436</v>
      </c>
      <c r="BP426" s="39">
        <f t="shared" si="442"/>
        <v>41.404013555614483</v>
      </c>
      <c r="BQ426" s="39">
        <f t="shared" si="443"/>
        <v>42.625865038881791</v>
      </c>
      <c r="BR426" s="39">
        <f t="shared" si="444"/>
        <v>43.980198371793442</v>
      </c>
      <c r="BS426" s="39">
        <f t="shared" si="445"/>
        <v>13.762034184656624</v>
      </c>
      <c r="BT426" s="39">
        <f t="shared" si="446"/>
        <v>5.1565008443909504</v>
      </c>
      <c r="BU426" s="39">
        <f t="shared" si="447"/>
        <v>8.0721424415049814</v>
      </c>
      <c r="BV426" s="39">
        <f t="shared" si="448"/>
        <v>6.0965623278344534</v>
      </c>
      <c r="BW426" s="39">
        <f t="shared" si="449"/>
        <v>0</v>
      </c>
      <c r="BX426" s="39">
        <f t="shared" si="450"/>
        <v>0</v>
      </c>
      <c r="BY426" s="39">
        <f t="shared" si="451"/>
        <v>0</v>
      </c>
      <c r="BZ426" s="39">
        <f t="shared" si="452"/>
        <v>0</v>
      </c>
      <c r="CA426" s="39">
        <f t="shared" si="453"/>
        <v>70.87468945643775</v>
      </c>
      <c r="CB426" s="39">
        <f t="shared" si="454"/>
        <v>83.199701414250598</v>
      </c>
      <c r="CC426" s="39">
        <f t="shared" si="455"/>
        <v>74.537929138727591</v>
      </c>
      <c r="CD426" s="39">
        <f t="shared" si="456"/>
        <v>99.136517326727969</v>
      </c>
      <c r="CE426" s="39">
        <f t="shared" si="457"/>
        <v>79.364407128674884</v>
      </c>
      <c r="CF426" s="39">
        <f t="shared" si="458"/>
        <v>41.404013555614483</v>
      </c>
      <c r="CG426" s="39">
        <f t="shared" si="459"/>
        <v>42.625865038881791</v>
      </c>
      <c r="CH426" s="39">
        <f t="shared" si="460"/>
        <v>43.980198371793442</v>
      </c>
      <c r="CI426" s="39">
        <f t="shared" si="461"/>
        <v>0</v>
      </c>
      <c r="CJ426" s="39">
        <f t="shared" si="462"/>
        <v>0</v>
      </c>
      <c r="CK426" s="39">
        <f t="shared" si="463"/>
        <v>0</v>
      </c>
      <c r="CL426" s="39">
        <f t="shared" si="464"/>
        <v>0</v>
      </c>
      <c r="CM426" s="39">
        <f t="shared" si="465"/>
        <v>0</v>
      </c>
      <c r="CN426" s="39">
        <f t="shared" si="466"/>
        <v>0</v>
      </c>
      <c r="CO426" s="39">
        <f t="shared" si="467"/>
        <v>0</v>
      </c>
      <c r="CP426" s="39">
        <f t="shared" si="468"/>
        <v>0</v>
      </c>
    </row>
    <row r="427" spans="12:94" ht="16" customHeight="1" x14ac:dyDescent="0.2">
      <c r="L427" s="63">
        <v>30739</v>
      </c>
      <c r="M427" s="38">
        <v>82.6</v>
      </c>
      <c r="N427" s="38">
        <v>1.2</v>
      </c>
      <c r="O427" s="39">
        <v>2.3664000000000001</v>
      </c>
      <c r="P427" s="39">
        <v>1.1000000000000001</v>
      </c>
      <c r="Q427" s="46">
        <f t="shared" si="399"/>
        <v>6.7145899750464019E-2</v>
      </c>
      <c r="R427" s="81">
        <f t="shared" si="400"/>
        <v>39.166051421125076</v>
      </c>
      <c r="S427" s="82">
        <f t="shared" si="401"/>
        <v>43.433948578874919</v>
      </c>
      <c r="T427" s="39">
        <f t="shared" si="402"/>
        <v>0</v>
      </c>
      <c r="U427" s="83">
        <f t="shared" si="403"/>
        <v>1.32</v>
      </c>
      <c r="V427" s="84">
        <f t="shared" si="404"/>
        <v>0</v>
      </c>
      <c r="W427" s="52">
        <f t="shared" si="405"/>
        <v>178.74883733614394</v>
      </c>
      <c r="X427" s="52">
        <f t="shared" si="406"/>
        <v>66.3744840949646</v>
      </c>
      <c r="Y427" s="52">
        <f t="shared" si="407"/>
        <v>245.12332143110854</v>
      </c>
      <c r="Z427" s="53">
        <f t="shared" si="408"/>
        <v>1.3964752916886245</v>
      </c>
      <c r="AA427" s="53">
        <f t="shared" si="409"/>
        <v>0.39508621485097978</v>
      </c>
      <c r="AB427" s="53">
        <f t="shared" si="410"/>
        <v>0.82811932915915043</v>
      </c>
      <c r="AC427" s="39" t="str">
        <f t="shared" si="411"/>
        <v>No</v>
      </c>
      <c r="AD427" s="85">
        <f t="shared" si="412"/>
        <v>0</v>
      </c>
      <c r="AE427" s="46">
        <f t="shared" si="413"/>
        <v>0</v>
      </c>
      <c r="AF427" s="46">
        <f t="shared" si="414"/>
        <v>2.1257999999999999</v>
      </c>
      <c r="AG427" s="39">
        <f t="shared" si="469"/>
        <v>70.87468945643775</v>
      </c>
      <c r="AH427" s="39">
        <f t="shared" si="470"/>
        <v>83.199701414250598</v>
      </c>
      <c r="AI427" s="39">
        <f t="shared" si="471"/>
        <v>74.537929138727591</v>
      </c>
      <c r="AJ427" s="39">
        <f t="shared" si="472"/>
        <v>99.136517326727969</v>
      </c>
      <c r="AK427" s="39">
        <f t="shared" si="473"/>
        <v>79.364407128674884</v>
      </c>
      <c r="AL427" s="39">
        <f t="shared" si="474"/>
        <v>41.404013555614483</v>
      </c>
      <c r="AM427" s="39">
        <f t="shared" si="475"/>
        <v>42.625865038881791</v>
      </c>
      <c r="AN427" s="39">
        <f t="shared" si="476"/>
        <v>43.980198371793442</v>
      </c>
      <c r="AO427" s="39">
        <f t="shared" si="415"/>
        <v>4.0874689456437752</v>
      </c>
      <c r="AP427" s="39">
        <f t="shared" si="416"/>
        <v>4.5199701414250599</v>
      </c>
      <c r="AQ427" s="39">
        <f t="shared" si="417"/>
        <v>3.8537929138727609</v>
      </c>
      <c r="AR427" s="39">
        <f t="shared" si="418"/>
        <v>5.4136517326727969</v>
      </c>
      <c r="AS427" s="39">
        <f t="shared" si="419"/>
        <v>3.7364407128674895</v>
      </c>
      <c r="AT427" s="39">
        <f t="shared" si="420"/>
        <v>0.33632116115691363</v>
      </c>
      <c r="AU427" s="39">
        <f t="shared" si="421"/>
        <v>0.44122513212746001</v>
      </c>
      <c r="AV427" s="39">
        <f t="shared" si="422"/>
        <v>0.57411788706635802</v>
      </c>
      <c r="AW427" s="39">
        <f t="shared" si="423"/>
        <v>22.962988626832612</v>
      </c>
      <c r="AX427" s="39">
        <f t="shared" si="424"/>
        <v>1.32</v>
      </c>
      <c r="AY427" s="39">
        <f t="shared" si="425"/>
        <v>0</v>
      </c>
      <c r="AZ427" s="39">
        <f t="shared" si="426"/>
        <v>0</v>
      </c>
      <c r="BA427" s="39">
        <f t="shared" si="427"/>
        <v>0</v>
      </c>
      <c r="BB427" s="39">
        <f t="shared" si="428"/>
        <v>0</v>
      </c>
      <c r="BC427" s="39">
        <f t="shared" si="429"/>
        <v>0</v>
      </c>
      <c r="BD427" s="39">
        <f t="shared" si="430"/>
        <v>0</v>
      </c>
      <c r="BE427" s="39">
        <f t="shared" si="431"/>
        <v>0</v>
      </c>
      <c r="BF427" s="39">
        <f t="shared" si="432"/>
        <v>0</v>
      </c>
      <c r="BG427" s="39">
        <f t="shared" si="433"/>
        <v>0</v>
      </c>
      <c r="BH427" s="84">
        <f t="shared" si="434"/>
        <v>0</v>
      </c>
      <c r="BI427" s="84">
        <f t="shared" si="435"/>
        <v>0</v>
      </c>
      <c r="BJ427" s="84">
        <f t="shared" si="436"/>
        <v>0</v>
      </c>
      <c r="BK427" s="39">
        <f t="shared" si="437"/>
        <v>70.87468945643775</v>
      </c>
      <c r="BL427" s="39">
        <f t="shared" si="438"/>
        <v>83.199701414250598</v>
      </c>
      <c r="BM427" s="39">
        <f t="shared" si="439"/>
        <v>74.537929138727591</v>
      </c>
      <c r="BN427" s="39">
        <f t="shared" si="440"/>
        <v>99.136517326727969</v>
      </c>
      <c r="BO427" s="39">
        <f t="shared" si="441"/>
        <v>79.364407128674884</v>
      </c>
      <c r="BP427" s="39">
        <f t="shared" si="442"/>
        <v>41.404013555614483</v>
      </c>
      <c r="BQ427" s="39">
        <f t="shared" si="443"/>
        <v>42.625865038881791</v>
      </c>
      <c r="BR427" s="39">
        <f t="shared" si="444"/>
        <v>43.980198371793442</v>
      </c>
      <c r="BS427" s="39">
        <f t="shared" si="445"/>
        <v>6.5248136738626501</v>
      </c>
      <c r="BT427" s="39">
        <f t="shared" si="446"/>
        <v>10.319820848550359</v>
      </c>
      <c r="BU427" s="39">
        <f t="shared" si="447"/>
        <v>6.3227574832365629</v>
      </c>
      <c r="BV427" s="39">
        <f t="shared" si="448"/>
        <v>7.2819103960367721</v>
      </c>
      <c r="BW427" s="39">
        <f t="shared" si="449"/>
        <v>0</v>
      </c>
      <c r="BX427" s="39">
        <f t="shared" si="450"/>
        <v>0</v>
      </c>
      <c r="BY427" s="39">
        <f t="shared" si="451"/>
        <v>0</v>
      </c>
      <c r="BZ427" s="39">
        <f t="shared" si="452"/>
        <v>0</v>
      </c>
      <c r="CA427" s="39">
        <f t="shared" si="453"/>
        <v>107.78382436145002</v>
      </c>
      <c r="CB427" s="39">
        <f t="shared" si="454"/>
        <v>83.188518601012902</v>
      </c>
      <c r="CC427" s="39">
        <f t="shared" si="455"/>
        <v>78.534992504041398</v>
      </c>
      <c r="CD427" s="39">
        <f t="shared" si="456"/>
        <v>98.177364413927748</v>
      </c>
      <c r="CE427" s="39">
        <f t="shared" si="457"/>
        <v>86.646317524711662</v>
      </c>
      <c r="CF427" s="39">
        <f t="shared" si="458"/>
        <v>41.404013555614483</v>
      </c>
      <c r="CG427" s="39">
        <f t="shared" si="459"/>
        <v>42.625865038881791</v>
      </c>
      <c r="CH427" s="39">
        <f t="shared" si="460"/>
        <v>43.980198371793442</v>
      </c>
      <c r="CI427" s="39">
        <f t="shared" si="461"/>
        <v>3.7838243614500158</v>
      </c>
      <c r="CJ427" s="39">
        <f t="shared" si="462"/>
        <v>0</v>
      </c>
      <c r="CK427" s="39">
        <f t="shared" si="463"/>
        <v>0</v>
      </c>
      <c r="CL427" s="39">
        <f t="shared" si="464"/>
        <v>0</v>
      </c>
      <c r="CM427" s="39">
        <f t="shared" si="465"/>
        <v>0</v>
      </c>
      <c r="CN427" s="39">
        <f t="shared" si="466"/>
        <v>0</v>
      </c>
      <c r="CO427" s="39">
        <f t="shared" si="467"/>
        <v>0</v>
      </c>
      <c r="CP427" s="39">
        <f t="shared" si="468"/>
        <v>0</v>
      </c>
    </row>
    <row r="428" spans="12:94" ht="16" customHeight="1" x14ac:dyDescent="0.2">
      <c r="L428" s="63">
        <v>30740</v>
      </c>
      <c r="M428" s="38">
        <v>24</v>
      </c>
      <c r="N428" s="38">
        <v>1.9</v>
      </c>
      <c r="O428" s="39">
        <v>2.3664000000000001</v>
      </c>
      <c r="P428" s="39">
        <v>1.1000000000000001</v>
      </c>
      <c r="Q428" s="46">
        <f t="shared" si="399"/>
        <v>0</v>
      </c>
      <c r="R428" s="81">
        <f t="shared" si="400"/>
        <v>5.7674902470741225</v>
      </c>
      <c r="S428" s="82">
        <f t="shared" si="401"/>
        <v>18.232509752925878</v>
      </c>
      <c r="T428" s="39">
        <f t="shared" si="402"/>
        <v>0</v>
      </c>
      <c r="U428" s="83">
        <f t="shared" si="403"/>
        <v>2.09</v>
      </c>
      <c r="V428" s="84">
        <f t="shared" si="404"/>
        <v>0</v>
      </c>
      <c r="W428" s="52">
        <f t="shared" si="405"/>
        <v>214.90087551898205</v>
      </c>
      <c r="X428" s="52">
        <f t="shared" si="406"/>
        <v>73.656394491001379</v>
      </c>
      <c r="Y428" s="52">
        <f t="shared" si="407"/>
        <v>288.55727000998343</v>
      </c>
      <c r="Z428" s="53">
        <f t="shared" si="408"/>
        <v>1.6789130899920472</v>
      </c>
      <c r="AA428" s="53">
        <f t="shared" si="409"/>
        <v>0.43843091958929392</v>
      </c>
      <c r="AB428" s="53">
        <f t="shared" si="410"/>
        <v>0.97485564192561969</v>
      </c>
      <c r="AC428" s="39" t="str">
        <f t="shared" si="411"/>
        <v>No</v>
      </c>
      <c r="AD428" s="85">
        <f t="shared" si="412"/>
        <v>0</v>
      </c>
      <c r="AE428" s="46">
        <f t="shared" si="413"/>
        <v>0</v>
      </c>
      <c r="AF428" s="46">
        <f t="shared" si="414"/>
        <v>2.1257999999999999</v>
      </c>
      <c r="AG428" s="39">
        <f t="shared" si="469"/>
        <v>104</v>
      </c>
      <c r="AH428" s="39">
        <f t="shared" si="470"/>
        <v>83.188518601012902</v>
      </c>
      <c r="AI428" s="39">
        <f t="shared" si="471"/>
        <v>78.534992504041398</v>
      </c>
      <c r="AJ428" s="39">
        <f t="shared" si="472"/>
        <v>98.177364413927748</v>
      </c>
      <c r="AK428" s="39">
        <f t="shared" si="473"/>
        <v>86.646317524711662</v>
      </c>
      <c r="AL428" s="39">
        <f t="shared" si="474"/>
        <v>41.404013555614483</v>
      </c>
      <c r="AM428" s="39">
        <f t="shared" si="475"/>
        <v>42.625865038881791</v>
      </c>
      <c r="AN428" s="39">
        <f t="shared" si="476"/>
        <v>43.980198371793442</v>
      </c>
      <c r="AO428" s="39">
        <f t="shared" si="415"/>
        <v>7.4</v>
      </c>
      <c r="AP428" s="39">
        <f t="shared" si="416"/>
        <v>4.5188518601012904</v>
      </c>
      <c r="AQ428" s="39">
        <f t="shared" si="417"/>
        <v>4.2534992504041416</v>
      </c>
      <c r="AR428" s="39">
        <f t="shared" si="418"/>
        <v>5.3177364413927748</v>
      </c>
      <c r="AS428" s="39">
        <f t="shared" si="419"/>
        <v>4.4646317524711669</v>
      </c>
      <c r="AT428" s="39">
        <f t="shared" si="420"/>
        <v>0.33632116115691363</v>
      </c>
      <c r="AU428" s="39">
        <f t="shared" si="421"/>
        <v>0.44122513212746001</v>
      </c>
      <c r="AV428" s="39">
        <f t="shared" si="422"/>
        <v>0.57411788706635802</v>
      </c>
      <c r="AW428" s="39">
        <f t="shared" si="423"/>
        <v>27.306383484720104</v>
      </c>
      <c r="AX428" s="39">
        <f t="shared" si="424"/>
        <v>2.09</v>
      </c>
      <c r="AY428" s="39">
        <f t="shared" si="425"/>
        <v>0</v>
      </c>
      <c r="AZ428" s="39">
        <f t="shared" si="426"/>
        <v>0</v>
      </c>
      <c r="BA428" s="39">
        <f t="shared" si="427"/>
        <v>0</v>
      </c>
      <c r="BB428" s="39">
        <f t="shared" si="428"/>
        <v>0</v>
      </c>
      <c r="BC428" s="39">
        <f t="shared" si="429"/>
        <v>0</v>
      </c>
      <c r="BD428" s="39">
        <f t="shared" si="430"/>
        <v>0</v>
      </c>
      <c r="BE428" s="39">
        <f t="shared" si="431"/>
        <v>0</v>
      </c>
      <c r="BF428" s="39">
        <f t="shared" si="432"/>
        <v>0</v>
      </c>
      <c r="BG428" s="39">
        <f t="shared" si="433"/>
        <v>0</v>
      </c>
      <c r="BH428" s="84">
        <f t="shared" si="434"/>
        <v>0</v>
      </c>
      <c r="BI428" s="84">
        <f t="shared" si="435"/>
        <v>0</v>
      </c>
      <c r="BJ428" s="84">
        <f t="shared" si="436"/>
        <v>0</v>
      </c>
      <c r="BK428" s="39">
        <f t="shared" si="437"/>
        <v>104</v>
      </c>
      <c r="BL428" s="39">
        <f t="shared" si="438"/>
        <v>83.188518601012902</v>
      </c>
      <c r="BM428" s="39">
        <f t="shared" si="439"/>
        <v>78.534992504041398</v>
      </c>
      <c r="BN428" s="39">
        <f t="shared" si="440"/>
        <v>98.177364413927748</v>
      </c>
      <c r="BO428" s="39">
        <f t="shared" si="441"/>
        <v>86.646317524711662</v>
      </c>
      <c r="BP428" s="39">
        <f t="shared" si="442"/>
        <v>41.404013555614483</v>
      </c>
      <c r="BQ428" s="39">
        <f t="shared" si="443"/>
        <v>42.625865038881791</v>
      </c>
      <c r="BR428" s="39">
        <f t="shared" si="444"/>
        <v>43.980198371793442</v>
      </c>
      <c r="BS428" s="39">
        <f t="shared" si="445"/>
        <v>26.4</v>
      </c>
      <c r="BT428" s="39">
        <f t="shared" si="446"/>
        <v>10.313111160607741</v>
      </c>
      <c r="BU428" s="39">
        <f t="shared" si="447"/>
        <v>8.7209955024248469</v>
      </c>
      <c r="BV428" s="39">
        <f t="shared" si="448"/>
        <v>6.7064186483566397</v>
      </c>
      <c r="BW428" s="39">
        <f t="shared" si="449"/>
        <v>1.5877905148270059</v>
      </c>
      <c r="BX428" s="39">
        <f t="shared" si="450"/>
        <v>0</v>
      </c>
      <c r="BY428" s="39">
        <f t="shared" si="451"/>
        <v>0</v>
      </c>
      <c r="BZ428" s="39">
        <f t="shared" si="452"/>
        <v>0</v>
      </c>
      <c r="CA428" s="39">
        <f t="shared" si="453"/>
        <v>95.832509752925873</v>
      </c>
      <c r="CB428" s="39">
        <f t="shared" si="454"/>
        <v>99.275407440405161</v>
      </c>
      <c r="CC428" s="39">
        <f t="shared" si="455"/>
        <v>85.402515602629464</v>
      </c>
      <c r="CD428" s="39">
        <f t="shared" si="456"/>
        <v>100.19194126799594</v>
      </c>
      <c r="CE428" s="39">
        <f t="shared" si="457"/>
        <v>91.764945658241302</v>
      </c>
      <c r="CF428" s="39">
        <f t="shared" si="458"/>
        <v>42.991804070441489</v>
      </c>
      <c r="CG428" s="39">
        <f t="shared" si="459"/>
        <v>42.625865038881791</v>
      </c>
      <c r="CH428" s="39">
        <f t="shared" si="460"/>
        <v>43.980198371793442</v>
      </c>
      <c r="CI428" s="39">
        <f t="shared" si="461"/>
        <v>0</v>
      </c>
      <c r="CJ428" s="39">
        <f t="shared" si="462"/>
        <v>5.2754074404051607</v>
      </c>
      <c r="CK428" s="39">
        <f t="shared" si="463"/>
        <v>0</v>
      </c>
      <c r="CL428" s="39">
        <f t="shared" si="464"/>
        <v>0</v>
      </c>
      <c r="CM428" s="39">
        <f t="shared" si="465"/>
        <v>0</v>
      </c>
      <c r="CN428" s="39">
        <f t="shared" si="466"/>
        <v>0</v>
      </c>
      <c r="CO428" s="39">
        <f t="shared" si="467"/>
        <v>0</v>
      </c>
      <c r="CP428" s="39">
        <f t="shared" si="468"/>
        <v>0</v>
      </c>
    </row>
    <row r="429" spans="12:94" ht="16" customHeight="1" x14ac:dyDescent="0.2">
      <c r="L429" s="63">
        <v>30741</v>
      </c>
      <c r="M429" s="38">
        <v>0</v>
      </c>
      <c r="N429" s="38">
        <v>4.5999999999999996</v>
      </c>
      <c r="O429" s="39">
        <v>2.3664000000000001</v>
      </c>
      <c r="P429" s="39">
        <v>1.1000000000000001</v>
      </c>
      <c r="Q429" s="46">
        <f t="shared" si="399"/>
        <v>1.6555723473798908E-2</v>
      </c>
      <c r="R429" s="81">
        <f t="shared" si="400"/>
        <v>0</v>
      </c>
      <c r="S429" s="82">
        <f t="shared" si="401"/>
        <v>0</v>
      </c>
      <c r="T429" s="39">
        <f t="shared" si="402"/>
        <v>0</v>
      </c>
      <c r="U429" s="83">
        <f t="shared" si="403"/>
        <v>5.0599999999999996</v>
      </c>
      <c r="V429" s="84">
        <f t="shared" si="404"/>
        <v>0</v>
      </c>
      <c r="W429" s="52">
        <f t="shared" si="405"/>
        <v>226.42696662355132</v>
      </c>
      <c r="X429" s="52">
        <f t="shared" si="406"/>
        <v>80.362813139358025</v>
      </c>
      <c r="Y429" s="52">
        <f t="shared" si="407"/>
        <v>306.78977976290935</v>
      </c>
      <c r="Z429" s="53">
        <f t="shared" si="408"/>
        <v>1.7689606767464947</v>
      </c>
      <c r="AA429" s="53">
        <f t="shared" si="409"/>
        <v>0.47835007821046444</v>
      </c>
      <c r="AB429" s="53">
        <f t="shared" si="410"/>
        <v>1.0364519586584775</v>
      </c>
      <c r="AC429" s="39" t="str">
        <f t="shared" si="411"/>
        <v>No</v>
      </c>
      <c r="AD429" s="85">
        <f t="shared" si="412"/>
        <v>0</v>
      </c>
      <c r="AE429" s="46">
        <f t="shared" si="413"/>
        <v>0</v>
      </c>
      <c r="AF429" s="46">
        <f t="shared" si="414"/>
        <v>2.1257999999999999</v>
      </c>
      <c r="AG429" s="39">
        <f t="shared" si="469"/>
        <v>95.832509752925873</v>
      </c>
      <c r="AH429" s="39">
        <f t="shared" si="470"/>
        <v>94</v>
      </c>
      <c r="AI429" s="39">
        <f t="shared" si="471"/>
        <v>85.402515602629464</v>
      </c>
      <c r="AJ429" s="39">
        <f t="shared" si="472"/>
        <v>100.19194126799594</v>
      </c>
      <c r="AK429" s="39">
        <f t="shared" si="473"/>
        <v>91.764945658241302</v>
      </c>
      <c r="AL429" s="39">
        <f t="shared" si="474"/>
        <v>42.991804070441489</v>
      </c>
      <c r="AM429" s="39">
        <f t="shared" si="475"/>
        <v>42.625865038881791</v>
      </c>
      <c r="AN429" s="39">
        <f t="shared" si="476"/>
        <v>43.980198371793442</v>
      </c>
      <c r="AO429" s="39">
        <f t="shared" si="415"/>
        <v>6.5832509752925876</v>
      </c>
      <c r="AP429" s="39">
        <f t="shared" si="416"/>
        <v>5.6000000000000005</v>
      </c>
      <c r="AQ429" s="39">
        <f t="shared" si="417"/>
        <v>4.940251560262948</v>
      </c>
      <c r="AR429" s="39">
        <f t="shared" si="418"/>
        <v>5.5191941267995936</v>
      </c>
      <c r="AS429" s="39">
        <f t="shared" si="419"/>
        <v>4.9764945658241313</v>
      </c>
      <c r="AT429" s="39">
        <f t="shared" si="420"/>
        <v>0.47541023134329025</v>
      </c>
      <c r="AU429" s="39">
        <f t="shared" si="421"/>
        <v>0.44122513212746001</v>
      </c>
      <c r="AV429" s="39">
        <f t="shared" si="422"/>
        <v>0.57411788706635802</v>
      </c>
      <c r="AW429" s="39">
        <f t="shared" si="423"/>
        <v>29.109944478716368</v>
      </c>
      <c r="AX429" s="39">
        <f t="shared" si="424"/>
        <v>5.0599999999999996</v>
      </c>
      <c r="AY429" s="39">
        <f t="shared" si="425"/>
        <v>5.0599999999999996</v>
      </c>
      <c r="AZ429" s="39">
        <f t="shared" si="426"/>
        <v>1.1443254369425504</v>
      </c>
      <c r="BA429" s="39">
        <f t="shared" si="427"/>
        <v>0.97341305548410662</v>
      </c>
      <c r="BB429" s="39">
        <f t="shared" si="428"/>
        <v>0.85873310109565737</v>
      </c>
      <c r="BC429" s="39">
        <f t="shared" si="429"/>
        <v>0.95936707478177286</v>
      </c>
      <c r="BD429" s="39">
        <f t="shared" si="430"/>
        <v>0.86503299659266419</v>
      </c>
      <c r="BE429" s="39">
        <f t="shared" si="431"/>
        <v>8.2637593910763946E-2</v>
      </c>
      <c r="BF429" s="39">
        <f t="shared" si="432"/>
        <v>7.6695411432244551E-2</v>
      </c>
      <c r="BG429" s="39">
        <f t="shared" si="433"/>
        <v>9.979532976023979E-2</v>
      </c>
      <c r="BH429" s="84">
        <f t="shared" si="434"/>
        <v>0</v>
      </c>
      <c r="BI429" s="84">
        <f t="shared" si="435"/>
        <v>0</v>
      </c>
      <c r="BJ429" s="84">
        <f t="shared" si="436"/>
        <v>0</v>
      </c>
      <c r="BK429" s="39">
        <f t="shared" si="437"/>
        <v>94.688184315983321</v>
      </c>
      <c r="BL429" s="39">
        <f t="shared" si="438"/>
        <v>93.026586944515898</v>
      </c>
      <c r="BM429" s="39">
        <f t="shared" si="439"/>
        <v>84.543782501533812</v>
      </c>
      <c r="BN429" s="39">
        <f t="shared" si="440"/>
        <v>99.232574193214177</v>
      </c>
      <c r="BO429" s="39">
        <f t="shared" si="441"/>
        <v>90.899912661648642</v>
      </c>
      <c r="BP429" s="39">
        <f t="shared" si="442"/>
        <v>42.909166476530729</v>
      </c>
      <c r="BQ429" s="39">
        <f t="shared" si="443"/>
        <v>42.549169627449544</v>
      </c>
      <c r="BR429" s="39">
        <f t="shared" si="444"/>
        <v>43.880403042033201</v>
      </c>
      <c r="BS429" s="39">
        <f t="shared" si="445"/>
        <v>20.812910589589993</v>
      </c>
      <c r="BT429" s="39">
        <f t="shared" si="446"/>
        <v>16.215952166709538</v>
      </c>
      <c r="BU429" s="39">
        <f t="shared" si="447"/>
        <v>12.326269500920295</v>
      </c>
      <c r="BV429" s="39">
        <f t="shared" si="448"/>
        <v>7.3395445159284973</v>
      </c>
      <c r="BW429" s="39">
        <f t="shared" si="449"/>
        <v>4.1399475969891935</v>
      </c>
      <c r="BX429" s="39">
        <f t="shared" si="450"/>
        <v>0</v>
      </c>
      <c r="BY429" s="39">
        <f t="shared" si="451"/>
        <v>0</v>
      </c>
      <c r="BZ429" s="39">
        <f t="shared" si="452"/>
        <v>0</v>
      </c>
      <c r="CA429" s="39">
        <f t="shared" si="453"/>
        <v>73.875273726393331</v>
      </c>
      <c r="CB429" s="39">
        <f t="shared" si="454"/>
        <v>97.623545367396346</v>
      </c>
      <c r="CC429" s="39">
        <f t="shared" si="455"/>
        <v>92.05701053471941</v>
      </c>
      <c r="CD429" s="39">
        <f t="shared" si="456"/>
        <v>106.27630971292541</v>
      </c>
      <c r="CE429" s="39">
        <f t="shared" si="457"/>
        <v>94.099509580587949</v>
      </c>
      <c r="CF429" s="39">
        <f t="shared" si="458"/>
        <v>47.049114073519924</v>
      </c>
      <c r="CG429" s="39">
        <f t="shared" si="459"/>
        <v>42.549169627449544</v>
      </c>
      <c r="CH429" s="39">
        <f t="shared" si="460"/>
        <v>43.880403042033201</v>
      </c>
      <c r="CI429" s="39">
        <f t="shared" si="461"/>
        <v>0</v>
      </c>
      <c r="CJ429" s="39">
        <f t="shared" si="462"/>
        <v>3.6235453673963463</v>
      </c>
      <c r="CK429" s="39">
        <f t="shared" si="463"/>
        <v>2.0570105347194385</v>
      </c>
      <c r="CL429" s="39">
        <f t="shared" si="464"/>
        <v>0</v>
      </c>
      <c r="CM429" s="39">
        <f t="shared" si="465"/>
        <v>0</v>
      </c>
      <c r="CN429" s="39">
        <f t="shared" si="466"/>
        <v>0</v>
      </c>
      <c r="CO429" s="39">
        <f t="shared" si="467"/>
        <v>0</v>
      </c>
      <c r="CP429" s="39">
        <f t="shared" si="468"/>
        <v>0</v>
      </c>
    </row>
    <row r="430" spans="12:94" ht="16" customHeight="1" x14ac:dyDescent="0.2">
      <c r="L430" s="63">
        <v>30742</v>
      </c>
      <c r="M430" s="38">
        <v>0</v>
      </c>
      <c r="N430" s="38">
        <v>4.8</v>
      </c>
      <c r="O430" s="39">
        <v>2.3664000000000001</v>
      </c>
      <c r="P430" s="39">
        <v>1.1000000000000001</v>
      </c>
      <c r="Q430" s="46">
        <f t="shared" si="399"/>
        <v>6.1063634338391889E-2</v>
      </c>
      <c r="R430" s="81">
        <f t="shared" si="400"/>
        <v>0</v>
      </c>
      <c r="S430" s="82">
        <f t="shared" si="401"/>
        <v>0</v>
      </c>
      <c r="T430" s="39">
        <f t="shared" si="402"/>
        <v>0</v>
      </c>
      <c r="U430" s="83">
        <f t="shared" si="403"/>
        <v>5.28</v>
      </c>
      <c r="V430" s="84">
        <f t="shared" si="404"/>
        <v>0</v>
      </c>
      <c r="W430" s="52">
        <f t="shared" si="405"/>
        <v>215.1515834393187</v>
      </c>
      <c r="X430" s="52">
        <f t="shared" si="406"/>
        <v>86.578196323590618</v>
      </c>
      <c r="Y430" s="52">
        <f t="shared" si="407"/>
        <v>301.72977976290929</v>
      </c>
      <c r="Z430" s="53">
        <f t="shared" si="408"/>
        <v>1.6808717456196773</v>
      </c>
      <c r="AA430" s="53">
        <f t="shared" si="409"/>
        <v>0.51534640668803944</v>
      </c>
      <c r="AB430" s="53">
        <f t="shared" si="410"/>
        <v>1.0193573640638827</v>
      </c>
      <c r="AC430" s="39" t="str">
        <f t="shared" si="411"/>
        <v>No</v>
      </c>
      <c r="AD430" s="85">
        <f t="shared" si="412"/>
        <v>0</v>
      </c>
      <c r="AE430" s="46">
        <f t="shared" si="413"/>
        <v>0</v>
      </c>
      <c r="AF430" s="46">
        <f t="shared" si="414"/>
        <v>2.1257999999999999</v>
      </c>
      <c r="AG430" s="39">
        <f t="shared" si="469"/>
        <v>73.875273726393331</v>
      </c>
      <c r="AH430" s="39">
        <f t="shared" si="470"/>
        <v>94</v>
      </c>
      <c r="AI430" s="39">
        <f t="shared" si="471"/>
        <v>89.999999999999972</v>
      </c>
      <c r="AJ430" s="39">
        <f t="shared" si="472"/>
        <v>106.27630971292541</v>
      </c>
      <c r="AK430" s="39">
        <f t="shared" si="473"/>
        <v>94.099509580587949</v>
      </c>
      <c r="AL430" s="39">
        <f t="shared" si="474"/>
        <v>47.049114073519924</v>
      </c>
      <c r="AM430" s="39">
        <f t="shared" si="475"/>
        <v>42.549169627449544</v>
      </c>
      <c r="AN430" s="39">
        <f t="shared" si="476"/>
        <v>43.880403042033201</v>
      </c>
      <c r="AO430" s="39">
        <f t="shared" si="415"/>
        <v>4.3875273726393331</v>
      </c>
      <c r="AP430" s="39">
        <f t="shared" si="416"/>
        <v>5.6000000000000005</v>
      </c>
      <c r="AQ430" s="39">
        <f t="shared" si="417"/>
        <v>5.3999999999999986</v>
      </c>
      <c r="AR430" s="39">
        <f t="shared" si="418"/>
        <v>6.1276309712925405</v>
      </c>
      <c r="AS430" s="39">
        <f t="shared" si="419"/>
        <v>5.2099509580587959</v>
      </c>
      <c r="AT430" s="39">
        <f t="shared" si="420"/>
        <v>0.93989336309893023</v>
      </c>
      <c r="AU430" s="39">
        <f t="shared" si="421"/>
        <v>0.43422209797049865</v>
      </c>
      <c r="AV430" s="39">
        <f t="shared" si="422"/>
        <v>0.56372938265278649</v>
      </c>
      <c r="AW430" s="39">
        <f t="shared" si="423"/>
        <v>28.662954145712888</v>
      </c>
      <c r="AX430" s="39">
        <f t="shared" si="424"/>
        <v>5.28</v>
      </c>
      <c r="AY430" s="39">
        <f t="shared" si="425"/>
        <v>5.28</v>
      </c>
      <c r="AZ430" s="39">
        <f t="shared" si="426"/>
        <v>0.80822599128361783</v>
      </c>
      <c r="BA430" s="39">
        <f t="shared" si="427"/>
        <v>1.0315754562382566</v>
      </c>
      <c r="BB430" s="39">
        <f t="shared" si="428"/>
        <v>0.9947334756583186</v>
      </c>
      <c r="BC430" s="39">
        <f t="shared" si="429"/>
        <v>1.1287703062269239</v>
      </c>
      <c r="BD430" s="39">
        <f t="shared" si="430"/>
        <v>0.95972456009615081</v>
      </c>
      <c r="BE430" s="39">
        <f t="shared" si="431"/>
        <v>0.1731376651525158</v>
      </c>
      <c r="BF430" s="39">
        <f t="shared" si="432"/>
        <v>7.9988010504044665E-2</v>
      </c>
      <c r="BG430" s="39">
        <f t="shared" si="433"/>
        <v>0.10384453484017125</v>
      </c>
      <c r="BH430" s="84">
        <f t="shared" si="434"/>
        <v>0</v>
      </c>
      <c r="BI430" s="84">
        <f t="shared" si="435"/>
        <v>0</v>
      </c>
      <c r="BJ430" s="84">
        <f t="shared" si="436"/>
        <v>0</v>
      </c>
      <c r="BK430" s="39">
        <f t="shared" si="437"/>
        <v>73.067047735109711</v>
      </c>
      <c r="BL430" s="39">
        <f t="shared" si="438"/>
        <v>92.968424543761742</v>
      </c>
      <c r="BM430" s="39">
        <f t="shared" si="439"/>
        <v>89.00526652434165</v>
      </c>
      <c r="BN430" s="39">
        <f t="shared" si="440"/>
        <v>105.14753940669848</v>
      </c>
      <c r="BO430" s="39">
        <f t="shared" si="441"/>
        <v>93.1397850204918</v>
      </c>
      <c r="BP430" s="39">
        <f t="shared" si="442"/>
        <v>46.875976408367407</v>
      </c>
      <c r="BQ430" s="39">
        <f t="shared" si="443"/>
        <v>42.469181616945498</v>
      </c>
      <c r="BR430" s="39">
        <f t="shared" si="444"/>
        <v>43.77655850719303</v>
      </c>
      <c r="BS430" s="39">
        <f t="shared" si="445"/>
        <v>7.840228641065826</v>
      </c>
      <c r="BT430" s="39">
        <f t="shared" si="446"/>
        <v>16.181054726257045</v>
      </c>
      <c r="BU430" s="39">
        <f t="shared" si="447"/>
        <v>15.003159914604998</v>
      </c>
      <c r="BV430" s="39">
        <f t="shared" si="448"/>
        <v>10.888523644019083</v>
      </c>
      <c r="BW430" s="39">
        <f t="shared" si="449"/>
        <v>5.4838710122950882</v>
      </c>
      <c r="BX430" s="39">
        <f t="shared" si="450"/>
        <v>0</v>
      </c>
      <c r="BY430" s="39">
        <f t="shared" si="451"/>
        <v>0</v>
      </c>
      <c r="BZ430" s="39">
        <f t="shared" si="452"/>
        <v>0</v>
      </c>
      <c r="CA430" s="39">
        <f t="shared" si="453"/>
        <v>65.22681909404389</v>
      </c>
      <c r="CB430" s="39">
        <f t="shared" si="454"/>
        <v>84.627598458570517</v>
      </c>
      <c r="CC430" s="39">
        <f t="shared" si="455"/>
        <v>90.183161335993702</v>
      </c>
      <c r="CD430" s="39">
        <f t="shared" si="456"/>
        <v>109.44533701327812</v>
      </c>
      <c r="CE430" s="39">
        <f t="shared" si="457"/>
        <v>98.544437652215805</v>
      </c>
      <c r="CF430" s="39">
        <f t="shared" si="458"/>
        <v>52.359847420662497</v>
      </c>
      <c r="CG430" s="39">
        <f t="shared" si="459"/>
        <v>42.469181616945498</v>
      </c>
      <c r="CH430" s="39">
        <f t="shared" si="460"/>
        <v>43.77655850719303</v>
      </c>
      <c r="CI430" s="39">
        <f t="shared" si="461"/>
        <v>0</v>
      </c>
      <c r="CJ430" s="39">
        <f t="shared" si="462"/>
        <v>0</v>
      </c>
      <c r="CK430" s="39">
        <f t="shared" si="463"/>
        <v>0.18316133599373075</v>
      </c>
      <c r="CL430" s="39">
        <f t="shared" si="464"/>
        <v>0</v>
      </c>
      <c r="CM430" s="39">
        <f t="shared" si="465"/>
        <v>0</v>
      </c>
      <c r="CN430" s="39">
        <f t="shared" si="466"/>
        <v>0</v>
      </c>
      <c r="CO430" s="39">
        <f t="shared" si="467"/>
        <v>0</v>
      </c>
      <c r="CP430" s="39">
        <f t="shared" si="468"/>
        <v>0</v>
      </c>
    </row>
    <row r="431" spans="12:94" ht="16" customHeight="1" x14ac:dyDescent="0.2">
      <c r="L431" s="63">
        <v>30743</v>
      </c>
      <c r="M431" s="38">
        <v>0</v>
      </c>
      <c r="N431" s="38">
        <v>4.9000000000000004</v>
      </c>
      <c r="O431" s="39">
        <v>2.3664000000000001</v>
      </c>
      <c r="P431" s="39">
        <v>1.1000000000000001</v>
      </c>
      <c r="Q431" s="46">
        <f t="shared" si="399"/>
        <v>7.8594285620181309E-2</v>
      </c>
      <c r="R431" s="81">
        <f t="shared" si="400"/>
        <v>0</v>
      </c>
      <c r="S431" s="82">
        <f t="shared" si="401"/>
        <v>0</v>
      </c>
      <c r="T431" s="39">
        <f t="shared" si="402"/>
        <v>0</v>
      </c>
      <c r="U431" s="83">
        <f t="shared" si="403"/>
        <v>5.3900000000000006</v>
      </c>
      <c r="V431" s="84">
        <f t="shared" si="404"/>
        <v>0</v>
      </c>
      <c r="W431" s="52">
        <f t="shared" si="405"/>
        <v>200.2997545658925</v>
      </c>
      <c r="X431" s="52">
        <f t="shared" si="406"/>
        <v>96.150025197016816</v>
      </c>
      <c r="Y431" s="52">
        <f t="shared" si="407"/>
        <v>296.44977976290932</v>
      </c>
      <c r="Z431" s="53">
        <f t="shared" si="408"/>
        <v>1.5648418325460351</v>
      </c>
      <c r="AA431" s="53">
        <f t="shared" si="409"/>
        <v>0.5723215785536715</v>
      </c>
      <c r="AB431" s="53">
        <f t="shared" si="410"/>
        <v>1.001519526226045</v>
      </c>
      <c r="AC431" s="39" t="str">
        <f t="shared" si="411"/>
        <v>No</v>
      </c>
      <c r="AD431" s="85">
        <f t="shared" si="412"/>
        <v>0</v>
      </c>
      <c r="AE431" s="46">
        <f t="shared" si="413"/>
        <v>0</v>
      </c>
      <c r="AF431" s="46">
        <f t="shared" si="414"/>
        <v>2.1257999999999999</v>
      </c>
      <c r="AG431" s="39">
        <f t="shared" si="469"/>
        <v>65.22681909404389</v>
      </c>
      <c r="AH431" s="39">
        <f t="shared" si="470"/>
        <v>84.627598458570517</v>
      </c>
      <c r="AI431" s="39">
        <f t="shared" si="471"/>
        <v>89.999999999999972</v>
      </c>
      <c r="AJ431" s="39">
        <f t="shared" si="472"/>
        <v>109.44533701327812</v>
      </c>
      <c r="AK431" s="39">
        <f t="shared" si="473"/>
        <v>98.544437652215805</v>
      </c>
      <c r="AL431" s="39">
        <f t="shared" si="474"/>
        <v>52.359847420662497</v>
      </c>
      <c r="AM431" s="39">
        <f t="shared" si="475"/>
        <v>42.469181616945498</v>
      </c>
      <c r="AN431" s="39">
        <f t="shared" si="476"/>
        <v>43.77655850719303</v>
      </c>
      <c r="AO431" s="39">
        <f t="shared" si="415"/>
        <v>3.5226819094043891</v>
      </c>
      <c r="AP431" s="39">
        <f t="shared" si="416"/>
        <v>4.6627598458570523</v>
      </c>
      <c r="AQ431" s="39">
        <f t="shared" si="417"/>
        <v>5.3999999999999986</v>
      </c>
      <c r="AR431" s="39">
        <f t="shared" si="418"/>
        <v>6.4445337013278108</v>
      </c>
      <c r="AS431" s="39">
        <f t="shared" si="419"/>
        <v>5.6544437652215818</v>
      </c>
      <c r="AT431" s="39">
        <f t="shared" si="420"/>
        <v>1.7847794864349145</v>
      </c>
      <c r="AU431" s="39">
        <f t="shared" si="421"/>
        <v>0.42697809759380195</v>
      </c>
      <c r="AV431" s="39">
        <f t="shared" si="422"/>
        <v>0.55302006313787766</v>
      </c>
      <c r="AW431" s="39">
        <f t="shared" si="423"/>
        <v>28.449196868977431</v>
      </c>
      <c r="AX431" s="39">
        <f t="shared" si="424"/>
        <v>5.3900000000000006</v>
      </c>
      <c r="AY431" s="39">
        <f t="shared" si="425"/>
        <v>5.3900000000000006</v>
      </c>
      <c r="AZ431" s="39">
        <f t="shared" si="426"/>
        <v>0.66740919187052372</v>
      </c>
      <c r="BA431" s="39">
        <f t="shared" si="427"/>
        <v>0.883408965283485</v>
      </c>
      <c r="BB431" s="39">
        <f t="shared" si="428"/>
        <v>1.0230868777789217</v>
      </c>
      <c r="BC431" s="39">
        <f t="shared" si="429"/>
        <v>1.2209847894875017</v>
      </c>
      <c r="BD431" s="39">
        <f t="shared" si="430"/>
        <v>1.0712939291364889</v>
      </c>
      <c r="BE431" s="39">
        <f t="shared" si="431"/>
        <v>0.33814527264825267</v>
      </c>
      <c r="BF431" s="39">
        <f t="shared" si="432"/>
        <v>8.0895497916153095E-2</v>
      </c>
      <c r="BG431" s="39">
        <f t="shared" si="433"/>
        <v>0.10477547587867288</v>
      </c>
      <c r="BH431" s="84">
        <f t="shared" si="434"/>
        <v>0</v>
      </c>
      <c r="BI431" s="84">
        <f t="shared" si="435"/>
        <v>0</v>
      </c>
      <c r="BJ431" s="84">
        <f t="shared" si="436"/>
        <v>0</v>
      </c>
      <c r="BK431" s="39">
        <f t="shared" si="437"/>
        <v>64.559409902173371</v>
      </c>
      <c r="BL431" s="39">
        <f t="shared" si="438"/>
        <v>83.744189493287038</v>
      </c>
      <c r="BM431" s="39">
        <f t="shared" si="439"/>
        <v>88.976913122221049</v>
      </c>
      <c r="BN431" s="39">
        <f t="shared" si="440"/>
        <v>108.22435222379062</v>
      </c>
      <c r="BO431" s="39">
        <f t="shared" si="441"/>
        <v>97.473143723079318</v>
      </c>
      <c r="BP431" s="39">
        <f t="shared" si="442"/>
        <v>52.021702148014242</v>
      </c>
      <c r="BQ431" s="39">
        <f t="shared" si="443"/>
        <v>42.388286119029345</v>
      </c>
      <c r="BR431" s="39">
        <f t="shared" si="444"/>
        <v>43.671783031314355</v>
      </c>
      <c r="BS431" s="39">
        <f t="shared" si="445"/>
        <v>2.7356459413040226</v>
      </c>
      <c r="BT431" s="39">
        <f t="shared" si="446"/>
        <v>10.646513695972223</v>
      </c>
      <c r="BU431" s="39">
        <f t="shared" si="447"/>
        <v>14.986147873332637</v>
      </c>
      <c r="BV431" s="39">
        <f t="shared" si="448"/>
        <v>12.734611334274362</v>
      </c>
      <c r="BW431" s="39">
        <f t="shared" si="449"/>
        <v>8.0838862338475987</v>
      </c>
      <c r="BX431" s="39">
        <f t="shared" si="450"/>
        <v>0</v>
      </c>
      <c r="BY431" s="39">
        <f t="shared" si="451"/>
        <v>0</v>
      </c>
      <c r="BZ431" s="39">
        <f t="shared" si="452"/>
        <v>0</v>
      </c>
      <c r="CA431" s="39">
        <f t="shared" si="453"/>
        <v>61.82376396086935</v>
      </c>
      <c r="CB431" s="39">
        <f t="shared" si="454"/>
        <v>75.833321738618849</v>
      </c>
      <c r="CC431" s="39">
        <f t="shared" si="455"/>
        <v>84.637278944860626</v>
      </c>
      <c r="CD431" s="39">
        <f t="shared" si="456"/>
        <v>110.4758887628489</v>
      </c>
      <c r="CE431" s="39">
        <f t="shared" si="457"/>
        <v>102.12386882350609</v>
      </c>
      <c r="CF431" s="39">
        <f t="shared" si="458"/>
        <v>60.105588381861843</v>
      </c>
      <c r="CG431" s="39">
        <f t="shared" si="459"/>
        <v>42.388286119029345</v>
      </c>
      <c r="CH431" s="39">
        <f t="shared" si="460"/>
        <v>43.671783031314355</v>
      </c>
      <c r="CI431" s="39">
        <f t="shared" si="461"/>
        <v>0</v>
      </c>
      <c r="CJ431" s="39">
        <f t="shared" si="462"/>
        <v>0</v>
      </c>
      <c r="CK431" s="39">
        <f t="shared" si="463"/>
        <v>0</v>
      </c>
      <c r="CL431" s="39">
        <f t="shared" si="464"/>
        <v>0</v>
      </c>
      <c r="CM431" s="39">
        <f t="shared" si="465"/>
        <v>0</v>
      </c>
      <c r="CN431" s="39">
        <f t="shared" si="466"/>
        <v>0</v>
      </c>
      <c r="CO431" s="39">
        <f t="shared" si="467"/>
        <v>0</v>
      </c>
      <c r="CP431" s="39">
        <f t="shared" si="468"/>
        <v>0</v>
      </c>
    </row>
    <row r="432" spans="12:94" ht="16" customHeight="1" x14ac:dyDescent="0.2">
      <c r="L432" s="63">
        <v>30744</v>
      </c>
      <c r="M432" s="38">
        <v>0</v>
      </c>
      <c r="N432" s="38">
        <v>4.5999999999999996</v>
      </c>
      <c r="O432" s="39">
        <v>2.3664000000000001</v>
      </c>
      <c r="P432" s="39">
        <v>1.1000000000000001</v>
      </c>
      <c r="Q432" s="46">
        <f t="shared" si="399"/>
        <v>8.5492370349589161E-2</v>
      </c>
      <c r="R432" s="81">
        <f t="shared" si="400"/>
        <v>0</v>
      </c>
      <c r="S432" s="82">
        <f t="shared" si="401"/>
        <v>0</v>
      </c>
      <c r="T432" s="39">
        <f t="shared" si="402"/>
        <v>0</v>
      </c>
      <c r="U432" s="83">
        <f t="shared" si="403"/>
        <v>5.0599999999999996</v>
      </c>
      <c r="V432" s="84">
        <f t="shared" si="404"/>
        <v>0</v>
      </c>
      <c r="W432" s="52">
        <f t="shared" si="405"/>
        <v>183.77025340719774</v>
      </c>
      <c r="X432" s="52">
        <f t="shared" si="406"/>
        <v>107.28952635571164</v>
      </c>
      <c r="Y432" s="52">
        <f t="shared" si="407"/>
        <v>291.05977976290939</v>
      </c>
      <c r="Z432" s="53">
        <f t="shared" si="408"/>
        <v>1.4357051047437324</v>
      </c>
      <c r="AA432" s="53">
        <f t="shared" si="409"/>
        <v>0.63862813306971211</v>
      </c>
      <c r="AB432" s="53">
        <f t="shared" si="410"/>
        <v>0.98331006676658572</v>
      </c>
      <c r="AC432" s="39" t="str">
        <f t="shared" si="411"/>
        <v>No</v>
      </c>
      <c r="AD432" s="85">
        <f t="shared" si="412"/>
        <v>0</v>
      </c>
      <c r="AE432" s="46">
        <f t="shared" si="413"/>
        <v>0</v>
      </c>
      <c r="AF432" s="46">
        <f t="shared" si="414"/>
        <v>2.1257999999999999</v>
      </c>
      <c r="AG432" s="39">
        <f t="shared" si="469"/>
        <v>61.82376396086935</v>
      </c>
      <c r="AH432" s="39">
        <f t="shared" si="470"/>
        <v>75.833321738618849</v>
      </c>
      <c r="AI432" s="39">
        <f t="shared" si="471"/>
        <v>84.637278944860626</v>
      </c>
      <c r="AJ432" s="39">
        <f t="shared" si="472"/>
        <v>110.4758887628489</v>
      </c>
      <c r="AK432" s="39">
        <f t="shared" si="473"/>
        <v>102.12386882350609</v>
      </c>
      <c r="AL432" s="39">
        <f t="shared" si="474"/>
        <v>60.105588381861843</v>
      </c>
      <c r="AM432" s="39">
        <f t="shared" si="475"/>
        <v>42.388286119029345</v>
      </c>
      <c r="AN432" s="39">
        <f t="shared" si="476"/>
        <v>43.671783031314355</v>
      </c>
      <c r="AO432" s="39">
        <f t="shared" si="415"/>
        <v>3.1823763960869353</v>
      </c>
      <c r="AP432" s="39">
        <f t="shared" si="416"/>
        <v>3.783332173861885</v>
      </c>
      <c r="AQ432" s="39">
        <f t="shared" si="417"/>
        <v>4.8637278944860647</v>
      </c>
      <c r="AR432" s="39">
        <f t="shared" si="418"/>
        <v>6.5475888762848884</v>
      </c>
      <c r="AS432" s="39">
        <f t="shared" si="419"/>
        <v>6.0123868823506097</v>
      </c>
      <c r="AT432" s="39">
        <f t="shared" si="420"/>
        <v>2.7105588381861838</v>
      </c>
      <c r="AU432" s="39">
        <f t="shared" si="421"/>
        <v>0.41971388691789974</v>
      </c>
      <c r="AV432" s="39">
        <f t="shared" si="422"/>
        <v>0.54231882413070875</v>
      </c>
      <c r="AW432" s="39">
        <f t="shared" si="423"/>
        <v>28.062003772305175</v>
      </c>
      <c r="AX432" s="39">
        <f t="shared" si="424"/>
        <v>5.0599999999999996</v>
      </c>
      <c r="AY432" s="39">
        <f t="shared" si="425"/>
        <v>5.0599999999999996</v>
      </c>
      <c r="AZ432" s="39">
        <f t="shared" si="426"/>
        <v>0.57383017602228459</v>
      </c>
      <c r="BA432" s="39">
        <f t="shared" si="427"/>
        <v>0.68219151259021327</v>
      </c>
      <c r="BB432" s="39">
        <f t="shared" si="428"/>
        <v>0.8770030588616744</v>
      </c>
      <c r="BC432" s="39">
        <f t="shared" si="429"/>
        <v>1.1806284391814825</v>
      </c>
      <c r="BD432" s="39">
        <f t="shared" si="430"/>
        <v>1.0841234956542445</v>
      </c>
      <c r="BE432" s="39">
        <f t="shared" si="431"/>
        <v>0.48875439660364017</v>
      </c>
      <c r="BF432" s="39">
        <f t="shared" si="432"/>
        <v>7.568070637566289E-2</v>
      </c>
      <c r="BG432" s="39">
        <f t="shared" si="433"/>
        <v>9.7788214710797433E-2</v>
      </c>
      <c r="BH432" s="84">
        <f t="shared" si="434"/>
        <v>0</v>
      </c>
      <c r="BI432" s="84">
        <f t="shared" si="435"/>
        <v>0</v>
      </c>
      <c r="BJ432" s="84">
        <f t="shared" si="436"/>
        <v>0</v>
      </c>
      <c r="BK432" s="39">
        <f t="shared" si="437"/>
        <v>61.249933784847066</v>
      </c>
      <c r="BL432" s="39">
        <f t="shared" si="438"/>
        <v>75.151130226028641</v>
      </c>
      <c r="BM432" s="39">
        <f t="shared" si="439"/>
        <v>83.760275885998951</v>
      </c>
      <c r="BN432" s="39">
        <f t="shared" si="440"/>
        <v>109.29526032366742</v>
      </c>
      <c r="BO432" s="39">
        <f t="shared" si="441"/>
        <v>101.03974532785185</v>
      </c>
      <c r="BP432" s="39">
        <f t="shared" si="442"/>
        <v>59.616833985258204</v>
      </c>
      <c r="BQ432" s="39">
        <f t="shared" si="443"/>
        <v>42.312605412653681</v>
      </c>
      <c r="BR432" s="39">
        <f t="shared" si="444"/>
        <v>43.573994816603559</v>
      </c>
      <c r="BS432" s="39">
        <f t="shared" si="445"/>
        <v>0.74996027090823958</v>
      </c>
      <c r="BT432" s="39">
        <f t="shared" si="446"/>
        <v>5.490678135617185</v>
      </c>
      <c r="BU432" s="39">
        <f t="shared" si="447"/>
        <v>11.856165531599379</v>
      </c>
      <c r="BV432" s="39">
        <f t="shared" si="448"/>
        <v>13.377156194200444</v>
      </c>
      <c r="BW432" s="39">
        <f t="shared" si="449"/>
        <v>10.223847196711116</v>
      </c>
      <c r="BX432" s="39">
        <f t="shared" si="450"/>
        <v>0</v>
      </c>
      <c r="BY432" s="39">
        <f t="shared" si="451"/>
        <v>0</v>
      </c>
      <c r="BZ432" s="39">
        <f t="shared" si="452"/>
        <v>0</v>
      </c>
      <c r="CA432" s="39">
        <f t="shared" si="453"/>
        <v>60.499973513938826</v>
      </c>
      <c r="CB432" s="39">
        <f t="shared" si="454"/>
        <v>70.410412361319686</v>
      </c>
      <c r="CC432" s="39">
        <f t="shared" si="455"/>
        <v>77.394788490016765</v>
      </c>
      <c r="CD432" s="39">
        <f t="shared" si="456"/>
        <v>107.77426966106636</v>
      </c>
      <c r="CE432" s="39">
        <f t="shared" si="457"/>
        <v>104.19305432534117</v>
      </c>
      <c r="CF432" s="39">
        <f t="shared" si="458"/>
        <v>69.840681181969316</v>
      </c>
      <c r="CG432" s="39">
        <f t="shared" si="459"/>
        <v>42.312605412653681</v>
      </c>
      <c r="CH432" s="39">
        <f t="shared" si="460"/>
        <v>43.573994816603559</v>
      </c>
      <c r="CI432" s="39">
        <f t="shared" si="461"/>
        <v>0</v>
      </c>
      <c r="CJ432" s="39">
        <f t="shared" si="462"/>
        <v>0</v>
      </c>
      <c r="CK432" s="39">
        <f t="shared" si="463"/>
        <v>0</v>
      </c>
      <c r="CL432" s="39">
        <f t="shared" si="464"/>
        <v>0</v>
      </c>
      <c r="CM432" s="39">
        <f t="shared" si="465"/>
        <v>0</v>
      </c>
      <c r="CN432" s="39">
        <f t="shared" si="466"/>
        <v>0</v>
      </c>
      <c r="CO432" s="39">
        <f t="shared" si="467"/>
        <v>0</v>
      </c>
      <c r="CP432" s="39">
        <f t="shared" si="468"/>
        <v>0</v>
      </c>
    </row>
    <row r="433" spans="12:94" ht="16" customHeight="1" x14ac:dyDescent="0.2">
      <c r="L433" s="63">
        <v>30745</v>
      </c>
      <c r="M433" s="38">
        <v>0</v>
      </c>
      <c r="N433" s="38">
        <v>4.5999999999999996</v>
      </c>
      <c r="O433" s="39">
        <v>2.3664000000000001</v>
      </c>
      <c r="P433" s="39">
        <v>1.1000000000000001</v>
      </c>
      <c r="Q433" s="46">
        <f t="shared" si="399"/>
        <v>8.8175729363637517E-2</v>
      </c>
      <c r="R433" s="81">
        <f t="shared" si="400"/>
        <v>0</v>
      </c>
      <c r="S433" s="82">
        <f t="shared" si="401"/>
        <v>0</v>
      </c>
      <c r="T433" s="39">
        <f t="shared" si="402"/>
        <v>0</v>
      </c>
      <c r="U433" s="83">
        <f t="shared" si="403"/>
        <v>5.0599999999999996</v>
      </c>
      <c r="V433" s="84">
        <f t="shared" si="404"/>
        <v>0</v>
      </c>
      <c r="W433" s="52">
        <f t="shared" si="405"/>
        <v>167.0794440263416</v>
      </c>
      <c r="X433" s="52">
        <f t="shared" si="406"/>
        <v>118.92033573656772</v>
      </c>
      <c r="Y433" s="52">
        <f t="shared" si="407"/>
        <v>285.99977976290933</v>
      </c>
      <c r="Z433" s="53">
        <f t="shared" si="408"/>
        <v>1.3053081564557938</v>
      </c>
      <c r="AA433" s="53">
        <f t="shared" si="409"/>
        <v>0.70785914128909355</v>
      </c>
      <c r="AB433" s="53">
        <f t="shared" si="410"/>
        <v>0.966215472171991</v>
      </c>
      <c r="AC433" s="39" t="str">
        <f t="shared" si="411"/>
        <v>No</v>
      </c>
      <c r="AD433" s="85">
        <f t="shared" si="412"/>
        <v>0</v>
      </c>
      <c r="AE433" s="46">
        <f t="shared" si="413"/>
        <v>0</v>
      </c>
      <c r="AF433" s="46">
        <f t="shared" si="414"/>
        <v>2.1257999999999999</v>
      </c>
      <c r="AG433" s="39">
        <f t="shared" si="469"/>
        <v>60.499973513938826</v>
      </c>
      <c r="AH433" s="39">
        <f t="shared" si="470"/>
        <v>70.410412361319686</v>
      </c>
      <c r="AI433" s="39">
        <f t="shared" si="471"/>
        <v>77.394788490016765</v>
      </c>
      <c r="AJ433" s="39">
        <f t="shared" si="472"/>
        <v>107.77426966106636</v>
      </c>
      <c r="AK433" s="39">
        <f t="shared" si="473"/>
        <v>104.19305432534117</v>
      </c>
      <c r="AL433" s="39">
        <f t="shared" si="474"/>
        <v>69.840681181969316</v>
      </c>
      <c r="AM433" s="39">
        <f t="shared" si="475"/>
        <v>42.312605412653681</v>
      </c>
      <c r="AN433" s="39">
        <f t="shared" si="476"/>
        <v>43.573994816603559</v>
      </c>
      <c r="AO433" s="39">
        <f t="shared" si="415"/>
        <v>3.0499973513938827</v>
      </c>
      <c r="AP433" s="39">
        <f t="shared" si="416"/>
        <v>3.2410412361319687</v>
      </c>
      <c r="AQ433" s="39">
        <f t="shared" si="417"/>
        <v>4.1394788490016783</v>
      </c>
      <c r="AR433" s="39">
        <f t="shared" si="418"/>
        <v>6.2774269661066349</v>
      </c>
      <c r="AS433" s="39">
        <f t="shared" si="419"/>
        <v>6.2193054325341173</v>
      </c>
      <c r="AT433" s="39">
        <f t="shared" si="420"/>
        <v>3.6840681181969313</v>
      </c>
      <c r="AU433" s="39">
        <f t="shared" si="421"/>
        <v>0.41297437891326905</v>
      </c>
      <c r="AV433" s="39">
        <f t="shared" si="422"/>
        <v>0.53242555419789883</v>
      </c>
      <c r="AW433" s="39">
        <f t="shared" si="423"/>
        <v>27.556717886476385</v>
      </c>
      <c r="AX433" s="39">
        <f t="shared" si="424"/>
        <v>5.0599999999999996</v>
      </c>
      <c r="AY433" s="39">
        <f t="shared" si="425"/>
        <v>5.0599999999999996</v>
      </c>
      <c r="AZ433" s="39">
        <f t="shared" si="426"/>
        <v>0.56004443858776343</v>
      </c>
      <c r="BA433" s="39">
        <f t="shared" si="427"/>
        <v>0.59512416255043166</v>
      </c>
      <c r="BB433" s="39">
        <f t="shared" si="428"/>
        <v>0.76009643319053399</v>
      </c>
      <c r="BC433" s="39">
        <f t="shared" si="429"/>
        <v>1.152669217696924</v>
      </c>
      <c r="BD433" s="39">
        <f t="shared" si="430"/>
        <v>1.1419968669079621</v>
      </c>
      <c r="BE433" s="39">
        <f t="shared" si="431"/>
        <v>0.67647332874953281</v>
      </c>
      <c r="BF433" s="39">
        <f t="shared" si="432"/>
        <v>7.5830886896971456E-2</v>
      </c>
      <c r="BG433" s="39">
        <f t="shared" si="433"/>
        <v>9.7764665419879326E-2</v>
      </c>
      <c r="BH433" s="84">
        <f t="shared" si="434"/>
        <v>0</v>
      </c>
      <c r="BI433" s="84">
        <f t="shared" si="435"/>
        <v>0</v>
      </c>
      <c r="BJ433" s="84">
        <f t="shared" si="436"/>
        <v>0</v>
      </c>
      <c r="BK433" s="39">
        <f t="shared" si="437"/>
        <v>59.93992907535106</v>
      </c>
      <c r="BL433" s="39">
        <f t="shared" si="438"/>
        <v>69.815288198769252</v>
      </c>
      <c r="BM433" s="39">
        <f t="shared" si="439"/>
        <v>76.634692056826225</v>
      </c>
      <c r="BN433" s="39">
        <f t="shared" si="440"/>
        <v>106.62160044336943</v>
      </c>
      <c r="BO433" s="39">
        <f t="shared" si="441"/>
        <v>103.05105745843321</v>
      </c>
      <c r="BP433" s="39">
        <f t="shared" si="442"/>
        <v>69.164207853219779</v>
      </c>
      <c r="BQ433" s="39">
        <f t="shared" si="443"/>
        <v>42.236774525756708</v>
      </c>
      <c r="BR433" s="39">
        <f t="shared" si="444"/>
        <v>43.476230151183678</v>
      </c>
      <c r="BS433" s="39">
        <f t="shared" si="445"/>
        <v>0</v>
      </c>
      <c r="BT433" s="39">
        <f t="shared" si="446"/>
        <v>2.2891729192615515</v>
      </c>
      <c r="BU433" s="39">
        <f t="shared" si="447"/>
        <v>7.5808152340957431</v>
      </c>
      <c r="BV433" s="39">
        <f t="shared" si="448"/>
        <v>11.77296026602165</v>
      </c>
      <c r="BW433" s="39">
        <f t="shared" si="449"/>
        <v>11.430634475059932</v>
      </c>
      <c r="BX433" s="39">
        <f t="shared" si="450"/>
        <v>0</v>
      </c>
      <c r="BY433" s="39">
        <f t="shared" si="451"/>
        <v>0</v>
      </c>
      <c r="BZ433" s="39">
        <f t="shared" si="452"/>
        <v>0</v>
      </c>
      <c r="CA433" s="39">
        <f t="shared" si="453"/>
        <v>59.93992907535106</v>
      </c>
      <c r="CB433" s="39">
        <f t="shared" si="454"/>
        <v>67.526115279507707</v>
      </c>
      <c r="CC433" s="39">
        <f t="shared" si="455"/>
        <v>71.343049741992033</v>
      </c>
      <c r="CD433" s="39">
        <f t="shared" si="456"/>
        <v>102.42945541144351</v>
      </c>
      <c r="CE433" s="39">
        <f t="shared" si="457"/>
        <v>103.39338324939493</v>
      </c>
      <c r="CF433" s="39">
        <f t="shared" si="458"/>
        <v>80.594842328279711</v>
      </c>
      <c r="CG433" s="39">
        <f t="shared" si="459"/>
        <v>42.236774525756708</v>
      </c>
      <c r="CH433" s="39">
        <f t="shared" si="460"/>
        <v>43.476230151183678</v>
      </c>
      <c r="CI433" s="39">
        <f t="shared" si="461"/>
        <v>0</v>
      </c>
      <c r="CJ433" s="39">
        <f t="shared" si="462"/>
        <v>0</v>
      </c>
      <c r="CK433" s="39">
        <f t="shared" si="463"/>
        <v>0</v>
      </c>
      <c r="CL433" s="39">
        <f t="shared" si="464"/>
        <v>0</v>
      </c>
      <c r="CM433" s="39">
        <f t="shared" si="465"/>
        <v>0</v>
      </c>
      <c r="CN433" s="39">
        <f t="shared" si="466"/>
        <v>0</v>
      </c>
      <c r="CO433" s="39">
        <f t="shared" si="467"/>
        <v>0</v>
      </c>
      <c r="CP433" s="39">
        <f t="shared" si="468"/>
        <v>0</v>
      </c>
    </row>
    <row r="434" spans="12:94" ht="16" customHeight="1" x14ac:dyDescent="0.2">
      <c r="L434" s="63">
        <v>30746</v>
      </c>
      <c r="M434" s="38">
        <v>0.4</v>
      </c>
      <c r="N434" s="38">
        <v>4.0999999999999996</v>
      </c>
      <c r="O434" s="39">
        <v>2.3664000000000001</v>
      </c>
      <c r="P434" s="39">
        <v>1.1000000000000001</v>
      </c>
      <c r="Q434" s="46">
        <f t="shared" si="399"/>
        <v>8.9310954576991092E-2</v>
      </c>
      <c r="R434" s="81">
        <f t="shared" si="400"/>
        <v>0</v>
      </c>
      <c r="S434" s="82">
        <f t="shared" si="401"/>
        <v>0.4</v>
      </c>
      <c r="T434" s="39">
        <f t="shared" si="402"/>
        <v>0</v>
      </c>
      <c r="U434" s="83">
        <f t="shared" si="403"/>
        <v>4.51</v>
      </c>
      <c r="V434" s="84">
        <f t="shared" si="404"/>
        <v>0</v>
      </c>
      <c r="W434" s="52">
        <f t="shared" si="405"/>
        <v>152.23854950829434</v>
      </c>
      <c r="X434" s="52">
        <f t="shared" si="406"/>
        <v>128.70123025461504</v>
      </c>
      <c r="Y434" s="52">
        <f t="shared" si="407"/>
        <v>280.93977976290938</v>
      </c>
      <c r="Z434" s="53">
        <f t="shared" si="408"/>
        <v>1.1893636680335495</v>
      </c>
      <c r="AA434" s="53">
        <f t="shared" si="409"/>
        <v>0.7660787515155657</v>
      </c>
      <c r="AB434" s="53">
        <f t="shared" si="410"/>
        <v>0.9491208775773966</v>
      </c>
      <c r="AC434" s="39" t="str">
        <f t="shared" si="411"/>
        <v>No</v>
      </c>
      <c r="AD434" s="85">
        <f t="shared" si="412"/>
        <v>0</v>
      </c>
      <c r="AE434" s="46">
        <f t="shared" si="413"/>
        <v>0</v>
      </c>
      <c r="AF434" s="46">
        <f t="shared" si="414"/>
        <v>2.1257999999999999</v>
      </c>
      <c r="AG434" s="39">
        <f t="shared" si="469"/>
        <v>59.93992907535106</v>
      </c>
      <c r="AH434" s="39">
        <f t="shared" si="470"/>
        <v>67.526115279507707</v>
      </c>
      <c r="AI434" s="39">
        <f t="shared" si="471"/>
        <v>71.343049741992033</v>
      </c>
      <c r="AJ434" s="39">
        <f t="shared" si="472"/>
        <v>102.42945541144351</v>
      </c>
      <c r="AK434" s="39">
        <f t="shared" si="473"/>
        <v>103.39338324939493</v>
      </c>
      <c r="AL434" s="39">
        <f t="shared" si="474"/>
        <v>80.594842328279711</v>
      </c>
      <c r="AM434" s="39">
        <f t="shared" si="475"/>
        <v>42.236774525756708</v>
      </c>
      <c r="AN434" s="39">
        <f t="shared" si="476"/>
        <v>43.476230151183678</v>
      </c>
      <c r="AO434" s="39">
        <f t="shared" si="415"/>
        <v>2.9939929075351062</v>
      </c>
      <c r="AP434" s="39">
        <f t="shared" si="416"/>
        <v>2.9526115279507708</v>
      </c>
      <c r="AQ434" s="39">
        <f t="shared" si="417"/>
        <v>3.534304974199205</v>
      </c>
      <c r="AR434" s="39">
        <f t="shared" si="418"/>
        <v>5.7429455411443513</v>
      </c>
      <c r="AS434" s="39">
        <f t="shared" si="419"/>
        <v>6.1393383249394944</v>
      </c>
      <c r="AT434" s="39">
        <f t="shared" si="420"/>
        <v>4.7594842328279707</v>
      </c>
      <c r="AU434" s="39">
        <f t="shared" si="421"/>
        <v>0.40627620780794244</v>
      </c>
      <c r="AV434" s="39">
        <f t="shared" si="422"/>
        <v>0.52262570562176114</v>
      </c>
      <c r="AW434" s="39">
        <f t="shared" si="423"/>
        <v>27.051579422026602</v>
      </c>
      <c r="AX434" s="39">
        <f t="shared" si="424"/>
        <v>4.51</v>
      </c>
      <c r="AY434" s="39">
        <f t="shared" si="425"/>
        <v>4.1099999999999994</v>
      </c>
      <c r="AZ434" s="39">
        <f t="shared" si="426"/>
        <v>0.45488326792297207</v>
      </c>
      <c r="BA434" s="39">
        <f t="shared" si="427"/>
        <v>0.44859611302387087</v>
      </c>
      <c r="BB434" s="39">
        <f t="shared" si="428"/>
        <v>0.53697394955545619</v>
      </c>
      <c r="BC434" s="39">
        <f t="shared" si="429"/>
        <v>0.87253708206346914</v>
      </c>
      <c r="BD434" s="39">
        <f t="shared" si="430"/>
        <v>0.93276182221566495</v>
      </c>
      <c r="BE434" s="39">
        <f t="shared" si="431"/>
        <v>0.72311785909975845</v>
      </c>
      <c r="BF434" s="39">
        <f t="shared" si="432"/>
        <v>6.1726348322975237E-2</v>
      </c>
      <c r="BG434" s="39">
        <f t="shared" si="433"/>
        <v>7.940355779583233E-2</v>
      </c>
      <c r="BH434" s="84">
        <f t="shared" si="434"/>
        <v>0</v>
      </c>
      <c r="BI434" s="84">
        <f t="shared" si="435"/>
        <v>0</v>
      </c>
      <c r="BJ434" s="84">
        <f t="shared" si="436"/>
        <v>0</v>
      </c>
      <c r="BK434" s="39">
        <f t="shared" si="437"/>
        <v>59.485045807428087</v>
      </c>
      <c r="BL434" s="39">
        <f t="shared" si="438"/>
        <v>67.077519166483839</v>
      </c>
      <c r="BM434" s="39">
        <f t="shared" si="439"/>
        <v>70.806075792436573</v>
      </c>
      <c r="BN434" s="39">
        <f t="shared" si="440"/>
        <v>101.55691832938004</v>
      </c>
      <c r="BO434" s="39">
        <f t="shared" si="441"/>
        <v>102.46062142717926</v>
      </c>
      <c r="BP434" s="39">
        <f t="shared" si="442"/>
        <v>79.871724469179952</v>
      </c>
      <c r="BQ434" s="39">
        <f t="shared" si="443"/>
        <v>42.17504817743373</v>
      </c>
      <c r="BR434" s="39">
        <f t="shared" si="444"/>
        <v>43.396826593387843</v>
      </c>
      <c r="BS434" s="39">
        <f t="shared" si="445"/>
        <v>0</v>
      </c>
      <c r="BT434" s="39">
        <f t="shared" si="446"/>
        <v>0.64651149989030332</v>
      </c>
      <c r="BU434" s="39">
        <f t="shared" si="447"/>
        <v>4.0836454754619522</v>
      </c>
      <c r="BV434" s="39">
        <f t="shared" si="448"/>
        <v>8.7341509976280154</v>
      </c>
      <c r="BW434" s="39">
        <f t="shared" si="449"/>
        <v>11.076372856307566</v>
      </c>
      <c r="BX434" s="39">
        <f t="shared" si="450"/>
        <v>2.9230346815079629</v>
      </c>
      <c r="BY434" s="39">
        <f t="shared" si="451"/>
        <v>0</v>
      </c>
      <c r="BZ434" s="39">
        <f t="shared" si="452"/>
        <v>0</v>
      </c>
      <c r="CA434" s="39">
        <f t="shared" si="453"/>
        <v>59.485045807428087</v>
      </c>
      <c r="CB434" s="39">
        <f t="shared" si="454"/>
        <v>66.43100766659353</v>
      </c>
      <c r="CC434" s="39">
        <f t="shared" si="455"/>
        <v>67.368941816864933</v>
      </c>
      <c r="CD434" s="39">
        <f t="shared" si="456"/>
        <v>96.906412807213968</v>
      </c>
      <c r="CE434" s="39">
        <f t="shared" si="457"/>
        <v>100.11839956849971</v>
      </c>
      <c r="CF434" s="39">
        <f t="shared" si="458"/>
        <v>88.025062643979567</v>
      </c>
      <c r="CG434" s="39">
        <f t="shared" si="459"/>
        <v>45.098082858941694</v>
      </c>
      <c r="CH434" s="39">
        <f t="shared" si="460"/>
        <v>43.396826593387843</v>
      </c>
      <c r="CI434" s="39">
        <f t="shared" si="461"/>
        <v>0</v>
      </c>
      <c r="CJ434" s="39">
        <f t="shared" si="462"/>
        <v>0</v>
      </c>
      <c r="CK434" s="39">
        <f t="shared" si="463"/>
        <v>0</v>
      </c>
      <c r="CL434" s="39">
        <f t="shared" si="464"/>
        <v>0</v>
      </c>
      <c r="CM434" s="39">
        <f t="shared" si="465"/>
        <v>0</v>
      </c>
      <c r="CN434" s="39">
        <f t="shared" si="466"/>
        <v>0</v>
      </c>
      <c r="CO434" s="39">
        <f t="shared" si="467"/>
        <v>0</v>
      </c>
      <c r="CP434" s="39">
        <f t="shared" si="468"/>
        <v>0</v>
      </c>
    </row>
    <row r="435" spans="12:94" ht="16" customHeight="1" x14ac:dyDescent="0.2">
      <c r="L435" s="63">
        <v>30747</v>
      </c>
      <c r="M435" s="38">
        <v>0</v>
      </c>
      <c r="N435" s="38">
        <v>5.0999999999999996</v>
      </c>
      <c r="O435" s="39">
        <v>2.3664000000000001</v>
      </c>
      <c r="P435" s="39">
        <v>1.1000000000000001</v>
      </c>
      <c r="Q435" s="46">
        <f t="shared" si="399"/>
        <v>9.0233015255213336E-2</v>
      </c>
      <c r="R435" s="81">
        <f t="shared" si="400"/>
        <v>0</v>
      </c>
      <c r="S435" s="82">
        <f t="shared" si="401"/>
        <v>0</v>
      </c>
      <c r="T435" s="39">
        <f t="shared" si="402"/>
        <v>0</v>
      </c>
      <c r="U435" s="83">
        <f t="shared" si="403"/>
        <v>5.61</v>
      </c>
      <c r="V435" s="84">
        <f t="shared" si="404"/>
        <v>0</v>
      </c>
      <c r="W435" s="52">
        <f t="shared" si="405"/>
        <v>141.19140809810051</v>
      </c>
      <c r="X435" s="52">
        <f t="shared" si="406"/>
        <v>135.6383716648088</v>
      </c>
      <c r="Y435" s="52">
        <f t="shared" si="407"/>
        <v>276.82977976290931</v>
      </c>
      <c r="Z435" s="53">
        <f t="shared" si="408"/>
        <v>1.1030578757664102</v>
      </c>
      <c r="AA435" s="53">
        <f t="shared" si="409"/>
        <v>0.80737125990957614</v>
      </c>
      <c r="AB435" s="53">
        <f t="shared" si="410"/>
        <v>0.93523574244226115</v>
      </c>
      <c r="AC435" s="39" t="str">
        <f t="shared" si="411"/>
        <v>No</v>
      </c>
      <c r="AD435" s="85">
        <f t="shared" si="412"/>
        <v>0</v>
      </c>
      <c r="AE435" s="46">
        <f t="shared" si="413"/>
        <v>0</v>
      </c>
      <c r="AF435" s="46">
        <f t="shared" si="414"/>
        <v>2.1257999999999999</v>
      </c>
      <c r="AG435" s="39">
        <f t="shared" si="469"/>
        <v>59.485045807428087</v>
      </c>
      <c r="AH435" s="39">
        <f t="shared" si="470"/>
        <v>66.43100766659353</v>
      </c>
      <c r="AI435" s="39">
        <f t="shared" si="471"/>
        <v>67.368941816864933</v>
      </c>
      <c r="AJ435" s="39">
        <f t="shared" si="472"/>
        <v>96.906412807213968</v>
      </c>
      <c r="AK435" s="39">
        <f t="shared" si="473"/>
        <v>100.11839956849971</v>
      </c>
      <c r="AL435" s="39">
        <f t="shared" si="474"/>
        <v>88.025062643979567</v>
      </c>
      <c r="AM435" s="39">
        <f t="shared" si="475"/>
        <v>45.098082858941694</v>
      </c>
      <c r="AN435" s="39">
        <f t="shared" si="476"/>
        <v>43.396826593387843</v>
      </c>
      <c r="AO435" s="39">
        <f t="shared" si="415"/>
        <v>2.9485045807428087</v>
      </c>
      <c r="AP435" s="39">
        <f t="shared" si="416"/>
        <v>2.8431007666593531</v>
      </c>
      <c r="AQ435" s="39">
        <f t="shared" si="417"/>
        <v>3.136894181686495</v>
      </c>
      <c r="AR435" s="39">
        <f t="shared" si="418"/>
        <v>5.1906412807213966</v>
      </c>
      <c r="AS435" s="39">
        <f t="shared" si="419"/>
        <v>5.8118399568499726</v>
      </c>
      <c r="AT435" s="39">
        <f t="shared" si="420"/>
        <v>5.5025062643979563</v>
      </c>
      <c r="AU435" s="39">
        <f t="shared" si="421"/>
        <v>0.69696956600866022</v>
      </c>
      <c r="AV435" s="39">
        <f t="shared" si="422"/>
        <v>0.5147333486332214</v>
      </c>
      <c r="AW435" s="39">
        <f t="shared" si="423"/>
        <v>26.645189945699869</v>
      </c>
      <c r="AX435" s="39">
        <f t="shared" si="424"/>
        <v>5.61</v>
      </c>
      <c r="AY435" s="39">
        <f t="shared" si="425"/>
        <v>5.61</v>
      </c>
      <c r="AZ435" s="39">
        <f t="shared" si="426"/>
        <v>0.62079162249082198</v>
      </c>
      <c r="BA435" s="39">
        <f t="shared" si="427"/>
        <v>0.59859942201436722</v>
      </c>
      <c r="BB435" s="39">
        <f t="shared" si="428"/>
        <v>0.6604560295919859</v>
      </c>
      <c r="BC435" s="39">
        <f t="shared" si="429"/>
        <v>1.0928613248466064</v>
      </c>
      <c r="BD435" s="39">
        <f t="shared" si="430"/>
        <v>1.2236513316051707</v>
      </c>
      <c r="BE435" s="39">
        <f t="shared" si="431"/>
        <v>1.1585228030342616</v>
      </c>
      <c r="BF435" s="39">
        <f t="shared" si="432"/>
        <v>0.14674315601715568</v>
      </c>
      <c r="BG435" s="39">
        <f t="shared" si="433"/>
        <v>0.10837431039962979</v>
      </c>
      <c r="BH435" s="84">
        <f t="shared" si="434"/>
        <v>0</v>
      </c>
      <c r="BI435" s="84">
        <f t="shared" si="435"/>
        <v>0</v>
      </c>
      <c r="BJ435" s="84">
        <f t="shared" si="436"/>
        <v>0</v>
      </c>
      <c r="BK435" s="39">
        <f t="shared" si="437"/>
        <v>58.864254184937266</v>
      </c>
      <c r="BL435" s="39">
        <f t="shared" si="438"/>
        <v>65.832408244579156</v>
      </c>
      <c r="BM435" s="39">
        <f t="shared" si="439"/>
        <v>66.708485787272949</v>
      </c>
      <c r="BN435" s="39">
        <f t="shared" si="440"/>
        <v>95.813551482367359</v>
      </c>
      <c r="BO435" s="39">
        <f t="shared" si="441"/>
        <v>98.894748236894543</v>
      </c>
      <c r="BP435" s="39">
        <f t="shared" si="442"/>
        <v>86.866539840945308</v>
      </c>
      <c r="BQ435" s="39">
        <f t="shared" si="443"/>
        <v>44.951339702924535</v>
      </c>
      <c r="BR435" s="39">
        <f t="shared" si="444"/>
        <v>43.28845228298821</v>
      </c>
      <c r="BS435" s="39">
        <f t="shared" si="445"/>
        <v>0</v>
      </c>
      <c r="BT435" s="39">
        <f t="shared" si="446"/>
        <v>0</v>
      </c>
      <c r="BU435" s="39">
        <f t="shared" si="447"/>
        <v>1.6250914723637777</v>
      </c>
      <c r="BV435" s="39">
        <f t="shared" si="448"/>
        <v>5.2881308894204064</v>
      </c>
      <c r="BW435" s="39">
        <f t="shared" si="449"/>
        <v>8.9368489421367343</v>
      </c>
      <c r="BX435" s="39">
        <f t="shared" si="450"/>
        <v>7.1199239045671758</v>
      </c>
      <c r="BY435" s="39">
        <f t="shared" si="451"/>
        <v>0</v>
      </c>
      <c r="BZ435" s="39">
        <f t="shared" si="452"/>
        <v>0</v>
      </c>
      <c r="CA435" s="39">
        <f t="shared" si="453"/>
        <v>58.864254184937266</v>
      </c>
      <c r="CB435" s="39">
        <f t="shared" si="454"/>
        <v>65.832408244579156</v>
      </c>
      <c r="CC435" s="39">
        <f t="shared" si="455"/>
        <v>65.083394314909171</v>
      </c>
      <c r="CD435" s="39">
        <f t="shared" si="456"/>
        <v>92.150512065310735</v>
      </c>
      <c r="CE435" s="39">
        <f t="shared" si="457"/>
        <v>95.24603018417821</v>
      </c>
      <c r="CF435" s="39">
        <f t="shared" si="458"/>
        <v>88.683464878514869</v>
      </c>
      <c r="CG435" s="39">
        <f t="shared" si="459"/>
        <v>52.071263607491709</v>
      </c>
      <c r="CH435" s="39">
        <f t="shared" si="460"/>
        <v>43.28845228298821</v>
      </c>
      <c r="CI435" s="39">
        <f t="shared" si="461"/>
        <v>0</v>
      </c>
      <c r="CJ435" s="39">
        <f t="shared" si="462"/>
        <v>0</v>
      </c>
      <c r="CK435" s="39">
        <f t="shared" si="463"/>
        <v>0</v>
      </c>
      <c r="CL435" s="39">
        <f t="shared" si="464"/>
        <v>0</v>
      </c>
      <c r="CM435" s="39">
        <f t="shared" si="465"/>
        <v>0</v>
      </c>
      <c r="CN435" s="39">
        <f t="shared" si="466"/>
        <v>0</v>
      </c>
      <c r="CO435" s="39">
        <f t="shared" si="467"/>
        <v>0</v>
      </c>
      <c r="CP435" s="39">
        <f t="shared" si="468"/>
        <v>0</v>
      </c>
    </row>
    <row r="436" spans="12:94" ht="16" customHeight="1" x14ac:dyDescent="0.2">
      <c r="L436" s="63">
        <v>30748</v>
      </c>
      <c r="M436" s="38">
        <v>0.6</v>
      </c>
      <c r="N436" s="38">
        <v>4.5</v>
      </c>
      <c r="O436" s="39">
        <v>2.3664000000000001</v>
      </c>
      <c r="P436" s="39">
        <v>1.1000000000000001</v>
      </c>
      <c r="Q436" s="46">
        <f t="shared" si="399"/>
        <v>9.1491376652154191E-2</v>
      </c>
      <c r="R436" s="81">
        <f t="shared" si="400"/>
        <v>0</v>
      </c>
      <c r="S436" s="82">
        <f t="shared" si="401"/>
        <v>0.6</v>
      </c>
      <c r="T436" s="39">
        <f t="shared" si="402"/>
        <v>0</v>
      </c>
      <c r="U436" s="83">
        <f t="shared" si="403"/>
        <v>4.95</v>
      </c>
      <c r="V436" s="84">
        <f t="shared" si="404"/>
        <v>0</v>
      </c>
      <c r="W436" s="52">
        <f t="shared" si="405"/>
        <v>132.93056880973631</v>
      </c>
      <c r="X436" s="52">
        <f t="shared" si="406"/>
        <v>138.28921095317304</v>
      </c>
      <c r="Y436" s="52">
        <f t="shared" si="407"/>
        <v>271.21977976290935</v>
      </c>
      <c r="Z436" s="53">
        <f t="shared" si="408"/>
        <v>1.038520068826065</v>
      </c>
      <c r="AA436" s="53">
        <f t="shared" si="409"/>
        <v>0.82315006519745859</v>
      </c>
      <c r="AB436" s="53">
        <f t="shared" si="410"/>
        <v>0.9162830397395586</v>
      </c>
      <c r="AC436" s="39" t="str">
        <f t="shared" si="411"/>
        <v>No</v>
      </c>
      <c r="AD436" s="85">
        <f t="shared" si="412"/>
        <v>0</v>
      </c>
      <c r="AE436" s="46">
        <f t="shared" si="413"/>
        <v>0</v>
      </c>
      <c r="AF436" s="46">
        <f t="shared" si="414"/>
        <v>2.1257999999999999</v>
      </c>
      <c r="AG436" s="39">
        <f t="shared" si="469"/>
        <v>58.864254184937266</v>
      </c>
      <c r="AH436" s="39">
        <f t="shared" si="470"/>
        <v>65.832408244579156</v>
      </c>
      <c r="AI436" s="39">
        <f t="shared" si="471"/>
        <v>65.083394314909171</v>
      </c>
      <c r="AJ436" s="39">
        <f t="shared" si="472"/>
        <v>92.150512065310735</v>
      </c>
      <c r="AK436" s="39">
        <f t="shared" si="473"/>
        <v>95.24603018417821</v>
      </c>
      <c r="AL436" s="39">
        <f t="shared" si="474"/>
        <v>88.683464878514869</v>
      </c>
      <c r="AM436" s="39">
        <f t="shared" si="475"/>
        <v>52.071263607491709</v>
      </c>
      <c r="AN436" s="39">
        <f t="shared" si="476"/>
        <v>43.28845228298821</v>
      </c>
      <c r="AO436" s="39">
        <f t="shared" si="415"/>
        <v>2.8864254184937268</v>
      </c>
      <c r="AP436" s="39">
        <f t="shared" si="416"/>
        <v>2.7832408244579159</v>
      </c>
      <c r="AQ436" s="39">
        <f t="shared" si="417"/>
        <v>2.9083394314909188</v>
      </c>
      <c r="AR436" s="39">
        <f t="shared" si="418"/>
        <v>4.715051206531073</v>
      </c>
      <c r="AS436" s="39">
        <f t="shared" si="419"/>
        <v>5.3246030184178217</v>
      </c>
      <c r="AT436" s="39">
        <f t="shared" si="420"/>
        <v>5.5683464878514863</v>
      </c>
      <c r="AU436" s="39">
        <f t="shared" si="421"/>
        <v>1.7319671218401778</v>
      </c>
      <c r="AV436" s="39">
        <f t="shared" si="422"/>
        <v>0.5040583351396436</v>
      </c>
      <c r="AW436" s="39">
        <f t="shared" si="423"/>
        <v>26.422031844222762</v>
      </c>
      <c r="AX436" s="39">
        <f t="shared" si="424"/>
        <v>4.95</v>
      </c>
      <c r="AY436" s="39">
        <f t="shared" si="425"/>
        <v>4.3500000000000005</v>
      </c>
      <c r="AZ436" s="39">
        <f t="shared" si="426"/>
        <v>0.47520760872873979</v>
      </c>
      <c r="BA436" s="39">
        <f t="shared" si="427"/>
        <v>0.45821977877296294</v>
      </c>
      <c r="BB436" s="39">
        <f t="shared" si="428"/>
        <v>0.47881542954660128</v>
      </c>
      <c r="BC436" s="39">
        <f t="shared" si="429"/>
        <v>0.77626402349881474</v>
      </c>
      <c r="BD436" s="39">
        <f t="shared" si="430"/>
        <v>0.87661778877092511</v>
      </c>
      <c r="BE436" s="39">
        <f t="shared" si="431"/>
        <v>0.91674657592429754</v>
      </c>
      <c r="BF436" s="39">
        <f t="shared" si="432"/>
        <v>0.28514298311437819</v>
      </c>
      <c r="BG436" s="39">
        <f t="shared" si="433"/>
        <v>8.2985811643281282E-2</v>
      </c>
      <c r="BH436" s="84">
        <f t="shared" si="434"/>
        <v>0</v>
      </c>
      <c r="BI436" s="84">
        <f t="shared" si="435"/>
        <v>0</v>
      </c>
      <c r="BJ436" s="84">
        <f t="shared" si="436"/>
        <v>0</v>
      </c>
      <c r="BK436" s="39">
        <f t="shared" si="437"/>
        <v>58.389046576208528</v>
      </c>
      <c r="BL436" s="39">
        <f t="shared" si="438"/>
        <v>65.374188465806199</v>
      </c>
      <c r="BM436" s="39">
        <f t="shared" si="439"/>
        <v>64.604578885362571</v>
      </c>
      <c r="BN436" s="39">
        <f t="shared" si="440"/>
        <v>91.374248041811924</v>
      </c>
      <c r="BO436" s="39">
        <f t="shared" si="441"/>
        <v>94.369412395407281</v>
      </c>
      <c r="BP436" s="39">
        <f t="shared" si="442"/>
        <v>87.766718302590576</v>
      </c>
      <c r="BQ436" s="39">
        <f t="shared" si="443"/>
        <v>51.786120624377332</v>
      </c>
      <c r="BR436" s="39">
        <f t="shared" si="444"/>
        <v>43.205466471344927</v>
      </c>
      <c r="BS436" s="39">
        <f t="shared" si="445"/>
        <v>0</v>
      </c>
      <c r="BT436" s="39">
        <f t="shared" si="446"/>
        <v>0</v>
      </c>
      <c r="BU436" s="39">
        <f t="shared" si="447"/>
        <v>0.36274733121755104</v>
      </c>
      <c r="BV436" s="39">
        <f t="shared" si="448"/>
        <v>2.624548825087146</v>
      </c>
      <c r="BW436" s="39">
        <f t="shared" si="449"/>
        <v>6.2216474372443766</v>
      </c>
      <c r="BX436" s="39">
        <f t="shared" si="450"/>
        <v>7.6600309815543364</v>
      </c>
      <c r="BY436" s="39">
        <f t="shared" si="451"/>
        <v>0</v>
      </c>
      <c r="BZ436" s="39">
        <f t="shared" si="452"/>
        <v>0</v>
      </c>
      <c r="CA436" s="39">
        <f t="shared" si="453"/>
        <v>58.389046576208528</v>
      </c>
      <c r="CB436" s="39">
        <f t="shared" si="454"/>
        <v>65.374188465806199</v>
      </c>
      <c r="CC436" s="39">
        <f t="shared" si="455"/>
        <v>64.241831554145023</v>
      </c>
      <c r="CD436" s="39">
        <f t="shared" si="456"/>
        <v>89.112446547942326</v>
      </c>
      <c r="CE436" s="39">
        <f t="shared" si="457"/>
        <v>90.772313783250056</v>
      </c>
      <c r="CF436" s="39">
        <f t="shared" si="458"/>
        <v>86.328334758280604</v>
      </c>
      <c r="CG436" s="39">
        <f t="shared" si="459"/>
        <v>59.446151605931668</v>
      </c>
      <c r="CH436" s="39">
        <f t="shared" si="460"/>
        <v>43.205466471344927</v>
      </c>
      <c r="CI436" s="39">
        <f t="shared" si="461"/>
        <v>0</v>
      </c>
      <c r="CJ436" s="39">
        <f t="shared" si="462"/>
        <v>0</v>
      </c>
      <c r="CK436" s="39">
        <f t="shared" si="463"/>
        <v>0</v>
      </c>
      <c r="CL436" s="39">
        <f t="shared" si="464"/>
        <v>0</v>
      </c>
      <c r="CM436" s="39">
        <f t="shared" si="465"/>
        <v>0</v>
      </c>
      <c r="CN436" s="39">
        <f t="shared" si="466"/>
        <v>0</v>
      </c>
      <c r="CO436" s="39">
        <f t="shared" si="467"/>
        <v>0</v>
      </c>
      <c r="CP436" s="39">
        <f t="shared" si="468"/>
        <v>0</v>
      </c>
    </row>
    <row r="437" spans="12:94" ht="16" customHeight="1" x14ac:dyDescent="0.2">
      <c r="L437" s="63">
        <v>30749</v>
      </c>
      <c r="M437" s="38">
        <v>2.9</v>
      </c>
      <c r="N437" s="38">
        <v>1.7</v>
      </c>
      <c r="O437" s="39">
        <v>2.3664000000000001</v>
      </c>
      <c r="P437" s="39">
        <v>1.1000000000000001</v>
      </c>
      <c r="Q437" s="46">
        <f t="shared" si="399"/>
        <v>9.2454635318496223E-2</v>
      </c>
      <c r="R437" s="81">
        <f t="shared" si="400"/>
        <v>0</v>
      </c>
      <c r="S437" s="82">
        <f t="shared" si="401"/>
        <v>2.9</v>
      </c>
      <c r="T437" s="39">
        <f t="shared" si="402"/>
        <v>0</v>
      </c>
      <c r="U437" s="83">
        <f t="shared" si="403"/>
        <v>1.87</v>
      </c>
      <c r="V437" s="84">
        <f t="shared" si="404"/>
        <v>0</v>
      </c>
      <c r="W437" s="52">
        <f t="shared" si="405"/>
        <v>128.11751314410208</v>
      </c>
      <c r="X437" s="52">
        <f t="shared" si="406"/>
        <v>138.75226661880725</v>
      </c>
      <c r="Y437" s="52">
        <f t="shared" si="407"/>
        <v>266.86977976290933</v>
      </c>
      <c r="Z437" s="53">
        <f t="shared" si="408"/>
        <v>1.0009180714382975</v>
      </c>
      <c r="AA437" s="53">
        <f t="shared" si="409"/>
        <v>0.82590634892147174</v>
      </c>
      <c r="AB437" s="53">
        <f t="shared" si="410"/>
        <v>0.90158709379361257</v>
      </c>
      <c r="AC437" s="39" t="str">
        <f t="shared" si="411"/>
        <v>No</v>
      </c>
      <c r="AD437" s="85">
        <f t="shared" si="412"/>
        <v>0</v>
      </c>
      <c r="AE437" s="46">
        <f t="shared" si="413"/>
        <v>0</v>
      </c>
      <c r="AF437" s="46">
        <f t="shared" si="414"/>
        <v>2.1257999999999999</v>
      </c>
      <c r="AG437" s="39">
        <f t="shared" si="469"/>
        <v>58.389046576208528</v>
      </c>
      <c r="AH437" s="39">
        <f t="shared" si="470"/>
        <v>65.374188465806199</v>
      </c>
      <c r="AI437" s="39">
        <f t="shared" si="471"/>
        <v>64.241831554145023</v>
      </c>
      <c r="AJ437" s="39">
        <f t="shared" si="472"/>
        <v>89.112446547942326</v>
      </c>
      <c r="AK437" s="39">
        <f t="shared" si="473"/>
        <v>90.772313783250056</v>
      </c>
      <c r="AL437" s="39">
        <f t="shared" si="474"/>
        <v>86.328334758280604</v>
      </c>
      <c r="AM437" s="39">
        <f t="shared" si="475"/>
        <v>59.446151605931668</v>
      </c>
      <c r="AN437" s="39">
        <f t="shared" si="476"/>
        <v>43.205466471344927</v>
      </c>
      <c r="AO437" s="39">
        <f t="shared" si="415"/>
        <v>2.8389046576208532</v>
      </c>
      <c r="AP437" s="39">
        <f t="shared" si="416"/>
        <v>2.7374188465806202</v>
      </c>
      <c r="AQ437" s="39">
        <f t="shared" si="417"/>
        <v>2.824183155414504</v>
      </c>
      <c r="AR437" s="39">
        <f t="shared" si="418"/>
        <v>4.4112446547942321</v>
      </c>
      <c r="AS437" s="39">
        <f t="shared" si="419"/>
        <v>4.877231378325007</v>
      </c>
      <c r="AT437" s="39">
        <f t="shared" si="420"/>
        <v>5.3328334758280604</v>
      </c>
      <c r="AU437" s="39">
        <f t="shared" si="421"/>
        <v>2.6446151605931663</v>
      </c>
      <c r="AV437" s="39">
        <f t="shared" si="422"/>
        <v>0.49595974237021573</v>
      </c>
      <c r="AW437" s="39">
        <f t="shared" si="423"/>
        <v>26.162391071526656</v>
      </c>
      <c r="AX437" s="39">
        <f t="shared" si="424"/>
        <v>1.87</v>
      </c>
      <c r="AY437" s="39">
        <f t="shared" si="425"/>
        <v>0</v>
      </c>
      <c r="AZ437" s="39">
        <f t="shared" si="426"/>
        <v>0</v>
      </c>
      <c r="BA437" s="39">
        <f t="shared" si="427"/>
        <v>0</v>
      </c>
      <c r="BB437" s="39">
        <f t="shared" si="428"/>
        <v>0</v>
      </c>
      <c r="BC437" s="39">
        <f t="shared" si="429"/>
        <v>0</v>
      </c>
      <c r="BD437" s="39">
        <f t="shared" si="430"/>
        <v>0</v>
      </c>
      <c r="BE437" s="39">
        <f t="shared" si="431"/>
        <v>0</v>
      </c>
      <c r="BF437" s="39">
        <f t="shared" si="432"/>
        <v>0</v>
      </c>
      <c r="BG437" s="39">
        <f t="shared" si="433"/>
        <v>0</v>
      </c>
      <c r="BH437" s="84">
        <f t="shared" si="434"/>
        <v>0</v>
      </c>
      <c r="BI437" s="84">
        <f t="shared" si="435"/>
        <v>0</v>
      </c>
      <c r="BJ437" s="84">
        <f t="shared" si="436"/>
        <v>0</v>
      </c>
      <c r="BK437" s="39">
        <f t="shared" si="437"/>
        <v>58.389046576208528</v>
      </c>
      <c r="BL437" s="39">
        <f t="shared" si="438"/>
        <v>65.374188465806199</v>
      </c>
      <c r="BM437" s="39">
        <f t="shared" si="439"/>
        <v>64.241831554145023</v>
      </c>
      <c r="BN437" s="39">
        <f t="shared" si="440"/>
        <v>89.112446547942326</v>
      </c>
      <c r="BO437" s="39">
        <f t="shared" si="441"/>
        <v>90.772313783250056</v>
      </c>
      <c r="BP437" s="39">
        <f t="shared" si="442"/>
        <v>86.328334758280604</v>
      </c>
      <c r="BQ437" s="39">
        <f t="shared" si="443"/>
        <v>59.446151605931668</v>
      </c>
      <c r="BR437" s="39">
        <f t="shared" si="444"/>
        <v>43.205466471344927</v>
      </c>
      <c r="BS437" s="39">
        <f t="shared" si="445"/>
        <v>0</v>
      </c>
      <c r="BT437" s="39">
        <f t="shared" si="446"/>
        <v>0</v>
      </c>
      <c r="BU437" s="39">
        <f t="shared" si="447"/>
        <v>0.14509893248702213</v>
      </c>
      <c r="BV437" s="39">
        <f t="shared" si="448"/>
        <v>1.2674679287653874</v>
      </c>
      <c r="BW437" s="39">
        <f t="shared" si="449"/>
        <v>4.0633882699500417</v>
      </c>
      <c r="BX437" s="39">
        <f t="shared" si="450"/>
        <v>6.7970008549683536</v>
      </c>
      <c r="BY437" s="39">
        <f t="shared" si="451"/>
        <v>0</v>
      </c>
      <c r="BZ437" s="39">
        <f t="shared" si="452"/>
        <v>0</v>
      </c>
      <c r="CA437" s="39">
        <f t="shared" si="453"/>
        <v>61.289046576208527</v>
      </c>
      <c r="CB437" s="39">
        <f t="shared" si="454"/>
        <v>65.374188465806199</v>
      </c>
      <c r="CC437" s="39">
        <f t="shared" si="455"/>
        <v>64.096732621658006</v>
      </c>
      <c r="CD437" s="39">
        <f t="shared" si="456"/>
        <v>87.990077551663958</v>
      </c>
      <c r="CE437" s="39">
        <f t="shared" si="457"/>
        <v>87.976393442065401</v>
      </c>
      <c r="CF437" s="39">
        <f t="shared" si="458"/>
        <v>83.594722173262284</v>
      </c>
      <c r="CG437" s="39">
        <f t="shared" si="459"/>
        <v>66.243152460900021</v>
      </c>
      <c r="CH437" s="39">
        <f t="shared" si="460"/>
        <v>43.205466471344927</v>
      </c>
      <c r="CI437" s="39">
        <f t="shared" si="461"/>
        <v>0</v>
      </c>
      <c r="CJ437" s="39">
        <f t="shared" si="462"/>
        <v>0</v>
      </c>
      <c r="CK437" s="39">
        <f t="shared" si="463"/>
        <v>0</v>
      </c>
      <c r="CL437" s="39">
        <f t="shared" si="464"/>
        <v>0</v>
      </c>
      <c r="CM437" s="39">
        <f t="shared" si="465"/>
        <v>0</v>
      </c>
      <c r="CN437" s="39">
        <f t="shared" si="466"/>
        <v>0</v>
      </c>
      <c r="CO437" s="39">
        <f t="shared" si="467"/>
        <v>0</v>
      </c>
      <c r="CP437" s="39">
        <f t="shared" si="468"/>
        <v>0</v>
      </c>
    </row>
    <row r="438" spans="12:94" ht="16" customHeight="1" x14ac:dyDescent="0.2">
      <c r="L438" s="63">
        <v>30750</v>
      </c>
      <c r="M438" s="38">
        <v>0</v>
      </c>
      <c r="N438" s="38">
        <v>2.8</v>
      </c>
      <c r="O438" s="39">
        <v>2.3664000000000001</v>
      </c>
      <c r="P438" s="39">
        <v>1.1000000000000001</v>
      </c>
      <c r="Q438" s="46">
        <f t="shared" si="399"/>
        <v>8.6576256940117849E-2</v>
      </c>
      <c r="R438" s="81">
        <f t="shared" si="400"/>
        <v>0</v>
      </c>
      <c r="S438" s="82">
        <f t="shared" si="401"/>
        <v>0</v>
      </c>
      <c r="T438" s="39">
        <f t="shared" si="402"/>
        <v>0</v>
      </c>
      <c r="U438" s="83">
        <f t="shared" si="403"/>
        <v>3.08</v>
      </c>
      <c r="V438" s="84">
        <f t="shared" si="404"/>
        <v>0</v>
      </c>
      <c r="W438" s="52">
        <f t="shared" si="405"/>
        <v>129.75004521533668</v>
      </c>
      <c r="X438" s="52">
        <f t="shared" si="406"/>
        <v>140.01973454757268</v>
      </c>
      <c r="Y438" s="52">
        <f t="shared" si="407"/>
        <v>269.76977976290937</v>
      </c>
      <c r="Z438" s="53">
        <f t="shared" si="408"/>
        <v>1.0136722282448178</v>
      </c>
      <c r="AA438" s="53">
        <f t="shared" si="409"/>
        <v>0.83345080087840884</v>
      </c>
      <c r="AB438" s="53">
        <f t="shared" si="410"/>
        <v>0.91138439109091007</v>
      </c>
      <c r="AC438" s="39" t="str">
        <f t="shared" si="411"/>
        <v>No</v>
      </c>
      <c r="AD438" s="85">
        <f t="shared" si="412"/>
        <v>0</v>
      </c>
      <c r="AE438" s="46">
        <f t="shared" si="413"/>
        <v>0</v>
      </c>
      <c r="AF438" s="46">
        <f t="shared" si="414"/>
        <v>2.1257999999999999</v>
      </c>
      <c r="AG438" s="39">
        <f t="shared" si="469"/>
        <v>61.289046576208527</v>
      </c>
      <c r="AH438" s="39">
        <f t="shared" si="470"/>
        <v>65.374188465806199</v>
      </c>
      <c r="AI438" s="39">
        <f t="shared" si="471"/>
        <v>64.096732621658006</v>
      </c>
      <c r="AJ438" s="39">
        <f t="shared" si="472"/>
        <v>87.990077551663958</v>
      </c>
      <c r="AK438" s="39">
        <f t="shared" si="473"/>
        <v>87.976393442065401</v>
      </c>
      <c r="AL438" s="39">
        <f t="shared" si="474"/>
        <v>83.594722173262284</v>
      </c>
      <c r="AM438" s="39">
        <f t="shared" si="475"/>
        <v>66.243152460900021</v>
      </c>
      <c r="AN438" s="39">
        <f t="shared" si="476"/>
        <v>43.205466471344927</v>
      </c>
      <c r="AO438" s="39">
        <f t="shared" si="415"/>
        <v>3.1289046576208528</v>
      </c>
      <c r="AP438" s="39">
        <f t="shared" si="416"/>
        <v>2.7374188465806202</v>
      </c>
      <c r="AQ438" s="39">
        <f t="shared" si="417"/>
        <v>2.809673262165802</v>
      </c>
      <c r="AR438" s="39">
        <f t="shared" si="418"/>
        <v>4.2990077551663957</v>
      </c>
      <c r="AS438" s="39">
        <f t="shared" si="419"/>
        <v>4.5976393442065406</v>
      </c>
      <c r="AT438" s="39">
        <f t="shared" si="420"/>
        <v>5.0594722173262276</v>
      </c>
      <c r="AU438" s="39">
        <f t="shared" si="421"/>
        <v>3.3243152460900016</v>
      </c>
      <c r="AV438" s="39">
        <f t="shared" si="422"/>
        <v>0.49595974237021573</v>
      </c>
      <c r="AW438" s="39">
        <f t="shared" si="423"/>
        <v>26.452391071526655</v>
      </c>
      <c r="AX438" s="39">
        <f t="shared" si="424"/>
        <v>3.08</v>
      </c>
      <c r="AY438" s="39">
        <f t="shared" si="425"/>
        <v>3.08</v>
      </c>
      <c r="AZ438" s="39">
        <f t="shared" si="426"/>
        <v>0.36431588809548182</v>
      </c>
      <c r="BA438" s="39">
        <f t="shared" si="427"/>
        <v>0.31873300317806447</v>
      </c>
      <c r="BB438" s="39">
        <f t="shared" si="428"/>
        <v>0.32714598933877137</v>
      </c>
      <c r="BC438" s="39">
        <f t="shared" si="429"/>
        <v>0.50055754317669399</v>
      </c>
      <c r="BD438" s="39">
        <f t="shared" si="430"/>
        <v>0.53532889113373006</v>
      </c>
      <c r="BE438" s="39">
        <f t="shared" si="431"/>
        <v>0.58910267836386654</v>
      </c>
      <c r="BF438" s="39">
        <f t="shared" si="432"/>
        <v>0.38706863701929556</v>
      </c>
      <c r="BG438" s="39">
        <f t="shared" si="433"/>
        <v>5.7747369694096405E-2</v>
      </c>
      <c r="BH438" s="84">
        <f t="shared" si="434"/>
        <v>0</v>
      </c>
      <c r="BI438" s="84">
        <f t="shared" si="435"/>
        <v>0</v>
      </c>
      <c r="BJ438" s="84">
        <f t="shared" si="436"/>
        <v>0</v>
      </c>
      <c r="BK438" s="39">
        <f t="shared" si="437"/>
        <v>60.924730688113044</v>
      </c>
      <c r="BL438" s="39">
        <f t="shared" si="438"/>
        <v>65.055455462628132</v>
      </c>
      <c r="BM438" s="39">
        <f t="shared" si="439"/>
        <v>63.769586632319232</v>
      </c>
      <c r="BN438" s="39">
        <f t="shared" si="440"/>
        <v>87.489520008487261</v>
      </c>
      <c r="BO438" s="39">
        <f t="shared" si="441"/>
        <v>87.441064550931671</v>
      </c>
      <c r="BP438" s="39">
        <f t="shared" si="442"/>
        <v>83.005619494898411</v>
      </c>
      <c r="BQ438" s="39">
        <f t="shared" si="443"/>
        <v>65.856083823880724</v>
      </c>
      <c r="BR438" s="39">
        <f t="shared" si="444"/>
        <v>43.147719101650829</v>
      </c>
      <c r="BS438" s="39">
        <f t="shared" si="445"/>
        <v>0.55483841286782642</v>
      </c>
      <c r="BT438" s="39">
        <f t="shared" si="446"/>
        <v>0</v>
      </c>
      <c r="BU438" s="39">
        <f t="shared" si="447"/>
        <v>0</v>
      </c>
      <c r="BV438" s="39">
        <f t="shared" si="448"/>
        <v>0.29371200509234824</v>
      </c>
      <c r="BW438" s="39">
        <f t="shared" si="449"/>
        <v>2.064638730559011</v>
      </c>
      <c r="BX438" s="39">
        <f t="shared" si="450"/>
        <v>4.8033716969390383</v>
      </c>
      <c r="BY438" s="39">
        <f t="shared" si="451"/>
        <v>0</v>
      </c>
      <c r="BZ438" s="39">
        <f t="shared" si="452"/>
        <v>0</v>
      </c>
      <c r="CA438" s="39">
        <f t="shared" si="453"/>
        <v>60.369892275245221</v>
      </c>
      <c r="CB438" s="39">
        <f t="shared" si="454"/>
        <v>65.610293875495955</v>
      </c>
      <c r="CC438" s="39">
        <f t="shared" si="455"/>
        <v>63.769586632319232</v>
      </c>
      <c r="CD438" s="39">
        <f t="shared" si="456"/>
        <v>87.195808003394916</v>
      </c>
      <c r="CE438" s="39">
        <f t="shared" si="457"/>
        <v>85.670137825465005</v>
      </c>
      <c r="CF438" s="39">
        <f t="shared" si="458"/>
        <v>80.266886528518384</v>
      </c>
      <c r="CG438" s="39">
        <f t="shared" si="459"/>
        <v>70.659455520819762</v>
      </c>
      <c r="CH438" s="39">
        <f t="shared" si="460"/>
        <v>43.147719101650829</v>
      </c>
      <c r="CI438" s="39">
        <f t="shared" si="461"/>
        <v>0</v>
      </c>
      <c r="CJ438" s="39">
        <f t="shared" si="462"/>
        <v>0</v>
      </c>
      <c r="CK438" s="39">
        <f t="shared" si="463"/>
        <v>0</v>
      </c>
      <c r="CL438" s="39">
        <f t="shared" si="464"/>
        <v>0</v>
      </c>
      <c r="CM438" s="39">
        <f t="shared" si="465"/>
        <v>0</v>
      </c>
      <c r="CN438" s="39">
        <f t="shared" si="466"/>
        <v>0</v>
      </c>
      <c r="CO438" s="39">
        <f t="shared" si="467"/>
        <v>0</v>
      </c>
      <c r="CP438" s="39">
        <f t="shared" si="468"/>
        <v>0</v>
      </c>
    </row>
    <row r="439" spans="12:94" ht="16" customHeight="1" x14ac:dyDescent="0.2">
      <c r="L439" s="63">
        <v>30751</v>
      </c>
      <c r="M439" s="38">
        <v>0</v>
      </c>
      <c r="N439" s="38">
        <v>3.6</v>
      </c>
      <c r="O439" s="39">
        <v>2.3664000000000001</v>
      </c>
      <c r="P439" s="39">
        <v>1.1000000000000001</v>
      </c>
      <c r="Q439" s="46">
        <f t="shared" si="399"/>
        <v>8.8439407550178609E-2</v>
      </c>
      <c r="R439" s="81">
        <f t="shared" si="400"/>
        <v>0</v>
      </c>
      <c r="S439" s="82">
        <f t="shared" si="401"/>
        <v>0</v>
      </c>
      <c r="T439" s="39">
        <f t="shared" si="402"/>
        <v>0</v>
      </c>
      <c r="U439" s="83">
        <f t="shared" si="403"/>
        <v>3.9600000000000004</v>
      </c>
      <c r="V439" s="84">
        <f t="shared" si="404"/>
        <v>0</v>
      </c>
      <c r="W439" s="52">
        <f t="shared" si="405"/>
        <v>127.94558078645531</v>
      </c>
      <c r="X439" s="52">
        <f t="shared" si="406"/>
        <v>138.74419897645396</v>
      </c>
      <c r="Y439" s="52">
        <f t="shared" si="407"/>
        <v>266.68977976290927</v>
      </c>
      <c r="Z439" s="53">
        <f t="shared" si="408"/>
        <v>0.9995748498941821</v>
      </c>
      <c r="AA439" s="53">
        <f t="shared" si="409"/>
        <v>0.82585832724079733</v>
      </c>
      <c r="AB439" s="53">
        <f t="shared" si="410"/>
        <v>0.90097898568550427</v>
      </c>
      <c r="AC439" s="39" t="str">
        <f t="shared" si="411"/>
        <v>No</v>
      </c>
      <c r="AD439" s="85">
        <f t="shared" si="412"/>
        <v>0</v>
      </c>
      <c r="AE439" s="46">
        <f t="shared" si="413"/>
        <v>0</v>
      </c>
      <c r="AF439" s="46">
        <f t="shared" si="414"/>
        <v>2.1257999999999999</v>
      </c>
      <c r="AG439" s="39">
        <f t="shared" si="469"/>
        <v>60.369892275245221</v>
      </c>
      <c r="AH439" s="39">
        <f t="shared" si="470"/>
        <v>65.610293875495955</v>
      </c>
      <c r="AI439" s="39">
        <f t="shared" si="471"/>
        <v>63.769586632319232</v>
      </c>
      <c r="AJ439" s="39">
        <f t="shared" si="472"/>
        <v>87.195808003394916</v>
      </c>
      <c r="AK439" s="39">
        <f t="shared" si="473"/>
        <v>85.670137825465005</v>
      </c>
      <c r="AL439" s="39">
        <f t="shared" si="474"/>
        <v>80.266886528518384</v>
      </c>
      <c r="AM439" s="39">
        <f t="shared" si="475"/>
        <v>70.659455520819762</v>
      </c>
      <c r="AN439" s="39">
        <f t="shared" si="476"/>
        <v>43.147719101650829</v>
      </c>
      <c r="AO439" s="39">
        <f t="shared" si="415"/>
        <v>3.0369892275245221</v>
      </c>
      <c r="AP439" s="39">
        <f t="shared" si="416"/>
        <v>2.7610293875495957</v>
      </c>
      <c r="AQ439" s="39">
        <f t="shared" si="417"/>
        <v>2.776958663231925</v>
      </c>
      <c r="AR439" s="39">
        <f t="shared" si="418"/>
        <v>4.2195808003394912</v>
      </c>
      <c r="AS439" s="39">
        <f t="shared" si="419"/>
        <v>4.3670137825465014</v>
      </c>
      <c r="AT439" s="39">
        <f t="shared" si="420"/>
        <v>4.7266886528518377</v>
      </c>
      <c r="AU439" s="39">
        <f t="shared" si="421"/>
        <v>3.7659455520819756</v>
      </c>
      <c r="AV439" s="39">
        <f t="shared" si="422"/>
        <v>0.4903628712667093</v>
      </c>
      <c r="AW439" s="39">
        <f t="shared" si="423"/>
        <v>26.14456893739256</v>
      </c>
      <c r="AX439" s="39">
        <f t="shared" si="424"/>
        <v>3.9600000000000004</v>
      </c>
      <c r="AY439" s="39">
        <f t="shared" si="425"/>
        <v>3.9600000000000004</v>
      </c>
      <c r="AZ439" s="39">
        <f t="shared" si="426"/>
        <v>0.45999906786745931</v>
      </c>
      <c r="BA439" s="39">
        <f t="shared" si="427"/>
        <v>0.41820067490417889</v>
      </c>
      <c r="BB439" s="39">
        <f t="shared" si="428"/>
        <v>0.42061341048429418</v>
      </c>
      <c r="BC439" s="39">
        <f t="shared" si="429"/>
        <v>0.63912088240422349</v>
      </c>
      <c r="BD439" s="39">
        <f t="shared" si="430"/>
        <v>0.66145189160685558</v>
      </c>
      <c r="BE439" s="39">
        <f t="shared" si="431"/>
        <v>0.71593022283579566</v>
      </c>
      <c r="BF439" s="39">
        <f t="shared" si="432"/>
        <v>0.5704107962902959</v>
      </c>
      <c r="BG439" s="39">
        <f t="shared" si="433"/>
        <v>7.4273053606896899E-2</v>
      </c>
      <c r="BH439" s="84">
        <f t="shared" si="434"/>
        <v>0</v>
      </c>
      <c r="BI439" s="84">
        <f t="shared" si="435"/>
        <v>0</v>
      </c>
      <c r="BJ439" s="84">
        <f t="shared" si="436"/>
        <v>0</v>
      </c>
      <c r="BK439" s="39">
        <f t="shared" si="437"/>
        <v>59.909893207377763</v>
      </c>
      <c r="BL439" s="39">
        <f t="shared" si="438"/>
        <v>65.192093200591771</v>
      </c>
      <c r="BM439" s="39">
        <f t="shared" si="439"/>
        <v>63.348973221834939</v>
      </c>
      <c r="BN439" s="39">
        <f t="shared" si="440"/>
        <v>86.556687120990688</v>
      </c>
      <c r="BO439" s="39">
        <f t="shared" si="441"/>
        <v>85.008685933858146</v>
      </c>
      <c r="BP439" s="39">
        <f t="shared" si="442"/>
        <v>79.55095630568259</v>
      </c>
      <c r="BQ439" s="39">
        <f t="shared" si="443"/>
        <v>70.089044724529472</v>
      </c>
      <c r="BR439" s="39">
        <f t="shared" si="444"/>
        <v>43.073446048043934</v>
      </c>
      <c r="BS439" s="39">
        <f t="shared" si="445"/>
        <v>0</v>
      </c>
      <c r="BT439" s="39">
        <f t="shared" si="446"/>
        <v>0</v>
      </c>
      <c r="BU439" s="39">
        <f t="shared" si="447"/>
        <v>0</v>
      </c>
      <c r="BV439" s="39">
        <f t="shared" si="448"/>
        <v>0</v>
      </c>
      <c r="BW439" s="39">
        <f t="shared" si="449"/>
        <v>0.6052115603148962</v>
      </c>
      <c r="BX439" s="39">
        <f t="shared" si="450"/>
        <v>2.7305737834095454</v>
      </c>
      <c r="BY439" s="39">
        <f t="shared" si="451"/>
        <v>0</v>
      </c>
      <c r="BZ439" s="39">
        <f t="shared" si="452"/>
        <v>0</v>
      </c>
      <c r="CA439" s="39">
        <f t="shared" si="453"/>
        <v>59.909893207377763</v>
      </c>
      <c r="CB439" s="39">
        <f t="shared" si="454"/>
        <v>65.192093200591771</v>
      </c>
      <c r="CC439" s="39">
        <f t="shared" si="455"/>
        <v>63.348973221834939</v>
      </c>
      <c r="CD439" s="39">
        <f t="shared" si="456"/>
        <v>86.556687120990688</v>
      </c>
      <c r="CE439" s="39">
        <f t="shared" si="457"/>
        <v>84.403474373543247</v>
      </c>
      <c r="CF439" s="39">
        <f t="shared" si="458"/>
        <v>77.425594082587949</v>
      </c>
      <c r="CG439" s="39">
        <f t="shared" si="459"/>
        <v>72.819618507939012</v>
      </c>
      <c r="CH439" s="39">
        <f t="shared" si="460"/>
        <v>43.073446048043934</v>
      </c>
      <c r="CI439" s="39">
        <f t="shared" si="461"/>
        <v>0</v>
      </c>
      <c r="CJ439" s="39">
        <f t="shared" si="462"/>
        <v>0</v>
      </c>
      <c r="CK439" s="39">
        <f t="shared" si="463"/>
        <v>0</v>
      </c>
      <c r="CL439" s="39">
        <f t="shared" si="464"/>
        <v>0</v>
      </c>
      <c r="CM439" s="39">
        <f t="shared" si="465"/>
        <v>0</v>
      </c>
      <c r="CN439" s="39">
        <f t="shared" si="466"/>
        <v>0</v>
      </c>
      <c r="CO439" s="39">
        <f t="shared" si="467"/>
        <v>0</v>
      </c>
      <c r="CP439" s="39">
        <f t="shared" si="468"/>
        <v>0</v>
      </c>
    </row>
    <row r="440" spans="12:94" ht="16" customHeight="1" x14ac:dyDescent="0.2">
      <c r="L440" s="63">
        <v>30752</v>
      </c>
      <c r="M440" s="38">
        <v>0</v>
      </c>
      <c r="N440" s="38">
        <v>3.3</v>
      </c>
      <c r="O440" s="39">
        <v>2.3664000000000001</v>
      </c>
      <c r="P440" s="39">
        <v>1.1000000000000001</v>
      </c>
      <c r="Q440" s="46">
        <f t="shared" si="399"/>
        <v>8.9371838093153189E-2</v>
      </c>
      <c r="R440" s="81">
        <f t="shared" si="400"/>
        <v>0</v>
      </c>
      <c r="S440" s="82">
        <f t="shared" si="401"/>
        <v>0</v>
      </c>
      <c r="T440" s="39">
        <f t="shared" si="402"/>
        <v>0</v>
      </c>
      <c r="U440" s="83">
        <f t="shared" si="403"/>
        <v>3.63</v>
      </c>
      <c r="V440" s="84">
        <f t="shared" si="404"/>
        <v>0</v>
      </c>
      <c r="W440" s="52">
        <f t="shared" si="405"/>
        <v>126.00764675079517</v>
      </c>
      <c r="X440" s="52">
        <f t="shared" si="406"/>
        <v>136.72213301211417</v>
      </c>
      <c r="Y440" s="52">
        <f t="shared" si="407"/>
        <v>262.72977976290935</v>
      </c>
      <c r="Z440" s="53">
        <f t="shared" si="408"/>
        <v>0.9844347402405873</v>
      </c>
      <c r="AA440" s="53">
        <f t="shared" si="409"/>
        <v>0.81382222031020335</v>
      </c>
      <c r="AB440" s="53">
        <f t="shared" si="410"/>
        <v>0.8876006073071262</v>
      </c>
      <c r="AC440" s="39" t="str">
        <f t="shared" si="411"/>
        <v>No</v>
      </c>
      <c r="AD440" s="85">
        <f t="shared" si="412"/>
        <v>0</v>
      </c>
      <c r="AE440" s="46">
        <f t="shared" si="413"/>
        <v>0</v>
      </c>
      <c r="AF440" s="46">
        <f t="shared" si="414"/>
        <v>2.1257999999999999</v>
      </c>
      <c r="AG440" s="39">
        <f t="shared" si="469"/>
        <v>59.909893207377763</v>
      </c>
      <c r="AH440" s="39">
        <f t="shared" si="470"/>
        <v>65.192093200591771</v>
      </c>
      <c r="AI440" s="39">
        <f t="shared" si="471"/>
        <v>63.348973221834939</v>
      </c>
      <c r="AJ440" s="39">
        <f t="shared" si="472"/>
        <v>86.556687120990688</v>
      </c>
      <c r="AK440" s="39">
        <f t="shared" si="473"/>
        <v>84.403474373543247</v>
      </c>
      <c r="AL440" s="39">
        <f t="shared" si="474"/>
        <v>77.425594082587949</v>
      </c>
      <c r="AM440" s="39">
        <f t="shared" si="475"/>
        <v>72.819618507939012</v>
      </c>
      <c r="AN440" s="39">
        <f t="shared" si="476"/>
        <v>43.073446048043934</v>
      </c>
      <c r="AO440" s="39">
        <f t="shared" si="415"/>
        <v>2.9909893207377767</v>
      </c>
      <c r="AP440" s="39">
        <f t="shared" si="416"/>
        <v>2.7192093200591771</v>
      </c>
      <c r="AQ440" s="39">
        <f t="shared" si="417"/>
        <v>2.7348973221834956</v>
      </c>
      <c r="AR440" s="39">
        <f t="shared" si="418"/>
        <v>4.1556687120990681</v>
      </c>
      <c r="AS440" s="39">
        <f t="shared" si="419"/>
        <v>4.240347437354326</v>
      </c>
      <c r="AT440" s="39">
        <f t="shared" si="420"/>
        <v>4.442559408258794</v>
      </c>
      <c r="AU440" s="39">
        <f t="shared" si="421"/>
        <v>3.9819618507939007</v>
      </c>
      <c r="AV440" s="39">
        <f t="shared" si="422"/>
        <v>0.48321102515643716</v>
      </c>
      <c r="AW440" s="39">
        <f t="shared" si="423"/>
        <v>25.748844396642976</v>
      </c>
      <c r="AX440" s="39">
        <f t="shared" si="424"/>
        <v>3.63</v>
      </c>
      <c r="AY440" s="39">
        <f t="shared" si="425"/>
        <v>3.63</v>
      </c>
      <c r="AZ440" s="39">
        <f t="shared" si="426"/>
        <v>0.4216613012618794</v>
      </c>
      <c r="BA440" s="39">
        <f t="shared" si="427"/>
        <v>0.38334651760533828</v>
      </c>
      <c r="BB440" s="39">
        <f t="shared" si="428"/>
        <v>0.38555816822678135</v>
      </c>
      <c r="BC440" s="39">
        <f t="shared" si="429"/>
        <v>0.58585454137453807</v>
      </c>
      <c r="BD440" s="39">
        <f t="shared" si="430"/>
        <v>0.59779231100573216</v>
      </c>
      <c r="BE440" s="39">
        <f t="shared" si="431"/>
        <v>0.62629958857811596</v>
      </c>
      <c r="BF440" s="39">
        <f t="shared" si="432"/>
        <v>0.56136583435435172</v>
      </c>
      <c r="BG440" s="39">
        <f t="shared" si="433"/>
        <v>6.8121737593262746E-2</v>
      </c>
      <c r="BH440" s="84">
        <f t="shared" si="434"/>
        <v>0</v>
      </c>
      <c r="BI440" s="84">
        <f t="shared" si="435"/>
        <v>0</v>
      </c>
      <c r="BJ440" s="84">
        <f t="shared" si="436"/>
        <v>0</v>
      </c>
      <c r="BK440" s="39">
        <f t="shared" si="437"/>
        <v>59.488231906115885</v>
      </c>
      <c r="BL440" s="39">
        <f t="shared" si="438"/>
        <v>64.808746682986438</v>
      </c>
      <c r="BM440" s="39">
        <f t="shared" si="439"/>
        <v>62.963415053608159</v>
      </c>
      <c r="BN440" s="39">
        <f t="shared" si="440"/>
        <v>85.970832579616143</v>
      </c>
      <c r="BO440" s="39">
        <f t="shared" si="441"/>
        <v>83.805682062537514</v>
      </c>
      <c r="BP440" s="39">
        <f t="shared" si="442"/>
        <v>76.799294494009828</v>
      </c>
      <c r="BQ440" s="39">
        <f t="shared" si="443"/>
        <v>72.258252673584664</v>
      </c>
      <c r="BR440" s="39">
        <f t="shared" si="444"/>
        <v>43.005324310450668</v>
      </c>
      <c r="BS440" s="39">
        <f t="shared" si="445"/>
        <v>0</v>
      </c>
      <c r="BT440" s="39">
        <f t="shared" si="446"/>
        <v>0</v>
      </c>
      <c r="BU440" s="39">
        <f t="shared" si="447"/>
        <v>0</v>
      </c>
      <c r="BV440" s="39">
        <f t="shared" si="448"/>
        <v>0</v>
      </c>
      <c r="BW440" s="39">
        <f t="shared" si="449"/>
        <v>0</v>
      </c>
      <c r="BX440" s="39">
        <f t="shared" si="450"/>
        <v>1.0795766964058884</v>
      </c>
      <c r="BY440" s="39">
        <f t="shared" si="451"/>
        <v>0</v>
      </c>
      <c r="BZ440" s="39">
        <f t="shared" si="452"/>
        <v>0</v>
      </c>
      <c r="CA440" s="39">
        <f t="shared" si="453"/>
        <v>59.488231906115885</v>
      </c>
      <c r="CB440" s="39">
        <f t="shared" si="454"/>
        <v>64.808746682986438</v>
      </c>
      <c r="CC440" s="39">
        <f t="shared" si="455"/>
        <v>62.963415053608159</v>
      </c>
      <c r="CD440" s="39">
        <f t="shared" si="456"/>
        <v>85.970832579616143</v>
      </c>
      <c r="CE440" s="39">
        <f t="shared" si="457"/>
        <v>83.805682062537514</v>
      </c>
      <c r="CF440" s="39">
        <f t="shared" si="458"/>
        <v>75.719717797603934</v>
      </c>
      <c r="CG440" s="39">
        <f t="shared" si="459"/>
        <v>73.337829369990558</v>
      </c>
      <c r="CH440" s="39">
        <f t="shared" si="460"/>
        <v>43.005324310450668</v>
      </c>
      <c r="CI440" s="39">
        <f t="shared" si="461"/>
        <v>0</v>
      </c>
      <c r="CJ440" s="39">
        <f t="shared" si="462"/>
        <v>0</v>
      </c>
      <c r="CK440" s="39">
        <f t="shared" si="463"/>
        <v>0</v>
      </c>
      <c r="CL440" s="39">
        <f t="shared" si="464"/>
        <v>0</v>
      </c>
      <c r="CM440" s="39">
        <f t="shared" si="465"/>
        <v>0</v>
      </c>
      <c r="CN440" s="39">
        <f t="shared" si="466"/>
        <v>0</v>
      </c>
      <c r="CO440" s="39">
        <f t="shared" si="467"/>
        <v>0</v>
      </c>
      <c r="CP440" s="39">
        <f t="shared" si="468"/>
        <v>0</v>
      </c>
    </row>
    <row r="441" spans="12:94" ht="16" customHeight="1" x14ac:dyDescent="0.2">
      <c r="L441" s="63">
        <v>30753</v>
      </c>
      <c r="M441" s="38">
        <v>0</v>
      </c>
      <c r="N441" s="38">
        <v>3.3</v>
      </c>
      <c r="O441" s="39">
        <v>2.3664000000000001</v>
      </c>
      <c r="P441" s="39">
        <v>1.1000000000000001</v>
      </c>
      <c r="Q441" s="46">
        <f t="shared" si="399"/>
        <v>9.0226556947062386E-2</v>
      </c>
      <c r="R441" s="81">
        <f t="shared" si="400"/>
        <v>0</v>
      </c>
      <c r="S441" s="82">
        <f t="shared" si="401"/>
        <v>0</v>
      </c>
      <c r="T441" s="39">
        <f t="shared" si="402"/>
        <v>0</v>
      </c>
      <c r="U441" s="83">
        <f t="shared" si="403"/>
        <v>3.63</v>
      </c>
      <c r="V441" s="84">
        <f t="shared" si="404"/>
        <v>0</v>
      </c>
      <c r="W441" s="52">
        <f t="shared" si="405"/>
        <v>124.23122622232665</v>
      </c>
      <c r="X441" s="52">
        <f t="shared" si="406"/>
        <v>134.86855354058264</v>
      </c>
      <c r="Y441" s="52">
        <f t="shared" si="407"/>
        <v>259.09977976290929</v>
      </c>
      <c r="Z441" s="53">
        <f t="shared" si="408"/>
        <v>0.97055645486192699</v>
      </c>
      <c r="AA441" s="53">
        <f t="shared" si="409"/>
        <v>0.80278900917013474</v>
      </c>
      <c r="AB441" s="53">
        <f t="shared" si="410"/>
        <v>0.87533709379361246</v>
      </c>
      <c r="AC441" s="39" t="str">
        <f t="shared" si="411"/>
        <v>No</v>
      </c>
      <c r="AD441" s="85">
        <f t="shared" si="412"/>
        <v>0</v>
      </c>
      <c r="AE441" s="46">
        <f t="shared" si="413"/>
        <v>0</v>
      </c>
      <c r="AF441" s="46">
        <f t="shared" si="414"/>
        <v>2.1257999999999999</v>
      </c>
      <c r="AG441" s="39">
        <f t="shared" si="469"/>
        <v>59.488231906115885</v>
      </c>
      <c r="AH441" s="39">
        <f t="shared" si="470"/>
        <v>64.808746682986438</v>
      </c>
      <c r="AI441" s="39">
        <f t="shared" si="471"/>
        <v>62.963415053608159</v>
      </c>
      <c r="AJ441" s="39">
        <f t="shared" si="472"/>
        <v>85.970832579616143</v>
      </c>
      <c r="AK441" s="39">
        <f t="shared" si="473"/>
        <v>83.805682062537514</v>
      </c>
      <c r="AL441" s="39">
        <f t="shared" si="474"/>
        <v>75.719717797603934</v>
      </c>
      <c r="AM441" s="39">
        <f t="shared" si="475"/>
        <v>73.337829369990558</v>
      </c>
      <c r="AN441" s="39">
        <f t="shared" si="476"/>
        <v>43.005324310450668</v>
      </c>
      <c r="AO441" s="39">
        <f t="shared" si="415"/>
        <v>2.9488231906115887</v>
      </c>
      <c r="AP441" s="39">
        <f t="shared" si="416"/>
        <v>2.6808746682986442</v>
      </c>
      <c r="AQ441" s="39">
        <f t="shared" si="417"/>
        <v>2.6963415053608175</v>
      </c>
      <c r="AR441" s="39">
        <f t="shared" si="418"/>
        <v>4.0970832579616134</v>
      </c>
      <c r="AS441" s="39">
        <f t="shared" si="419"/>
        <v>4.1805682062537519</v>
      </c>
      <c r="AT441" s="39">
        <f t="shared" si="420"/>
        <v>4.2719717797603929</v>
      </c>
      <c r="AU441" s="39">
        <f t="shared" si="421"/>
        <v>4.0337829369990557</v>
      </c>
      <c r="AV441" s="39">
        <f t="shared" si="422"/>
        <v>0.4766976883680713</v>
      </c>
      <c r="AW441" s="39">
        <f t="shared" si="423"/>
        <v>25.386143233613936</v>
      </c>
      <c r="AX441" s="39">
        <f t="shared" si="424"/>
        <v>3.63</v>
      </c>
      <c r="AY441" s="39">
        <f t="shared" si="425"/>
        <v>3.63</v>
      </c>
      <c r="AZ441" s="39">
        <f t="shared" si="426"/>
        <v>0.42165633760966642</v>
      </c>
      <c r="BA441" s="39">
        <f t="shared" si="427"/>
        <v>0.38334200498161708</v>
      </c>
      <c r="BB441" s="39">
        <f t="shared" si="428"/>
        <v>0.38555362956826744</v>
      </c>
      <c r="BC441" s="39">
        <f t="shared" si="429"/>
        <v>0.58584764489581909</v>
      </c>
      <c r="BD441" s="39">
        <f t="shared" si="430"/>
        <v>0.59778527399968362</v>
      </c>
      <c r="BE441" s="39">
        <f t="shared" si="431"/>
        <v>0.61085519835864543</v>
      </c>
      <c r="BF441" s="39">
        <f t="shared" si="432"/>
        <v>0.57679624378382055</v>
      </c>
      <c r="BG441" s="39">
        <f t="shared" si="433"/>
        <v>6.8163666802480247E-2</v>
      </c>
      <c r="BH441" s="84">
        <f t="shared" si="434"/>
        <v>0</v>
      </c>
      <c r="BI441" s="84">
        <f t="shared" si="435"/>
        <v>0</v>
      </c>
      <c r="BJ441" s="84">
        <f t="shared" si="436"/>
        <v>0</v>
      </c>
      <c r="BK441" s="39">
        <f t="shared" si="437"/>
        <v>59.066575568506217</v>
      </c>
      <c r="BL441" s="39">
        <f t="shared" si="438"/>
        <v>64.425404678004824</v>
      </c>
      <c r="BM441" s="39">
        <f t="shared" si="439"/>
        <v>62.577861424039895</v>
      </c>
      <c r="BN441" s="39">
        <f t="shared" si="440"/>
        <v>85.384984934720322</v>
      </c>
      <c r="BO441" s="39">
        <f t="shared" si="441"/>
        <v>83.207896788537823</v>
      </c>
      <c r="BP441" s="39">
        <f t="shared" si="442"/>
        <v>75.108862599245285</v>
      </c>
      <c r="BQ441" s="39">
        <f t="shared" si="443"/>
        <v>72.76103312620674</v>
      </c>
      <c r="BR441" s="39">
        <f t="shared" si="444"/>
        <v>42.937160643648184</v>
      </c>
      <c r="BS441" s="39">
        <f t="shared" si="445"/>
        <v>0</v>
      </c>
      <c r="BT441" s="39">
        <f t="shared" si="446"/>
        <v>0</v>
      </c>
      <c r="BU441" s="39">
        <f t="shared" si="447"/>
        <v>0</v>
      </c>
      <c r="BV441" s="39">
        <f t="shared" si="448"/>
        <v>0</v>
      </c>
      <c r="BW441" s="39">
        <f t="shared" si="449"/>
        <v>0</v>
      </c>
      <c r="BX441" s="39">
        <f t="shared" si="450"/>
        <v>6.5317559547162313E-2</v>
      </c>
      <c r="BY441" s="39">
        <f t="shared" si="451"/>
        <v>0</v>
      </c>
      <c r="BZ441" s="39">
        <f t="shared" si="452"/>
        <v>0</v>
      </c>
      <c r="CA441" s="39">
        <f t="shared" si="453"/>
        <v>59.066575568506217</v>
      </c>
      <c r="CB441" s="39">
        <f t="shared" si="454"/>
        <v>64.425404678004824</v>
      </c>
      <c r="CC441" s="39">
        <f t="shared" si="455"/>
        <v>62.577861424039895</v>
      </c>
      <c r="CD441" s="39">
        <f t="shared" si="456"/>
        <v>85.384984934720322</v>
      </c>
      <c r="CE441" s="39">
        <f t="shared" si="457"/>
        <v>83.207896788537823</v>
      </c>
      <c r="CF441" s="39">
        <f t="shared" si="458"/>
        <v>75.043545039698117</v>
      </c>
      <c r="CG441" s="39">
        <f t="shared" si="459"/>
        <v>72.826350685753908</v>
      </c>
      <c r="CH441" s="39">
        <f t="shared" si="460"/>
        <v>42.937160643648184</v>
      </c>
      <c r="CI441" s="39">
        <f t="shared" si="461"/>
        <v>0</v>
      </c>
      <c r="CJ441" s="39">
        <f t="shared" si="462"/>
        <v>0</v>
      </c>
      <c r="CK441" s="39">
        <f t="shared" si="463"/>
        <v>0</v>
      </c>
      <c r="CL441" s="39">
        <f t="shared" si="464"/>
        <v>0</v>
      </c>
      <c r="CM441" s="39">
        <f t="shared" si="465"/>
        <v>0</v>
      </c>
      <c r="CN441" s="39">
        <f t="shared" si="466"/>
        <v>0</v>
      </c>
      <c r="CO441" s="39">
        <f t="shared" si="467"/>
        <v>0</v>
      </c>
      <c r="CP441" s="39">
        <f t="shared" si="468"/>
        <v>0</v>
      </c>
    </row>
    <row r="442" spans="12:94" ht="16" customHeight="1" x14ac:dyDescent="0.2">
      <c r="L442" s="63">
        <v>30754</v>
      </c>
      <c r="M442" s="38">
        <v>0.2</v>
      </c>
      <c r="N442" s="38">
        <v>1.8</v>
      </c>
      <c r="O442" s="39">
        <v>2.3664000000000001</v>
      </c>
      <c r="P442" s="39">
        <v>1.1000000000000001</v>
      </c>
      <c r="Q442" s="46">
        <f t="shared" si="399"/>
        <v>9.1081265739514417E-2</v>
      </c>
      <c r="R442" s="81">
        <f t="shared" si="400"/>
        <v>0</v>
      </c>
      <c r="S442" s="82">
        <f t="shared" si="401"/>
        <v>0.2</v>
      </c>
      <c r="T442" s="39">
        <f t="shared" si="402"/>
        <v>0</v>
      </c>
      <c r="U442" s="83">
        <f t="shared" si="403"/>
        <v>1.9800000000000002</v>
      </c>
      <c r="V442" s="84">
        <f t="shared" si="404"/>
        <v>0</v>
      </c>
      <c r="W442" s="52">
        <f t="shared" si="405"/>
        <v>122.45482660527125</v>
      </c>
      <c r="X442" s="52">
        <f t="shared" si="406"/>
        <v>133.01495315763805</v>
      </c>
      <c r="Y442" s="52">
        <f t="shared" si="407"/>
        <v>255.4697797629093</v>
      </c>
      <c r="Z442" s="53">
        <f t="shared" si="408"/>
        <v>0.95667833285368165</v>
      </c>
      <c r="AA442" s="53">
        <f t="shared" si="409"/>
        <v>0.79175567355736931</v>
      </c>
      <c r="AB442" s="53">
        <f t="shared" si="410"/>
        <v>0.86307358028009895</v>
      </c>
      <c r="AC442" s="39" t="str">
        <f t="shared" si="411"/>
        <v>No</v>
      </c>
      <c r="AD442" s="85">
        <f t="shared" si="412"/>
        <v>0</v>
      </c>
      <c r="AE442" s="46">
        <f t="shared" si="413"/>
        <v>0</v>
      </c>
      <c r="AF442" s="46">
        <f t="shared" si="414"/>
        <v>2.1257999999999999</v>
      </c>
      <c r="AG442" s="39">
        <f t="shared" si="469"/>
        <v>59.066575568506217</v>
      </c>
      <c r="AH442" s="39">
        <f t="shared" si="470"/>
        <v>64.425404678004824</v>
      </c>
      <c r="AI442" s="39">
        <f t="shared" si="471"/>
        <v>62.577861424039895</v>
      </c>
      <c r="AJ442" s="39">
        <f t="shared" si="472"/>
        <v>85.384984934720322</v>
      </c>
      <c r="AK442" s="39">
        <f t="shared" si="473"/>
        <v>83.207896788537823</v>
      </c>
      <c r="AL442" s="39">
        <f t="shared" si="474"/>
        <v>75.043545039698117</v>
      </c>
      <c r="AM442" s="39">
        <f t="shared" si="475"/>
        <v>72.826350685753908</v>
      </c>
      <c r="AN442" s="39">
        <f t="shared" si="476"/>
        <v>42.937160643648184</v>
      </c>
      <c r="AO442" s="39">
        <f t="shared" si="415"/>
        <v>2.9066575568506217</v>
      </c>
      <c r="AP442" s="39">
        <f t="shared" si="416"/>
        <v>2.6425404678004827</v>
      </c>
      <c r="AQ442" s="39">
        <f t="shared" si="417"/>
        <v>2.657786142403991</v>
      </c>
      <c r="AR442" s="39">
        <f t="shared" si="418"/>
        <v>4.0384984934720318</v>
      </c>
      <c r="AS442" s="39">
        <f t="shared" si="419"/>
        <v>4.1207896788537832</v>
      </c>
      <c r="AT442" s="39">
        <f t="shared" si="420"/>
        <v>4.2043545039698111</v>
      </c>
      <c r="AU442" s="39">
        <f t="shared" si="421"/>
        <v>3.9826350685753904</v>
      </c>
      <c r="AV442" s="39">
        <f t="shared" si="422"/>
        <v>0.47022457932223927</v>
      </c>
      <c r="AW442" s="39">
        <f t="shared" si="423"/>
        <v>25.023486491248349</v>
      </c>
      <c r="AX442" s="39">
        <f t="shared" si="424"/>
        <v>1.9800000000000002</v>
      </c>
      <c r="AY442" s="39">
        <f t="shared" si="425"/>
        <v>1.7800000000000002</v>
      </c>
      <c r="AZ442" s="39">
        <f t="shared" si="426"/>
        <v>0.20675977558137618</v>
      </c>
      <c r="BA442" s="39">
        <f t="shared" si="427"/>
        <v>0.18797228892664208</v>
      </c>
      <c r="BB442" s="39">
        <f t="shared" si="428"/>
        <v>0.18905676213958689</v>
      </c>
      <c r="BC442" s="39">
        <f t="shared" si="429"/>
        <v>0.28727121302198699</v>
      </c>
      <c r="BD442" s="39">
        <f t="shared" si="430"/>
        <v>0.29312484616902051</v>
      </c>
      <c r="BE442" s="39">
        <f t="shared" si="431"/>
        <v>0.29906907735193544</v>
      </c>
      <c r="BF442" s="39">
        <f t="shared" si="432"/>
        <v>0.28329747034025482</v>
      </c>
      <c r="BG442" s="39">
        <f t="shared" si="433"/>
        <v>3.3448566469197492E-2</v>
      </c>
      <c r="BH442" s="84">
        <f t="shared" si="434"/>
        <v>0</v>
      </c>
      <c r="BI442" s="84">
        <f t="shared" si="435"/>
        <v>0</v>
      </c>
      <c r="BJ442" s="84">
        <f t="shared" si="436"/>
        <v>0</v>
      </c>
      <c r="BK442" s="39">
        <f t="shared" si="437"/>
        <v>58.859815792924842</v>
      </c>
      <c r="BL442" s="39">
        <f t="shared" si="438"/>
        <v>64.23743238907818</v>
      </c>
      <c r="BM442" s="39">
        <f t="shared" si="439"/>
        <v>62.388804661900309</v>
      </c>
      <c r="BN442" s="39">
        <f t="shared" si="440"/>
        <v>85.097713721698341</v>
      </c>
      <c r="BO442" s="39">
        <f t="shared" si="441"/>
        <v>82.914771942368802</v>
      </c>
      <c r="BP442" s="39">
        <f t="shared" si="442"/>
        <v>74.744475962346186</v>
      </c>
      <c r="BQ442" s="39">
        <f t="shared" si="443"/>
        <v>72.54305321541365</v>
      </c>
      <c r="BR442" s="39">
        <f t="shared" si="444"/>
        <v>42.903712077178987</v>
      </c>
      <c r="BS442" s="39">
        <f t="shared" si="445"/>
        <v>0</v>
      </c>
      <c r="BT442" s="39">
        <f t="shared" si="446"/>
        <v>0</v>
      </c>
      <c r="BU442" s="39">
        <f t="shared" si="447"/>
        <v>0</v>
      </c>
      <c r="BV442" s="39">
        <f t="shared" si="448"/>
        <v>0</v>
      </c>
      <c r="BW442" s="39">
        <f t="shared" si="449"/>
        <v>0</v>
      </c>
      <c r="BX442" s="39">
        <f t="shared" si="450"/>
        <v>0</v>
      </c>
      <c r="BY442" s="39">
        <f t="shared" si="451"/>
        <v>0</v>
      </c>
      <c r="BZ442" s="39">
        <f t="shared" si="452"/>
        <v>0</v>
      </c>
      <c r="CA442" s="39">
        <f t="shared" si="453"/>
        <v>58.859815792924842</v>
      </c>
      <c r="CB442" s="39">
        <f t="shared" si="454"/>
        <v>64.23743238907818</v>
      </c>
      <c r="CC442" s="39">
        <f t="shared" si="455"/>
        <v>62.388804661900309</v>
      </c>
      <c r="CD442" s="39">
        <f t="shared" si="456"/>
        <v>85.097713721698341</v>
      </c>
      <c r="CE442" s="39">
        <f t="shared" si="457"/>
        <v>82.914771942368802</v>
      </c>
      <c r="CF442" s="39">
        <f t="shared" si="458"/>
        <v>74.744475962346186</v>
      </c>
      <c r="CG442" s="39">
        <f t="shared" si="459"/>
        <v>72.54305321541365</v>
      </c>
      <c r="CH442" s="39">
        <f t="shared" si="460"/>
        <v>42.903712077178987</v>
      </c>
      <c r="CI442" s="39">
        <f t="shared" si="461"/>
        <v>0</v>
      </c>
      <c r="CJ442" s="39">
        <f t="shared" si="462"/>
        <v>0</v>
      </c>
      <c r="CK442" s="39">
        <f t="shared" si="463"/>
        <v>0</v>
      </c>
      <c r="CL442" s="39">
        <f t="shared" si="464"/>
        <v>0</v>
      </c>
      <c r="CM442" s="39">
        <f t="shared" si="465"/>
        <v>0</v>
      </c>
      <c r="CN442" s="39">
        <f t="shared" si="466"/>
        <v>0</v>
      </c>
      <c r="CO442" s="39">
        <f t="shared" si="467"/>
        <v>0</v>
      </c>
      <c r="CP442" s="39">
        <f t="shared" si="468"/>
        <v>0</v>
      </c>
    </row>
    <row r="443" spans="12:94" ht="16" customHeight="1" x14ac:dyDescent="0.2">
      <c r="L443" s="63">
        <v>30755</v>
      </c>
      <c r="M443" s="38">
        <v>20</v>
      </c>
      <c r="N443" s="38">
        <v>2.9</v>
      </c>
      <c r="O443" s="39">
        <v>2.3664000000000001</v>
      </c>
      <c r="P443" s="39">
        <v>1.1000000000000001</v>
      </c>
      <c r="Q443" s="46">
        <f t="shared" si="399"/>
        <v>9.1500373392719908E-2</v>
      </c>
      <c r="R443" s="81">
        <f t="shared" si="400"/>
        <v>1.9173668706041935</v>
      </c>
      <c r="S443" s="82">
        <f t="shared" si="401"/>
        <v>18.082633129395806</v>
      </c>
      <c r="T443" s="39">
        <f t="shared" si="402"/>
        <v>0</v>
      </c>
      <c r="U443" s="83">
        <f t="shared" si="403"/>
        <v>3.19</v>
      </c>
      <c r="V443" s="84">
        <f t="shared" si="404"/>
        <v>0</v>
      </c>
      <c r="W443" s="52">
        <f t="shared" si="405"/>
        <v>121.58376656560165</v>
      </c>
      <c r="X443" s="52">
        <f t="shared" si="406"/>
        <v>132.10601319730762</v>
      </c>
      <c r="Y443" s="52">
        <f t="shared" si="407"/>
        <v>253.68977976290927</v>
      </c>
      <c r="Z443" s="53">
        <f t="shared" si="408"/>
        <v>0.94987317629376289</v>
      </c>
      <c r="AA443" s="53">
        <f t="shared" si="409"/>
        <v>0.78634531665064056</v>
      </c>
      <c r="AB443" s="53">
        <f t="shared" si="410"/>
        <v>0.85706006676658542</v>
      </c>
      <c r="AC443" s="39" t="str">
        <f t="shared" si="411"/>
        <v>No</v>
      </c>
      <c r="AD443" s="85">
        <f t="shared" si="412"/>
        <v>0</v>
      </c>
      <c r="AE443" s="46">
        <f t="shared" si="413"/>
        <v>0</v>
      </c>
      <c r="AF443" s="46">
        <f t="shared" si="414"/>
        <v>2.1257999999999999</v>
      </c>
      <c r="AG443" s="39">
        <f t="shared" si="469"/>
        <v>58.859815792924842</v>
      </c>
      <c r="AH443" s="39">
        <f t="shared" si="470"/>
        <v>64.23743238907818</v>
      </c>
      <c r="AI443" s="39">
        <f t="shared" si="471"/>
        <v>62.388804661900309</v>
      </c>
      <c r="AJ443" s="39">
        <f t="shared" si="472"/>
        <v>85.097713721698341</v>
      </c>
      <c r="AK443" s="39">
        <f t="shared" si="473"/>
        <v>82.914771942368802</v>
      </c>
      <c r="AL443" s="39">
        <f t="shared" si="474"/>
        <v>74.744475962346186</v>
      </c>
      <c r="AM443" s="39">
        <f t="shared" si="475"/>
        <v>72.54305321541365</v>
      </c>
      <c r="AN443" s="39">
        <f t="shared" si="476"/>
        <v>42.903712077178987</v>
      </c>
      <c r="AO443" s="39">
        <f t="shared" si="415"/>
        <v>2.8859815792924843</v>
      </c>
      <c r="AP443" s="39">
        <f t="shared" si="416"/>
        <v>2.6237432389078181</v>
      </c>
      <c r="AQ443" s="39">
        <f t="shared" si="417"/>
        <v>2.6388804661900327</v>
      </c>
      <c r="AR443" s="39">
        <f t="shared" si="418"/>
        <v>4.0097713721698334</v>
      </c>
      <c r="AS443" s="39">
        <f t="shared" si="419"/>
        <v>4.0914771942368811</v>
      </c>
      <c r="AT443" s="39">
        <f t="shared" si="420"/>
        <v>4.1744475962346179</v>
      </c>
      <c r="AU443" s="39">
        <f t="shared" si="421"/>
        <v>3.9543053215413644</v>
      </c>
      <c r="AV443" s="39">
        <f t="shared" si="422"/>
        <v>0.46706434717933709</v>
      </c>
      <c r="AW443" s="39">
        <f t="shared" si="423"/>
        <v>24.845671115752371</v>
      </c>
      <c r="AX443" s="39">
        <f t="shared" si="424"/>
        <v>3.19</v>
      </c>
      <c r="AY443" s="39">
        <f t="shared" si="425"/>
        <v>0</v>
      </c>
      <c r="AZ443" s="39">
        <f t="shared" si="426"/>
        <v>0</v>
      </c>
      <c r="BA443" s="39">
        <f t="shared" si="427"/>
        <v>0</v>
      </c>
      <c r="BB443" s="39">
        <f t="shared" si="428"/>
        <v>0</v>
      </c>
      <c r="BC443" s="39">
        <f t="shared" si="429"/>
        <v>0</v>
      </c>
      <c r="BD443" s="39">
        <f t="shared" si="430"/>
        <v>0</v>
      </c>
      <c r="BE443" s="39">
        <f t="shared" si="431"/>
        <v>0</v>
      </c>
      <c r="BF443" s="39">
        <f t="shared" si="432"/>
        <v>0</v>
      </c>
      <c r="BG443" s="39">
        <f t="shared" si="433"/>
        <v>0</v>
      </c>
      <c r="BH443" s="84">
        <f t="shared" si="434"/>
        <v>0</v>
      </c>
      <c r="BI443" s="84">
        <f t="shared" si="435"/>
        <v>0</v>
      </c>
      <c r="BJ443" s="84">
        <f t="shared" si="436"/>
        <v>0</v>
      </c>
      <c r="BK443" s="39">
        <f t="shared" si="437"/>
        <v>58.859815792924842</v>
      </c>
      <c r="BL443" s="39">
        <f t="shared" si="438"/>
        <v>64.23743238907818</v>
      </c>
      <c r="BM443" s="39">
        <f t="shared" si="439"/>
        <v>62.388804661900309</v>
      </c>
      <c r="BN443" s="39">
        <f t="shared" si="440"/>
        <v>85.097713721698341</v>
      </c>
      <c r="BO443" s="39">
        <f t="shared" si="441"/>
        <v>82.914771942368802</v>
      </c>
      <c r="BP443" s="39">
        <f t="shared" si="442"/>
        <v>74.744475962346186</v>
      </c>
      <c r="BQ443" s="39">
        <f t="shared" si="443"/>
        <v>72.54305321541365</v>
      </c>
      <c r="BR443" s="39">
        <f t="shared" si="444"/>
        <v>42.903712077178987</v>
      </c>
      <c r="BS443" s="39">
        <f t="shared" si="445"/>
        <v>0</v>
      </c>
      <c r="BT443" s="39">
        <f t="shared" si="446"/>
        <v>0</v>
      </c>
      <c r="BU443" s="39">
        <f t="shared" si="447"/>
        <v>0</v>
      </c>
      <c r="BV443" s="39">
        <f t="shared" si="448"/>
        <v>0</v>
      </c>
      <c r="BW443" s="39">
        <f t="shared" si="449"/>
        <v>0</v>
      </c>
      <c r="BX443" s="39">
        <f t="shared" si="450"/>
        <v>0</v>
      </c>
      <c r="BY443" s="39">
        <f t="shared" si="451"/>
        <v>0</v>
      </c>
      <c r="BZ443" s="39">
        <f t="shared" si="452"/>
        <v>0</v>
      </c>
      <c r="CA443" s="39">
        <f t="shared" si="453"/>
        <v>76.942448922320651</v>
      </c>
      <c r="CB443" s="39">
        <f t="shared" si="454"/>
        <v>64.23743238907818</v>
      </c>
      <c r="CC443" s="39">
        <f t="shared" si="455"/>
        <v>62.388804661900309</v>
      </c>
      <c r="CD443" s="39">
        <f t="shared" si="456"/>
        <v>85.097713721698341</v>
      </c>
      <c r="CE443" s="39">
        <f t="shared" si="457"/>
        <v>82.914771942368802</v>
      </c>
      <c r="CF443" s="39">
        <f t="shared" si="458"/>
        <v>74.744475962346186</v>
      </c>
      <c r="CG443" s="39">
        <f t="shared" si="459"/>
        <v>72.54305321541365</v>
      </c>
      <c r="CH443" s="39">
        <f t="shared" si="460"/>
        <v>42.903712077178987</v>
      </c>
      <c r="CI443" s="39">
        <f t="shared" si="461"/>
        <v>0</v>
      </c>
      <c r="CJ443" s="39">
        <f t="shared" si="462"/>
        <v>0</v>
      </c>
      <c r="CK443" s="39">
        <f t="shared" si="463"/>
        <v>0</v>
      </c>
      <c r="CL443" s="39">
        <f t="shared" si="464"/>
        <v>0</v>
      </c>
      <c r="CM443" s="39">
        <f t="shared" si="465"/>
        <v>0</v>
      </c>
      <c r="CN443" s="39">
        <f t="shared" si="466"/>
        <v>0</v>
      </c>
      <c r="CO443" s="39">
        <f t="shared" si="467"/>
        <v>0</v>
      </c>
      <c r="CP443" s="39">
        <f t="shared" si="468"/>
        <v>0</v>
      </c>
    </row>
    <row r="444" spans="12:94" ht="16" customHeight="1" x14ac:dyDescent="0.2">
      <c r="L444" s="63">
        <v>30756</v>
      </c>
      <c r="M444" s="38">
        <v>34</v>
      </c>
      <c r="N444" s="38">
        <v>2.4</v>
      </c>
      <c r="O444" s="39">
        <v>2.3664000000000001</v>
      </c>
      <c r="P444" s="39">
        <v>1.1000000000000001</v>
      </c>
      <c r="Q444" s="46">
        <f t="shared" si="399"/>
        <v>5.4846387319620306E-2</v>
      </c>
      <c r="R444" s="81">
        <f t="shared" si="400"/>
        <v>8.4226929259244496</v>
      </c>
      <c r="S444" s="82">
        <f t="shared" si="401"/>
        <v>25.577307074075549</v>
      </c>
      <c r="T444" s="39">
        <f t="shared" si="402"/>
        <v>0</v>
      </c>
      <c r="U444" s="83">
        <f t="shared" si="403"/>
        <v>2.64</v>
      </c>
      <c r="V444" s="84">
        <f t="shared" si="404"/>
        <v>0</v>
      </c>
      <c r="W444" s="52">
        <f t="shared" si="405"/>
        <v>139.66639969499749</v>
      </c>
      <c r="X444" s="52">
        <f t="shared" si="406"/>
        <v>132.10601319730762</v>
      </c>
      <c r="Y444" s="52">
        <f t="shared" si="407"/>
        <v>271.77241289230511</v>
      </c>
      <c r="Z444" s="53">
        <f t="shared" si="408"/>
        <v>1.0911437476171679</v>
      </c>
      <c r="AA444" s="53">
        <f t="shared" si="409"/>
        <v>0.78634531665064056</v>
      </c>
      <c r="AB444" s="53">
        <f t="shared" si="410"/>
        <v>0.91815004355508489</v>
      </c>
      <c r="AC444" s="39" t="str">
        <f t="shared" si="411"/>
        <v>No</v>
      </c>
      <c r="AD444" s="85">
        <f t="shared" si="412"/>
        <v>0</v>
      </c>
      <c r="AE444" s="46">
        <f t="shared" si="413"/>
        <v>0</v>
      </c>
      <c r="AF444" s="46">
        <f t="shared" si="414"/>
        <v>2.1257999999999999</v>
      </c>
      <c r="AG444" s="39">
        <f t="shared" si="469"/>
        <v>76.942448922320651</v>
      </c>
      <c r="AH444" s="39">
        <f t="shared" si="470"/>
        <v>64.23743238907818</v>
      </c>
      <c r="AI444" s="39">
        <f t="shared" si="471"/>
        <v>62.388804661900309</v>
      </c>
      <c r="AJ444" s="39">
        <f t="shared" si="472"/>
        <v>85.097713721698341</v>
      </c>
      <c r="AK444" s="39">
        <f t="shared" si="473"/>
        <v>82.914771942368802</v>
      </c>
      <c r="AL444" s="39">
        <f t="shared" si="474"/>
        <v>74.744475962346186</v>
      </c>
      <c r="AM444" s="39">
        <f t="shared" si="475"/>
        <v>72.54305321541365</v>
      </c>
      <c r="AN444" s="39">
        <f t="shared" si="476"/>
        <v>42.903712077178987</v>
      </c>
      <c r="AO444" s="39">
        <f t="shared" si="415"/>
        <v>4.6942448922320654</v>
      </c>
      <c r="AP444" s="39">
        <f t="shared" si="416"/>
        <v>2.6237432389078181</v>
      </c>
      <c r="AQ444" s="39">
        <f t="shared" si="417"/>
        <v>2.6388804661900327</v>
      </c>
      <c r="AR444" s="39">
        <f t="shared" si="418"/>
        <v>4.0097713721698334</v>
      </c>
      <c r="AS444" s="39">
        <f t="shared" si="419"/>
        <v>4.0914771942368811</v>
      </c>
      <c r="AT444" s="39">
        <f t="shared" si="420"/>
        <v>4.1744475962346179</v>
      </c>
      <c r="AU444" s="39">
        <f t="shared" si="421"/>
        <v>3.9543053215413644</v>
      </c>
      <c r="AV444" s="39">
        <f t="shared" si="422"/>
        <v>0.46706434717933709</v>
      </c>
      <c r="AW444" s="39">
        <f t="shared" si="423"/>
        <v>26.653934428691951</v>
      </c>
      <c r="AX444" s="39">
        <f t="shared" si="424"/>
        <v>2.64</v>
      </c>
      <c r="AY444" s="39">
        <f t="shared" si="425"/>
        <v>0</v>
      </c>
      <c r="AZ444" s="39">
        <f t="shared" si="426"/>
        <v>0</v>
      </c>
      <c r="BA444" s="39">
        <f t="shared" si="427"/>
        <v>0</v>
      </c>
      <c r="BB444" s="39">
        <f t="shared" si="428"/>
        <v>0</v>
      </c>
      <c r="BC444" s="39">
        <f t="shared" si="429"/>
        <v>0</v>
      </c>
      <c r="BD444" s="39">
        <f t="shared" si="430"/>
        <v>0</v>
      </c>
      <c r="BE444" s="39">
        <f t="shared" si="431"/>
        <v>0</v>
      </c>
      <c r="BF444" s="39">
        <f t="shared" si="432"/>
        <v>0</v>
      </c>
      <c r="BG444" s="39">
        <f t="shared" si="433"/>
        <v>0</v>
      </c>
      <c r="BH444" s="84">
        <f t="shared" si="434"/>
        <v>0</v>
      </c>
      <c r="BI444" s="84">
        <f t="shared" si="435"/>
        <v>0</v>
      </c>
      <c r="BJ444" s="84">
        <f t="shared" si="436"/>
        <v>0</v>
      </c>
      <c r="BK444" s="39">
        <f t="shared" si="437"/>
        <v>76.942448922320651</v>
      </c>
      <c r="BL444" s="39">
        <f t="shared" si="438"/>
        <v>64.23743238907818</v>
      </c>
      <c r="BM444" s="39">
        <f t="shared" si="439"/>
        <v>62.388804661900309</v>
      </c>
      <c r="BN444" s="39">
        <f t="shared" si="440"/>
        <v>85.097713721698341</v>
      </c>
      <c r="BO444" s="39">
        <f t="shared" si="441"/>
        <v>82.914771942368802</v>
      </c>
      <c r="BP444" s="39">
        <f t="shared" si="442"/>
        <v>74.744475962346186</v>
      </c>
      <c r="BQ444" s="39">
        <f t="shared" si="443"/>
        <v>72.54305321541365</v>
      </c>
      <c r="BR444" s="39">
        <f t="shared" si="444"/>
        <v>42.903712077178987</v>
      </c>
      <c r="BS444" s="39">
        <f t="shared" si="445"/>
        <v>10.165469353392391</v>
      </c>
      <c r="BT444" s="39">
        <f t="shared" si="446"/>
        <v>0</v>
      </c>
      <c r="BU444" s="39">
        <f t="shared" si="447"/>
        <v>0</v>
      </c>
      <c r="BV444" s="39">
        <f t="shared" si="448"/>
        <v>0</v>
      </c>
      <c r="BW444" s="39">
        <f t="shared" si="449"/>
        <v>0</v>
      </c>
      <c r="BX444" s="39">
        <f t="shared" si="450"/>
        <v>0</v>
      </c>
      <c r="BY444" s="39">
        <f t="shared" si="451"/>
        <v>0</v>
      </c>
      <c r="BZ444" s="39">
        <f t="shared" si="452"/>
        <v>0</v>
      </c>
      <c r="CA444" s="39">
        <f t="shared" si="453"/>
        <v>92.354286643003803</v>
      </c>
      <c r="CB444" s="39">
        <f t="shared" si="454"/>
        <v>74.402901742470576</v>
      </c>
      <c r="CC444" s="39">
        <f t="shared" si="455"/>
        <v>62.388804661900309</v>
      </c>
      <c r="CD444" s="39">
        <f t="shared" si="456"/>
        <v>85.097713721698341</v>
      </c>
      <c r="CE444" s="39">
        <f t="shared" si="457"/>
        <v>82.914771942368802</v>
      </c>
      <c r="CF444" s="39">
        <f t="shared" si="458"/>
        <v>74.744475962346186</v>
      </c>
      <c r="CG444" s="39">
        <f t="shared" si="459"/>
        <v>72.54305321541365</v>
      </c>
      <c r="CH444" s="39">
        <f t="shared" si="460"/>
        <v>42.903712077178987</v>
      </c>
      <c r="CI444" s="39">
        <f t="shared" si="461"/>
        <v>0</v>
      </c>
      <c r="CJ444" s="39">
        <f t="shared" si="462"/>
        <v>0</v>
      </c>
      <c r="CK444" s="39">
        <f t="shared" si="463"/>
        <v>0</v>
      </c>
      <c r="CL444" s="39">
        <f t="shared" si="464"/>
        <v>0</v>
      </c>
      <c r="CM444" s="39">
        <f t="shared" si="465"/>
        <v>0</v>
      </c>
      <c r="CN444" s="39">
        <f t="shared" si="466"/>
        <v>0</v>
      </c>
      <c r="CO444" s="39">
        <f t="shared" si="467"/>
        <v>0</v>
      </c>
      <c r="CP444" s="39">
        <f t="shared" si="468"/>
        <v>0</v>
      </c>
    </row>
    <row r="445" spans="12:94" ht="16" customHeight="1" x14ac:dyDescent="0.2">
      <c r="L445" s="63">
        <v>30757</v>
      </c>
      <c r="M445" s="38">
        <v>0</v>
      </c>
      <c r="N445" s="38">
        <v>3.5</v>
      </c>
      <c r="O445" s="39">
        <v>2.3664000000000001</v>
      </c>
      <c r="P445" s="39">
        <v>1.1000000000000001</v>
      </c>
      <c r="Q445" s="46">
        <f t="shared" si="399"/>
        <v>2.3606175723640939E-2</v>
      </c>
      <c r="R445" s="81">
        <f t="shared" si="400"/>
        <v>0</v>
      </c>
      <c r="S445" s="82">
        <f t="shared" si="401"/>
        <v>0</v>
      </c>
      <c r="T445" s="39">
        <f t="shared" si="402"/>
        <v>0</v>
      </c>
      <c r="U445" s="83">
        <f t="shared" si="403"/>
        <v>3.8500000000000005</v>
      </c>
      <c r="V445" s="84">
        <f t="shared" si="404"/>
        <v>0</v>
      </c>
      <c r="W445" s="52">
        <f t="shared" si="405"/>
        <v>165.24370676907301</v>
      </c>
      <c r="X445" s="52">
        <f t="shared" si="406"/>
        <v>132.10601319730762</v>
      </c>
      <c r="Y445" s="52">
        <f t="shared" si="407"/>
        <v>297.34971996638063</v>
      </c>
      <c r="Z445" s="53">
        <f t="shared" si="408"/>
        <v>1.2909664591333829</v>
      </c>
      <c r="AA445" s="53">
        <f t="shared" si="409"/>
        <v>0.78634531665064056</v>
      </c>
      <c r="AB445" s="53">
        <f t="shared" si="410"/>
        <v>1.0045598647512859</v>
      </c>
      <c r="AC445" s="39" t="str">
        <f t="shared" si="411"/>
        <v>No</v>
      </c>
      <c r="AD445" s="85">
        <f t="shared" si="412"/>
        <v>0</v>
      </c>
      <c r="AE445" s="46">
        <f t="shared" si="413"/>
        <v>0</v>
      </c>
      <c r="AF445" s="46">
        <f t="shared" si="414"/>
        <v>2.1257999999999999</v>
      </c>
      <c r="AG445" s="39">
        <f t="shared" si="469"/>
        <v>92.354286643003803</v>
      </c>
      <c r="AH445" s="39">
        <f t="shared" si="470"/>
        <v>74.402901742470576</v>
      </c>
      <c r="AI445" s="39">
        <f t="shared" si="471"/>
        <v>62.388804661900309</v>
      </c>
      <c r="AJ445" s="39">
        <f t="shared" si="472"/>
        <v>85.097713721698341</v>
      </c>
      <c r="AK445" s="39">
        <f t="shared" si="473"/>
        <v>82.914771942368802</v>
      </c>
      <c r="AL445" s="39">
        <f t="shared" si="474"/>
        <v>74.744475962346186</v>
      </c>
      <c r="AM445" s="39">
        <f t="shared" si="475"/>
        <v>72.54305321541365</v>
      </c>
      <c r="AN445" s="39">
        <f t="shared" si="476"/>
        <v>42.903712077178987</v>
      </c>
      <c r="AO445" s="39">
        <f t="shared" si="415"/>
        <v>6.2354286643003807</v>
      </c>
      <c r="AP445" s="39">
        <f t="shared" si="416"/>
        <v>3.6402901742470579</v>
      </c>
      <c r="AQ445" s="39">
        <f t="shared" si="417"/>
        <v>2.6388804661900327</v>
      </c>
      <c r="AR445" s="39">
        <f t="shared" si="418"/>
        <v>4.0097713721698334</v>
      </c>
      <c r="AS445" s="39">
        <f t="shared" si="419"/>
        <v>4.0914771942368811</v>
      </c>
      <c r="AT445" s="39">
        <f t="shared" si="420"/>
        <v>4.1744475962346179</v>
      </c>
      <c r="AU445" s="39">
        <f t="shared" si="421"/>
        <v>3.9543053215413644</v>
      </c>
      <c r="AV445" s="39">
        <f t="shared" si="422"/>
        <v>0.46706434717933709</v>
      </c>
      <c r="AW445" s="39">
        <f t="shared" si="423"/>
        <v>29.211665136099505</v>
      </c>
      <c r="AX445" s="39">
        <f t="shared" si="424"/>
        <v>3.8500000000000005</v>
      </c>
      <c r="AY445" s="39">
        <f t="shared" si="425"/>
        <v>3.8500000000000005</v>
      </c>
      <c r="AZ445" s="39">
        <f t="shared" si="426"/>
        <v>0.82180869340069151</v>
      </c>
      <c r="BA445" s="39">
        <f t="shared" si="427"/>
        <v>0.47977809911053043</v>
      </c>
      <c r="BB445" s="39">
        <f t="shared" si="428"/>
        <v>0.34779564079955089</v>
      </c>
      <c r="BC445" s="39">
        <f t="shared" si="429"/>
        <v>0.52847448821998821</v>
      </c>
      <c r="BD445" s="39">
        <f t="shared" si="430"/>
        <v>0.5392430429563424</v>
      </c>
      <c r="BE445" s="39">
        <f t="shared" si="431"/>
        <v>0.55017826510828094</v>
      </c>
      <c r="BF445" s="39">
        <f t="shared" si="432"/>
        <v>0.52116424781004644</v>
      </c>
      <c r="BG445" s="39">
        <f t="shared" si="433"/>
        <v>6.1557522594569654E-2</v>
      </c>
      <c r="BH445" s="84">
        <f t="shared" si="434"/>
        <v>0</v>
      </c>
      <c r="BI445" s="84">
        <f t="shared" si="435"/>
        <v>0</v>
      </c>
      <c r="BJ445" s="84">
        <f t="shared" si="436"/>
        <v>0</v>
      </c>
      <c r="BK445" s="39">
        <f t="shared" si="437"/>
        <v>91.532477949603106</v>
      </c>
      <c r="BL445" s="39">
        <f t="shared" si="438"/>
        <v>73.923123643360043</v>
      </c>
      <c r="BM445" s="39">
        <f t="shared" si="439"/>
        <v>62.041009021100756</v>
      </c>
      <c r="BN445" s="39">
        <f t="shared" si="440"/>
        <v>84.569239233478356</v>
      </c>
      <c r="BO445" s="39">
        <f t="shared" si="441"/>
        <v>82.375528899412458</v>
      </c>
      <c r="BP445" s="39">
        <f t="shared" si="442"/>
        <v>74.1942976972379</v>
      </c>
      <c r="BQ445" s="39">
        <f t="shared" si="443"/>
        <v>72.021888967603601</v>
      </c>
      <c r="BR445" s="39">
        <f t="shared" si="444"/>
        <v>42.842154554584418</v>
      </c>
      <c r="BS445" s="39">
        <f t="shared" si="445"/>
        <v>18.919486769761864</v>
      </c>
      <c r="BT445" s="39">
        <f t="shared" si="446"/>
        <v>4.7538741860160254</v>
      </c>
      <c r="BU445" s="39">
        <f t="shared" si="447"/>
        <v>0</v>
      </c>
      <c r="BV445" s="39">
        <f t="shared" si="448"/>
        <v>0</v>
      </c>
      <c r="BW445" s="39">
        <f t="shared" si="449"/>
        <v>0</v>
      </c>
      <c r="BX445" s="39">
        <f t="shared" si="450"/>
        <v>0</v>
      </c>
      <c r="BY445" s="39">
        <f t="shared" si="451"/>
        <v>0</v>
      </c>
      <c r="BZ445" s="39">
        <f t="shared" si="452"/>
        <v>0</v>
      </c>
      <c r="CA445" s="39">
        <f t="shared" si="453"/>
        <v>72.612991179841245</v>
      </c>
      <c r="CB445" s="39">
        <f t="shared" si="454"/>
        <v>88.088736227105883</v>
      </c>
      <c r="CC445" s="39">
        <f t="shared" si="455"/>
        <v>66.794883207116783</v>
      </c>
      <c r="CD445" s="39">
        <f t="shared" si="456"/>
        <v>84.569239233478356</v>
      </c>
      <c r="CE445" s="39">
        <f t="shared" si="457"/>
        <v>82.375528899412458</v>
      </c>
      <c r="CF445" s="39">
        <f t="shared" si="458"/>
        <v>74.1942976972379</v>
      </c>
      <c r="CG445" s="39">
        <f t="shared" si="459"/>
        <v>72.021888967603601</v>
      </c>
      <c r="CH445" s="39">
        <f t="shared" si="460"/>
        <v>42.842154554584418</v>
      </c>
      <c r="CI445" s="39">
        <f t="shared" si="461"/>
        <v>0</v>
      </c>
      <c r="CJ445" s="39">
        <f t="shared" si="462"/>
        <v>0</v>
      </c>
      <c r="CK445" s="39">
        <f t="shared" si="463"/>
        <v>0</v>
      </c>
      <c r="CL445" s="39">
        <f t="shared" si="464"/>
        <v>0</v>
      </c>
      <c r="CM445" s="39">
        <f t="shared" si="465"/>
        <v>0</v>
      </c>
      <c r="CN445" s="39">
        <f t="shared" si="466"/>
        <v>0</v>
      </c>
      <c r="CO445" s="39">
        <f t="shared" si="467"/>
        <v>0</v>
      </c>
      <c r="CP445" s="39">
        <f t="shared" si="468"/>
        <v>0</v>
      </c>
    </row>
    <row r="446" spans="12:94" ht="16" customHeight="1" x14ac:dyDescent="0.2">
      <c r="L446" s="63">
        <v>30758</v>
      </c>
      <c r="M446" s="38">
        <v>0</v>
      </c>
      <c r="N446" s="38">
        <v>3.5</v>
      </c>
      <c r="O446" s="39">
        <v>2.3664000000000001</v>
      </c>
      <c r="P446" s="39">
        <v>1.1000000000000001</v>
      </c>
      <c r="Q446" s="46">
        <f t="shared" si="399"/>
        <v>6.3622315175997479E-2</v>
      </c>
      <c r="R446" s="81">
        <f t="shared" si="400"/>
        <v>0</v>
      </c>
      <c r="S446" s="82">
        <f t="shared" si="401"/>
        <v>0</v>
      </c>
      <c r="T446" s="39">
        <f t="shared" si="402"/>
        <v>0</v>
      </c>
      <c r="U446" s="83">
        <f t="shared" si="403"/>
        <v>3.8500000000000005</v>
      </c>
      <c r="V446" s="84">
        <f t="shared" si="404"/>
        <v>0</v>
      </c>
      <c r="W446" s="52">
        <f t="shared" si="405"/>
        <v>163.06584984754227</v>
      </c>
      <c r="X446" s="52">
        <f t="shared" si="406"/>
        <v>130.43387011883834</v>
      </c>
      <c r="Y446" s="52">
        <f t="shared" si="407"/>
        <v>293.49971996638061</v>
      </c>
      <c r="Z446" s="53">
        <f t="shared" si="408"/>
        <v>1.273951951933924</v>
      </c>
      <c r="AA446" s="53">
        <f t="shared" si="409"/>
        <v>0.77639208404070437</v>
      </c>
      <c r="AB446" s="53">
        <f t="shared" si="410"/>
        <v>0.99155310799452911</v>
      </c>
      <c r="AC446" s="39" t="str">
        <f t="shared" si="411"/>
        <v>No</v>
      </c>
      <c r="AD446" s="85">
        <f t="shared" si="412"/>
        <v>0</v>
      </c>
      <c r="AE446" s="46">
        <f t="shared" si="413"/>
        <v>0</v>
      </c>
      <c r="AF446" s="46">
        <f t="shared" si="414"/>
        <v>2.1257999999999999</v>
      </c>
      <c r="AG446" s="39">
        <f t="shared" si="469"/>
        <v>72.612991179841245</v>
      </c>
      <c r="AH446" s="39">
        <f t="shared" si="470"/>
        <v>88.088736227105883</v>
      </c>
      <c r="AI446" s="39">
        <f t="shared" si="471"/>
        <v>66.794883207116783</v>
      </c>
      <c r="AJ446" s="39">
        <f t="shared" si="472"/>
        <v>84.569239233478356</v>
      </c>
      <c r="AK446" s="39">
        <f t="shared" si="473"/>
        <v>82.375528899412458</v>
      </c>
      <c r="AL446" s="39">
        <f t="shared" si="474"/>
        <v>74.1942976972379</v>
      </c>
      <c r="AM446" s="39">
        <f t="shared" si="475"/>
        <v>72.021888967603601</v>
      </c>
      <c r="AN446" s="39">
        <f t="shared" si="476"/>
        <v>42.842154554584418</v>
      </c>
      <c r="AO446" s="39">
        <f t="shared" si="415"/>
        <v>4.2612991179841249</v>
      </c>
      <c r="AP446" s="39">
        <f t="shared" si="416"/>
        <v>5.0088736227105883</v>
      </c>
      <c r="AQ446" s="39">
        <f t="shared" si="417"/>
        <v>3.0794883207116799</v>
      </c>
      <c r="AR446" s="39">
        <f t="shared" si="418"/>
        <v>3.9569239233478353</v>
      </c>
      <c r="AS446" s="39">
        <f t="shared" si="419"/>
        <v>4.0375528899412467</v>
      </c>
      <c r="AT446" s="39">
        <f t="shared" si="420"/>
        <v>4.1194297697237898</v>
      </c>
      <c r="AU446" s="39">
        <f t="shared" si="421"/>
        <v>3.9021888967603595</v>
      </c>
      <c r="AV446" s="39">
        <f t="shared" si="422"/>
        <v>0.46127622036346028</v>
      </c>
      <c r="AW446" s="39">
        <f t="shared" si="423"/>
        <v>28.827032761543087</v>
      </c>
      <c r="AX446" s="39">
        <f t="shared" si="424"/>
        <v>3.8500000000000005</v>
      </c>
      <c r="AY446" s="39">
        <f t="shared" si="425"/>
        <v>3.8500000000000005</v>
      </c>
      <c r="AZ446" s="39">
        <f t="shared" si="426"/>
        <v>0.56911863735505341</v>
      </c>
      <c r="BA446" s="39">
        <f t="shared" si="427"/>
        <v>0.66896109658438196</v>
      </c>
      <c r="BB446" s="39">
        <f t="shared" si="428"/>
        <v>0.41128166512359859</v>
      </c>
      <c r="BC446" s="39">
        <f t="shared" si="429"/>
        <v>0.5284677486894318</v>
      </c>
      <c r="BD446" s="39">
        <f t="shared" si="430"/>
        <v>0.53923616609653835</v>
      </c>
      <c r="BE446" s="39">
        <f t="shared" si="431"/>
        <v>0.55017124879375312</v>
      </c>
      <c r="BF446" s="39">
        <f t="shared" si="432"/>
        <v>0.5211576015055388</v>
      </c>
      <c r="BG446" s="39">
        <f t="shared" si="433"/>
        <v>6.1605835851704191E-2</v>
      </c>
      <c r="BH446" s="84">
        <f t="shared" si="434"/>
        <v>0</v>
      </c>
      <c r="BI446" s="84">
        <f t="shared" si="435"/>
        <v>0</v>
      </c>
      <c r="BJ446" s="84">
        <f t="shared" si="436"/>
        <v>0</v>
      </c>
      <c r="BK446" s="39">
        <f t="shared" si="437"/>
        <v>72.043872542486199</v>
      </c>
      <c r="BL446" s="39">
        <f t="shared" si="438"/>
        <v>87.419775130521501</v>
      </c>
      <c r="BM446" s="39">
        <f t="shared" si="439"/>
        <v>66.383601541993187</v>
      </c>
      <c r="BN446" s="39">
        <f t="shared" si="440"/>
        <v>84.04077148478892</v>
      </c>
      <c r="BO446" s="39">
        <f t="shared" si="441"/>
        <v>81.836292733315915</v>
      </c>
      <c r="BP446" s="39">
        <f t="shared" si="442"/>
        <v>73.64412644844414</v>
      </c>
      <c r="BQ446" s="39">
        <f t="shared" si="443"/>
        <v>71.500731366098066</v>
      </c>
      <c r="BR446" s="39">
        <f t="shared" si="444"/>
        <v>42.780548718732717</v>
      </c>
      <c r="BS446" s="39">
        <f t="shared" si="445"/>
        <v>7.2263235254917184</v>
      </c>
      <c r="BT446" s="39">
        <f t="shared" si="446"/>
        <v>12.851865078312899</v>
      </c>
      <c r="BU446" s="39">
        <f t="shared" si="447"/>
        <v>1.4301609251959206</v>
      </c>
      <c r="BV446" s="39">
        <f t="shared" si="448"/>
        <v>0</v>
      </c>
      <c r="BW446" s="39">
        <f t="shared" si="449"/>
        <v>0</v>
      </c>
      <c r="BX446" s="39">
        <f t="shared" si="450"/>
        <v>0</v>
      </c>
      <c r="BY446" s="39">
        <f t="shared" si="451"/>
        <v>0</v>
      </c>
      <c r="BZ446" s="39">
        <f t="shared" si="452"/>
        <v>0</v>
      </c>
      <c r="CA446" s="39">
        <f t="shared" si="453"/>
        <v>64.817549016994477</v>
      </c>
      <c r="CB446" s="39">
        <f t="shared" si="454"/>
        <v>81.794233577700325</v>
      </c>
      <c r="CC446" s="39">
        <f t="shared" si="455"/>
        <v>77.805305695110164</v>
      </c>
      <c r="CD446" s="39">
        <f t="shared" si="456"/>
        <v>85.47093240998484</v>
      </c>
      <c r="CE446" s="39">
        <f t="shared" si="457"/>
        <v>81.836292733315915</v>
      </c>
      <c r="CF446" s="39">
        <f t="shared" si="458"/>
        <v>73.64412644844414</v>
      </c>
      <c r="CG446" s="39">
        <f t="shared" si="459"/>
        <v>71.500731366098066</v>
      </c>
      <c r="CH446" s="39">
        <f t="shared" si="460"/>
        <v>42.780548718732717</v>
      </c>
      <c r="CI446" s="39">
        <f t="shared" si="461"/>
        <v>0</v>
      </c>
      <c r="CJ446" s="39">
        <f t="shared" si="462"/>
        <v>0</v>
      </c>
      <c r="CK446" s="39">
        <f t="shared" si="463"/>
        <v>0</v>
      </c>
      <c r="CL446" s="39">
        <f t="shared" si="464"/>
        <v>0</v>
      </c>
      <c r="CM446" s="39">
        <f t="shared" si="465"/>
        <v>0</v>
      </c>
      <c r="CN446" s="39">
        <f t="shared" si="466"/>
        <v>0</v>
      </c>
      <c r="CO446" s="39">
        <f t="shared" si="467"/>
        <v>0</v>
      </c>
      <c r="CP446" s="39">
        <f t="shared" si="468"/>
        <v>0</v>
      </c>
    </row>
    <row r="447" spans="12:94" ht="16" customHeight="1" x14ac:dyDescent="0.2">
      <c r="L447" s="63">
        <v>30759</v>
      </c>
      <c r="M447" s="38">
        <v>0</v>
      </c>
      <c r="N447" s="38">
        <v>3.6</v>
      </c>
      <c r="O447" s="39">
        <v>2.3664000000000001</v>
      </c>
      <c r="P447" s="39">
        <v>1.1000000000000001</v>
      </c>
      <c r="Q447" s="46">
        <f t="shared" si="399"/>
        <v>7.9423887127713894E-2</v>
      </c>
      <c r="R447" s="81">
        <f t="shared" si="400"/>
        <v>0</v>
      </c>
      <c r="S447" s="82">
        <f t="shared" si="401"/>
        <v>0</v>
      </c>
      <c r="T447" s="39">
        <f t="shared" si="402"/>
        <v>0</v>
      </c>
      <c r="U447" s="83">
        <f t="shared" si="403"/>
        <v>3.9600000000000004</v>
      </c>
      <c r="V447" s="84">
        <f t="shared" si="404"/>
        <v>0</v>
      </c>
      <c r="W447" s="52">
        <f t="shared" si="405"/>
        <v>160.88802069978976</v>
      </c>
      <c r="X447" s="52">
        <f t="shared" si="406"/>
        <v>128.76169926659088</v>
      </c>
      <c r="Y447" s="52">
        <f t="shared" si="407"/>
        <v>289.64971996638064</v>
      </c>
      <c r="Z447" s="53">
        <f t="shared" si="408"/>
        <v>1.2569376617171075</v>
      </c>
      <c r="AA447" s="53">
        <f t="shared" si="409"/>
        <v>0.76643868611066002</v>
      </c>
      <c r="AB447" s="53">
        <f t="shared" si="410"/>
        <v>0.97854635123777245</v>
      </c>
      <c r="AC447" s="39" t="str">
        <f t="shared" si="411"/>
        <v>No</v>
      </c>
      <c r="AD447" s="85">
        <f t="shared" si="412"/>
        <v>0</v>
      </c>
      <c r="AE447" s="46">
        <f t="shared" si="413"/>
        <v>0</v>
      </c>
      <c r="AF447" s="46">
        <f t="shared" si="414"/>
        <v>2.1257999999999999</v>
      </c>
      <c r="AG447" s="39">
        <f t="shared" si="469"/>
        <v>64.817549016994477</v>
      </c>
      <c r="AH447" s="39">
        <f t="shared" si="470"/>
        <v>81.794233577700325</v>
      </c>
      <c r="AI447" s="39">
        <f t="shared" si="471"/>
        <v>77.805305695110164</v>
      </c>
      <c r="AJ447" s="39">
        <f t="shared" si="472"/>
        <v>85.47093240998484</v>
      </c>
      <c r="AK447" s="39">
        <f t="shared" si="473"/>
        <v>81.836292733315915</v>
      </c>
      <c r="AL447" s="39">
        <f t="shared" si="474"/>
        <v>73.64412644844414</v>
      </c>
      <c r="AM447" s="39">
        <f t="shared" si="475"/>
        <v>71.500731366098066</v>
      </c>
      <c r="AN447" s="39">
        <f t="shared" si="476"/>
        <v>42.780548718732717</v>
      </c>
      <c r="AO447" s="39">
        <f t="shared" si="415"/>
        <v>3.481754901699448</v>
      </c>
      <c r="AP447" s="39">
        <f t="shared" si="416"/>
        <v>4.3794233577700323</v>
      </c>
      <c r="AQ447" s="39">
        <f t="shared" si="417"/>
        <v>4.180530569511018</v>
      </c>
      <c r="AR447" s="39">
        <f t="shared" si="418"/>
        <v>4.0470932409984837</v>
      </c>
      <c r="AS447" s="39">
        <f t="shared" si="419"/>
        <v>3.9836292733315926</v>
      </c>
      <c r="AT447" s="39">
        <f t="shared" si="420"/>
        <v>4.0644126448444133</v>
      </c>
      <c r="AU447" s="39">
        <f t="shared" si="421"/>
        <v>3.8500731366098062</v>
      </c>
      <c r="AV447" s="39">
        <f t="shared" si="422"/>
        <v>0.45551968209287641</v>
      </c>
      <c r="AW447" s="39">
        <f t="shared" si="423"/>
        <v>28.442436806857671</v>
      </c>
      <c r="AX447" s="39">
        <f t="shared" si="424"/>
        <v>3.9600000000000004</v>
      </c>
      <c r="AY447" s="39">
        <f t="shared" si="425"/>
        <v>3.9600000000000004</v>
      </c>
      <c r="AZ447" s="39">
        <f t="shared" si="426"/>
        <v>0.48475978005532533</v>
      </c>
      <c r="BA447" s="39">
        <f t="shared" si="427"/>
        <v>0.60974088171615193</v>
      </c>
      <c r="BB447" s="39">
        <f t="shared" si="428"/>
        <v>0.58204932185248381</v>
      </c>
      <c r="BC447" s="39">
        <f t="shared" si="429"/>
        <v>0.56347103249922303</v>
      </c>
      <c r="BD447" s="39">
        <f t="shared" si="430"/>
        <v>0.5546350345969514</v>
      </c>
      <c r="BE447" s="39">
        <f t="shared" si="431"/>
        <v>0.56588238844933447</v>
      </c>
      <c r="BF447" s="39">
        <f t="shared" si="432"/>
        <v>0.5360402037457932</v>
      </c>
      <c r="BG447" s="39">
        <f t="shared" si="433"/>
        <v>6.3421357084737132E-2</v>
      </c>
      <c r="BH447" s="84">
        <f t="shared" si="434"/>
        <v>0</v>
      </c>
      <c r="BI447" s="84">
        <f t="shared" si="435"/>
        <v>0</v>
      </c>
      <c r="BJ447" s="84">
        <f t="shared" si="436"/>
        <v>0</v>
      </c>
      <c r="BK447" s="39">
        <f t="shared" si="437"/>
        <v>64.332789236939149</v>
      </c>
      <c r="BL447" s="39">
        <f t="shared" si="438"/>
        <v>81.184492695984176</v>
      </c>
      <c r="BM447" s="39">
        <f t="shared" si="439"/>
        <v>77.223256373257684</v>
      </c>
      <c r="BN447" s="39">
        <f t="shared" si="440"/>
        <v>84.907461377485618</v>
      </c>
      <c r="BO447" s="39">
        <f t="shared" si="441"/>
        <v>81.281657698718959</v>
      </c>
      <c r="BP447" s="39">
        <f t="shared" si="442"/>
        <v>73.078244059994802</v>
      </c>
      <c r="BQ447" s="39">
        <f t="shared" si="443"/>
        <v>70.964691162352267</v>
      </c>
      <c r="BR447" s="39">
        <f t="shared" si="444"/>
        <v>42.717127361647982</v>
      </c>
      <c r="BS447" s="39">
        <f t="shared" si="445"/>
        <v>2.5996735421634893</v>
      </c>
      <c r="BT447" s="39">
        <f t="shared" si="446"/>
        <v>9.1106956175905047</v>
      </c>
      <c r="BU447" s="39">
        <f t="shared" si="447"/>
        <v>7.9339538239546181</v>
      </c>
      <c r="BV447" s="39">
        <f t="shared" si="448"/>
        <v>0</v>
      </c>
      <c r="BW447" s="39">
        <f t="shared" si="449"/>
        <v>0</v>
      </c>
      <c r="BX447" s="39">
        <f t="shared" si="450"/>
        <v>0</v>
      </c>
      <c r="BY447" s="39">
        <f t="shared" si="451"/>
        <v>0</v>
      </c>
      <c r="BZ447" s="39">
        <f t="shared" si="452"/>
        <v>0</v>
      </c>
      <c r="CA447" s="39">
        <f t="shared" si="453"/>
        <v>61.733115694775663</v>
      </c>
      <c r="CB447" s="39">
        <f t="shared" si="454"/>
        <v>74.673470620557154</v>
      </c>
      <c r="CC447" s="39">
        <f t="shared" si="455"/>
        <v>78.399998166893567</v>
      </c>
      <c r="CD447" s="39">
        <f t="shared" si="456"/>
        <v>92.841415201440242</v>
      </c>
      <c r="CE447" s="39">
        <f t="shared" si="457"/>
        <v>81.281657698718959</v>
      </c>
      <c r="CF447" s="39">
        <f t="shared" si="458"/>
        <v>73.078244059994802</v>
      </c>
      <c r="CG447" s="39">
        <f t="shared" si="459"/>
        <v>70.964691162352267</v>
      </c>
      <c r="CH447" s="39">
        <f t="shared" si="460"/>
        <v>42.717127361647982</v>
      </c>
      <c r="CI447" s="39">
        <f t="shared" si="461"/>
        <v>0</v>
      </c>
      <c r="CJ447" s="39">
        <f t="shared" si="462"/>
        <v>0</v>
      </c>
      <c r="CK447" s="39">
        <f t="shared" si="463"/>
        <v>0</v>
      </c>
      <c r="CL447" s="39">
        <f t="shared" si="464"/>
        <v>0</v>
      </c>
      <c r="CM447" s="39">
        <f t="shared" si="465"/>
        <v>0</v>
      </c>
      <c r="CN447" s="39">
        <f t="shared" si="466"/>
        <v>0</v>
      </c>
      <c r="CO447" s="39">
        <f t="shared" si="467"/>
        <v>0</v>
      </c>
      <c r="CP447" s="39">
        <f t="shared" si="468"/>
        <v>0</v>
      </c>
    </row>
    <row r="448" spans="12:94" ht="16" customHeight="1" x14ac:dyDescent="0.2">
      <c r="L448" s="63">
        <v>30760</v>
      </c>
      <c r="M448" s="38">
        <v>0</v>
      </c>
      <c r="N448" s="38">
        <v>3</v>
      </c>
      <c r="O448" s="39">
        <v>2.3664000000000001</v>
      </c>
      <c r="P448" s="39">
        <v>1.1000000000000001</v>
      </c>
      <c r="Q448" s="46">
        <f t="shared" ref="Q448:Q511" si="477">0.15*($D$12-MAX(AG448,$D$10))/($D$12-$D$10)</f>
        <v>8.567611683491419E-2</v>
      </c>
      <c r="R448" s="81">
        <f t="shared" ref="R448:R511" si="478">MAX(0,M448-Q448*$B$10)^2/(M448+$B$10*(1-Q448))</f>
        <v>0</v>
      </c>
      <c r="S448" s="82">
        <f t="shared" ref="S448:S511" si="479">M448-R448</f>
        <v>0</v>
      </c>
      <c r="T448" s="39">
        <f t="shared" ref="T448:T511" si="480">BZ448+CP448</f>
        <v>0</v>
      </c>
      <c r="U448" s="83">
        <f t="shared" ref="U448:U511" si="481">N448*P448</f>
        <v>3.3000000000000003</v>
      </c>
      <c r="V448" s="84">
        <f t="shared" ref="V448:V511" si="482">MAX(0,N448*MAX(0,1-P448)*$B$2)</f>
        <v>0</v>
      </c>
      <c r="W448" s="52">
        <f t="shared" ref="W448:W511" si="483">SUM(AG448:AJ448)-SUM(D$10:G$10)</f>
        <v>158.64799968366663</v>
      </c>
      <c r="X448" s="52">
        <f t="shared" ref="X448:X511" si="484">SUM(AK448:AN448)-SUM(H$10:K$10)</f>
        <v>127.04172028271398</v>
      </c>
      <c r="Y448" s="52">
        <f t="shared" ref="Y448:Y511" si="485">X448+W448</f>
        <v>285.68971996638061</v>
      </c>
      <c r="Z448" s="53">
        <f t="shared" ref="Z448:Z511" si="486">W448/(SUM(D$11:G$11)-SUM(D$10:G$10))</f>
        <v>1.2394374975286455</v>
      </c>
      <c r="AA448" s="53">
        <f t="shared" ref="AA448:AA511" si="487">X448/(SUM(H$11:K$11)-SUM(H$10:K$10))</f>
        <v>0.75620071596853555</v>
      </c>
      <c r="AB448" s="53">
        <f t="shared" ref="AB448:AB511" si="488">Y448/(SUM(D$11:K$11)-SUM(D$10:K$10))</f>
        <v>0.96516797285939393</v>
      </c>
      <c r="AC448" s="39" t="str">
        <f t="shared" ref="AC448:AC511" si="489">IF((AJ448-G$10)/(G$11-G$10)&lt;0.3,"Si","No")</f>
        <v>No</v>
      </c>
      <c r="AD448" s="85">
        <f t="shared" ref="AD448:AD511" si="490">IF(O448&gt;0.2,O448-O447,0)</f>
        <v>0</v>
      </c>
      <c r="AE448" s="46">
        <f t="shared" ref="AE448:AE511" si="491">IF(AF447&lt;D$6,1,IF(AF447&lt;E$6,MIN(1,(AH448-E$10)/(0.3*(E$11-E$10))),IF(AF447&lt;F$6,MIN(1,(AI448-F$10)/(0.3*(F$11-F$10))),IF(AF447&lt;G$6,MIN(1,(AJ448-G$10)/(0.3*(G$11-G$10))),IF(AF447&lt;H$6,MIN(1,(AK448-H$10)/(0.3*(H$11-H$10))),IF(AF447&lt;I$6,MIN(1,(AL448-I$10)/(0.3*(I$11-I$10))),IF(AF447&lt;J$6,MIN(1,(AM448-J$10)/(0.3*(J$11-J$10))),IF(AF447&lt;K$6,MIN(1,(AN448-K$10)/(0.3*(K$11-K$10))),0))))))))</f>
        <v>0</v>
      </c>
      <c r="AF448" s="46">
        <f t="shared" ref="AF448:AF511" si="492">IF(O448&lt;0.2,0,IF(O448=0.2,0.2,AF447+AD448*AE448))</f>
        <v>2.1257999999999999</v>
      </c>
      <c r="AG448" s="39">
        <f t="shared" si="469"/>
        <v>61.733115694775663</v>
      </c>
      <c r="AH448" s="39">
        <f t="shared" si="470"/>
        <v>74.673470620557154</v>
      </c>
      <c r="AI448" s="39">
        <f t="shared" si="471"/>
        <v>78.399998166893567</v>
      </c>
      <c r="AJ448" s="39">
        <f t="shared" si="472"/>
        <v>92.841415201440242</v>
      </c>
      <c r="AK448" s="39">
        <f t="shared" si="473"/>
        <v>81.281657698718959</v>
      </c>
      <c r="AL448" s="39">
        <f t="shared" si="474"/>
        <v>73.078244059994802</v>
      </c>
      <c r="AM448" s="39">
        <f t="shared" si="475"/>
        <v>70.964691162352267</v>
      </c>
      <c r="AN448" s="39">
        <f t="shared" si="476"/>
        <v>42.717127361647982</v>
      </c>
      <c r="AO448" s="39">
        <f t="shared" ref="AO448:AO511" si="493">MAX(0,(AG448-D$10)*$B$8*MIN(1,(AG448-D$10)/($B$9*(D$11-D$10))))*MIN(1,$AF448/D$6)</f>
        <v>3.1733115694775664</v>
      </c>
      <c r="AP448" s="39">
        <f t="shared" ref="AP448:AP511" si="494">MAX(0,(AH448-E$10)*$B$8*MIN(1,(AH448-E$10)/($B$9*(E$11-E$10))))*MIN(1,MAX(0,($AF448-D$6))/(E$6-D$6))</f>
        <v>3.6673470620557156</v>
      </c>
      <c r="AQ448" s="39">
        <f t="shared" ref="AQ448:AQ511" si="495">MAX(0,(AI448-F$10)*$B$8*MIN(1,(AI448-F$10)/($B$9*(F$11-F$10))))*MIN(1,MAX(0,($AF448-E$6))/(F$6-E$6))</f>
        <v>4.239999816689358</v>
      </c>
      <c r="AR448" s="39">
        <f t="shared" ref="AR448:AR511" si="496">MAX(0,(AJ448-G$10)*$B$8*MIN(1,(AJ448-G$10)/($B$9*(G$11-G$10))))*MIN(1,MAX(0,($AF448-F$6))/(G$6-F$6))</f>
        <v>4.7841415201440238</v>
      </c>
      <c r="AS448" s="39">
        <f t="shared" ref="AS448:AS511" si="497">MAX(0,(AK448-H$10)*$B$8*MIN(1,(AK448-H$10)/($B$9*(H$11-H$10))))*MIN(1,MAX(0,($AF448-G$6))/(H$6-G$6))</f>
        <v>3.9281657698718968</v>
      </c>
      <c r="AT448" s="39">
        <f t="shared" ref="AT448:AT511" si="498">MAX(0,(AL448-I$10)*$B$8*MIN(1,(AL448-I$10)/($B$9*(I$11-I$10))))*MIN(1,MAX(0,($AF448-H$6))/(I$6-H$6))</f>
        <v>4.0078244059994796</v>
      </c>
      <c r="AU448" s="39">
        <f t="shared" ref="AU448:AU511" si="499">MAX(0,(AM448-J$10)*$B$8*MIN(1,(AM448-J$10)/($B$9*(J$11-J$10))))*MIN(1,MAX(0,($AF448-I$6))/(J$6-I$6))</f>
        <v>3.796469116235226</v>
      </c>
      <c r="AV448" s="39">
        <f t="shared" ref="AV448:AV511" si="500">MAX(0,(AN448-K$10)*$B$8*MIN(1,(AN448-K$10)/($B$9*(K$11-K$10))))*MIN(1,MAX(0,($AF448-J$6))/(K$6-J$6))</f>
        <v>0.44963125791660824</v>
      </c>
      <c r="AW448" s="39">
        <f t="shared" ref="AW448:AW511" si="501">SUM(AO448:AV448)</f>
        <v>28.046890518389873</v>
      </c>
      <c r="AX448" s="39">
        <f t="shared" ref="AX448:AX511" si="502">MIN(U448,AW448+S448)</f>
        <v>3.3000000000000003</v>
      </c>
      <c r="AY448" s="39">
        <f t="shared" ref="AY448:AY511" si="503">MAX(0,AX448-S448)</f>
        <v>3.3000000000000003</v>
      </c>
      <c r="AZ448" s="39">
        <f t="shared" ref="AZ448:AZ511" si="504">IF($AW448&gt;0,$AY448*(AO448/$AW448),0)</f>
        <v>0.37337216303567422</v>
      </c>
      <c r="BA448" s="39">
        <f t="shared" ref="BA448:BA511" si="505">IF($AW448&gt;0,$AY448*(AP448/$AW448),0)</f>
        <v>0.43150042949854372</v>
      </c>
      <c r="BB448" s="39">
        <f t="shared" ref="BB448:BB511" si="506">IF($AW448&gt;0,$AY448*(AQ448/$AW448),0)</f>
        <v>0.49887881103613124</v>
      </c>
      <c r="BC448" s="39">
        <f t="shared" ref="BC448:BC511" si="507">IF($AW448&gt;0,$AY448*(AR448/$AW448),0)</f>
        <v>0.56290257938303623</v>
      </c>
      <c r="BD448" s="39">
        <f t="shared" ref="BD448:BD511" si="508">IF($AW448&gt;0,$AY448*(AS448/$AW448),0)</f>
        <v>0.46218838527136097</v>
      </c>
      <c r="BE448" s="39">
        <f t="shared" ref="BE448:BE511" si="509">IF($AW448&gt;0,$AY448*(AT448/$AW448),0)</f>
        <v>0.47156102852565196</v>
      </c>
      <c r="BF448" s="39">
        <f t="shared" ref="BF448:BF511" si="510">IF($AW448&gt;0,$AY448*(AU448/$AW448),0)</f>
        <v>0.44669294356754524</v>
      </c>
      <c r="BG448" s="39">
        <f t="shared" ref="BG448:BG511" si="511">IF($AW448&gt;0,$AY448*(AV448/$AW448),0)</f>
        <v>5.2903659682056937E-2</v>
      </c>
      <c r="BH448" s="84">
        <f t="shared" ref="BH448:BH511" si="512">MIN(V448,MAX(0,(AG448-(D$11-$B$5*$B$2)))+MAX(0,S448-AX448))</f>
        <v>0</v>
      </c>
      <c r="BI448" s="84">
        <f t="shared" ref="BI448:BI511" si="513">V448-BH448</f>
        <v>0</v>
      </c>
      <c r="BJ448" s="84">
        <f t="shared" ref="BJ448:BJ511" si="514">BH448+MIN(BI448,BI448*((S448+AG448-AZ448-BH448-D$10*0.5)/(D$11-$B$5*$B$2-D$10*0.5))^4)</f>
        <v>0</v>
      </c>
      <c r="BK448" s="39">
        <f t="shared" ref="BK448:BK511" si="515">AG448-AZ448-BJ448</f>
        <v>61.359743531739987</v>
      </c>
      <c r="BL448" s="39">
        <f t="shared" ref="BL448:BL511" si="516">AH448-BA448</f>
        <v>74.241970191058613</v>
      </c>
      <c r="BM448" s="39">
        <f t="shared" ref="BM448:BM511" si="517">AI448-BB448</f>
        <v>77.901119355857432</v>
      </c>
      <c r="BN448" s="39">
        <f t="shared" ref="BN448:BN511" si="518">AJ448-BC448</f>
        <v>92.278512622057207</v>
      </c>
      <c r="BO448" s="39">
        <f t="shared" ref="BO448:BO511" si="519">AK448-BD448</f>
        <v>80.819469313447598</v>
      </c>
      <c r="BP448" s="39">
        <f t="shared" ref="BP448:BP511" si="520">AL448-BE448</f>
        <v>72.606683031469146</v>
      </c>
      <c r="BQ448" s="39">
        <f t="shared" ref="BQ448:BQ511" si="521">AM448-BF448</f>
        <v>70.517998218784726</v>
      </c>
      <c r="BR448" s="39">
        <f t="shared" ref="BR448:BR511" si="522">AN448-BG448</f>
        <v>42.664223701965923</v>
      </c>
      <c r="BS448" s="39">
        <f t="shared" ref="BS448:BS511" si="523">MAX(0,(BK448-D$11)*$B$6)</f>
        <v>0.81584611904399218</v>
      </c>
      <c r="BT448" s="39">
        <f t="shared" ref="BT448:BT511" si="524">MAX(0,(BL448-E$11)*$B$6)</f>
        <v>4.9451821146351671</v>
      </c>
      <c r="BU448" s="39">
        <f t="shared" ref="BU448:BU511" si="525">MAX(0,(BM448-F$11)*$B$6)</f>
        <v>8.3406716135144681</v>
      </c>
      <c r="BV448" s="39">
        <f t="shared" ref="BV448:BV511" si="526">MAX(0,(BN448-G$11)*$B$6)</f>
        <v>3.1671075732343152</v>
      </c>
      <c r="BW448" s="39">
        <f t="shared" ref="BW448:BW511" si="527">MAX(0,(BO448-H$11)*$B$6)</f>
        <v>0</v>
      </c>
      <c r="BX448" s="39">
        <f t="shared" ref="BX448:BX511" si="528">MAX(0,(BP448-I$11)*$B$6)</f>
        <v>0</v>
      </c>
      <c r="BY448" s="39">
        <f t="shared" ref="BY448:BY511" si="529">MAX(0,(BQ448-J$11)*$B$6)</f>
        <v>0</v>
      </c>
      <c r="BZ448" s="39">
        <f t="shared" ref="BZ448:BZ511" si="530">MAX(0,(BR448-K$11)*$B$6)</f>
        <v>0</v>
      </c>
      <c r="CA448" s="39">
        <f t="shared" ref="CA448:CA511" si="531">BK448-BS448+MAX(0,S448-AY448-BJ448)</f>
        <v>60.543897412695998</v>
      </c>
      <c r="CB448" s="39">
        <f t="shared" ref="CB448:CB511" si="532">BL448-BT448+BS448+CI448</f>
        <v>70.112634195467436</v>
      </c>
      <c r="CC448" s="39">
        <f t="shared" ref="CC448:CC511" si="533">BM448-BU448+BT448+CJ448</f>
        <v>74.505629856978132</v>
      </c>
      <c r="CD448" s="39">
        <f t="shared" ref="CD448:CD511" si="534">BN448-BV448+BU448+CK448</f>
        <v>97.452076662337362</v>
      </c>
      <c r="CE448" s="39">
        <f t="shared" ref="CE448:CE511" si="535">BO448-BW448+BV448+CL448</f>
        <v>83.986576886681917</v>
      </c>
      <c r="CF448" s="39">
        <f t="shared" ref="CF448:CF511" si="536">BP448-BX448+BW448+CM448</f>
        <v>72.606683031469146</v>
      </c>
      <c r="CG448" s="39">
        <f t="shared" ref="CG448:CG511" si="537">BQ448-BY448+BX448+CN448</f>
        <v>70.517998218784726</v>
      </c>
      <c r="CH448" s="39">
        <f t="shared" ref="CH448:CH511" si="538">BR448-BZ448+BY448+CO448</f>
        <v>42.664223701965923</v>
      </c>
      <c r="CI448" s="39">
        <f t="shared" ref="CI448:CI511" si="539">MAX(0,CA448-D$12)</f>
        <v>0</v>
      </c>
      <c r="CJ448" s="39">
        <f t="shared" ref="CJ448:CJ511" si="540">MAX(0,CB448-E$12)</f>
        <v>0</v>
      </c>
      <c r="CK448" s="39">
        <f t="shared" ref="CK448:CK511" si="541">MAX(0,CC448-F$12)</f>
        <v>0</v>
      </c>
      <c r="CL448" s="39">
        <f t="shared" ref="CL448:CL511" si="542">MAX(0,CD448-G$12)</f>
        <v>0</v>
      </c>
      <c r="CM448" s="39">
        <f t="shared" ref="CM448:CM511" si="543">MAX(0,CE448-H$12)</f>
        <v>0</v>
      </c>
      <c r="CN448" s="39">
        <f t="shared" ref="CN448:CN511" si="544">MAX(0,CF448-I$12)</f>
        <v>0</v>
      </c>
      <c r="CO448" s="39">
        <f t="shared" ref="CO448:CO511" si="545">MAX(0,CG448-J$12)</f>
        <v>0</v>
      </c>
      <c r="CP448" s="39">
        <f t="shared" ref="CP448:CP511" si="546">MAX(0,CH448-K$12)</f>
        <v>0</v>
      </c>
    </row>
    <row r="449" spans="12:94" ht="16" customHeight="1" x14ac:dyDescent="0.2">
      <c r="L449" s="63">
        <v>30761</v>
      </c>
      <c r="M449" s="38">
        <v>0</v>
      </c>
      <c r="N449" s="38">
        <v>3.4</v>
      </c>
      <c r="O449" s="39">
        <v>2.3664000000000001</v>
      </c>
      <c r="P449" s="39">
        <v>1.1000000000000001</v>
      </c>
      <c r="Q449" s="46">
        <f t="shared" si="477"/>
        <v>8.8086694433724327E-2</v>
      </c>
      <c r="R449" s="81">
        <f t="shared" si="478"/>
        <v>0</v>
      </c>
      <c r="S449" s="82">
        <f t="shared" si="479"/>
        <v>0</v>
      </c>
      <c r="T449" s="39">
        <f t="shared" si="480"/>
        <v>0</v>
      </c>
      <c r="U449" s="83">
        <f t="shared" si="481"/>
        <v>3.74</v>
      </c>
      <c r="V449" s="84">
        <f t="shared" si="482"/>
        <v>0</v>
      </c>
      <c r="W449" s="52">
        <f t="shared" si="483"/>
        <v>153.61423812747898</v>
      </c>
      <c r="X449" s="52">
        <f t="shared" si="484"/>
        <v>128.77548183890173</v>
      </c>
      <c r="Y449" s="52">
        <f t="shared" si="485"/>
        <v>282.38971996638071</v>
      </c>
      <c r="Z449" s="53">
        <f t="shared" si="486"/>
        <v>1.2001112353709296</v>
      </c>
      <c r="AA449" s="53">
        <f t="shared" si="487"/>
        <v>0.7665207252315579</v>
      </c>
      <c r="AB449" s="53">
        <f t="shared" si="488"/>
        <v>0.95401932421074565</v>
      </c>
      <c r="AC449" s="39" t="str">
        <f t="shared" si="489"/>
        <v>No</v>
      </c>
      <c r="AD449" s="85">
        <f t="shared" si="490"/>
        <v>0</v>
      </c>
      <c r="AE449" s="46">
        <f t="shared" si="491"/>
        <v>0</v>
      </c>
      <c r="AF449" s="46">
        <f t="shared" si="492"/>
        <v>2.1257999999999999</v>
      </c>
      <c r="AG449" s="39">
        <f t="shared" ref="AG449:AG512" si="547">MIN(D$12,CA448)</f>
        <v>60.543897412695998</v>
      </c>
      <c r="AH449" s="39">
        <f t="shared" ref="AH449:AH512" si="548">MIN(E$12,CB448)</f>
        <v>70.112634195467436</v>
      </c>
      <c r="AI449" s="39">
        <f t="shared" ref="AI449:AI512" si="549">MIN(F$12,CC448)</f>
        <v>74.505629856978132</v>
      </c>
      <c r="AJ449" s="39">
        <f t="shared" ref="AJ449:AJ512" si="550">MIN(G$12,CD448)</f>
        <v>97.452076662337362</v>
      </c>
      <c r="AK449" s="39">
        <f t="shared" ref="AK449:AK512" si="551">MIN(H$12,CE448)</f>
        <v>83.986576886681917</v>
      </c>
      <c r="AL449" s="39">
        <f t="shared" ref="AL449:AL512" si="552">MIN(I$12,CF448)</f>
        <v>72.606683031469146</v>
      </c>
      <c r="AM449" s="39">
        <f t="shared" ref="AM449:AM512" si="553">MIN(J$12,CG448)</f>
        <v>70.517998218784726</v>
      </c>
      <c r="AN449" s="39">
        <f t="shared" ref="AN449:AN512" si="554">MIN(K$12,CH448)</f>
        <v>42.664223701965923</v>
      </c>
      <c r="AO449" s="39">
        <f t="shared" si="493"/>
        <v>3.0543897412695999</v>
      </c>
      <c r="AP449" s="39">
        <f t="shared" si="494"/>
        <v>3.2112634195467438</v>
      </c>
      <c r="AQ449" s="39">
        <f t="shared" si="495"/>
        <v>3.850562985697815</v>
      </c>
      <c r="AR449" s="39">
        <f t="shared" si="496"/>
        <v>5.2452076662337355</v>
      </c>
      <c r="AS449" s="39">
        <f t="shared" si="497"/>
        <v>4.1986576886681926</v>
      </c>
      <c r="AT449" s="39">
        <f t="shared" si="498"/>
        <v>3.9606683031469139</v>
      </c>
      <c r="AU449" s="39">
        <f t="shared" si="499"/>
        <v>3.7517998218784721</v>
      </c>
      <c r="AV449" s="39">
        <f t="shared" si="500"/>
        <v>0.44474866553161801</v>
      </c>
      <c r="AW449" s="39">
        <f t="shared" si="501"/>
        <v>27.717298291973091</v>
      </c>
      <c r="AX449" s="39">
        <f t="shared" si="502"/>
        <v>3.74</v>
      </c>
      <c r="AY449" s="39">
        <f t="shared" si="503"/>
        <v>3.74</v>
      </c>
      <c r="AZ449" s="39">
        <f t="shared" si="504"/>
        <v>0.41214037212481558</v>
      </c>
      <c r="BA449" s="39">
        <f t="shared" si="505"/>
        <v>0.43330793147984936</v>
      </c>
      <c r="BB449" s="39">
        <f t="shared" si="506"/>
        <v>0.51957104241578911</v>
      </c>
      <c r="BC449" s="39">
        <f t="shared" si="507"/>
        <v>0.70775572947509335</v>
      </c>
      <c r="BD449" s="39">
        <f t="shared" si="508"/>
        <v>0.56654077862150842</v>
      </c>
      <c r="BE449" s="39">
        <f t="shared" si="509"/>
        <v>0.53442796977291485</v>
      </c>
      <c r="BF449" s="39">
        <f t="shared" si="510"/>
        <v>0.50624455479086372</v>
      </c>
      <c r="BG449" s="39">
        <f t="shared" si="511"/>
        <v>6.0011621319165848E-2</v>
      </c>
      <c r="BH449" s="84">
        <f t="shared" si="512"/>
        <v>0</v>
      </c>
      <c r="BI449" s="84">
        <f t="shared" si="513"/>
        <v>0</v>
      </c>
      <c r="BJ449" s="84">
        <f t="shared" si="514"/>
        <v>0</v>
      </c>
      <c r="BK449" s="39">
        <f t="shared" si="515"/>
        <v>60.131757040571181</v>
      </c>
      <c r="BL449" s="39">
        <f t="shared" si="516"/>
        <v>69.679326263987591</v>
      </c>
      <c r="BM449" s="39">
        <f t="shared" si="517"/>
        <v>73.986058814562341</v>
      </c>
      <c r="BN449" s="39">
        <f t="shared" si="518"/>
        <v>96.744320932862266</v>
      </c>
      <c r="BO449" s="39">
        <f t="shared" si="519"/>
        <v>83.420036108060401</v>
      </c>
      <c r="BP449" s="39">
        <f t="shared" si="520"/>
        <v>72.072255061696225</v>
      </c>
      <c r="BQ449" s="39">
        <f t="shared" si="521"/>
        <v>70.011753663993858</v>
      </c>
      <c r="BR449" s="39">
        <f t="shared" si="522"/>
        <v>42.604212080646761</v>
      </c>
      <c r="BS449" s="39">
        <f t="shared" si="523"/>
        <v>7.9054224342708326E-2</v>
      </c>
      <c r="BT449" s="39">
        <f t="shared" si="524"/>
        <v>2.2075957583925541</v>
      </c>
      <c r="BU449" s="39">
        <f t="shared" si="525"/>
        <v>5.9916352887374131</v>
      </c>
      <c r="BV449" s="39">
        <f t="shared" si="526"/>
        <v>5.8465925597173509</v>
      </c>
      <c r="BW449" s="39">
        <f t="shared" si="527"/>
        <v>0</v>
      </c>
      <c r="BX449" s="39">
        <f t="shared" si="528"/>
        <v>0</v>
      </c>
      <c r="BY449" s="39">
        <f t="shared" si="529"/>
        <v>0</v>
      </c>
      <c r="BZ449" s="39">
        <f t="shared" si="530"/>
        <v>0</v>
      </c>
      <c r="CA449" s="39">
        <f t="shared" si="531"/>
        <v>60.052702816228475</v>
      </c>
      <c r="CB449" s="39">
        <f t="shared" si="532"/>
        <v>67.550784729937746</v>
      </c>
      <c r="CC449" s="39">
        <f t="shared" si="533"/>
        <v>70.202019284217485</v>
      </c>
      <c r="CD449" s="39">
        <f t="shared" si="534"/>
        <v>96.889363661882328</v>
      </c>
      <c r="CE449" s="39">
        <f t="shared" si="535"/>
        <v>89.266628667777752</v>
      </c>
      <c r="CF449" s="39">
        <f t="shared" si="536"/>
        <v>72.072255061696225</v>
      </c>
      <c r="CG449" s="39">
        <f t="shared" si="537"/>
        <v>70.011753663993858</v>
      </c>
      <c r="CH449" s="39">
        <f t="shared" si="538"/>
        <v>42.604212080646761</v>
      </c>
      <c r="CI449" s="39">
        <f t="shared" si="539"/>
        <v>0</v>
      </c>
      <c r="CJ449" s="39">
        <f t="shared" si="540"/>
        <v>0</v>
      </c>
      <c r="CK449" s="39">
        <f t="shared" si="541"/>
        <v>0</v>
      </c>
      <c r="CL449" s="39">
        <f t="shared" si="542"/>
        <v>0</v>
      </c>
      <c r="CM449" s="39">
        <f t="shared" si="543"/>
        <v>0</v>
      </c>
      <c r="CN449" s="39">
        <f t="shared" si="544"/>
        <v>0</v>
      </c>
      <c r="CO449" s="39">
        <f t="shared" si="545"/>
        <v>0</v>
      </c>
      <c r="CP449" s="39">
        <f t="shared" si="546"/>
        <v>0</v>
      </c>
    </row>
    <row r="450" spans="12:94" ht="16" customHeight="1" x14ac:dyDescent="0.2">
      <c r="L450" s="63">
        <v>30762</v>
      </c>
      <c r="M450" s="38">
        <v>0</v>
      </c>
      <c r="N450" s="38">
        <v>3.8</v>
      </c>
      <c r="O450" s="39">
        <v>2.3664000000000001</v>
      </c>
      <c r="P450" s="39">
        <v>1.1000000000000001</v>
      </c>
      <c r="Q450" s="46">
        <f t="shared" si="477"/>
        <v>8.9082359156293631E-2</v>
      </c>
      <c r="R450" s="81">
        <f t="shared" si="478"/>
        <v>0</v>
      </c>
      <c r="S450" s="82">
        <f t="shared" si="479"/>
        <v>0</v>
      </c>
      <c r="T450" s="39">
        <f t="shared" si="480"/>
        <v>0</v>
      </c>
      <c r="U450" s="83">
        <f t="shared" si="481"/>
        <v>4.18</v>
      </c>
      <c r="V450" s="84">
        <f t="shared" si="482"/>
        <v>0</v>
      </c>
      <c r="W450" s="52">
        <f t="shared" si="483"/>
        <v>145.69487049226603</v>
      </c>
      <c r="X450" s="52">
        <f t="shared" si="484"/>
        <v>132.95484947411461</v>
      </c>
      <c r="Y450" s="52">
        <f t="shared" si="485"/>
        <v>278.64971996638064</v>
      </c>
      <c r="Z450" s="53">
        <f t="shared" si="486"/>
        <v>1.1382411757208284</v>
      </c>
      <c r="AA450" s="53">
        <f t="shared" si="487"/>
        <v>0.79139791353639644</v>
      </c>
      <c r="AB450" s="53">
        <f t="shared" si="488"/>
        <v>0.94138418907561028</v>
      </c>
      <c r="AC450" s="39" t="str">
        <f t="shared" si="489"/>
        <v>No</v>
      </c>
      <c r="AD450" s="85">
        <f t="shared" si="490"/>
        <v>0</v>
      </c>
      <c r="AE450" s="46">
        <f t="shared" si="491"/>
        <v>0</v>
      </c>
      <c r="AF450" s="46">
        <f t="shared" si="492"/>
        <v>2.1257999999999999</v>
      </c>
      <c r="AG450" s="39">
        <f t="shared" si="547"/>
        <v>60.052702816228475</v>
      </c>
      <c r="AH450" s="39">
        <f t="shared" si="548"/>
        <v>67.550784729937746</v>
      </c>
      <c r="AI450" s="39">
        <f t="shared" si="549"/>
        <v>70.202019284217485</v>
      </c>
      <c r="AJ450" s="39">
        <f t="shared" si="550"/>
        <v>96.889363661882328</v>
      </c>
      <c r="AK450" s="39">
        <f t="shared" si="551"/>
        <v>89.266628667777752</v>
      </c>
      <c r="AL450" s="39">
        <f t="shared" si="552"/>
        <v>72.072255061696225</v>
      </c>
      <c r="AM450" s="39">
        <f t="shared" si="553"/>
        <v>70.011753663993858</v>
      </c>
      <c r="AN450" s="39">
        <f t="shared" si="554"/>
        <v>42.604212080646761</v>
      </c>
      <c r="AO450" s="39">
        <f t="shared" si="493"/>
        <v>3.0052702816228476</v>
      </c>
      <c r="AP450" s="39">
        <f t="shared" si="494"/>
        <v>2.9550784729937747</v>
      </c>
      <c r="AQ450" s="39">
        <f t="shared" si="495"/>
        <v>3.4202019284217502</v>
      </c>
      <c r="AR450" s="39">
        <f t="shared" si="496"/>
        <v>5.1889363661882326</v>
      </c>
      <c r="AS450" s="39">
        <f t="shared" si="497"/>
        <v>4.7266628667777759</v>
      </c>
      <c r="AT450" s="39">
        <f t="shared" si="498"/>
        <v>3.9072255061696222</v>
      </c>
      <c r="AU450" s="39">
        <f t="shared" si="499"/>
        <v>3.7011753663993852</v>
      </c>
      <c r="AV450" s="39">
        <f t="shared" si="500"/>
        <v>0.43924233185733824</v>
      </c>
      <c r="AW450" s="39">
        <f t="shared" si="501"/>
        <v>27.343793120430732</v>
      </c>
      <c r="AX450" s="39">
        <f t="shared" si="502"/>
        <v>4.18</v>
      </c>
      <c r="AY450" s="39">
        <f t="shared" si="503"/>
        <v>4.18</v>
      </c>
      <c r="AZ450" s="39">
        <f t="shared" si="504"/>
        <v>0.45941065022896937</v>
      </c>
      <c r="BA450" s="39">
        <f t="shared" si="505"/>
        <v>0.45173791224614851</v>
      </c>
      <c r="BB450" s="39">
        <f t="shared" si="506"/>
        <v>0.5228405582881952</v>
      </c>
      <c r="BC450" s="39">
        <f t="shared" si="507"/>
        <v>0.79322403863788238</v>
      </c>
      <c r="BD450" s="39">
        <f t="shared" si="508"/>
        <v>0.72255706061383018</v>
      </c>
      <c r="BE450" s="39">
        <f t="shared" si="509"/>
        <v>0.59729103946394058</v>
      </c>
      <c r="BF450" s="39">
        <f t="shared" si="510"/>
        <v>0.56579249862704206</v>
      </c>
      <c r="BG450" s="39">
        <f t="shared" si="511"/>
        <v>6.7146241893990433E-2</v>
      </c>
      <c r="BH450" s="84">
        <f t="shared" si="512"/>
        <v>0</v>
      </c>
      <c r="BI450" s="84">
        <f t="shared" si="513"/>
        <v>0</v>
      </c>
      <c r="BJ450" s="84">
        <f t="shared" si="514"/>
        <v>0</v>
      </c>
      <c r="BK450" s="39">
        <f t="shared" si="515"/>
        <v>59.593292165999507</v>
      </c>
      <c r="BL450" s="39">
        <f t="shared" si="516"/>
        <v>67.099046817691601</v>
      </c>
      <c r="BM450" s="39">
        <f t="shared" si="517"/>
        <v>69.67917872592929</v>
      </c>
      <c r="BN450" s="39">
        <f t="shared" si="518"/>
        <v>96.09613962324444</v>
      </c>
      <c r="BO450" s="39">
        <f t="shared" si="519"/>
        <v>88.544071607163929</v>
      </c>
      <c r="BP450" s="39">
        <f t="shared" si="520"/>
        <v>71.474964022232285</v>
      </c>
      <c r="BQ450" s="39">
        <f t="shared" si="521"/>
        <v>69.445961165366811</v>
      </c>
      <c r="BR450" s="39">
        <f t="shared" si="522"/>
        <v>42.537065838752767</v>
      </c>
      <c r="BS450" s="39">
        <f t="shared" si="523"/>
        <v>0</v>
      </c>
      <c r="BT450" s="39">
        <f t="shared" si="524"/>
        <v>0.65942809061496066</v>
      </c>
      <c r="BU450" s="39">
        <f t="shared" si="525"/>
        <v>3.4075072355575826</v>
      </c>
      <c r="BV450" s="39">
        <f t="shared" si="526"/>
        <v>5.4576837739466555</v>
      </c>
      <c r="BW450" s="39">
        <f t="shared" si="527"/>
        <v>2.7264429642983656</v>
      </c>
      <c r="BX450" s="39">
        <f t="shared" si="528"/>
        <v>0</v>
      </c>
      <c r="BY450" s="39">
        <f t="shared" si="529"/>
        <v>0</v>
      </c>
      <c r="BZ450" s="39">
        <f t="shared" si="530"/>
        <v>0</v>
      </c>
      <c r="CA450" s="39">
        <f t="shared" si="531"/>
        <v>59.593292165999507</v>
      </c>
      <c r="CB450" s="39">
        <f t="shared" si="532"/>
        <v>66.439618727076635</v>
      </c>
      <c r="CC450" s="39">
        <f t="shared" si="533"/>
        <v>66.931099580986668</v>
      </c>
      <c r="CD450" s="39">
        <f t="shared" si="534"/>
        <v>94.045963084855373</v>
      </c>
      <c r="CE450" s="39">
        <f t="shared" si="535"/>
        <v>91.275312416812213</v>
      </c>
      <c r="CF450" s="39">
        <f t="shared" si="536"/>
        <v>74.201406986530657</v>
      </c>
      <c r="CG450" s="39">
        <f t="shared" si="537"/>
        <v>69.445961165366811</v>
      </c>
      <c r="CH450" s="39">
        <f t="shared" si="538"/>
        <v>42.537065838752767</v>
      </c>
      <c r="CI450" s="39">
        <f t="shared" si="539"/>
        <v>0</v>
      </c>
      <c r="CJ450" s="39">
        <f t="shared" si="540"/>
        <v>0</v>
      </c>
      <c r="CK450" s="39">
        <f t="shared" si="541"/>
        <v>0</v>
      </c>
      <c r="CL450" s="39">
        <f t="shared" si="542"/>
        <v>0</v>
      </c>
      <c r="CM450" s="39">
        <f t="shared" si="543"/>
        <v>0</v>
      </c>
      <c r="CN450" s="39">
        <f t="shared" si="544"/>
        <v>0</v>
      </c>
      <c r="CO450" s="39">
        <f t="shared" si="545"/>
        <v>0</v>
      </c>
      <c r="CP450" s="39">
        <f t="shared" si="546"/>
        <v>0</v>
      </c>
    </row>
    <row r="451" spans="12:94" ht="16" customHeight="1" x14ac:dyDescent="0.2">
      <c r="L451" s="63">
        <v>30763</v>
      </c>
      <c r="M451" s="38">
        <v>0</v>
      </c>
      <c r="N451" s="38">
        <v>2.7</v>
      </c>
      <c r="O451" s="39">
        <v>2.3664000000000001</v>
      </c>
      <c r="P451" s="39">
        <v>1.1000000000000001</v>
      </c>
      <c r="Q451" s="46">
        <f t="shared" si="477"/>
        <v>9.0013596960811806E-2</v>
      </c>
      <c r="R451" s="81">
        <f t="shared" si="478"/>
        <v>0</v>
      </c>
      <c r="S451" s="82">
        <f t="shared" si="479"/>
        <v>0</v>
      </c>
      <c r="T451" s="39">
        <f t="shared" si="480"/>
        <v>0</v>
      </c>
      <c r="U451" s="83">
        <f t="shared" si="481"/>
        <v>2.9700000000000006</v>
      </c>
      <c r="V451" s="84">
        <f t="shared" si="482"/>
        <v>0</v>
      </c>
      <c r="W451" s="52">
        <f t="shared" si="483"/>
        <v>138.0099735589182</v>
      </c>
      <c r="X451" s="52">
        <f t="shared" si="484"/>
        <v>136.45974640746249</v>
      </c>
      <c r="Y451" s="52">
        <f t="shared" si="485"/>
        <v>274.46971996638069</v>
      </c>
      <c r="Z451" s="53">
        <f t="shared" si="486"/>
        <v>1.0782029184290485</v>
      </c>
      <c r="AA451" s="53">
        <f t="shared" si="487"/>
        <v>0.81226039528251481</v>
      </c>
      <c r="AB451" s="53">
        <f t="shared" si="488"/>
        <v>0.92726256745398883</v>
      </c>
      <c r="AC451" s="39" t="str">
        <f t="shared" si="489"/>
        <v>No</v>
      </c>
      <c r="AD451" s="85">
        <f t="shared" si="490"/>
        <v>0</v>
      </c>
      <c r="AE451" s="46">
        <f t="shared" si="491"/>
        <v>0</v>
      </c>
      <c r="AF451" s="46">
        <f t="shared" si="492"/>
        <v>2.1257999999999999</v>
      </c>
      <c r="AG451" s="39">
        <f t="shared" si="547"/>
        <v>59.593292165999507</v>
      </c>
      <c r="AH451" s="39">
        <f t="shared" si="548"/>
        <v>66.439618727076635</v>
      </c>
      <c r="AI451" s="39">
        <f t="shared" si="549"/>
        <v>66.931099580986668</v>
      </c>
      <c r="AJ451" s="39">
        <f t="shared" si="550"/>
        <v>94.045963084855373</v>
      </c>
      <c r="AK451" s="39">
        <f t="shared" si="551"/>
        <v>91.275312416812213</v>
      </c>
      <c r="AL451" s="39">
        <f t="shared" si="552"/>
        <v>74.201406986530657</v>
      </c>
      <c r="AM451" s="39">
        <f t="shared" si="553"/>
        <v>69.445961165366811</v>
      </c>
      <c r="AN451" s="39">
        <f t="shared" si="554"/>
        <v>42.537065838752767</v>
      </c>
      <c r="AO451" s="39">
        <f t="shared" si="493"/>
        <v>2.9593292165999507</v>
      </c>
      <c r="AP451" s="39">
        <f t="shared" si="494"/>
        <v>2.8439618727076637</v>
      </c>
      <c r="AQ451" s="39">
        <f t="shared" si="495"/>
        <v>3.0931099580986685</v>
      </c>
      <c r="AR451" s="39">
        <f t="shared" si="496"/>
        <v>4.9045963084855373</v>
      </c>
      <c r="AS451" s="39">
        <f t="shared" si="497"/>
        <v>4.9275312416812227</v>
      </c>
      <c r="AT451" s="39">
        <f t="shared" si="498"/>
        <v>4.1201406986530653</v>
      </c>
      <c r="AU451" s="39">
        <f t="shared" si="499"/>
        <v>3.6445961165366807</v>
      </c>
      <c r="AV451" s="39">
        <f t="shared" si="500"/>
        <v>0.43312202291764224</v>
      </c>
      <c r="AW451" s="39">
        <f t="shared" si="501"/>
        <v>26.926387435680432</v>
      </c>
      <c r="AX451" s="39">
        <f t="shared" si="502"/>
        <v>2.9700000000000006</v>
      </c>
      <c r="AY451" s="39">
        <f t="shared" si="503"/>
        <v>2.9700000000000006</v>
      </c>
      <c r="AZ451" s="39">
        <f t="shared" si="504"/>
        <v>0.32641615197347962</v>
      </c>
      <c r="BA451" s="39">
        <f t="shared" si="505"/>
        <v>0.31369105053985558</v>
      </c>
      <c r="BB451" s="39">
        <f t="shared" si="506"/>
        <v>0.34117226447465704</v>
      </c>
      <c r="BC451" s="39">
        <f t="shared" si="507"/>
        <v>0.54098051849687168</v>
      </c>
      <c r="BD451" s="39">
        <f t="shared" si="508"/>
        <v>0.54351025820866539</v>
      </c>
      <c r="BE451" s="39">
        <f t="shared" si="509"/>
        <v>0.45445449762727819</v>
      </c>
      <c r="BF451" s="39">
        <f t="shared" si="510"/>
        <v>0.40200158643525846</v>
      </c>
      <c r="BG451" s="39">
        <f t="shared" si="511"/>
        <v>4.7773672243934674E-2</v>
      </c>
      <c r="BH451" s="84">
        <f t="shared" si="512"/>
        <v>0</v>
      </c>
      <c r="BI451" s="84">
        <f t="shared" si="513"/>
        <v>0</v>
      </c>
      <c r="BJ451" s="84">
        <f t="shared" si="514"/>
        <v>0</v>
      </c>
      <c r="BK451" s="39">
        <f t="shared" si="515"/>
        <v>59.266876014026025</v>
      </c>
      <c r="BL451" s="39">
        <f t="shared" si="516"/>
        <v>66.125927676536776</v>
      </c>
      <c r="BM451" s="39">
        <f t="shared" si="517"/>
        <v>66.589927316512018</v>
      </c>
      <c r="BN451" s="39">
        <f t="shared" si="518"/>
        <v>93.504982566358507</v>
      </c>
      <c r="BO451" s="39">
        <f t="shared" si="519"/>
        <v>90.731802158603543</v>
      </c>
      <c r="BP451" s="39">
        <f t="shared" si="520"/>
        <v>73.746952488903375</v>
      </c>
      <c r="BQ451" s="39">
        <f t="shared" si="521"/>
        <v>69.043959578931549</v>
      </c>
      <c r="BR451" s="39">
        <f t="shared" si="522"/>
        <v>42.489292166508832</v>
      </c>
      <c r="BS451" s="39">
        <f t="shared" si="523"/>
        <v>0</v>
      </c>
      <c r="BT451" s="39">
        <f t="shared" si="524"/>
        <v>7.5556605922065492E-2</v>
      </c>
      <c r="BU451" s="39">
        <f t="shared" si="525"/>
        <v>1.5539563899072191</v>
      </c>
      <c r="BV451" s="39">
        <f t="shared" si="526"/>
        <v>3.9029895398150956</v>
      </c>
      <c r="BW451" s="39">
        <f t="shared" si="527"/>
        <v>4.0390812951621342</v>
      </c>
      <c r="BX451" s="39">
        <f t="shared" si="528"/>
        <v>0</v>
      </c>
      <c r="BY451" s="39">
        <f t="shared" si="529"/>
        <v>0</v>
      </c>
      <c r="BZ451" s="39">
        <f t="shared" si="530"/>
        <v>0</v>
      </c>
      <c r="CA451" s="39">
        <f t="shared" si="531"/>
        <v>59.266876014026025</v>
      </c>
      <c r="CB451" s="39">
        <f t="shared" si="532"/>
        <v>66.050371070614716</v>
      </c>
      <c r="CC451" s="39">
        <f t="shared" si="533"/>
        <v>65.111527532526864</v>
      </c>
      <c r="CD451" s="39">
        <f t="shared" si="534"/>
        <v>91.155949416450625</v>
      </c>
      <c r="CE451" s="39">
        <f t="shared" si="535"/>
        <v>90.595710403256504</v>
      </c>
      <c r="CF451" s="39">
        <f t="shared" si="536"/>
        <v>77.786033784065509</v>
      </c>
      <c r="CG451" s="39">
        <f t="shared" si="537"/>
        <v>69.043959578931549</v>
      </c>
      <c r="CH451" s="39">
        <f t="shared" si="538"/>
        <v>42.489292166508832</v>
      </c>
      <c r="CI451" s="39">
        <f t="shared" si="539"/>
        <v>0</v>
      </c>
      <c r="CJ451" s="39">
        <f t="shared" si="540"/>
        <v>0</v>
      </c>
      <c r="CK451" s="39">
        <f t="shared" si="541"/>
        <v>0</v>
      </c>
      <c r="CL451" s="39">
        <f t="shared" si="542"/>
        <v>0</v>
      </c>
      <c r="CM451" s="39">
        <f t="shared" si="543"/>
        <v>0</v>
      </c>
      <c r="CN451" s="39">
        <f t="shared" si="544"/>
        <v>0</v>
      </c>
      <c r="CO451" s="39">
        <f t="shared" si="545"/>
        <v>0</v>
      </c>
      <c r="CP451" s="39">
        <f t="shared" si="546"/>
        <v>0</v>
      </c>
    </row>
    <row r="452" spans="12:94" ht="16" customHeight="1" x14ac:dyDescent="0.2">
      <c r="L452" s="63">
        <v>30764</v>
      </c>
      <c r="M452" s="38">
        <v>25.2</v>
      </c>
      <c r="N452" s="38">
        <v>4.8</v>
      </c>
      <c r="O452" s="39">
        <v>2.3664000000000001</v>
      </c>
      <c r="P452" s="39">
        <v>1.1000000000000001</v>
      </c>
      <c r="Q452" s="46">
        <f t="shared" si="477"/>
        <v>9.0675251322920217E-2</v>
      </c>
      <c r="R452" s="81">
        <f t="shared" si="478"/>
        <v>3.5634042926861023</v>
      </c>
      <c r="S452" s="82">
        <f t="shared" si="479"/>
        <v>21.636595707313898</v>
      </c>
      <c r="T452" s="39">
        <f t="shared" si="480"/>
        <v>0</v>
      </c>
      <c r="U452" s="83">
        <f t="shared" si="481"/>
        <v>5.28</v>
      </c>
      <c r="V452" s="84">
        <f t="shared" si="482"/>
        <v>0</v>
      </c>
      <c r="W452" s="52">
        <f t="shared" si="483"/>
        <v>132.58472403361827</v>
      </c>
      <c r="X452" s="52">
        <f t="shared" si="484"/>
        <v>138.91499593276239</v>
      </c>
      <c r="Y452" s="52">
        <f t="shared" si="485"/>
        <v>271.49971996638067</v>
      </c>
      <c r="Z452" s="53">
        <f t="shared" si="486"/>
        <v>1.0358181565126428</v>
      </c>
      <c r="AA452" s="53">
        <f t="shared" si="487"/>
        <v>0.82687497579025238</v>
      </c>
      <c r="AB452" s="53">
        <f t="shared" si="488"/>
        <v>0.91722878367020499</v>
      </c>
      <c r="AC452" s="39" t="str">
        <f t="shared" si="489"/>
        <v>No</v>
      </c>
      <c r="AD452" s="85">
        <f t="shared" si="490"/>
        <v>0</v>
      </c>
      <c r="AE452" s="46">
        <f t="shared" si="491"/>
        <v>0</v>
      </c>
      <c r="AF452" s="46">
        <f t="shared" si="492"/>
        <v>2.1257999999999999</v>
      </c>
      <c r="AG452" s="39">
        <f t="shared" si="547"/>
        <v>59.266876014026025</v>
      </c>
      <c r="AH452" s="39">
        <f t="shared" si="548"/>
        <v>66.050371070614716</v>
      </c>
      <c r="AI452" s="39">
        <f t="shared" si="549"/>
        <v>65.111527532526864</v>
      </c>
      <c r="AJ452" s="39">
        <f t="shared" si="550"/>
        <v>91.155949416450625</v>
      </c>
      <c r="AK452" s="39">
        <f t="shared" si="551"/>
        <v>90.595710403256504</v>
      </c>
      <c r="AL452" s="39">
        <f t="shared" si="552"/>
        <v>77.786033784065509</v>
      </c>
      <c r="AM452" s="39">
        <f t="shared" si="553"/>
        <v>69.043959578931549</v>
      </c>
      <c r="AN452" s="39">
        <f t="shared" si="554"/>
        <v>42.489292166508832</v>
      </c>
      <c r="AO452" s="39">
        <f t="shared" si="493"/>
        <v>2.9266876014026026</v>
      </c>
      <c r="AP452" s="39">
        <f t="shared" si="494"/>
        <v>2.8050371070614717</v>
      </c>
      <c r="AQ452" s="39">
        <f t="shared" si="495"/>
        <v>2.9111527532526882</v>
      </c>
      <c r="AR452" s="39">
        <f t="shared" si="496"/>
        <v>4.6155949416450621</v>
      </c>
      <c r="AS452" s="39">
        <f t="shared" si="497"/>
        <v>4.8595710403256511</v>
      </c>
      <c r="AT452" s="39">
        <f t="shared" si="498"/>
        <v>4.4786033784065502</v>
      </c>
      <c r="AU452" s="39">
        <f t="shared" si="499"/>
        <v>3.6043959578931544</v>
      </c>
      <c r="AV452" s="39">
        <f t="shared" si="500"/>
        <v>0.42879364676840831</v>
      </c>
      <c r="AW452" s="39">
        <f t="shared" si="501"/>
        <v>26.629836426755588</v>
      </c>
      <c r="AX452" s="39">
        <f t="shared" si="502"/>
        <v>5.28</v>
      </c>
      <c r="AY452" s="39">
        <f t="shared" si="503"/>
        <v>0</v>
      </c>
      <c r="AZ452" s="39">
        <f t="shared" si="504"/>
        <v>0</v>
      </c>
      <c r="BA452" s="39">
        <f t="shared" si="505"/>
        <v>0</v>
      </c>
      <c r="BB452" s="39">
        <f t="shared" si="506"/>
        <v>0</v>
      </c>
      <c r="BC452" s="39">
        <f t="shared" si="507"/>
        <v>0</v>
      </c>
      <c r="BD452" s="39">
        <f t="shared" si="508"/>
        <v>0</v>
      </c>
      <c r="BE452" s="39">
        <f t="shared" si="509"/>
        <v>0</v>
      </c>
      <c r="BF452" s="39">
        <f t="shared" si="510"/>
        <v>0</v>
      </c>
      <c r="BG452" s="39">
        <f t="shared" si="511"/>
        <v>0</v>
      </c>
      <c r="BH452" s="84">
        <f t="shared" si="512"/>
        <v>0</v>
      </c>
      <c r="BI452" s="84">
        <f t="shared" si="513"/>
        <v>0</v>
      </c>
      <c r="BJ452" s="84">
        <f t="shared" si="514"/>
        <v>0</v>
      </c>
      <c r="BK452" s="39">
        <f t="shared" si="515"/>
        <v>59.266876014026025</v>
      </c>
      <c r="BL452" s="39">
        <f t="shared" si="516"/>
        <v>66.050371070614716</v>
      </c>
      <c r="BM452" s="39">
        <f t="shared" si="517"/>
        <v>65.111527532526864</v>
      </c>
      <c r="BN452" s="39">
        <f t="shared" si="518"/>
        <v>91.155949416450625</v>
      </c>
      <c r="BO452" s="39">
        <f t="shared" si="519"/>
        <v>90.595710403256504</v>
      </c>
      <c r="BP452" s="39">
        <f t="shared" si="520"/>
        <v>77.786033784065509</v>
      </c>
      <c r="BQ452" s="39">
        <f t="shared" si="521"/>
        <v>69.043959578931549</v>
      </c>
      <c r="BR452" s="39">
        <f t="shared" si="522"/>
        <v>42.489292166508832</v>
      </c>
      <c r="BS452" s="39">
        <f t="shared" si="523"/>
        <v>0</v>
      </c>
      <c r="BT452" s="39">
        <f t="shared" si="524"/>
        <v>3.022264236882961E-2</v>
      </c>
      <c r="BU452" s="39">
        <f t="shared" si="525"/>
        <v>0.66691651951612696</v>
      </c>
      <c r="BV452" s="39">
        <f t="shared" si="526"/>
        <v>2.4935696498703663</v>
      </c>
      <c r="BW452" s="39">
        <f t="shared" si="527"/>
        <v>3.957426241953911</v>
      </c>
      <c r="BX452" s="39">
        <f t="shared" si="528"/>
        <v>1.6716202704392968</v>
      </c>
      <c r="BY452" s="39">
        <f t="shared" si="529"/>
        <v>0</v>
      </c>
      <c r="BZ452" s="39">
        <f t="shared" si="530"/>
        <v>0</v>
      </c>
      <c r="CA452" s="39">
        <f t="shared" si="531"/>
        <v>80.903471721339926</v>
      </c>
      <c r="CB452" s="39">
        <f t="shared" si="532"/>
        <v>66.020148428245889</v>
      </c>
      <c r="CC452" s="39">
        <f t="shared" si="533"/>
        <v>64.47483365537957</v>
      </c>
      <c r="CD452" s="39">
        <f t="shared" si="534"/>
        <v>89.32929628609638</v>
      </c>
      <c r="CE452" s="39">
        <f t="shared" si="535"/>
        <v>89.131853811172959</v>
      </c>
      <c r="CF452" s="39">
        <f t="shared" si="536"/>
        <v>80.071839755580129</v>
      </c>
      <c r="CG452" s="39">
        <f t="shared" si="537"/>
        <v>70.71557984937084</v>
      </c>
      <c r="CH452" s="39">
        <f t="shared" si="538"/>
        <v>42.489292166508832</v>
      </c>
      <c r="CI452" s="39">
        <f t="shared" si="539"/>
        <v>0</v>
      </c>
      <c r="CJ452" s="39">
        <f t="shared" si="540"/>
        <v>0</v>
      </c>
      <c r="CK452" s="39">
        <f t="shared" si="541"/>
        <v>0</v>
      </c>
      <c r="CL452" s="39">
        <f t="shared" si="542"/>
        <v>0</v>
      </c>
      <c r="CM452" s="39">
        <f t="shared" si="543"/>
        <v>0</v>
      </c>
      <c r="CN452" s="39">
        <f t="shared" si="544"/>
        <v>0</v>
      </c>
      <c r="CO452" s="39">
        <f t="shared" si="545"/>
        <v>0</v>
      </c>
      <c r="CP452" s="39">
        <f t="shared" si="546"/>
        <v>0</v>
      </c>
    </row>
    <row r="453" spans="12:94" ht="16" customHeight="1" x14ac:dyDescent="0.2">
      <c r="L453" s="63">
        <v>30765</v>
      </c>
      <c r="M453" s="38">
        <v>0</v>
      </c>
      <c r="N453" s="38">
        <v>3.5</v>
      </c>
      <c r="O453" s="39">
        <v>2.3664000000000001</v>
      </c>
      <c r="P453" s="39">
        <v>1.1000000000000001</v>
      </c>
      <c r="Q453" s="46">
        <f t="shared" si="477"/>
        <v>4.6817287051337989E-2</v>
      </c>
      <c r="R453" s="81">
        <f t="shared" si="478"/>
        <v>0</v>
      </c>
      <c r="S453" s="82">
        <f t="shared" si="479"/>
        <v>0</v>
      </c>
      <c r="T453" s="39">
        <f t="shared" si="480"/>
        <v>0</v>
      </c>
      <c r="U453" s="83">
        <f t="shared" si="481"/>
        <v>3.8500000000000005</v>
      </c>
      <c r="V453" s="84">
        <f t="shared" si="482"/>
        <v>0</v>
      </c>
      <c r="W453" s="52">
        <f t="shared" si="483"/>
        <v>151.72775009106175</v>
      </c>
      <c r="X453" s="52">
        <f t="shared" si="484"/>
        <v>141.40856558263278</v>
      </c>
      <c r="Y453" s="52">
        <f t="shared" si="485"/>
        <v>293.13631567369453</v>
      </c>
      <c r="Z453" s="53">
        <f t="shared" si="486"/>
        <v>1.1853730475864199</v>
      </c>
      <c r="AA453" s="53">
        <f t="shared" si="487"/>
        <v>0.841717652277576</v>
      </c>
      <c r="AB453" s="53">
        <f t="shared" si="488"/>
        <v>0.99032539078950854</v>
      </c>
      <c r="AC453" s="39" t="str">
        <f t="shared" si="489"/>
        <v>No</v>
      </c>
      <c r="AD453" s="85">
        <f t="shared" si="490"/>
        <v>0</v>
      </c>
      <c r="AE453" s="46">
        <f t="shared" si="491"/>
        <v>0</v>
      </c>
      <c r="AF453" s="46">
        <f t="shared" si="492"/>
        <v>2.1257999999999999</v>
      </c>
      <c r="AG453" s="39">
        <f t="shared" si="547"/>
        <v>80.903471721339926</v>
      </c>
      <c r="AH453" s="39">
        <f t="shared" si="548"/>
        <v>66.020148428245889</v>
      </c>
      <c r="AI453" s="39">
        <f t="shared" si="549"/>
        <v>64.47483365537957</v>
      </c>
      <c r="AJ453" s="39">
        <f t="shared" si="550"/>
        <v>89.32929628609638</v>
      </c>
      <c r="AK453" s="39">
        <f t="shared" si="551"/>
        <v>89.131853811172959</v>
      </c>
      <c r="AL453" s="39">
        <f t="shared" si="552"/>
        <v>80.071839755580129</v>
      </c>
      <c r="AM453" s="39">
        <f t="shared" si="553"/>
        <v>70.71557984937084</v>
      </c>
      <c r="AN453" s="39">
        <f t="shared" si="554"/>
        <v>42.489292166508832</v>
      </c>
      <c r="AO453" s="39">
        <f t="shared" si="493"/>
        <v>5.0903471721339928</v>
      </c>
      <c r="AP453" s="39">
        <f t="shared" si="494"/>
        <v>2.802014842824589</v>
      </c>
      <c r="AQ453" s="39">
        <f t="shared" si="495"/>
        <v>2.8474833655379586</v>
      </c>
      <c r="AR453" s="39">
        <f t="shared" si="496"/>
        <v>4.4329296286096378</v>
      </c>
      <c r="AS453" s="39">
        <f t="shared" si="497"/>
        <v>4.713185381117297</v>
      </c>
      <c r="AT453" s="39">
        <f t="shared" si="498"/>
        <v>4.7071839755580127</v>
      </c>
      <c r="AU453" s="39">
        <f t="shared" si="499"/>
        <v>3.7715579849370835</v>
      </c>
      <c r="AV453" s="39">
        <f t="shared" si="500"/>
        <v>0.42879364676840831</v>
      </c>
      <c r="AW453" s="39">
        <f t="shared" si="501"/>
        <v>28.793495997486978</v>
      </c>
      <c r="AX453" s="39">
        <f t="shared" si="502"/>
        <v>3.8500000000000005</v>
      </c>
      <c r="AY453" s="39">
        <f t="shared" si="503"/>
        <v>3.8500000000000005</v>
      </c>
      <c r="AZ453" s="39">
        <f t="shared" si="504"/>
        <v>0.68063414787931009</v>
      </c>
      <c r="BA453" s="39">
        <f t="shared" si="505"/>
        <v>0.3746595115027434</v>
      </c>
      <c r="BB453" s="39">
        <f t="shared" si="506"/>
        <v>0.38073914186307722</v>
      </c>
      <c r="BC453" s="39">
        <f t="shared" si="507"/>
        <v>0.592730353814509</v>
      </c>
      <c r="BD453" s="39">
        <f t="shared" si="508"/>
        <v>0.63020356120997989</v>
      </c>
      <c r="BE453" s="39">
        <f t="shared" si="509"/>
        <v>0.62940110876011901</v>
      </c>
      <c r="BF453" s="39">
        <f t="shared" si="510"/>
        <v>0.50429785404575689</v>
      </c>
      <c r="BG453" s="39">
        <f t="shared" si="511"/>
        <v>5.7334320924505119E-2</v>
      </c>
      <c r="BH453" s="84">
        <f t="shared" si="512"/>
        <v>0</v>
      </c>
      <c r="BI453" s="84">
        <f t="shared" si="513"/>
        <v>0</v>
      </c>
      <c r="BJ453" s="84">
        <f t="shared" si="514"/>
        <v>0</v>
      </c>
      <c r="BK453" s="39">
        <f t="shared" si="515"/>
        <v>80.222837573460623</v>
      </c>
      <c r="BL453" s="39">
        <f t="shared" si="516"/>
        <v>65.645488916743147</v>
      </c>
      <c r="BM453" s="39">
        <f t="shared" si="517"/>
        <v>64.094094513516495</v>
      </c>
      <c r="BN453" s="39">
        <f t="shared" si="518"/>
        <v>88.736565932281877</v>
      </c>
      <c r="BO453" s="39">
        <f t="shared" si="519"/>
        <v>88.501650249962978</v>
      </c>
      <c r="BP453" s="39">
        <f t="shared" si="520"/>
        <v>79.442438646820008</v>
      </c>
      <c r="BQ453" s="39">
        <f t="shared" si="521"/>
        <v>70.211281995325081</v>
      </c>
      <c r="BR453" s="39">
        <f t="shared" si="522"/>
        <v>42.431957845584328</v>
      </c>
      <c r="BS453" s="39">
        <f t="shared" si="523"/>
        <v>12.133702544076373</v>
      </c>
      <c r="BT453" s="39">
        <f t="shared" si="524"/>
        <v>0</v>
      </c>
      <c r="BU453" s="39">
        <f t="shared" si="525"/>
        <v>5.6456708109905662E-2</v>
      </c>
      <c r="BV453" s="39">
        <f t="shared" si="526"/>
        <v>1.0419395593691176</v>
      </c>
      <c r="BW453" s="39">
        <f t="shared" si="527"/>
        <v>2.7009901499777951</v>
      </c>
      <c r="BX453" s="39">
        <f t="shared" si="528"/>
        <v>2.6654631880919966</v>
      </c>
      <c r="BY453" s="39">
        <f t="shared" si="529"/>
        <v>0</v>
      </c>
      <c r="BZ453" s="39">
        <f t="shared" si="530"/>
        <v>0</v>
      </c>
      <c r="CA453" s="39">
        <f t="shared" si="531"/>
        <v>68.089135029384252</v>
      </c>
      <c r="CB453" s="39">
        <f t="shared" si="532"/>
        <v>77.779191460819519</v>
      </c>
      <c r="CC453" s="39">
        <f t="shared" si="533"/>
        <v>64.03763780540659</v>
      </c>
      <c r="CD453" s="39">
        <f t="shared" si="534"/>
        <v>87.751083081022671</v>
      </c>
      <c r="CE453" s="39">
        <f t="shared" si="535"/>
        <v>86.842599659354292</v>
      </c>
      <c r="CF453" s="39">
        <f t="shared" si="536"/>
        <v>79.477965608705816</v>
      </c>
      <c r="CG453" s="39">
        <f t="shared" si="537"/>
        <v>72.876745183417071</v>
      </c>
      <c r="CH453" s="39">
        <f t="shared" si="538"/>
        <v>42.431957845584328</v>
      </c>
      <c r="CI453" s="39">
        <f t="shared" si="539"/>
        <v>0</v>
      </c>
      <c r="CJ453" s="39">
        <f t="shared" si="540"/>
        <v>0</v>
      </c>
      <c r="CK453" s="39">
        <f t="shared" si="541"/>
        <v>0</v>
      </c>
      <c r="CL453" s="39">
        <f t="shared" si="542"/>
        <v>0</v>
      </c>
      <c r="CM453" s="39">
        <f t="shared" si="543"/>
        <v>0</v>
      </c>
      <c r="CN453" s="39">
        <f t="shared" si="544"/>
        <v>0</v>
      </c>
      <c r="CO453" s="39">
        <f t="shared" si="545"/>
        <v>0</v>
      </c>
      <c r="CP453" s="39">
        <f t="shared" si="546"/>
        <v>0</v>
      </c>
    </row>
    <row r="454" spans="12:94" ht="16" customHeight="1" x14ac:dyDescent="0.2">
      <c r="L454" s="63">
        <v>30766</v>
      </c>
      <c r="M454" s="38">
        <v>0</v>
      </c>
      <c r="N454" s="38">
        <v>3.3</v>
      </c>
      <c r="O454" s="39">
        <v>2.3664000000000001</v>
      </c>
      <c r="P454" s="39">
        <v>1.1000000000000001</v>
      </c>
      <c r="Q454" s="46">
        <f t="shared" si="477"/>
        <v>7.2792293859356247E-2</v>
      </c>
      <c r="R454" s="81">
        <f t="shared" si="478"/>
        <v>0</v>
      </c>
      <c r="S454" s="82">
        <f t="shared" si="479"/>
        <v>0</v>
      </c>
      <c r="T454" s="39">
        <f t="shared" si="480"/>
        <v>0</v>
      </c>
      <c r="U454" s="83">
        <f t="shared" si="481"/>
        <v>3.63</v>
      </c>
      <c r="V454" s="84">
        <f t="shared" si="482"/>
        <v>0</v>
      </c>
      <c r="W454" s="52">
        <f t="shared" si="483"/>
        <v>148.65704737663305</v>
      </c>
      <c r="X454" s="52">
        <f t="shared" si="484"/>
        <v>140.62926829706151</v>
      </c>
      <c r="Y454" s="52">
        <f t="shared" si="485"/>
        <v>289.28631567369456</v>
      </c>
      <c r="Z454" s="53">
        <f t="shared" si="486"/>
        <v>1.1613831826299457</v>
      </c>
      <c r="AA454" s="53">
        <f t="shared" si="487"/>
        <v>0.83707897795869946</v>
      </c>
      <c r="AB454" s="53">
        <f t="shared" si="488"/>
        <v>0.97731863403275188</v>
      </c>
      <c r="AC454" s="39" t="str">
        <f t="shared" si="489"/>
        <v>No</v>
      </c>
      <c r="AD454" s="85">
        <f t="shared" si="490"/>
        <v>0</v>
      </c>
      <c r="AE454" s="46">
        <f t="shared" si="491"/>
        <v>0</v>
      </c>
      <c r="AF454" s="46">
        <f t="shared" si="492"/>
        <v>2.1257999999999999</v>
      </c>
      <c r="AG454" s="39">
        <f t="shared" si="547"/>
        <v>68.089135029384252</v>
      </c>
      <c r="AH454" s="39">
        <f t="shared" si="548"/>
        <v>77.779191460819519</v>
      </c>
      <c r="AI454" s="39">
        <f t="shared" si="549"/>
        <v>64.03763780540659</v>
      </c>
      <c r="AJ454" s="39">
        <f t="shared" si="550"/>
        <v>87.751083081022671</v>
      </c>
      <c r="AK454" s="39">
        <f t="shared" si="551"/>
        <v>86.842599659354292</v>
      </c>
      <c r="AL454" s="39">
        <f t="shared" si="552"/>
        <v>79.477965608705816</v>
      </c>
      <c r="AM454" s="39">
        <f t="shared" si="553"/>
        <v>72.876745183417071</v>
      </c>
      <c r="AN454" s="39">
        <f t="shared" si="554"/>
        <v>42.431957845584328</v>
      </c>
      <c r="AO454" s="39">
        <f t="shared" si="493"/>
        <v>3.8089135029384256</v>
      </c>
      <c r="AP454" s="39">
        <f t="shared" si="494"/>
        <v>3.9779191460819519</v>
      </c>
      <c r="AQ454" s="39">
        <f t="shared" si="495"/>
        <v>2.8037637805406606</v>
      </c>
      <c r="AR454" s="39">
        <f t="shared" si="496"/>
        <v>4.2751083081022667</v>
      </c>
      <c r="AS454" s="39">
        <f t="shared" si="497"/>
        <v>4.4842599659354301</v>
      </c>
      <c r="AT454" s="39">
        <f t="shared" si="498"/>
        <v>4.6477965608705807</v>
      </c>
      <c r="AU454" s="39">
        <f t="shared" si="499"/>
        <v>3.9876745183417066</v>
      </c>
      <c r="AV454" s="39">
        <f t="shared" si="500"/>
        <v>0.42362775619466486</v>
      </c>
      <c r="AW454" s="39">
        <f t="shared" si="501"/>
        <v>28.40906353900569</v>
      </c>
      <c r="AX454" s="39">
        <f t="shared" si="502"/>
        <v>3.63</v>
      </c>
      <c r="AY454" s="39">
        <f t="shared" si="503"/>
        <v>3.63</v>
      </c>
      <c r="AZ454" s="39">
        <f t="shared" si="504"/>
        <v>0.48668820064001317</v>
      </c>
      <c r="BA454" s="39">
        <f t="shared" si="505"/>
        <v>0.50828308650341647</v>
      </c>
      <c r="BB454" s="39">
        <f t="shared" si="506"/>
        <v>0.35825406597400339</v>
      </c>
      <c r="BC454" s="39">
        <f t="shared" si="507"/>
        <v>0.5462567654545919</v>
      </c>
      <c r="BD454" s="39">
        <f t="shared" si="508"/>
        <v>0.57298135343307177</v>
      </c>
      <c r="BE454" s="39">
        <f t="shared" si="509"/>
        <v>0.59387742551934564</v>
      </c>
      <c r="BF454" s="39">
        <f t="shared" si="510"/>
        <v>0.50952959015019428</v>
      </c>
      <c r="BG454" s="39">
        <f t="shared" si="511"/>
        <v>5.4129512325363151E-2</v>
      </c>
      <c r="BH454" s="84">
        <f t="shared" si="512"/>
        <v>0</v>
      </c>
      <c r="BI454" s="84">
        <f t="shared" si="513"/>
        <v>0</v>
      </c>
      <c r="BJ454" s="84">
        <f t="shared" si="514"/>
        <v>0</v>
      </c>
      <c r="BK454" s="39">
        <f t="shared" si="515"/>
        <v>67.602446828744235</v>
      </c>
      <c r="BL454" s="39">
        <f t="shared" si="516"/>
        <v>77.270908374316107</v>
      </c>
      <c r="BM454" s="39">
        <f t="shared" si="517"/>
        <v>63.679383739432588</v>
      </c>
      <c r="BN454" s="39">
        <f t="shared" si="518"/>
        <v>87.204826315568084</v>
      </c>
      <c r="BO454" s="39">
        <f t="shared" si="519"/>
        <v>86.269618305921213</v>
      </c>
      <c r="BP454" s="39">
        <f t="shared" si="520"/>
        <v>78.884088183186464</v>
      </c>
      <c r="BQ454" s="39">
        <f t="shared" si="521"/>
        <v>72.367215593266877</v>
      </c>
      <c r="BR454" s="39">
        <f t="shared" si="522"/>
        <v>42.377828333258968</v>
      </c>
      <c r="BS454" s="39">
        <f t="shared" si="523"/>
        <v>4.5614680972465402</v>
      </c>
      <c r="BT454" s="39">
        <f t="shared" si="524"/>
        <v>6.7625450245896639</v>
      </c>
      <c r="BU454" s="39">
        <f t="shared" si="525"/>
        <v>0</v>
      </c>
      <c r="BV454" s="39">
        <f t="shared" si="526"/>
        <v>0.12289578934084204</v>
      </c>
      <c r="BW454" s="39">
        <f t="shared" si="527"/>
        <v>1.3617709835527363</v>
      </c>
      <c r="BX454" s="39">
        <f t="shared" si="528"/>
        <v>2.3304529099118696</v>
      </c>
      <c r="BY454" s="39">
        <f t="shared" si="529"/>
        <v>0</v>
      </c>
      <c r="BZ454" s="39">
        <f t="shared" si="530"/>
        <v>0</v>
      </c>
      <c r="CA454" s="39">
        <f t="shared" si="531"/>
        <v>63.040978731497695</v>
      </c>
      <c r="CB454" s="39">
        <f t="shared" si="532"/>
        <v>75.069831446972984</v>
      </c>
      <c r="CC454" s="39">
        <f t="shared" si="533"/>
        <v>70.441928764022251</v>
      </c>
      <c r="CD454" s="39">
        <f t="shared" si="534"/>
        <v>87.081930526227239</v>
      </c>
      <c r="CE454" s="39">
        <f t="shared" si="535"/>
        <v>85.030743111709327</v>
      </c>
      <c r="CF454" s="39">
        <f t="shared" si="536"/>
        <v>77.915406256827325</v>
      </c>
      <c r="CG454" s="39">
        <f t="shared" si="537"/>
        <v>74.697668503178747</v>
      </c>
      <c r="CH454" s="39">
        <f t="shared" si="538"/>
        <v>42.377828333258968</v>
      </c>
      <c r="CI454" s="39">
        <f t="shared" si="539"/>
        <v>0</v>
      </c>
      <c r="CJ454" s="39">
        <f t="shared" si="540"/>
        <v>0</v>
      </c>
      <c r="CK454" s="39">
        <f t="shared" si="541"/>
        <v>0</v>
      </c>
      <c r="CL454" s="39">
        <f t="shared" si="542"/>
        <v>0</v>
      </c>
      <c r="CM454" s="39">
        <f t="shared" si="543"/>
        <v>0</v>
      </c>
      <c r="CN454" s="39">
        <f t="shared" si="544"/>
        <v>0</v>
      </c>
      <c r="CO454" s="39">
        <f t="shared" si="545"/>
        <v>0</v>
      </c>
      <c r="CP454" s="39">
        <f t="shared" si="546"/>
        <v>0</v>
      </c>
    </row>
    <row r="455" spans="12:94" ht="16" customHeight="1" x14ac:dyDescent="0.2">
      <c r="L455" s="63">
        <v>30767</v>
      </c>
      <c r="M455" s="38">
        <v>0</v>
      </c>
      <c r="N455" s="38">
        <v>3</v>
      </c>
      <c r="O455" s="39">
        <v>2.3664000000000001</v>
      </c>
      <c r="P455" s="39">
        <v>1.1000000000000001</v>
      </c>
      <c r="Q455" s="46">
        <f t="shared" si="477"/>
        <v>8.3025043111828997E-2</v>
      </c>
      <c r="R455" s="81">
        <f t="shared" si="478"/>
        <v>0</v>
      </c>
      <c r="S455" s="82">
        <f t="shared" si="479"/>
        <v>0</v>
      </c>
      <c r="T455" s="39">
        <f t="shared" si="480"/>
        <v>0</v>
      </c>
      <c r="U455" s="83">
        <f t="shared" si="481"/>
        <v>3.3000000000000003</v>
      </c>
      <c r="V455" s="84">
        <f t="shared" si="482"/>
        <v>0</v>
      </c>
      <c r="W455" s="52">
        <f t="shared" si="483"/>
        <v>146.63466946872018</v>
      </c>
      <c r="X455" s="52">
        <f t="shared" si="484"/>
        <v>139.02164620497433</v>
      </c>
      <c r="Y455" s="52">
        <f t="shared" si="485"/>
        <v>285.65631567369451</v>
      </c>
      <c r="Z455" s="53">
        <f t="shared" si="486"/>
        <v>1.1455833552243764</v>
      </c>
      <c r="AA455" s="53">
        <f t="shared" si="487"/>
        <v>0.82750979883913289</v>
      </c>
      <c r="AB455" s="53">
        <f t="shared" si="488"/>
        <v>0.96505512051923825</v>
      </c>
      <c r="AC455" s="39" t="str">
        <f t="shared" si="489"/>
        <v>No</v>
      </c>
      <c r="AD455" s="85">
        <f t="shared" si="490"/>
        <v>0</v>
      </c>
      <c r="AE455" s="46">
        <f t="shared" si="491"/>
        <v>0</v>
      </c>
      <c r="AF455" s="46">
        <f t="shared" si="492"/>
        <v>2.1257999999999999</v>
      </c>
      <c r="AG455" s="39">
        <f t="shared" si="547"/>
        <v>63.040978731497695</v>
      </c>
      <c r="AH455" s="39">
        <f t="shared" si="548"/>
        <v>75.069831446972984</v>
      </c>
      <c r="AI455" s="39">
        <f t="shared" si="549"/>
        <v>70.441928764022251</v>
      </c>
      <c r="AJ455" s="39">
        <f t="shared" si="550"/>
        <v>87.081930526227239</v>
      </c>
      <c r="AK455" s="39">
        <f t="shared" si="551"/>
        <v>85.030743111709327</v>
      </c>
      <c r="AL455" s="39">
        <f t="shared" si="552"/>
        <v>77.915406256827325</v>
      </c>
      <c r="AM455" s="39">
        <f t="shared" si="553"/>
        <v>74.697668503178747</v>
      </c>
      <c r="AN455" s="39">
        <f t="shared" si="554"/>
        <v>42.377828333258968</v>
      </c>
      <c r="AO455" s="39">
        <f t="shared" si="493"/>
        <v>3.3040978731497699</v>
      </c>
      <c r="AP455" s="39">
        <f t="shared" si="494"/>
        <v>3.7069831446972987</v>
      </c>
      <c r="AQ455" s="39">
        <f t="shared" si="495"/>
        <v>3.4441928764022265</v>
      </c>
      <c r="AR455" s="39">
        <f t="shared" si="496"/>
        <v>4.2081930526227236</v>
      </c>
      <c r="AS455" s="39">
        <f t="shared" si="497"/>
        <v>4.303074311170934</v>
      </c>
      <c r="AT455" s="39">
        <f t="shared" si="498"/>
        <v>4.4915406256827319</v>
      </c>
      <c r="AU455" s="39">
        <f t="shared" si="499"/>
        <v>4.169766850317874</v>
      </c>
      <c r="AV455" s="39">
        <f t="shared" si="500"/>
        <v>0.4187793535622597</v>
      </c>
      <c r="AW455" s="39">
        <f t="shared" si="501"/>
        <v>28.046628087605818</v>
      </c>
      <c r="AX455" s="39">
        <f t="shared" si="502"/>
        <v>3.3000000000000003</v>
      </c>
      <c r="AY455" s="39">
        <f t="shared" si="503"/>
        <v>3.3000000000000003</v>
      </c>
      <c r="AZ455" s="39">
        <f t="shared" si="504"/>
        <v>0.388764130480721</v>
      </c>
      <c r="BA455" s="39">
        <f t="shared" si="505"/>
        <v>0.43616809618932528</v>
      </c>
      <c r="BB455" s="39">
        <f t="shared" si="506"/>
        <v>0.4052478770932918</v>
      </c>
      <c r="BC455" s="39">
        <f t="shared" si="507"/>
        <v>0.4951410568956009</v>
      </c>
      <c r="BD455" s="39">
        <f t="shared" si="508"/>
        <v>0.50630489991555594</v>
      </c>
      <c r="BE455" s="39">
        <f t="shared" si="509"/>
        <v>0.5284800732000684</v>
      </c>
      <c r="BF455" s="39">
        <f t="shared" si="510"/>
        <v>0.49061978370689829</v>
      </c>
      <c r="BG455" s="39">
        <f t="shared" si="511"/>
        <v>4.9274082518538799E-2</v>
      </c>
      <c r="BH455" s="84">
        <f t="shared" si="512"/>
        <v>0</v>
      </c>
      <c r="BI455" s="84">
        <f t="shared" si="513"/>
        <v>0</v>
      </c>
      <c r="BJ455" s="84">
        <f t="shared" si="514"/>
        <v>0</v>
      </c>
      <c r="BK455" s="39">
        <f t="shared" si="515"/>
        <v>62.652214601016972</v>
      </c>
      <c r="BL455" s="39">
        <f t="shared" si="516"/>
        <v>74.633663350783664</v>
      </c>
      <c r="BM455" s="39">
        <f t="shared" si="517"/>
        <v>70.036680886928963</v>
      </c>
      <c r="BN455" s="39">
        <f t="shared" si="518"/>
        <v>86.586789469331634</v>
      </c>
      <c r="BO455" s="39">
        <f t="shared" si="519"/>
        <v>84.524438211793765</v>
      </c>
      <c r="BP455" s="39">
        <f t="shared" si="520"/>
        <v>77.386926183627253</v>
      </c>
      <c r="BQ455" s="39">
        <f t="shared" si="521"/>
        <v>74.207048719471842</v>
      </c>
      <c r="BR455" s="39">
        <f t="shared" si="522"/>
        <v>42.328554250740432</v>
      </c>
      <c r="BS455" s="39">
        <f t="shared" si="523"/>
        <v>1.5913287606101831</v>
      </c>
      <c r="BT455" s="39">
        <f t="shared" si="524"/>
        <v>5.1801980104701979</v>
      </c>
      <c r="BU455" s="39">
        <f t="shared" si="525"/>
        <v>3.6220085321573858</v>
      </c>
      <c r="BV455" s="39">
        <f t="shared" si="526"/>
        <v>0</v>
      </c>
      <c r="BW455" s="39">
        <f t="shared" si="527"/>
        <v>0.31466292707626736</v>
      </c>
      <c r="BX455" s="39">
        <f t="shared" si="528"/>
        <v>1.4321557101763431</v>
      </c>
      <c r="BY455" s="39">
        <f t="shared" si="529"/>
        <v>0</v>
      </c>
      <c r="BZ455" s="39">
        <f t="shared" si="530"/>
        <v>0</v>
      </c>
      <c r="CA455" s="39">
        <f t="shared" si="531"/>
        <v>61.06088584040679</v>
      </c>
      <c r="CB455" s="39">
        <f t="shared" si="532"/>
        <v>71.044794100923653</v>
      </c>
      <c r="CC455" s="39">
        <f t="shared" si="533"/>
        <v>71.594870365241775</v>
      </c>
      <c r="CD455" s="39">
        <f t="shared" si="534"/>
        <v>90.208798001489015</v>
      </c>
      <c r="CE455" s="39">
        <f t="shared" si="535"/>
        <v>84.209775284717495</v>
      </c>
      <c r="CF455" s="39">
        <f t="shared" si="536"/>
        <v>76.269433400527177</v>
      </c>
      <c r="CG455" s="39">
        <f t="shared" si="537"/>
        <v>75.639204429648188</v>
      </c>
      <c r="CH455" s="39">
        <f t="shared" si="538"/>
        <v>42.328554250740432</v>
      </c>
      <c r="CI455" s="39">
        <f t="shared" si="539"/>
        <v>0</v>
      </c>
      <c r="CJ455" s="39">
        <f t="shared" si="540"/>
        <v>0</v>
      </c>
      <c r="CK455" s="39">
        <f t="shared" si="541"/>
        <v>0</v>
      </c>
      <c r="CL455" s="39">
        <f t="shared" si="542"/>
        <v>0</v>
      </c>
      <c r="CM455" s="39">
        <f t="shared" si="543"/>
        <v>0</v>
      </c>
      <c r="CN455" s="39">
        <f t="shared" si="544"/>
        <v>0</v>
      </c>
      <c r="CO455" s="39">
        <f t="shared" si="545"/>
        <v>0</v>
      </c>
      <c r="CP455" s="39">
        <f t="shared" si="546"/>
        <v>0</v>
      </c>
    </row>
    <row r="456" spans="12:94" ht="16" customHeight="1" x14ac:dyDescent="0.2">
      <c r="L456" s="63">
        <v>30768</v>
      </c>
      <c r="M456" s="38">
        <v>1.9</v>
      </c>
      <c r="N456" s="38">
        <v>2.5</v>
      </c>
      <c r="O456" s="39">
        <v>2.3664000000000001</v>
      </c>
      <c r="P456" s="39">
        <v>1.1000000000000001</v>
      </c>
      <c r="Q456" s="46">
        <f t="shared" si="477"/>
        <v>8.7038744918094352E-2</v>
      </c>
      <c r="R456" s="81">
        <f t="shared" si="478"/>
        <v>0</v>
      </c>
      <c r="S456" s="82">
        <f t="shared" si="479"/>
        <v>1.9</v>
      </c>
      <c r="T456" s="39">
        <f t="shared" si="480"/>
        <v>0</v>
      </c>
      <c r="U456" s="83">
        <f t="shared" si="481"/>
        <v>2.75</v>
      </c>
      <c r="V456" s="84">
        <f t="shared" si="482"/>
        <v>0</v>
      </c>
      <c r="W456" s="52">
        <f t="shared" si="483"/>
        <v>144.90934830806123</v>
      </c>
      <c r="X456" s="52">
        <f t="shared" si="484"/>
        <v>137.44696736563327</v>
      </c>
      <c r="Y456" s="52">
        <f t="shared" si="485"/>
        <v>282.3563156736945</v>
      </c>
      <c r="Z456" s="53">
        <f t="shared" si="486"/>
        <v>1.1321042836567283</v>
      </c>
      <c r="AA456" s="53">
        <f t="shared" si="487"/>
        <v>0.81813671050972181</v>
      </c>
      <c r="AB456" s="53">
        <f t="shared" si="488"/>
        <v>0.95390647187058952</v>
      </c>
      <c r="AC456" s="39" t="str">
        <f t="shared" si="489"/>
        <v>No</v>
      </c>
      <c r="AD456" s="85">
        <f t="shared" si="490"/>
        <v>0</v>
      </c>
      <c r="AE456" s="46">
        <f t="shared" si="491"/>
        <v>0</v>
      </c>
      <c r="AF456" s="46">
        <f t="shared" si="492"/>
        <v>2.1257999999999999</v>
      </c>
      <c r="AG456" s="39">
        <f t="shared" si="547"/>
        <v>61.06088584040679</v>
      </c>
      <c r="AH456" s="39">
        <f t="shared" si="548"/>
        <v>71.044794100923653</v>
      </c>
      <c r="AI456" s="39">
        <f t="shared" si="549"/>
        <v>71.594870365241775</v>
      </c>
      <c r="AJ456" s="39">
        <f t="shared" si="550"/>
        <v>90.208798001489015</v>
      </c>
      <c r="AK456" s="39">
        <f t="shared" si="551"/>
        <v>84.209775284717495</v>
      </c>
      <c r="AL456" s="39">
        <f t="shared" si="552"/>
        <v>76.269433400527177</v>
      </c>
      <c r="AM456" s="39">
        <f t="shared" si="553"/>
        <v>75.639204429648188</v>
      </c>
      <c r="AN456" s="39">
        <f t="shared" si="554"/>
        <v>42.328554250740432</v>
      </c>
      <c r="AO456" s="39">
        <f t="shared" si="493"/>
        <v>3.1060885840406791</v>
      </c>
      <c r="AP456" s="39">
        <f t="shared" si="494"/>
        <v>3.3044794100923656</v>
      </c>
      <c r="AQ456" s="39">
        <f t="shared" si="495"/>
        <v>3.5594870365241791</v>
      </c>
      <c r="AR456" s="39">
        <f t="shared" si="496"/>
        <v>4.5208798001489008</v>
      </c>
      <c r="AS456" s="39">
        <f t="shared" si="497"/>
        <v>4.2209775284717503</v>
      </c>
      <c r="AT456" s="39">
        <f t="shared" si="498"/>
        <v>4.3269433400527175</v>
      </c>
      <c r="AU456" s="39">
        <f t="shared" si="499"/>
        <v>4.2639204429648183</v>
      </c>
      <c r="AV456" s="39">
        <f t="shared" si="500"/>
        <v>0.4143901162333678</v>
      </c>
      <c r="AW456" s="39">
        <f t="shared" si="501"/>
        <v>27.717166258528778</v>
      </c>
      <c r="AX456" s="39">
        <f t="shared" si="502"/>
        <v>2.75</v>
      </c>
      <c r="AY456" s="39">
        <f t="shared" si="503"/>
        <v>0.85000000000000009</v>
      </c>
      <c r="AZ456" s="39">
        <f t="shared" si="504"/>
        <v>9.5254156641001342E-2</v>
      </c>
      <c r="BA456" s="39">
        <f t="shared" si="505"/>
        <v>0.10133819137135711</v>
      </c>
      <c r="BB456" s="39">
        <f t="shared" si="506"/>
        <v>0.10915848874394091</v>
      </c>
      <c r="BC456" s="39">
        <f t="shared" si="507"/>
        <v>0.1386414395426922</v>
      </c>
      <c r="BD456" s="39">
        <f t="shared" si="508"/>
        <v>0.12944436187075892</v>
      </c>
      <c r="BE456" s="39">
        <f t="shared" si="509"/>
        <v>0.13269400647741517</v>
      </c>
      <c r="BF456" s="39">
        <f t="shared" si="510"/>
        <v>0.13076128860773645</v>
      </c>
      <c r="BG456" s="39">
        <f t="shared" si="511"/>
        <v>1.2708066745098027E-2</v>
      </c>
      <c r="BH456" s="84">
        <f t="shared" si="512"/>
        <v>0</v>
      </c>
      <c r="BI456" s="84">
        <f t="shared" si="513"/>
        <v>0</v>
      </c>
      <c r="BJ456" s="84">
        <f t="shared" si="514"/>
        <v>0</v>
      </c>
      <c r="BK456" s="39">
        <f t="shared" si="515"/>
        <v>60.965631683765785</v>
      </c>
      <c r="BL456" s="39">
        <f t="shared" si="516"/>
        <v>70.943455909552299</v>
      </c>
      <c r="BM456" s="39">
        <f t="shared" si="517"/>
        <v>71.485711876497831</v>
      </c>
      <c r="BN456" s="39">
        <f t="shared" si="518"/>
        <v>90.07015656194632</v>
      </c>
      <c r="BO456" s="39">
        <f t="shared" si="519"/>
        <v>84.080330922846741</v>
      </c>
      <c r="BP456" s="39">
        <f t="shared" si="520"/>
        <v>76.136739394049755</v>
      </c>
      <c r="BQ456" s="39">
        <f t="shared" si="521"/>
        <v>75.508443141040459</v>
      </c>
      <c r="BR456" s="39">
        <f t="shared" si="522"/>
        <v>42.315846183995333</v>
      </c>
      <c r="BS456" s="39">
        <f t="shared" si="523"/>
        <v>0.57937901025947125</v>
      </c>
      <c r="BT456" s="39">
        <f t="shared" si="524"/>
        <v>2.9660735457313789</v>
      </c>
      <c r="BU456" s="39">
        <f t="shared" si="525"/>
        <v>4.4914271258987073</v>
      </c>
      <c r="BV456" s="39">
        <f t="shared" si="526"/>
        <v>1.8420939371677831</v>
      </c>
      <c r="BW456" s="39">
        <f t="shared" si="527"/>
        <v>4.8198553708053281E-2</v>
      </c>
      <c r="BX456" s="39">
        <f t="shared" si="528"/>
        <v>0.68204363642984445</v>
      </c>
      <c r="BY456" s="39">
        <f t="shared" si="529"/>
        <v>0.30506588462426693</v>
      </c>
      <c r="BZ456" s="39">
        <f t="shared" si="530"/>
        <v>0</v>
      </c>
      <c r="CA456" s="39">
        <f t="shared" si="531"/>
        <v>61.43625267350631</v>
      </c>
      <c r="CB456" s="39">
        <f t="shared" si="532"/>
        <v>68.556761374080395</v>
      </c>
      <c r="CC456" s="39">
        <f t="shared" si="533"/>
        <v>69.960358296330497</v>
      </c>
      <c r="CD456" s="39">
        <f t="shared" si="534"/>
        <v>92.719489750677241</v>
      </c>
      <c r="CE456" s="39">
        <f t="shared" si="535"/>
        <v>85.874226306306483</v>
      </c>
      <c r="CF456" s="39">
        <f t="shared" si="536"/>
        <v>75.502894311327964</v>
      </c>
      <c r="CG456" s="39">
        <f t="shared" si="537"/>
        <v>75.885420892846028</v>
      </c>
      <c r="CH456" s="39">
        <f t="shared" si="538"/>
        <v>42.620912068619603</v>
      </c>
      <c r="CI456" s="39">
        <f t="shared" si="539"/>
        <v>0</v>
      </c>
      <c r="CJ456" s="39">
        <f t="shared" si="540"/>
        <v>0</v>
      </c>
      <c r="CK456" s="39">
        <f t="shared" si="541"/>
        <v>0</v>
      </c>
      <c r="CL456" s="39">
        <f t="shared" si="542"/>
        <v>0</v>
      </c>
      <c r="CM456" s="39">
        <f t="shared" si="543"/>
        <v>0</v>
      </c>
      <c r="CN456" s="39">
        <f t="shared" si="544"/>
        <v>0</v>
      </c>
      <c r="CO456" s="39">
        <f t="shared" si="545"/>
        <v>0</v>
      </c>
      <c r="CP456" s="39">
        <f t="shared" si="546"/>
        <v>0</v>
      </c>
    </row>
    <row r="457" spans="12:94" ht="16" customHeight="1" x14ac:dyDescent="0.2">
      <c r="L457" s="63">
        <v>30769</v>
      </c>
      <c r="M457" s="38">
        <v>1.6</v>
      </c>
      <c r="N457" s="38">
        <v>2.5</v>
      </c>
      <c r="O457" s="39">
        <v>2.3664000000000001</v>
      </c>
      <c r="P457" s="39">
        <v>1.1000000000000001</v>
      </c>
      <c r="Q457" s="46">
        <f t="shared" si="477"/>
        <v>8.6277866202352074E-2</v>
      </c>
      <c r="R457" s="81">
        <f t="shared" si="478"/>
        <v>0</v>
      </c>
      <c r="S457" s="82">
        <f t="shared" si="479"/>
        <v>1.6</v>
      </c>
      <c r="T457" s="39">
        <f t="shared" si="480"/>
        <v>0</v>
      </c>
      <c r="U457" s="83">
        <f t="shared" si="481"/>
        <v>2.75</v>
      </c>
      <c r="V457" s="84">
        <f t="shared" si="482"/>
        <v>0</v>
      </c>
      <c r="W457" s="52">
        <f t="shared" si="483"/>
        <v>143.67286209459445</v>
      </c>
      <c r="X457" s="52">
        <f t="shared" si="484"/>
        <v>138.88345357910003</v>
      </c>
      <c r="Y457" s="52">
        <f t="shared" si="485"/>
        <v>282.55631567369448</v>
      </c>
      <c r="Z457" s="53">
        <f t="shared" si="486"/>
        <v>1.1224442351140191</v>
      </c>
      <c r="AA457" s="53">
        <f t="shared" si="487"/>
        <v>0.82668722368511927</v>
      </c>
      <c r="AB457" s="53">
        <f t="shared" si="488"/>
        <v>0.95458214754626514</v>
      </c>
      <c r="AC457" s="39" t="str">
        <f t="shared" si="489"/>
        <v>No</v>
      </c>
      <c r="AD457" s="85">
        <f t="shared" si="490"/>
        <v>0</v>
      </c>
      <c r="AE457" s="46">
        <f t="shared" si="491"/>
        <v>0</v>
      </c>
      <c r="AF457" s="46">
        <f t="shared" si="492"/>
        <v>2.1257999999999999</v>
      </c>
      <c r="AG457" s="39">
        <f t="shared" si="547"/>
        <v>61.43625267350631</v>
      </c>
      <c r="AH457" s="39">
        <f t="shared" si="548"/>
        <v>68.556761374080395</v>
      </c>
      <c r="AI457" s="39">
        <f t="shared" si="549"/>
        <v>69.960358296330497</v>
      </c>
      <c r="AJ457" s="39">
        <f t="shared" si="550"/>
        <v>92.719489750677241</v>
      </c>
      <c r="AK457" s="39">
        <f t="shared" si="551"/>
        <v>85.874226306306483</v>
      </c>
      <c r="AL457" s="39">
        <f t="shared" si="552"/>
        <v>75.502894311327964</v>
      </c>
      <c r="AM457" s="39">
        <f t="shared" si="553"/>
        <v>75.885420892846028</v>
      </c>
      <c r="AN457" s="39">
        <f t="shared" si="554"/>
        <v>42.620912068619603</v>
      </c>
      <c r="AO457" s="39">
        <f t="shared" si="493"/>
        <v>3.1436252673506311</v>
      </c>
      <c r="AP457" s="39">
        <f t="shared" si="494"/>
        <v>3.0556761374080397</v>
      </c>
      <c r="AQ457" s="39">
        <f t="shared" si="495"/>
        <v>3.3960358296330515</v>
      </c>
      <c r="AR457" s="39">
        <f t="shared" si="496"/>
        <v>4.7719489750677235</v>
      </c>
      <c r="AS457" s="39">
        <f t="shared" si="497"/>
        <v>4.387422630630649</v>
      </c>
      <c r="AT457" s="39">
        <f t="shared" si="498"/>
        <v>4.2502894311327957</v>
      </c>
      <c r="AU457" s="39">
        <f t="shared" si="499"/>
        <v>4.2885420892846025</v>
      </c>
      <c r="AV457" s="39">
        <f t="shared" si="500"/>
        <v>0.44077118586719133</v>
      </c>
      <c r="AW457" s="39">
        <f t="shared" si="501"/>
        <v>27.734311546374684</v>
      </c>
      <c r="AX457" s="39">
        <f t="shared" si="502"/>
        <v>2.75</v>
      </c>
      <c r="AY457" s="39">
        <f t="shared" si="503"/>
        <v>1.1499999999999999</v>
      </c>
      <c r="AZ457" s="39">
        <f t="shared" si="504"/>
        <v>0.13035005579310244</v>
      </c>
      <c r="BA457" s="39">
        <f t="shared" si="505"/>
        <v>0.12670325535730073</v>
      </c>
      <c r="BB457" s="39">
        <f t="shared" si="506"/>
        <v>0.14081623037758484</v>
      </c>
      <c r="BC457" s="39">
        <f t="shared" si="507"/>
        <v>0.19786830879691392</v>
      </c>
      <c r="BD457" s="39">
        <f t="shared" si="508"/>
        <v>0.18192396868364949</v>
      </c>
      <c r="BE457" s="39">
        <f t="shared" si="509"/>
        <v>0.17623775652875839</v>
      </c>
      <c r="BF457" s="39">
        <f t="shared" si="510"/>
        <v>0.17782389854641842</v>
      </c>
      <c r="BG457" s="39">
        <f t="shared" si="511"/>
        <v>1.8276525916271685E-2</v>
      </c>
      <c r="BH457" s="84">
        <f t="shared" si="512"/>
        <v>0</v>
      </c>
      <c r="BI457" s="84">
        <f t="shared" si="513"/>
        <v>0</v>
      </c>
      <c r="BJ457" s="84">
        <f t="shared" si="514"/>
        <v>0</v>
      </c>
      <c r="BK457" s="39">
        <f t="shared" si="515"/>
        <v>61.305902617713208</v>
      </c>
      <c r="BL457" s="39">
        <f t="shared" si="516"/>
        <v>68.430058118723096</v>
      </c>
      <c r="BM457" s="39">
        <f t="shared" si="517"/>
        <v>69.819542065952916</v>
      </c>
      <c r="BN457" s="39">
        <f t="shared" si="518"/>
        <v>92.521621441880328</v>
      </c>
      <c r="BO457" s="39">
        <f t="shared" si="519"/>
        <v>85.692302337622834</v>
      </c>
      <c r="BP457" s="39">
        <f t="shared" si="520"/>
        <v>75.3266565547992</v>
      </c>
      <c r="BQ457" s="39">
        <f t="shared" si="521"/>
        <v>75.707596994299607</v>
      </c>
      <c r="BR457" s="39">
        <f t="shared" si="522"/>
        <v>42.602635542703332</v>
      </c>
      <c r="BS457" s="39">
        <f t="shared" si="523"/>
        <v>0.78354157062792495</v>
      </c>
      <c r="BT457" s="39">
        <f t="shared" si="524"/>
        <v>1.4580348712338576</v>
      </c>
      <c r="BU457" s="39">
        <f t="shared" si="525"/>
        <v>3.4917252395717582</v>
      </c>
      <c r="BV457" s="39">
        <f t="shared" si="526"/>
        <v>3.312972865128188</v>
      </c>
      <c r="BW457" s="39">
        <f t="shared" si="527"/>
        <v>1.0153814025737091</v>
      </c>
      <c r="BX457" s="39">
        <f t="shared" si="528"/>
        <v>0.19599393287951158</v>
      </c>
      <c r="BY457" s="39">
        <f t="shared" si="529"/>
        <v>0.42455819657975552</v>
      </c>
      <c r="BZ457" s="39">
        <f t="shared" si="530"/>
        <v>0</v>
      </c>
      <c r="CA457" s="39">
        <f t="shared" si="531"/>
        <v>60.972361047085286</v>
      </c>
      <c r="CB457" s="39">
        <f t="shared" si="532"/>
        <v>67.755564818117165</v>
      </c>
      <c r="CC457" s="39">
        <f t="shared" si="533"/>
        <v>67.785851697615016</v>
      </c>
      <c r="CD457" s="39">
        <f t="shared" si="534"/>
        <v>92.700373816323903</v>
      </c>
      <c r="CE457" s="39">
        <f t="shared" si="535"/>
        <v>87.989893800177313</v>
      </c>
      <c r="CF457" s="39">
        <f t="shared" si="536"/>
        <v>76.146044024493392</v>
      </c>
      <c r="CG457" s="39">
        <f t="shared" si="537"/>
        <v>75.479032730599371</v>
      </c>
      <c r="CH457" s="39">
        <f t="shared" si="538"/>
        <v>43.027193739283085</v>
      </c>
      <c r="CI457" s="39">
        <f t="shared" si="539"/>
        <v>0</v>
      </c>
      <c r="CJ457" s="39">
        <f t="shared" si="540"/>
        <v>0</v>
      </c>
      <c r="CK457" s="39">
        <f t="shared" si="541"/>
        <v>0</v>
      </c>
      <c r="CL457" s="39">
        <f t="shared" si="542"/>
        <v>0</v>
      </c>
      <c r="CM457" s="39">
        <f t="shared" si="543"/>
        <v>0</v>
      </c>
      <c r="CN457" s="39">
        <f t="shared" si="544"/>
        <v>0</v>
      </c>
      <c r="CO457" s="39">
        <f t="shared" si="545"/>
        <v>0</v>
      </c>
      <c r="CP457" s="39">
        <f t="shared" si="546"/>
        <v>0</v>
      </c>
    </row>
    <row r="458" spans="12:94" ht="16" customHeight="1" x14ac:dyDescent="0.2">
      <c r="L458" s="63">
        <v>30770</v>
      </c>
      <c r="M458" s="38">
        <v>0</v>
      </c>
      <c r="N458" s="38">
        <v>1.2</v>
      </c>
      <c r="O458" s="39">
        <v>2.3664000000000001</v>
      </c>
      <c r="P458" s="39">
        <v>1.1000000000000001</v>
      </c>
      <c r="Q458" s="46">
        <f t="shared" si="477"/>
        <v>8.7218187066719008E-2</v>
      </c>
      <c r="R458" s="81">
        <f t="shared" si="478"/>
        <v>0</v>
      </c>
      <c r="S458" s="82">
        <f t="shared" si="479"/>
        <v>0</v>
      </c>
      <c r="T458" s="39">
        <f t="shared" si="480"/>
        <v>0</v>
      </c>
      <c r="U458" s="83">
        <f t="shared" si="481"/>
        <v>1.32</v>
      </c>
      <c r="V458" s="84">
        <f t="shared" si="482"/>
        <v>0</v>
      </c>
      <c r="W458" s="52">
        <f t="shared" si="483"/>
        <v>140.21415137914136</v>
      </c>
      <c r="X458" s="52">
        <f t="shared" si="484"/>
        <v>141.64216429455314</v>
      </c>
      <c r="Y458" s="52">
        <f t="shared" si="485"/>
        <v>281.8563156736945</v>
      </c>
      <c r="Z458" s="53">
        <f t="shared" si="486"/>
        <v>1.0954230576495418</v>
      </c>
      <c r="AA458" s="53">
        <f t="shared" si="487"/>
        <v>0.84310812080091158</v>
      </c>
      <c r="AB458" s="53">
        <f t="shared" si="488"/>
        <v>0.95221728268140038</v>
      </c>
      <c r="AC458" s="39" t="str">
        <f t="shared" si="489"/>
        <v>No</v>
      </c>
      <c r="AD458" s="85">
        <f t="shared" si="490"/>
        <v>0</v>
      </c>
      <c r="AE458" s="46">
        <f t="shared" si="491"/>
        <v>0</v>
      </c>
      <c r="AF458" s="46">
        <f t="shared" si="492"/>
        <v>2.1257999999999999</v>
      </c>
      <c r="AG458" s="39">
        <f t="shared" si="547"/>
        <v>60.972361047085286</v>
      </c>
      <c r="AH458" s="39">
        <f t="shared" si="548"/>
        <v>67.755564818117165</v>
      </c>
      <c r="AI458" s="39">
        <f t="shared" si="549"/>
        <v>67.785851697615016</v>
      </c>
      <c r="AJ458" s="39">
        <f t="shared" si="550"/>
        <v>92.700373816323903</v>
      </c>
      <c r="AK458" s="39">
        <f t="shared" si="551"/>
        <v>87.989893800177313</v>
      </c>
      <c r="AL458" s="39">
        <f t="shared" si="552"/>
        <v>76.146044024493392</v>
      </c>
      <c r="AM458" s="39">
        <f t="shared" si="553"/>
        <v>75.479032730599371</v>
      </c>
      <c r="AN458" s="39">
        <f t="shared" si="554"/>
        <v>43.027193739283085</v>
      </c>
      <c r="AO458" s="39">
        <f t="shared" si="493"/>
        <v>3.0972361047085286</v>
      </c>
      <c r="AP458" s="39">
        <f t="shared" si="494"/>
        <v>2.9755564818117168</v>
      </c>
      <c r="AQ458" s="39">
        <f t="shared" si="495"/>
        <v>3.1785851697615031</v>
      </c>
      <c r="AR458" s="39">
        <f t="shared" si="496"/>
        <v>4.77003738163239</v>
      </c>
      <c r="AS458" s="39">
        <f t="shared" si="497"/>
        <v>4.5989893800177324</v>
      </c>
      <c r="AT458" s="39">
        <f t="shared" si="498"/>
        <v>4.3146044024493388</v>
      </c>
      <c r="AU458" s="39">
        <f t="shared" si="499"/>
        <v>4.2479032730599364</v>
      </c>
      <c r="AV458" s="39">
        <f t="shared" si="500"/>
        <v>0.47878387754817969</v>
      </c>
      <c r="AW458" s="39">
        <f t="shared" si="501"/>
        <v>27.661696070989322</v>
      </c>
      <c r="AX458" s="39">
        <f t="shared" si="502"/>
        <v>1.32</v>
      </c>
      <c r="AY458" s="39">
        <f t="shared" si="503"/>
        <v>1.32</v>
      </c>
      <c r="AZ458" s="39">
        <f t="shared" si="504"/>
        <v>0.14779830013760389</v>
      </c>
      <c r="BA458" s="39">
        <f t="shared" si="505"/>
        <v>0.14199181951502771</v>
      </c>
      <c r="BB458" s="39">
        <f t="shared" si="506"/>
        <v>0.15168023006678649</v>
      </c>
      <c r="BC458" s="39">
        <f t="shared" si="507"/>
        <v>0.22762340124032612</v>
      </c>
      <c r="BD458" s="39">
        <f t="shared" si="508"/>
        <v>0.21946109038448014</v>
      </c>
      <c r="BE458" s="39">
        <f t="shared" si="509"/>
        <v>0.20589040515148122</v>
      </c>
      <c r="BF458" s="39">
        <f t="shared" si="510"/>
        <v>0.20270746616726071</v>
      </c>
      <c r="BG458" s="39">
        <f t="shared" si="511"/>
        <v>2.2847287337033988E-2</v>
      </c>
      <c r="BH458" s="84">
        <f t="shared" si="512"/>
        <v>0</v>
      </c>
      <c r="BI458" s="84">
        <f t="shared" si="513"/>
        <v>0</v>
      </c>
      <c r="BJ458" s="84">
        <f t="shared" si="514"/>
        <v>0</v>
      </c>
      <c r="BK458" s="39">
        <f t="shared" si="515"/>
        <v>60.824562746947684</v>
      </c>
      <c r="BL458" s="39">
        <f t="shared" si="516"/>
        <v>67.613572998602137</v>
      </c>
      <c r="BM458" s="39">
        <f t="shared" si="517"/>
        <v>67.634171467548228</v>
      </c>
      <c r="BN458" s="39">
        <f t="shared" si="518"/>
        <v>92.472750415083581</v>
      </c>
      <c r="BO458" s="39">
        <f t="shared" si="519"/>
        <v>87.770432709792829</v>
      </c>
      <c r="BP458" s="39">
        <f t="shared" si="520"/>
        <v>75.940153619341913</v>
      </c>
      <c r="BQ458" s="39">
        <f t="shared" si="521"/>
        <v>75.276325264432117</v>
      </c>
      <c r="BR458" s="39">
        <f t="shared" si="522"/>
        <v>43.004346451946049</v>
      </c>
      <c r="BS458" s="39">
        <f t="shared" si="523"/>
        <v>0.4947376481686106</v>
      </c>
      <c r="BT458" s="39">
        <f t="shared" si="524"/>
        <v>0.96814379916128246</v>
      </c>
      <c r="BU458" s="39">
        <f t="shared" si="525"/>
        <v>2.180502880528945</v>
      </c>
      <c r="BV458" s="39">
        <f t="shared" si="526"/>
        <v>3.2836502490501402</v>
      </c>
      <c r="BW458" s="39">
        <f t="shared" si="527"/>
        <v>2.2622596258757057</v>
      </c>
      <c r="BX458" s="39">
        <f t="shared" si="528"/>
        <v>0.56409217160513947</v>
      </c>
      <c r="BY458" s="39">
        <f t="shared" si="529"/>
        <v>0.16579515865926167</v>
      </c>
      <c r="BZ458" s="39">
        <f t="shared" si="530"/>
        <v>0</v>
      </c>
      <c r="CA458" s="39">
        <f t="shared" si="531"/>
        <v>60.329825098779075</v>
      </c>
      <c r="CB458" s="39">
        <f t="shared" si="532"/>
        <v>67.140166847609464</v>
      </c>
      <c r="CC458" s="39">
        <f t="shared" si="533"/>
        <v>66.421812386180562</v>
      </c>
      <c r="CD458" s="39">
        <f t="shared" si="534"/>
        <v>91.369603046562389</v>
      </c>
      <c r="CE458" s="39">
        <f t="shared" si="535"/>
        <v>88.791823332967269</v>
      </c>
      <c r="CF458" s="39">
        <f t="shared" si="536"/>
        <v>77.638321073612474</v>
      </c>
      <c r="CG458" s="39">
        <f t="shared" si="537"/>
        <v>75.674622277377992</v>
      </c>
      <c r="CH458" s="39">
        <f t="shared" si="538"/>
        <v>43.170141610605313</v>
      </c>
      <c r="CI458" s="39">
        <f t="shared" si="539"/>
        <v>0</v>
      </c>
      <c r="CJ458" s="39">
        <f t="shared" si="540"/>
        <v>0</v>
      </c>
      <c r="CK458" s="39">
        <f t="shared" si="541"/>
        <v>0</v>
      </c>
      <c r="CL458" s="39">
        <f t="shared" si="542"/>
        <v>0</v>
      </c>
      <c r="CM458" s="39">
        <f t="shared" si="543"/>
        <v>0</v>
      </c>
      <c r="CN458" s="39">
        <f t="shared" si="544"/>
        <v>0</v>
      </c>
      <c r="CO458" s="39">
        <f t="shared" si="545"/>
        <v>0</v>
      </c>
      <c r="CP458" s="39">
        <f t="shared" si="546"/>
        <v>0</v>
      </c>
    </row>
    <row r="459" spans="12:94" ht="16" customHeight="1" x14ac:dyDescent="0.2">
      <c r="L459" s="63">
        <v>30771</v>
      </c>
      <c r="M459" s="38">
        <v>8</v>
      </c>
      <c r="N459" s="38">
        <v>1.4</v>
      </c>
      <c r="O459" s="39">
        <v>2.3664000000000001</v>
      </c>
      <c r="P459" s="39">
        <v>1.1000000000000001</v>
      </c>
      <c r="Q459" s="46">
        <f t="shared" si="477"/>
        <v>8.8520624799772143E-2</v>
      </c>
      <c r="R459" s="81">
        <f t="shared" si="478"/>
        <v>2.1365990822606297E-2</v>
      </c>
      <c r="S459" s="82">
        <f t="shared" si="479"/>
        <v>7.9786340091773935</v>
      </c>
      <c r="T459" s="39">
        <f t="shared" si="480"/>
        <v>0</v>
      </c>
      <c r="U459" s="83">
        <f t="shared" si="481"/>
        <v>1.54</v>
      </c>
      <c r="V459" s="84">
        <f t="shared" si="482"/>
        <v>0</v>
      </c>
      <c r="W459" s="52">
        <f t="shared" si="483"/>
        <v>136.26140737913147</v>
      </c>
      <c r="X459" s="52">
        <f t="shared" si="484"/>
        <v>144.27490829456303</v>
      </c>
      <c r="Y459" s="52">
        <f t="shared" si="485"/>
        <v>280.5363156736945</v>
      </c>
      <c r="Z459" s="53">
        <f t="shared" si="486"/>
        <v>1.0645422451494646</v>
      </c>
      <c r="AA459" s="53">
        <f t="shared" si="487"/>
        <v>0.85877921603906571</v>
      </c>
      <c r="AB459" s="53">
        <f t="shared" si="488"/>
        <v>0.94775782322194091</v>
      </c>
      <c r="AC459" s="39" t="str">
        <f t="shared" si="489"/>
        <v>No</v>
      </c>
      <c r="AD459" s="85">
        <f t="shared" si="490"/>
        <v>0</v>
      </c>
      <c r="AE459" s="46">
        <f t="shared" si="491"/>
        <v>0</v>
      </c>
      <c r="AF459" s="46">
        <f t="shared" si="492"/>
        <v>2.1257999999999999</v>
      </c>
      <c r="AG459" s="39">
        <f t="shared" si="547"/>
        <v>60.329825098779075</v>
      </c>
      <c r="AH459" s="39">
        <f t="shared" si="548"/>
        <v>67.140166847609464</v>
      </c>
      <c r="AI459" s="39">
        <f t="shared" si="549"/>
        <v>66.421812386180562</v>
      </c>
      <c r="AJ459" s="39">
        <f t="shared" si="550"/>
        <v>91.369603046562389</v>
      </c>
      <c r="AK459" s="39">
        <f t="shared" si="551"/>
        <v>88.791823332967269</v>
      </c>
      <c r="AL459" s="39">
        <f t="shared" si="552"/>
        <v>77.638321073612474</v>
      </c>
      <c r="AM459" s="39">
        <f t="shared" si="553"/>
        <v>75.674622277377992</v>
      </c>
      <c r="AN459" s="39">
        <f t="shared" si="554"/>
        <v>43.170141610605313</v>
      </c>
      <c r="AO459" s="39">
        <f t="shared" si="493"/>
        <v>3.0329825098779075</v>
      </c>
      <c r="AP459" s="39">
        <f t="shared" si="494"/>
        <v>2.9140166847609468</v>
      </c>
      <c r="AQ459" s="39">
        <f t="shared" si="495"/>
        <v>3.042181238618058</v>
      </c>
      <c r="AR459" s="39">
        <f t="shared" si="496"/>
        <v>4.6369603046562382</v>
      </c>
      <c r="AS459" s="39">
        <f t="shared" si="497"/>
        <v>4.6791823332967279</v>
      </c>
      <c r="AT459" s="39">
        <f t="shared" si="498"/>
        <v>4.463832107361247</v>
      </c>
      <c r="AU459" s="39">
        <f t="shared" si="499"/>
        <v>4.2674622277377985</v>
      </c>
      <c r="AV459" s="39">
        <f t="shared" si="500"/>
        <v>0.49253228752269274</v>
      </c>
      <c r="AW459" s="39">
        <f t="shared" si="501"/>
        <v>27.529149693831616</v>
      </c>
      <c r="AX459" s="39">
        <f t="shared" si="502"/>
        <v>1.54</v>
      </c>
      <c r="AY459" s="39">
        <f t="shared" si="503"/>
        <v>0</v>
      </c>
      <c r="AZ459" s="39">
        <f t="shared" si="504"/>
        <v>0</v>
      </c>
      <c r="BA459" s="39">
        <f t="shared" si="505"/>
        <v>0</v>
      </c>
      <c r="BB459" s="39">
        <f t="shared" si="506"/>
        <v>0</v>
      </c>
      <c r="BC459" s="39">
        <f t="shared" si="507"/>
        <v>0</v>
      </c>
      <c r="BD459" s="39">
        <f t="shared" si="508"/>
        <v>0</v>
      </c>
      <c r="BE459" s="39">
        <f t="shared" si="509"/>
        <v>0</v>
      </c>
      <c r="BF459" s="39">
        <f t="shared" si="510"/>
        <v>0</v>
      </c>
      <c r="BG459" s="39">
        <f t="shared" si="511"/>
        <v>0</v>
      </c>
      <c r="BH459" s="84">
        <f t="shared" si="512"/>
        <v>0</v>
      </c>
      <c r="BI459" s="84">
        <f t="shared" si="513"/>
        <v>0</v>
      </c>
      <c r="BJ459" s="84">
        <f t="shared" si="514"/>
        <v>0</v>
      </c>
      <c r="BK459" s="39">
        <f t="shared" si="515"/>
        <v>60.329825098779075</v>
      </c>
      <c r="BL459" s="39">
        <f t="shared" si="516"/>
        <v>67.140166847609464</v>
      </c>
      <c r="BM459" s="39">
        <f t="shared" si="517"/>
        <v>66.421812386180562</v>
      </c>
      <c r="BN459" s="39">
        <f t="shared" si="518"/>
        <v>91.369603046562389</v>
      </c>
      <c r="BO459" s="39">
        <f t="shared" si="519"/>
        <v>88.791823332967269</v>
      </c>
      <c r="BP459" s="39">
        <f t="shared" si="520"/>
        <v>77.638321073612474</v>
      </c>
      <c r="BQ459" s="39">
        <f t="shared" si="521"/>
        <v>75.674622277377992</v>
      </c>
      <c r="BR459" s="39">
        <f t="shared" si="522"/>
        <v>43.170141610605313</v>
      </c>
      <c r="BS459" s="39">
        <f t="shared" si="523"/>
        <v>0.19789505926744511</v>
      </c>
      <c r="BT459" s="39">
        <f t="shared" si="524"/>
        <v>0.68410010856567849</v>
      </c>
      <c r="BU459" s="39">
        <f t="shared" si="525"/>
        <v>1.4530874317083458</v>
      </c>
      <c r="BV459" s="39">
        <f t="shared" si="526"/>
        <v>2.6217618279374251</v>
      </c>
      <c r="BW459" s="39">
        <f t="shared" si="527"/>
        <v>2.8750939997803697</v>
      </c>
      <c r="BX459" s="39">
        <f t="shared" si="528"/>
        <v>1.5829926441674758</v>
      </c>
      <c r="BY459" s="39">
        <f t="shared" si="529"/>
        <v>0.40477336642678663</v>
      </c>
      <c r="BZ459" s="39">
        <f t="shared" si="530"/>
        <v>0</v>
      </c>
      <c r="CA459" s="39">
        <f t="shared" si="531"/>
        <v>68.110564048689028</v>
      </c>
      <c r="CB459" s="39">
        <f t="shared" si="532"/>
        <v>66.653961798311229</v>
      </c>
      <c r="CC459" s="39">
        <f t="shared" si="533"/>
        <v>65.652825063037895</v>
      </c>
      <c r="CD459" s="39">
        <f t="shared" si="534"/>
        <v>90.20092865033331</v>
      </c>
      <c r="CE459" s="39">
        <f t="shared" si="535"/>
        <v>88.538491161124313</v>
      </c>
      <c r="CF459" s="39">
        <f t="shared" si="536"/>
        <v>78.930422429225374</v>
      </c>
      <c r="CG459" s="39">
        <f t="shared" si="537"/>
        <v>76.852841555118687</v>
      </c>
      <c r="CH459" s="39">
        <f t="shared" si="538"/>
        <v>43.574914977032101</v>
      </c>
      <c r="CI459" s="39">
        <f t="shared" si="539"/>
        <v>0</v>
      </c>
      <c r="CJ459" s="39">
        <f t="shared" si="540"/>
        <v>0</v>
      </c>
      <c r="CK459" s="39">
        <f t="shared" si="541"/>
        <v>0</v>
      </c>
      <c r="CL459" s="39">
        <f t="shared" si="542"/>
        <v>0</v>
      </c>
      <c r="CM459" s="39">
        <f t="shared" si="543"/>
        <v>0</v>
      </c>
      <c r="CN459" s="39">
        <f t="shared" si="544"/>
        <v>0</v>
      </c>
      <c r="CO459" s="39">
        <f t="shared" si="545"/>
        <v>0</v>
      </c>
      <c r="CP459" s="39">
        <f t="shared" si="546"/>
        <v>0</v>
      </c>
    </row>
    <row r="460" spans="12:94" ht="16" customHeight="1" x14ac:dyDescent="0.2">
      <c r="L460" s="63">
        <v>30772</v>
      </c>
      <c r="M460" s="38">
        <v>34.1</v>
      </c>
      <c r="N460" s="38">
        <v>0.7</v>
      </c>
      <c r="O460" s="39">
        <v>2.3664000000000001</v>
      </c>
      <c r="P460" s="39">
        <v>1.1000000000000001</v>
      </c>
      <c r="Q460" s="46">
        <f t="shared" si="477"/>
        <v>7.2748856658062772E-2</v>
      </c>
      <c r="R460" s="81">
        <f t="shared" si="478"/>
        <v>7.8204094910059041</v>
      </c>
      <c r="S460" s="82">
        <f t="shared" si="479"/>
        <v>26.279590508994097</v>
      </c>
      <c r="T460" s="39">
        <f t="shared" si="480"/>
        <v>0</v>
      </c>
      <c r="U460" s="83">
        <f t="shared" si="481"/>
        <v>0.77</v>
      </c>
      <c r="V460" s="84">
        <f t="shared" si="482"/>
        <v>0</v>
      </c>
      <c r="W460" s="52">
        <f t="shared" si="483"/>
        <v>141.61827956037143</v>
      </c>
      <c r="X460" s="52">
        <f t="shared" si="484"/>
        <v>146.8966701225005</v>
      </c>
      <c r="Y460" s="52">
        <f t="shared" si="485"/>
        <v>288.51494968287193</v>
      </c>
      <c r="Z460" s="53">
        <f t="shared" si="486"/>
        <v>1.1063928090654018</v>
      </c>
      <c r="AA460" s="53">
        <f t="shared" si="487"/>
        <v>0.87438494120536014</v>
      </c>
      <c r="AB460" s="53">
        <f t="shared" si="488"/>
        <v>0.97471266784754029</v>
      </c>
      <c r="AC460" s="39" t="str">
        <f t="shared" si="489"/>
        <v>No</v>
      </c>
      <c r="AD460" s="85">
        <f t="shared" si="490"/>
        <v>0</v>
      </c>
      <c r="AE460" s="46">
        <f t="shared" si="491"/>
        <v>0</v>
      </c>
      <c r="AF460" s="46">
        <f t="shared" si="492"/>
        <v>2.1257999999999999</v>
      </c>
      <c r="AG460" s="39">
        <f t="shared" si="547"/>
        <v>68.110564048689028</v>
      </c>
      <c r="AH460" s="39">
        <f t="shared" si="548"/>
        <v>66.653961798311229</v>
      </c>
      <c r="AI460" s="39">
        <f t="shared" si="549"/>
        <v>65.652825063037895</v>
      </c>
      <c r="AJ460" s="39">
        <f t="shared" si="550"/>
        <v>90.20092865033331</v>
      </c>
      <c r="AK460" s="39">
        <f t="shared" si="551"/>
        <v>88.538491161124313</v>
      </c>
      <c r="AL460" s="39">
        <f t="shared" si="552"/>
        <v>78.930422429225374</v>
      </c>
      <c r="AM460" s="39">
        <f t="shared" si="553"/>
        <v>76.852841555118687</v>
      </c>
      <c r="AN460" s="39">
        <f t="shared" si="554"/>
        <v>43.574914977032101</v>
      </c>
      <c r="AO460" s="39">
        <f t="shared" si="493"/>
        <v>3.8110564048689031</v>
      </c>
      <c r="AP460" s="39">
        <f t="shared" si="494"/>
        <v>2.8653961798311229</v>
      </c>
      <c r="AQ460" s="39">
        <f t="shared" si="495"/>
        <v>2.9652825063037911</v>
      </c>
      <c r="AR460" s="39">
        <f t="shared" si="496"/>
        <v>4.5200928650333303</v>
      </c>
      <c r="AS460" s="39">
        <f t="shared" si="497"/>
        <v>4.6538491161124318</v>
      </c>
      <c r="AT460" s="39">
        <f t="shared" si="498"/>
        <v>4.5930422429225368</v>
      </c>
      <c r="AU460" s="39">
        <f t="shared" si="499"/>
        <v>4.3852841555118678</v>
      </c>
      <c r="AV460" s="39">
        <f t="shared" si="500"/>
        <v>0.53251822272122706</v>
      </c>
      <c r="AW460" s="39">
        <f t="shared" si="501"/>
        <v>28.32652169330521</v>
      </c>
      <c r="AX460" s="39">
        <f t="shared" si="502"/>
        <v>0.77</v>
      </c>
      <c r="AY460" s="39">
        <f t="shared" si="503"/>
        <v>0</v>
      </c>
      <c r="AZ460" s="39">
        <f t="shared" si="504"/>
        <v>0</v>
      </c>
      <c r="BA460" s="39">
        <f t="shared" si="505"/>
        <v>0</v>
      </c>
      <c r="BB460" s="39">
        <f t="shared" si="506"/>
        <v>0</v>
      </c>
      <c r="BC460" s="39">
        <f t="shared" si="507"/>
        <v>0</v>
      </c>
      <c r="BD460" s="39">
        <f t="shared" si="508"/>
        <v>0</v>
      </c>
      <c r="BE460" s="39">
        <f t="shared" si="509"/>
        <v>0</v>
      </c>
      <c r="BF460" s="39">
        <f t="shared" si="510"/>
        <v>0</v>
      </c>
      <c r="BG460" s="39">
        <f t="shared" si="511"/>
        <v>0</v>
      </c>
      <c r="BH460" s="84">
        <f t="shared" si="512"/>
        <v>0</v>
      </c>
      <c r="BI460" s="84">
        <f t="shared" si="513"/>
        <v>0</v>
      </c>
      <c r="BJ460" s="84">
        <f t="shared" si="514"/>
        <v>0</v>
      </c>
      <c r="BK460" s="39">
        <f t="shared" si="515"/>
        <v>68.110564048689028</v>
      </c>
      <c r="BL460" s="39">
        <f t="shared" si="516"/>
        <v>66.653961798311229</v>
      </c>
      <c r="BM460" s="39">
        <f t="shared" si="517"/>
        <v>65.652825063037895</v>
      </c>
      <c r="BN460" s="39">
        <f t="shared" si="518"/>
        <v>90.20092865033331</v>
      </c>
      <c r="BO460" s="39">
        <f t="shared" si="519"/>
        <v>88.538491161124313</v>
      </c>
      <c r="BP460" s="39">
        <f t="shared" si="520"/>
        <v>78.930422429225374</v>
      </c>
      <c r="BQ460" s="39">
        <f t="shared" si="521"/>
        <v>76.852841555118687</v>
      </c>
      <c r="BR460" s="39">
        <f t="shared" si="522"/>
        <v>43.574914977032101</v>
      </c>
      <c r="BS460" s="39">
        <f t="shared" si="523"/>
        <v>4.8663384292134166</v>
      </c>
      <c r="BT460" s="39">
        <f t="shared" si="524"/>
        <v>0.39237707898673763</v>
      </c>
      <c r="BU460" s="39">
        <f t="shared" si="525"/>
        <v>0.99169503782274537</v>
      </c>
      <c r="BV460" s="39">
        <f t="shared" si="526"/>
        <v>1.9205571901999774</v>
      </c>
      <c r="BW460" s="39">
        <f t="shared" si="527"/>
        <v>2.7230946966745959</v>
      </c>
      <c r="BX460" s="39">
        <f t="shared" si="528"/>
        <v>2.3582534575352154</v>
      </c>
      <c r="BY460" s="39">
        <f t="shared" si="529"/>
        <v>1.1117049330712034</v>
      </c>
      <c r="BZ460" s="39">
        <f t="shared" si="530"/>
        <v>0</v>
      </c>
      <c r="CA460" s="39">
        <f t="shared" si="531"/>
        <v>89.523816128469718</v>
      </c>
      <c r="CB460" s="39">
        <f t="shared" si="532"/>
        <v>71.127923148537903</v>
      </c>
      <c r="CC460" s="39">
        <f t="shared" si="533"/>
        <v>65.053507104201884</v>
      </c>
      <c r="CD460" s="39">
        <f t="shared" si="534"/>
        <v>89.272066497956089</v>
      </c>
      <c r="CE460" s="39">
        <f t="shared" si="535"/>
        <v>87.735953654649691</v>
      </c>
      <c r="CF460" s="39">
        <f t="shared" si="536"/>
        <v>79.295263668364754</v>
      </c>
      <c r="CG460" s="39">
        <f t="shared" si="537"/>
        <v>78.09939007958269</v>
      </c>
      <c r="CH460" s="39">
        <f t="shared" si="538"/>
        <v>44.686619910103303</v>
      </c>
      <c r="CI460" s="39">
        <f t="shared" si="539"/>
        <v>0</v>
      </c>
      <c r="CJ460" s="39">
        <f t="shared" si="540"/>
        <v>0</v>
      </c>
      <c r="CK460" s="39">
        <f t="shared" si="541"/>
        <v>0</v>
      </c>
      <c r="CL460" s="39">
        <f t="shared" si="542"/>
        <v>0</v>
      </c>
      <c r="CM460" s="39">
        <f t="shared" si="543"/>
        <v>0</v>
      </c>
      <c r="CN460" s="39">
        <f t="shared" si="544"/>
        <v>0</v>
      </c>
      <c r="CO460" s="39">
        <f t="shared" si="545"/>
        <v>0</v>
      </c>
      <c r="CP460" s="39">
        <f t="shared" si="546"/>
        <v>0</v>
      </c>
    </row>
    <row r="461" spans="12:94" ht="16" customHeight="1" x14ac:dyDescent="0.2">
      <c r="L461" s="63">
        <v>30773</v>
      </c>
      <c r="M461" s="38">
        <v>1</v>
      </c>
      <c r="N461" s="38">
        <v>1.6</v>
      </c>
      <c r="O461" s="39">
        <v>2.3664000000000001</v>
      </c>
      <c r="P461" s="39">
        <v>1.1000000000000001</v>
      </c>
      <c r="Q461" s="46">
        <f t="shared" si="477"/>
        <v>2.9343615955804626E-2</v>
      </c>
      <c r="R461" s="81">
        <f t="shared" si="478"/>
        <v>0</v>
      </c>
      <c r="S461" s="82">
        <f t="shared" si="479"/>
        <v>1</v>
      </c>
      <c r="T461" s="39">
        <f t="shared" si="480"/>
        <v>0</v>
      </c>
      <c r="U461" s="83">
        <f t="shared" si="481"/>
        <v>1.7600000000000002</v>
      </c>
      <c r="V461" s="84">
        <f t="shared" si="482"/>
        <v>0</v>
      </c>
      <c r="W461" s="52">
        <f t="shared" si="483"/>
        <v>165.97731287916559</v>
      </c>
      <c r="X461" s="52">
        <f t="shared" si="484"/>
        <v>148.81722731270042</v>
      </c>
      <c r="Y461" s="52">
        <f t="shared" si="485"/>
        <v>314.79454019186602</v>
      </c>
      <c r="Z461" s="53">
        <f t="shared" si="486"/>
        <v>1.2966977568684812</v>
      </c>
      <c r="AA461" s="53">
        <f t="shared" si="487"/>
        <v>0.88581682924226446</v>
      </c>
      <c r="AB461" s="53">
        <f t="shared" si="488"/>
        <v>1.0634950682157636</v>
      </c>
      <c r="AC461" s="39" t="str">
        <f t="shared" si="489"/>
        <v>No</v>
      </c>
      <c r="AD461" s="85">
        <f t="shared" si="490"/>
        <v>0</v>
      </c>
      <c r="AE461" s="46">
        <f t="shared" si="491"/>
        <v>0</v>
      </c>
      <c r="AF461" s="46">
        <f t="shared" si="492"/>
        <v>2.1257999999999999</v>
      </c>
      <c r="AG461" s="39">
        <f t="shared" si="547"/>
        <v>89.523816128469718</v>
      </c>
      <c r="AH461" s="39">
        <f t="shared" si="548"/>
        <v>71.127923148537903</v>
      </c>
      <c r="AI461" s="39">
        <f t="shared" si="549"/>
        <v>65.053507104201884</v>
      </c>
      <c r="AJ461" s="39">
        <f t="shared" si="550"/>
        <v>89.272066497956089</v>
      </c>
      <c r="AK461" s="39">
        <f t="shared" si="551"/>
        <v>87.735953654649691</v>
      </c>
      <c r="AL461" s="39">
        <f t="shared" si="552"/>
        <v>79.295263668364754</v>
      </c>
      <c r="AM461" s="39">
        <f t="shared" si="553"/>
        <v>78.09939007958269</v>
      </c>
      <c r="AN461" s="39">
        <f t="shared" si="554"/>
        <v>44.686619910103303</v>
      </c>
      <c r="AO461" s="39">
        <f t="shared" si="493"/>
        <v>5.9523816128469722</v>
      </c>
      <c r="AP461" s="39">
        <f t="shared" si="494"/>
        <v>3.3127923148537906</v>
      </c>
      <c r="AQ461" s="39">
        <f t="shared" si="495"/>
        <v>2.9053507104201901</v>
      </c>
      <c r="AR461" s="39">
        <f t="shared" si="496"/>
        <v>4.4272066497956084</v>
      </c>
      <c r="AS461" s="39">
        <f t="shared" si="497"/>
        <v>4.5735953654649704</v>
      </c>
      <c r="AT461" s="39">
        <f t="shared" si="498"/>
        <v>4.6295263668364752</v>
      </c>
      <c r="AU461" s="39">
        <f t="shared" si="499"/>
        <v>4.5099390079582689</v>
      </c>
      <c r="AV461" s="39">
        <f t="shared" si="500"/>
        <v>0.65036707106296554</v>
      </c>
      <c r="AW461" s="39">
        <f t="shared" si="501"/>
        <v>30.961159099239246</v>
      </c>
      <c r="AX461" s="39">
        <f t="shared" si="502"/>
        <v>1.7600000000000002</v>
      </c>
      <c r="AY461" s="39">
        <f t="shared" si="503"/>
        <v>0.76000000000000023</v>
      </c>
      <c r="AZ461" s="39">
        <f t="shared" si="504"/>
        <v>0.14611242464352234</v>
      </c>
      <c r="BA461" s="39">
        <f t="shared" si="505"/>
        <v>8.1318730710916609E-2</v>
      </c>
      <c r="BB461" s="39">
        <f t="shared" si="506"/>
        <v>7.1317308658951334E-2</v>
      </c>
      <c r="BC461" s="39">
        <f t="shared" si="507"/>
        <v>0.10867413080563053</v>
      </c>
      <c r="BD461" s="39">
        <f t="shared" si="508"/>
        <v>0.11226751771831393</v>
      </c>
      <c r="BE461" s="39">
        <f t="shared" si="509"/>
        <v>0.11364044955546172</v>
      </c>
      <c r="BF461" s="39">
        <f t="shared" si="510"/>
        <v>0.11070495245549461</v>
      </c>
      <c r="BG461" s="39">
        <f t="shared" si="511"/>
        <v>1.5964485451709042E-2</v>
      </c>
      <c r="BH461" s="84">
        <f t="shared" si="512"/>
        <v>0</v>
      </c>
      <c r="BI461" s="84">
        <f t="shared" si="513"/>
        <v>0</v>
      </c>
      <c r="BJ461" s="84">
        <f t="shared" si="514"/>
        <v>0</v>
      </c>
      <c r="BK461" s="39">
        <f t="shared" si="515"/>
        <v>89.377703703826199</v>
      </c>
      <c r="BL461" s="39">
        <f t="shared" si="516"/>
        <v>71.046604417826984</v>
      </c>
      <c r="BM461" s="39">
        <f t="shared" si="517"/>
        <v>64.982189795542936</v>
      </c>
      <c r="BN461" s="39">
        <f t="shared" si="518"/>
        <v>89.163392367150465</v>
      </c>
      <c r="BO461" s="39">
        <f t="shared" si="519"/>
        <v>87.623686136931383</v>
      </c>
      <c r="BP461" s="39">
        <f t="shared" si="520"/>
        <v>79.181623218809293</v>
      </c>
      <c r="BQ461" s="39">
        <f t="shared" si="521"/>
        <v>77.988685127127198</v>
      </c>
      <c r="BR461" s="39">
        <f t="shared" si="522"/>
        <v>44.670655424651592</v>
      </c>
      <c r="BS461" s="39">
        <f t="shared" si="523"/>
        <v>17.626622222295719</v>
      </c>
      <c r="BT461" s="39">
        <f t="shared" si="524"/>
        <v>3.0279626506961903</v>
      </c>
      <c r="BU461" s="39">
        <f t="shared" si="525"/>
        <v>0.58931387732577034</v>
      </c>
      <c r="BV461" s="39">
        <f t="shared" si="526"/>
        <v>1.2980354202902702</v>
      </c>
      <c r="BW461" s="39">
        <f t="shared" si="527"/>
        <v>2.174211682158838</v>
      </c>
      <c r="BX461" s="39">
        <f t="shared" si="528"/>
        <v>2.508973931285567</v>
      </c>
      <c r="BY461" s="39">
        <f t="shared" si="529"/>
        <v>1.7932110762763103</v>
      </c>
      <c r="BZ461" s="39">
        <f t="shared" si="530"/>
        <v>0</v>
      </c>
      <c r="CA461" s="39">
        <f t="shared" si="531"/>
        <v>71.991081481530472</v>
      </c>
      <c r="CB461" s="39">
        <f t="shared" si="532"/>
        <v>85.64526398942651</v>
      </c>
      <c r="CC461" s="39">
        <f t="shared" si="533"/>
        <v>67.420838568913368</v>
      </c>
      <c r="CD461" s="39">
        <f t="shared" si="534"/>
        <v>88.454670824185953</v>
      </c>
      <c r="CE461" s="39">
        <f t="shared" si="535"/>
        <v>86.747509875062818</v>
      </c>
      <c r="CF461" s="39">
        <f t="shared" si="536"/>
        <v>78.846860969682567</v>
      </c>
      <c r="CG461" s="39">
        <f t="shared" si="537"/>
        <v>78.704447982136458</v>
      </c>
      <c r="CH461" s="39">
        <f t="shared" si="538"/>
        <v>46.463866500927899</v>
      </c>
      <c r="CI461" s="39">
        <f t="shared" si="539"/>
        <v>0</v>
      </c>
      <c r="CJ461" s="39">
        <f t="shared" si="540"/>
        <v>0</v>
      </c>
      <c r="CK461" s="39">
        <f t="shared" si="541"/>
        <v>0</v>
      </c>
      <c r="CL461" s="39">
        <f t="shared" si="542"/>
        <v>0</v>
      </c>
      <c r="CM461" s="39">
        <f t="shared" si="543"/>
        <v>0</v>
      </c>
      <c r="CN461" s="39">
        <f t="shared" si="544"/>
        <v>0</v>
      </c>
      <c r="CO461" s="39">
        <f t="shared" si="545"/>
        <v>0</v>
      </c>
      <c r="CP461" s="39">
        <f t="shared" si="546"/>
        <v>0</v>
      </c>
    </row>
    <row r="462" spans="12:94" ht="16" customHeight="1" x14ac:dyDescent="0.2">
      <c r="L462" s="63">
        <v>30774</v>
      </c>
      <c r="M462" s="38">
        <v>0</v>
      </c>
      <c r="N462" s="38">
        <v>3.2</v>
      </c>
      <c r="O462" s="39">
        <v>2.3664000000000001</v>
      </c>
      <c r="P462" s="39">
        <v>1.1000000000000001</v>
      </c>
      <c r="Q462" s="46">
        <f t="shared" si="477"/>
        <v>6.4882942942843636E-2</v>
      </c>
      <c r="R462" s="81">
        <f t="shared" si="478"/>
        <v>0</v>
      </c>
      <c r="S462" s="82">
        <f t="shared" si="479"/>
        <v>0</v>
      </c>
      <c r="T462" s="39">
        <f t="shared" si="480"/>
        <v>0</v>
      </c>
      <c r="U462" s="83">
        <f t="shared" si="481"/>
        <v>3.5200000000000005</v>
      </c>
      <c r="V462" s="84">
        <f t="shared" si="482"/>
        <v>0</v>
      </c>
      <c r="W462" s="52">
        <f t="shared" si="483"/>
        <v>164.51185486405632</v>
      </c>
      <c r="X462" s="52">
        <f t="shared" si="484"/>
        <v>149.76268532780972</v>
      </c>
      <c r="Y462" s="52">
        <f t="shared" si="485"/>
        <v>314.27454019186604</v>
      </c>
      <c r="Z462" s="53">
        <f t="shared" si="486"/>
        <v>1.28524886612544</v>
      </c>
      <c r="AA462" s="53">
        <f t="shared" si="487"/>
        <v>0.89144455552267687</v>
      </c>
      <c r="AB462" s="53">
        <f t="shared" si="488"/>
        <v>1.0617383114590069</v>
      </c>
      <c r="AC462" s="39" t="str">
        <f t="shared" si="489"/>
        <v>No</v>
      </c>
      <c r="AD462" s="85">
        <f t="shared" si="490"/>
        <v>0</v>
      </c>
      <c r="AE462" s="46">
        <f t="shared" si="491"/>
        <v>0</v>
      </c>
      <c r="AF462" s="46">
        <f t="shared" si="492"/>
        <v>2.1257999999999999</v>
      </c>
      <c r="AG462" s="39">
        <f t="shared" si="547"/>
        <v>71.991081481530472</v>
      </c>
      <c r="AH462" s="39">
        <f t="shared" si="548"/>
        <v>85.64526398942651</v>
      </c>
      <c r="AI462" s="39">
        <f t="shared" si="549"/>
        <v>67.420838568913368</v>
      </c>
      <c r="AJ462" s="39">
        <f t="shared" si="550"/>
        <v>88.454670824185953</v>
      </c>
      <c r="AK462" s="39">
        <f t="shared" si="551"/>
        <v>86.747509875062818</v>
      </c>
      <c r="AL462" s="39">
        <f t="shared" si="552"/>
        <v>78.846860969682567</v>
      </c>
      <c r="AM462" s="39">
        <f t="shared" si="553"/>
        <v>78.704447982136458</v>
      </c>
      <c r="AN462" s="39">
        <f t="shared" si="554"/>
        <v>46.463866500927899</v>
      </c>
      <c r="AO462" s="39">
        <f t="shared" si="493"/>
        <v>4.199108148153047</v>
      </c>
      <c r="AP462" s="39">
        <f t="shared" si="494"/>
        <v>4.7645263989426514</v>
      </c>
      <c r="AQ462" s="39">
        <f t="shared" si="495"/>
        <v>3.1420838568913383</v>
      </c>
      <c r="AR462" s="39">
        <f t="shared" si="496"/>
        <v>4.3454670824185948</v>
      </c>
      <c r="AS462" s="39">
        <f t="shared" si="497"/>
        <v>4.4747509875062823</v>
      </c>
      <c r="AT462" s="39">
        <f t="shared" si="498"/>
        <v>4.5846860969682561</v>
      </c>
      <c r="AU462" s="39">
        <f t="shared" si="499"/>
        <v>4.5704447982136456</v>
      </c>
      <c r="AV462" s="39">
        <f t="shared" si="500"/>
        <v>0.86321762454670592</v>
      </c>
      <c r="AW462" s="39">
        <f t="shared" si="501"/>
        <v>30.944284993640522</v>
      </c>
      <c r="AX462" s="39">
        <f t="shared" si="502"/>
        <v>3.5200000000000005</v>
      </c>
      <c r="AY462" s="39">
        <f t="shared" si="503"/>
        <v>3.5200000000000005</v>
      </c>
      <c r="AZ462" s="39">
        <f t="shared" si="504"/>
        <v>0.47766043663753732</v>
      </c>
      <c r="BA462" s="39">
        <f t="shared" si="505"/>
        <v>0.54197836297477342</v>
      </c>
      <c r="BB462" s="39">
        <f t="shared" si="506"/>
        <v>0.35742093179824713</v>
      </c>
      <c r="BC462" s="39">
        <f t="shared" si="507"/>
        <v>0.49430917965165477</v>
      </c>
      <c r="BD462" s="39">
        <f t="shared" si="508"/>
        <v>0.50901558976913464</v>
      </c>
      <c r="BE462" s="39">
        <f t="shared" si="509"/>
        <v>0.52152101962106623</v>
      </c>
      <c r="BF462" s="39">
        <f t="shared" si="510"/>
        <v>0.51990103158041412</v>
      </c>
      <c r="BG462" s="39">
        <f t="shared" si="511"/>
        <v>9.8193447967172762E-2</v>
      </c>
      <c r="BH462" s="84">
        <f t="shared" si="512"/>
        <v>0</v>
      </c>
      <c r="BI462" s="84">
        <f t="shared" si="513"/>
        <v>0</v>
      </c>
      <c r="BJ462" s="84">
        <f t="shared" si="514"/>
        <v>0</v>
      </c>
      <c r="BK462" s="39">
        <f t="shared" si="515"/>
        <v>71.513421044892937</v>
      </c>
      <c r="BL462" s="39">
        <f t="shared" si="516"/>
        <v>85.103285626451736</v>
      </c>
      <c r="BM462" s="39">
        <f t="shared" si="517"/>
        <v>67.063417637115123</v>
      </c>
      <c r="BN462" s="39">
        <f t="shared" si="518"/>
        <v>87.960361644534302</v>
      </c>
      <c r="BO462" s="39">
        <f t="shared" si="519"/>
        <v>86.238494285293683</v>
      </c>
      <c r="BP462" s="39">
        <f t="shared" si="520"/>
        <v>78.325339950061505</v>
      </c>
      <c r="BQ462" s="39">
        <f t="shared" si="521"/>
        <v>78.18454695055604</v>
      </c>
      <c r="BR462" s="39">
        <f t="shared" si="522"/>
        <v>46.36567305296073</v>
      </c>
      <c r="BS462" s="39">
        <f t="shared" si="523"/>
        <v>6.9080526269357616</v>
      </c>
      <c r="BT462" s="39">
        <f t="shared" si="524"/>
        <v>11.461971375871041</v>
      </c>
      <c r="BU462" s="39">
        <f t="shared" si="525"/>
        <v>1.838050582269082</v>
      </c>
      <c r="BV462" s="39">
        <f t="shared" si="526"/>
        <v>0.57621698672057275</v>
      </c>
      <c r="BW462" s="39">
        <f t="shared" si="527"/>
        <v>1.3430965711762184</v>
      </c>
      <c r="BX462" s="39">
        <f t="shared" si="528"/>
        <v>1.9952039700368942</v>
      </c>
      <c r="BY462" s="39">
        <f t="shared" si="529"/>
        <v>1.9107281703336154</v>
      </c>
      <c r="BZ462" s="39">
        <f t="shared" si="530"/>
        <v>0</v>
      </c>
      <c r="CA462" s="39">
        <f t="shared" si="531"/>
        <v>64.60536841795718</v>
      </c>
      <c r="CB462" s="39">
        <f t="shared" si="532"/>
        <v>80.549366877516448</v>
      </c>
      <c r="CC462" s="39">
        <f t="shared" si="533"/>
        <v>76.687338430717091</v>
      </c>
      <c r="CD462" s="39">
        <f t="shared" si="534"/>
        <v>89.222195240082812</v>
      </c>
      <c r="CE462" s="39">
        <f t="shared" si="535"/>
        <v>85.471614700838032</v>
      </c>
      <c r="CF462" s="39">
        <f t="shared" si="536"/>
        <v>77.673232551200826</v>
      </c>
      <c r="CG462" s="39">
        <f t="shared" si="537"/>
        <v>78.269022750259325</v>
      </c>
      <c r="CH462" s="39">
        <f t="shared" si="538"/>
        <v>48.276401223294343</v>
      </c>
      <c r="CI462" s="39">
        <f t="shared" si="539"/>
        <v>0</v>
      </c>
      <c r="CJ462" s="39">
        <f t="shared" si="540"/>
        <v>0</v>
      </c>
      <c r="CK462" s="39">
        <f t="shared" si="541"/>
        <v>0</v>
      </c>
      <c r="CL462" s="39">
        <f t="shared" si="542"/>
        <v>0</v>
      </c>
      <c r="CM462" s="39">
        <f t="shared" si="543"/>
        <v>0</v>
      </c>
      <c r="CN462" s="39">
        <f t="shared" si="544"/>
        <v>0</v>
      </c>
      <c r="CO462" s="39">
        <f t="shared" si="545"/>
        <v>0</v>
      </c>
      <c r="CP462" s="39">
        <f t="shared" si="546"/>
        <v>0</v>
      </c>
    </row>
    <row r="463" spans="12:94" ht="16" customHeight="1" x14ac:dyDescent="0.2">
      <c r="L463" s="63">
        <v>30775</v>
      </c>
      <c r="M463" s="38">
        <v>0</v>
      </c>
      <c r="N463" s="38">
        <v>3.3</v>
      </c>
      <c r="O463" s="39">
        <v>2.3664000000000001</v>
      </c>
      <c r="P463" s="39">
        <v>1.1000000000000001</v>
      </c>
      <c r="Q463" s="46">
        <f t="shared" si="477"/>
        <v>7.9853982936573281E-2</v>
      </c>
      <c r="R463" s="81">
        <f t="shared" si="478"/>
        <v>0</v>
      </c>
      <c r="S463" s="82">
        <f t="shared" si="479"/>
        <v>0</v>
      </c>
      <c r="T463" s="39">
        <f t="shared" si="480"/>
        <v>0</v>
      </c>
      <c r="U463" s="83">
        <f t="shared" si="481"/>
        <v>3.63</v>
      </c>
      <c r="V463" s="84">
        <f t="shared" si="482"/>
        <v>0</v>
      </c>
      <c r="W463" s="52">
        <f t="shared" si="483"/>
        <v>162.06426896627352</v>
      </c>
      <c r="X463" s="52">
        <f t="shared" si="484"/>
        <v>148.69027122559254</v>
      </c>
      <c r="Y463" s="52">
        <f t="shared" si="485"/>
        <v>310.75454019186606</v>
      </c>
      <c r="Z463" s="53">
        <f t="shared" si="486"/>
        <v>1.2661271012990118</v>
      </c>
      <c r="AA463" s="53">
        <f t="shared" si="487"/>
        <v>0.8850611382475746</v>
      </c>
      <c r="AB463" s="53">
        <f t="shared" si="488"/>
        <v>1.0498464195671151</v>
      </c>
      <c r="AC463" s="39" t="str">
        <f t="shared" si="489"/>
        <v>No</v>
      </c>
      <c r="AD463" s="85">
        <f t="shared" si="490"/>
        <v>0</v>
      </c>
      <c r="AE463" s="46">
        <f t="shared" si="491"/>
        <v>0</v>
      </c>
      <c r="AF463" s="46">
        <f t="shared" si="492"/>
        <v>2.1257999999999999</v>
      </c>
      <c r="AG463" s="39">
        <f t="shared" si="547"/>
        <v>64.60536841795718</v>
      </c>
      <c r="AH463" s="39">
        <f t="shared" si="548"/>
        <v>80.549366877516448</v>
      </c>
      <c r="AI463" s="39">
        <f t="shared" si="549"/>
        <v>76.687338430717091</v>
      </c>
      <c r="AJ463" s="39">
        <f t="shared" si="550"/>
        <v>89.222195240082812</v>
      </c>
      <c r="AK463" s="39">
        <f t="shared" si="551"/>
        <v>85.471614700838032</v>
      </c>
      <c r="AL463" s="39">
        <f t="shared" si="552"/>
        <v>77.673232551200826</v>
      </c>
      <c r="AM463" s="39">
        <f t="shared" si="553"/>
        <v>78.269022750259325</v>
      </c>
      <c r="AN463" s="39">
        <f t="shared" si="554"/>
        <v>48.276401223294343</v>
      </c>
      <c r="AO463" s="39">
        <f t="shared" si="493"/>
        <v>3.4605368417957183</v>
      </c>
      <c r="AP463" s="39">
        <f t="shared" si="494"/>
        <v>4.2549366877516448</v>
      </c>
      <c r="AQ463" s="39">
        <f t="shared" si="495"/>
        <v>4.068733843071711</v>
      </c>
      <c r="AR463" s="39">
        <f t="shared" si="496"/>
        <v>4.4222195240082804</v>
      </c>
      <c r="AS463" s="39">
        <f t="shared" si="497"/>
        <v>4.3471614700838037</v>
      </c>
      <c r="AT463" s="39">
        <f t="shared" si="498"/>
        <v>4.4673232551200819</v>
      </c>
      <c r="AU463" s="39">
        <f t="shared" si="499"/>
        <v>4.5269022750259316</v>
      </c>
      <c r="AV463" s="39">
        <f t="shared" si="500"/>
        <v>1.111278258738422</v>
      </c>
      <c r="AW463" s="39">
        <f t="shared" si="501"/>
        <v>30.659092155595598</v>
      </c>
      <c r="AX463" s="39">
        <f t="shared" si="502"/>
        <v>3.63</v>
      </c>
      <c r="AY463" s="39">
        <f t="shared" si="503"/>
        <v>3.63</v>
      </c>
      <c r="AZ463" s="39">
        <f t="shared" si="504"/>
        <v>0.40972344099320662</v>
      </c>
      <c r="BA463" s="39">
        <f t="shared" si="505"/>
        <v>0.50377943672149872</v>
      </c>
      <c r="BB463" s="39">
        <f t="shared" si="506"/>
        <v>0.48173324165616965</v>
      </c>
      <c r="BC463" s="39">
        <f t="shared" si="507"/>
        <v>0.52358552532092129</v>
      </c>
      <c r="BD463" s="39">
        <f t="shared" si="508"/>
        <v>0.51469874112120961</v>
      </c>
      <c r="BE463" s="39">
        <f t="shared" si="509"/>
        <v>0.52892575337154069</v>
      </c>
      <c r="BF463" s="39">
        <f t="shared" si="510"/>
        <v>0.53597983837708008</v>
      </c>
      <c r="BG463" s="39">
        <f t="shared" si="511"/>
        <v>0.13157402243837271</v>
      </c>
      <c r="BH463" s="84">
        <f t="shared" si="512"/>
        <v>0</v>
      </c>
      <c r="BI463" s="84">
        <f t="shared" si="513"/>
        <v>0</v>
      </c>
      <c r="BJ463" s="84">
        <f t="shared" si="514"/>
        <v>0</v>
      </c>
      <c r="BK463" s="39">
        <f t="shared" si="515"/>
        <v>64.195644976963976</v>
      </c>
      <c r="BL463" s="39">
        <f t="shared" si="516"/>
        <v>80.045587440794947</v>
      </c>
      <c r="BM463" s="39">
        <f t="shared" si="517"/>
        <v>76.205605189060918</v>
      </c>
      <c r="BN463" s="39">
        <f t="shared" si="518"/>
        <v>88.698609714761886</v>
      </c>
      <c r="BO463" s="39">
        <f t="shared" si="519"/>
        <v>84.956915959716824</v>
      </c>
      <c r="BP463" s="39">
        <f t="shared" si="520"/>
        <v>77.144306797829287</v>
      </c>
      <c r="BQ463" s="39">
        <f t="shared" si="521"/>
        <v>77.733042911882251</v>
      </c>
      <c r="BR463" s="39">
        <f t="shared" si="522"/>
        <v>48.144827200855971</v>
      </c>
      <c r="BS463" s="39">
        <f t="shared" si="523"/>
        <v>2.5173869861783857</v>
      </c>
      <c r="BT463" s="39">
        <f t="shared" si="524"/>
        <v>8.427352464476968</v>
      </c>
      <c r="BU463" s="39">
        <f t="shared" si="525"/>
        <v>7.3233631134365593</v>
      </c>
      <c r="BV463" s="39">
        <f t="shared" si="526"/>
        <v>1.0191658288571233</v>
      </c>
      <c r="BW463" s="39">
        <f t="shared" si="527"/>
        <v>0.57414957583010273</v>
      </c>
      <c r="BX463" s="39">
        <f t="shared" si="528"/>
        <v>1.2865840786975637</v>
      </c>
      <c r="BY463" s="39">
        <f t="shared" si="529"/>
        <v>1.6398257471293418</v>
      </c>
      <c r="BZ463" s="39">
        <f t="shared" si="530"/>
        <v>0</v>
      </c>
      <c r="CA463" s="39">
        <f t="shared" si="531"/>
        <v>61.678257990785589</v>
      </c>
      <c r="CB463" s="39">
        <f t="shared" si="532"/>
        <v>74.135621962496359</v>
      </c>
      <c r="CC463" s="39">
        <f t="shared" si="533"/>
        <v>77.30959454010133</v>
      </c>
      <c r="CD463" s="39">
        <f t="shared" si="534"/>
        <v>95.002806999341317</v>
      </c>
      <c r="CE463" s="39">
        <f t="shared" si="535"/>
        <v>85.401932212743844</v>
      </c>
      <c r="CF463" s="39">
        <f t="shared" si="536"/>
        <v>76.431872294961835</v>
      </c>
      <c r="CG463" s="39">
        <f t="shared" si="537"/>
        <v>77.379801243450473</v>
      </c>
      <c r="CH463" s="39">
        <f t="shared" si="538"/>
        <v>49.784652947985315</v>
      </c>
      <c r="CI463" s="39">
        <f t="shared" si="539"/>
        <v>0</v>
      </c>
      <c r="CJ463" s="39">
        <f t="shared" si="540"/>
        <v>0</v>
      </c>
      <c r="CK463" s="39">
        <f t="shared" si="541"/>
        <v>0</v>
      </c>
      <c r="CL463" s="39">
        <f t="shared" si="542"/>
        <v>0</v>
      </c>
      <c r="CM463" s="39">
        <f t="shared" si="543"/>
        <v>0</v>
      </c>
      <c r="CN463" s="39">
        <f t="shared" si="544"/>
        <v>0</v>
      </c>
      <c r="CO463" s="39">
        <f t="shared" si="545"/>
        <v>0</v>
      </c>
      <c r="CP463" s="39">
        <f t="shared" si="546"/>
        <v>0</v>
      </c>
    </row>
    <row r="464" spans="12:94" ht="16" customHeight="1" x14ac:dyDescent="0.2">
      <c r="L464" s="63">
        <v>30776</v>
      </c>
      <c r="M464" s="38">
        <v>0</v>
      </c>
      <c r="N464" s="38">
        <v>3.1</v>
      </c>
      <c r="O464" s="39">
        <v>2.3664000000000001</v>
      </c>
      <c r="P464" s="39">
        <v>1.1000000000000001</v>
      </c>
      <c r="Q464" s="46">
        <f t="shared" si="477"/>
        <v>8.5787314883542728E-2</v>
      </c>
      <c r="R464" s="81">
        <f t="shared" si="478"/>
        <v>0</v>
      </c>
      <c r="S464" s="82">
        <f t="shared" si="479"/>
        <v>0</v>
      </c>
      <c r="T464" s="39">
        <f t="shared" si="480"/>
        <v>0</v>
      </c>
      <c r="U464" s="83">
        <f t="shared" si="481"/>
        <v>3.4100000000000006</v>
      </c>
      <c r="V464" s="84">
        <f t="shared" si="482"/>
        <v>0</v>
      </c>
      <c r="W464" s="52">
        <f t="shared" si="483"/>
        <v>159.12628149272462</v>
      </c>
      <c r="X464" s="52">
        <f t="shared" si="484"/>
        <v>147.99825869914145</v>
      </c>
      <c r="Y464" s="52">
        <f t="shared" si="485"/>
        <v>307.12454019186606</v>
      </c>
      <c r="Z464" s="53">
        <f t="shared" si="486"/>
        <v>1.2431740741619111</v>
      </c>
      <c r="AA464" s="53">
        <f t="shared" si="487"/>
        <v>0.88094201606631817</v>
      </c>
      <c r="AB464" s="53">
        <f t="shared" si="488"/>
        <v>1.0375829060536015</v>
      </c>
      <c r="AC464" s="39" t="str">
        <f t="shared" si="489"/>
        <v>No</v>
      </c>
      <c r="AD464" s="85">
        <f t="shared" si="490"/>
        <v>0</v>
      </c>
      <c r="AE464" s="46">
        <f t="shared" si="491"/>
        <v>0</v>
      </c>
      <c r="AF464" s="46">
        <f t="shared" si="492"/>
        <v>2.1257999999999999</v>
      </c>
      <c r="AG464" s="39">
        <f t="shared" si="547"/>
        <v>61.678257990785589</v>
      </c>
      <c r="AH464" s="39">
        <f t="shared" si="548"/>
        <v>74.135621962496359</v>
      </c>
      <c r="AI464" s="39">
        <f t="shared" si="549"/>
        <v>77.30959454010133</v>
      </c>
      <c r="AJ464" s="39">
        <f t="shared" si="550"/>
        <v>95.002806999341317</v>
      </c>
      <c r="AK464" s="39">
        <f t="shared" si="551"/>
        <v>85.401932212743844</v>
      </c>
      <c r="AL464" s="39">
        <f t="shared" si="552"/>
        <v>76.431872294961835</v>
      </c>
      <c r="AM464" s="39">
        <f t="shared" si="553"/>
        <v>77.379801243450473</v>
      </c>
      <c r="AN464" s="39">
        <f t="shared" si="554"/>
        <v>49.784652947985315</v>
      </c>
      <c r="AO464" s="39">
        <f t="shared" si="493"/>
        <v>3.167825799078559</v>
      </c>
      <c r="AP464" s="39">
        <f t="shared" si="494"/>
        <v>3.613562196249636</v>
      </c>
      <c r="AQ464" s="39">
        <f t="shared" si="495"/>
        <v>4.1309594540101342</v>
      </c>
      <c r="AR464" s="39">
        <f t="shared" si="496"/>
        <v>5.0002806999341312</v>
      </c>
      <c r="AS464" s="39">
        <f t="shared" si="497"/>
        <v>4.3401932212743857</v>
      </c>
      <c r="AT464" s="39">
        <f t="shared" si="498"/>
        <v>4.3431872294961833</v>
      </c>
      <c r="AU464" s="39">
        <f t="shared" si="499"/>
        <v>4.4379801243450467</v>
      </c>
      <c r="AV464" s="39">
        <f t="shared" si="500"/>
        <v>1.3415455932586278</v>
      </c>
      <c r="AW464" s="39">
        <f t="shared" si="501"/>
        <v>30.375534317646704</v>
      </c>
      <c r="AX464" s="39">
        <f t="shared" si="502"/>
        <v>3.4100000000000006</v>
      </c>
      <c r="AY464" s="39">
        <f t="shared" si="503"/>
        <v>3.4100000000000006</v>
      </c>
      <c r="AZ464" s="39">
        <f t="shared" si="504"/>
        <v>0.35562455830060202</v>
      </c>
      <c r="BA464" s="39">
        <f t="shared" si="505"/>
        <v>0.4056635501569642</v>
      </c>
      <c r="BB464" s="39">
        <f t="shared" si="506"/>
        <v>0.46374729052884339</v>
      </c>
      <c r="BC464" s="39">
        <f t="shared" si="507"/>
        <v>0.56133851040999183</v>
      </c>
      <c r="BD464" s="39">
        <f t="shared" si="508"/>
        <v>0.48723616611239479</v>
      </c>
      <c r="BE464" s="39">
        <f t="shared" si="509"/>
        <v>0.48757227766617239</v>
      </c>
      <c r="BF464" s="39">
        <f t="shared" si="510"/>
        <v>0.49821386072622204</v>
      </c>
      <c r="BG464" s="39">
        <f t="shared" si="511"/>
        <v>0.15060378609880984</v>
      </c>
      <c r="BH464" s="84">
        <f t="shared" si="512"/>
        <v>0</v>
      </c>
      <c r="BI464" s="84">
        <f t="shared" si="513"/>
        <v>0</v>
      </c>
      <c r="BJ464" s="84">
        <f t="shared" si="514"/>
        <v>0</v>
      </c>
      <c r="BK464" s="39">
        <f t="shared" si="515"/>
        <v>61.322633432484984</v>
      </c>
      <c r="BL464" s="39">
        <f t="shared" si="516"/>
        <v>73.7299584123394</v>
      </c>
      <c r="BM464" s="39">
        <f t="shared" si="517"/>
        <v>76.845847249572486</v>
      </c>
      <c r="BN464" s="39">
        <f t="shared" si="518"/>
        <v>94.441468488931321</v>
      </c>
      <c r="BO464" s="39">
        <f t="shared" si="519"/>
        <v>84.914696046631448</v>
      </c>
      <c r="BP464" s="39">
        <f t="shared" si="520"/>
        <v>75.94430001729566</v>
      </c>
      <c r="BQ464" s="39">
        <f t="shared" si="521"/>
        <v>76.881587382724248</v>
      </c>
      <c r="BR464" s="39">
        <f t="shared" si="522"/>
        <v>49.634049161886502</v>
      </c>
      <c r="BS464" s="39">
        <f t="shared" si="523"/>
        <v>0.79358005949099064</v>
      </c>
      <c r="BT464" s="39">
        <f t="shared" si="524"/>
        <v>4.6379750474036401</v>
      </c>
      <c r="BU464" s="39">
        <f t="shared" si="525"/>
        <v>7.7075083497434997</v>
      </c>
      <c r="BV464" s="39">
        <f t="shared" si="526"/>
        <v>4.4648810933587839</v>
      </c>
      <c r="BW464" s="39">
        <f t="shared" si="527"/>
        <v>0.54881762797887745</v>
      </c>
      <c r="BX464" s="39">
        <f t="shared" si="528"/>
        <v>0.56658001037738759</v>
      </c>
      <c r="BY464" s="39">
        <f t="shared" si="529"/>
        <v>1.1289524296345406</v>
      </c>
      <c r="BZ464" s="39">
        <f t="shared" si="530"/>
        <v>0</v>
      </c>
      <c r="CA464" s="39">
        <f t="shared" si="531"/>
        <v>60.529053372993992</v>
      </c>
      <c r="CB464" s="39">
        <f t="shared" si="532"/>
        <v>69.885563424426749</v>
      </c>
      <c r="CC464" s="39">
        <f t="shared" si="533"/>
        <v>73.776313947232623</v>
      </c>
      <c r="CD464" s="39">
        <f t="shared" si="534"/>
        <v>97.684095745316043</v>
      </c>
      <c r="CE464" s="39">
        <f t="shared" si="535"/>
        <v>88.830759512011355</v>
      </c>
      <c r="CF464" s="39">
        <f t="shared" si="536"/>
        <v>75.926537634897144</v>
      </c>
      <c r="CG464" s="39">
        <f t="shared" si="537"/>
        <v>76.319214963467104</v>
      </c>
      <c r="CH464" s="39">
        <f t="shared" si="538"/>
        <v>50.763001591521039</v>
      </c>
      <c r="CI464" s="39">
        <f t="shared" si="539"/>
        <v>0</v>
      </c>
      <c r="CJ464" s="39">
        <f t="shared" si="540"/>
        <v>0</v>
      </c>
      <c r="CK464" s="39">
        <f t="shared" si="541"/>
        <v>0</v>
      </c>
      <c r="CL464" s="39">
        <f t="shared" si="542"/>
        <v>0</v>
      </c>
      <c r="CM464" s="39">
        <f t="shared" si="543"/>
        <v>0</v>
      </c>
      <c r="CN464" s="39">
        <f t="shared" si="544"/>
        <v>0</v>
      </c>
      <c r="CO464" s="39">
        <f t="shared" si="545"/>
        <v>0</v>
      </c>
      <c r="CP464" s="39">
        <f t="shared" si="546"/>
        <v>0</v>
      </c>
    </row>
    <row r="465" spans="12:94" ht="16" customHeight="1" x14ac:dyDescent="0.2">
      <c r="L465" s="63">
        <v>30777</v>
      </c>
      <c r="M465" s="38">
        <v>0</v>
      </c>
      <c r="N465" s="38">
        <v>3.3</v>
      </c>
      <c r="O465" s="39">
        <v>2.3664000000000001</v>
      </c>
      <c r="P465" s="39">
        <v>1.1000000000000001</v>
      </c>
      <c r="Q465" s="46">
        <f t="shared" si="477"/>
        <v>8.8116783703390544E-2</v>
      </c>
      <c r="R465" s="81">
        <f t="shared" si="478"/>
        <v>0</v>
      </c>
      <c r="S465" s="82">
        <f t="shared" si="479"/>
        <v>0</v>
      </c>
      <c r="T465" s="39">
        <f t="shared" si="480"/>
        <v>0</v>
      </c>
      <c r="U465" s="83">
        <f t="shared" si="481"/>
        <v>3.63</v>
      </c>
      <c r="V465" s="84">
        <f t="shared" si="482"/>
        <v>0</v>
      </c>
      <c r="W465" s="52">
        <f t="shared" si="483"/>
        <v>152.8750264899694</v>
      </c>
      <c r="X465" s="52">
        <f t="shared" si="484"/>
        <v>150.83951370189669</v>
      </c>
      <c r="Y465" s="52">
        <f t="shared" si="485"/>
        <v>303.71454019186609</v>
      </c>
      <c r="Z465" s="53">
        <f t="shared" si="486"/>
        <v>1.1943361444528859</v>
      </c>
      <c r="AA465" s="53">
        <f t="shared" si="487"/>
        <v>0.89785424822557558</v>
      </c>
      <c r="AB465" s="53">
        <f t="shared" si="488"/>
        <v>1.0260626357833313</v>
      </c>
      <c r="AC465" s="39" t="str">
        <f t="shared" si="489"/>
        <v>No</v>
      </c>
      <c r="AD465" s="85">
        <f t="shared" si="490"/>
        <v>0</v>
      </c>
      <c r="AE465" s="46">
        <f t="shared" si="491"/>
        <v>0</v>
      </c>
      <c r="AF465" s="46">
        <f t="shared" si="492"/>
        <v>2.1257999999999999</v>
      </c>
      <c r="AG465" s="39">
        <f t="shared" si="547"/>
        <v>60.529053372993992</v>
      </c>
      <c r="AH465" s="39">
        <f t="shared" si="548"/>
        <v>69.885563424426749</v>
      </c>
      <c r="AI465" s="39">
        <f t="shared" si="549"/>
        <v>73.776313947232623</v>
      </c>
      <c r="AJ465" s="39">
        <f t="shared" si="550"/>
        <v>97.684095745316043</v>
      </c>
      <c r="AK465" s="39">
        <f t="shared" si="551"/>
        <v>88.830759512011355</v>
      </c>
      <c r="AL465" s="39">
        <f t="shared" si="552"/>
        <v>75.926537634897144</v>
      </c>
      <c r="AM465" s="39">
        <f t="shared" si="553"/>
        <v>76.319214963467104</v>
      </c>
      <c r="AN465" s="39">
        <f t="shared" si="554"/>
        <v>50.763001591521039</v>
      </c>
      <c r="AO465" s="39">
        <f t="shared" si="493"/>
        <v>3.0529053372993995</v>
      </c>
      <c r="AP465" s="39">
        <f t="shared" si="494"/>
        <v>3.1885563424426753</v>
      </c>
      <c r="AQ465" s="39">
        <f t="shared" si="495"/>
        <v>3.7776313947232638</v>
      </c>
      <c r="AR465" s="39">
        <f t="shared" si="496"/>
        <v>5.2684095745316037</v>
      </c>
      <c r="AS465" s="39">
        <f t="shared" si="497"/>
        <v>4.6830759512011362</v>
      </c>
      <c r="AT465" s="39">
        <f t="shared" si="498"/>
        <v>4.2926537634897137</v>
      </c>
      <c r="AU465" s="39">
        <f t="shared" si="499"/>
        <v>4.3319214963467099</v>
      </c>
      <c r="AV465" s="39">
        <f t="shared" si="500"/>
        <v>1.5024963120970414</v>
      </c>
      <c r="AW465" s="39">
        <f t="shared" si="501"/>
        <v>30.097650172131541</v>
      </c>
      <c r="AX465" s="39">
        <f t="shared" si="502"/>
        <v>3.63</v>
      </c>
      <c r="AY465" s="39">
        <f t="shared" si="503"/>
        <v>3.63</v>
      </c>
      <c r="AZ465" s="39">
        <f t="shared" si="504"/>
        <v>0.36820304279628019</v>
      </c>
      <c r="BA465" s="39">
        <f t="shared" si="505"/>
        <v>0.38456356083851706</v>
      </c>
      <c r="BB465" s="39">
        <f t="shared" si="506"/>
        <v>0.4556103843463038</v>
      </c>
      <c r="BC465" s="39">
        <f t="shared" si="507"/>
        <v>0.63540929760880804</v>
      </c>
      <c r="BD465" s="39">
        <f t="shared" si="508"/>
        <v>0.56481371820184867</v>
      </c>
      <c r="BE465" s="39">
        <f t="shared" si="509"/>
        <v>0.51772590459224233</v>
      </c>
      <c r="BF465" s="39">
        <f t="shared" si="510"/>
        <v>0.52246188462575616</v>
      </c>
      <c r="BG465" s="39">
        <f t="shared" si="511"/>
        <v>0.18121220699024421</v>
      </c>
      <c r="BH465" s="84">
        <f t="shared" si="512"/>
        <v>0</v>
      </c>
      <c r="BI465" s="84">
        <f t="shared" si="513"/>
        <v>0</v>
      </c>
      <c r="BJ465" s="84">
        <f t="shared" si="514"/>
        <v>0</v>
      </c>
      <c r="BK465" s="39">
        <f t="shared" si="515"/>
        <v>60.160850330197711</v>
      </c>
      <c r="BL465" s="39">
        <f t="shared" si="516"/>
        <v>69.500999863588234</v>
      </c>
      <c r="BM465" s="39">
        <f t="shared" si="517"/>
        <v>73.320703562886322</v>
      </c>
      <c r="BN465" s="39">
        <f t="shared" si="518"/>
        <v>97.04868644770724</v>
      </c>
      <c r="BO465" s="39">
        <f t="shared" si="519"/>
        <v>88.265945793809507</v>
      </c>
      <c r="BP465" s="39">
        <f t="shared" si="520"/>
        <v>75.408811730304905</v>
      </c>
      <c r="BQ465" s="39">
        <f t="shared" si="521"/>
        <v>75.796753078841348</v>
      </c>
      <c r="BR465" s="39">
        <f t="shared" si="522"/>
        <v>50.581789384530794</v>
      </c>
      <c r="BS465" s="39">
        <f t="shared" si="523"/>
        <v>9.6510198118626531E-2</v>
      </c>
      <c r="BT465" s="39">
        <f t="shared" si="524"/>
        <v>2.1005999181529402</v>
      </c>
      <c r="BU465" s="39">
        <f t="shared" si="525"/>
        <v>5.592422137731802</v>
      </c>
      <c r="BV465" s="39">
        <f t="shared" si="526"/>
        <v>6.0292118686243352</v>
      </c>
      <c r="BW465" s="39">
        <f t="shared" si="527"/>
        <v>2.559567476285713</v>
      </c>
      <c r="BX465" s="39">
        <f t="shared" si="528"/>
        <v>0.24528703818293421</v>
      </c>
      <c r="BY465" s="39">
        <f t="shared" si="529"/>
        <v>0.47805184730480049</v>
      </c>
      <c r="BZ465" s="39">
        <f t="shared" si="530"/>
        <v>0</v>
      </c>
      <c r="CA465" s="39">
        <f t="shared" si="531"/>
        <v>60.064340132079082</v>
      </c>
      <c r="CB465" s="39">
        <f t="shared" si="532"/>
        <v>67.496910143553919</v>
      </c>
      <c r="CC465" s="39">
        <f t="shared" si="533"/>
        <v>69.828881343307458</v>
      </c>
      <c r="CD465" s="39">
        <f t="shared" si="534"/>
        <v>96.611896716814712</v>
      </c>
      <c r="CE465" s="39">
        <f t="shared" si="535"/>
        <v>91.73559018614813</v>
      </c>
      <c r="CF465" s="39">
        <f t="shared" si="536"/>
        <v>77.723092168407675</v>
      </c>
      <c r="CG465" s="39">
        <f t="shared" si="537"/>
        <v>75.563988269719488</v>
      </c>
      <c r="CH465" s="39">
        <f t="shared" si="538"/>
        <v>51.059841231835591</v>
      </c>
      <c r="CI465" s="39">
        <f t="shared" si="539"/>
        <v>0</v>
      </c>
      <c r="CJ465" s="39">
        <f t="shared" si="540"/>
        <v>0</v>
      </c>
      <c r="CK465" s="39">
        <f t="shared" si="541"/>
        <v>0</v>
      </c>
      <c r="CL465" s="39">
        <f t="shared" si="542"/>
        <v>0</v>
      </c>
      <c r="CM465" s="39">
        <f t="shared" si="543"/>
        <v>0</v>
      </c>
      <c r="CN465" s="39">
        <f t="shared" si="544"/>
        <v>0</v>
      </c>
      <c r="CO465" s="39">
        <f t="shared" si="545"/>
        <v>0</v>
      </c>
      <c r="CP465" s="39">
        <f t="shared" si="546"/>
        <v>0</v>
      </c>
    </row>
    <row r="466" spans="12:94" ht="16" customHeight="1" x14ac:dyDescent="0.2">
      <c r="L466" s="63">
        <v>30778</v>
      </c>
      <c r="M466" s="38">
        <v>0</v>
      </c>
      <c r="N466" s="38">
        <v>3.3</v>
      </c>
      <c r="O466" s="39">
        <v>2.3664000000000001</v>
      </c>
      <c r="P466" s="39">
        <v>1.1000000000000001</v>
      </c>
      <c r="Q466" s="46">
        <f t="shared" si="477"/>
        <v>8.9058770002542392E-2</v>
      </c>
      <c r="R466" s="81">
        <f t="shared" si="478"/>
        <v>0</v>
      </c>
      <c r="S466" s="82">
        <f t="shared" si="479"/>
        <v>0</v>
      </c>
      <c r="T466" s="39">
        <f t="shared" si="480"/>
        <v>0</v>
      </c>
      <c r="U466" s="83">
        <f t="shared" si="481"/>
        <v>3.63</v>
      </c>
      <c r="V466" s="84">
        <f t="shared" si="482"/>
        <v>0</v>
      </c>
      <c r="W466" s="52">
        <f t="shared" si="483"/>
        <v>145.0020283357552</v>
      </c>
      <c r="X466" s="52">
        <f t="shared" si="484"/>
        <v>155.0825118561109</v>
      </c>
      <c r="Y466" s="52">
        <f t="shared" si="485"/>
        <v>300.0845401918661</v>
      </c>
      <c r="Z466" s="53">
        <f t="shared" si="486"/>
        <v>1.1328283463730875</v>
      </c>
      <c r="AA466" s="53">
        <f t="shared" si="487"/>
        <v>0.9231101896197077</v>
      </c>
      <c r="AB466" s="53">
        <f t="shared" si="488"/>
        <v>1.0137991222698179</v>
      </c>
      <c r="AC466" s="39" t="str">
        <f t="shared" si="489"/>
        <v>No</v>
      </c>
      <c r="AD466" s="85">
        <f t="shared" si="490"/>
        <v>0</v>
      </c>
      <c r="AE466" s="46">
        <f t="shared" si="491"/>
        <v>0</v>
      </c>
      <c r="AF466" s="46">
        <f t="shared" si="492"/>
        <v>2.1257999999999999</v>
      </c>
      <c r="AG466" s="39">
        <f t="shared" si="547"/>
        <v>60.064340132079082</v>
      </c>
      <c r="AH466" s="39">
        <f t="shared" si="548"/>
        <v>67.496910143553919</v>
      </c>
      <c r="AI466" s="39">
        <f t="shared" si="549"/>
        <v>69.828881343307458</v>
      </c>
      <c r="AJ466" s="39">
        <f t="shared" si="550"/>
        <v>96.611896716814712</v>
      </c>
      <c r="AK466" s="39">
        <f t="shared" si="551"/>
        <v>91.73559018614813</v>
      </c>
      <c r="AL466" s="39">
        <f t="shared" si="552"/>
        <v>77.723092168407675</v>
      </c>
      <c r="AM466" s="39">
        <f t="shared" si="553"/>
        <v>75.563988269719488</v>
      </c>
      <c r="AN466" s="39">
        <f t="shared" si="554"/>
        <v>51.059841231835591</v>
      </c>
      <c r="AO466" s="39">
        <f t="shared" si="493"/>
        <v>3.0064340132079082</v>
      </c>
      <c r="AP466" s="39">
        <f t="shared" si="494"/>
        <v>2.949691014355392</v>
      </c>
      <c r="AQ466" s="39">
        <f t="shared" si="495"/>
        <v>3.3828881343307473</v>
      </c>
      <c r="AR466" s="39">
        <f t="shared" si="496"/>
        <v>5.1611896716814707</v>
      </c>
      <c r="AS466" s="39">
        <f t="shared" si="497"/>
        <v>4.9735590186148144</v>
      </c>
      <c r="AT466" s="39">
        <f t="shared" si="498"/>
        <v>4.4723092168407668</v>
      </c>
      <c r="AU466" s="39">
        <f t="shared" si="499"/>
        <v>4.2563988269719486</v>
      </c>
      <c r="AV466" s="39">
        <f t="shared" si="500"/>
        <v>1.5531326919957553</v>
      </c>
      <c r="AW466" s="39">
        <f t="shared" si="501"/>
        <v>29.755602587998805</v>
      </c>
      <c r="AX466" s="39">
        <f t="shared" si="502"/>
        <v>3.63</v>
      </c>
      <c r="AY466" s="39">
        <f t="shared" si="503"/>
        <v>3.63</v>
      </c>
      <c r="AZ466" s="39">
        <f t="shared" si="504"/>
        <v>0.36676640762591517</v>
      </c>
      <c r="BA466" s="39">
        <f t="shared" si="505"/>
        <v>0.3598441117246482</v>
      </c>
      <c r="BB466" s="39">
        <f t="shared" si="506"/>
        <v>0.41269148864669286</v>
      </c>
      <c r="BC466" s="39">
        <f t="shared" si="507"/>
        <v>0.62963330864487654</v>
      </c>
      <c r="BD466" s="39">
        <f t="shared" si="508"/>
        <v>0.60674352617054461</v>
      </c>
      <c r="BE466" s="39">
        <f t="shared" si="509"/>
        <v>0.54559414177953047</v>
      </c>
      <c r="BF466" s="39">
        <f t="shared" si="510"/>
        <v>0.5192544058287647</v>
      </c>
      <c r="BG466" s="39">
        <f t="shared" si="511"/>
        <v>0.18947260957902728</v>
      </c>
      <c r="BH466" s="84">
        <f t="shared" si="512"/>
        <v>0</v>
      </c>
      <c r="BI466" s="84">
        <f t="shared" si="513"/>
        <v>0</v>
      </c>
      <c r="BJ466" s="84">
        <f t="shared" si="514"/>
        <v>0</v>
      </c>
      <c r="BK466" s="39">
        <f t="shared" si="515"/>
        <v>59.697573724453164</v>
      </c>
      <c r="BL466" s="39">
        <f t="shared" si="516"/>
        <v>67.137066031829264</v>
      </c>
      <c r="BM466" s="39">
        <f t="shared" si="517"/>
        <v>69.416189854660772</v>
      </c>
      <c r="BN466" s="39">
        <f t="shared" si="518"/>
        <v>95.982263408169842</v>
      </c>
      <c r="BO466" s="39">
        <f t="shared" si="519"/>
        <v>91.128846659977583</v>
      </c>
      <c r="BP466" s="39">
        <f t="shared" si="520"/>
        <v>77.177498026628143</v>
      </c>
      <c r="BQ466" s="39">
        <f t="shared" si="521"/>
        <v>75.044733863890727</v>
      </c>
      <c r="BR466" s="39">
        <f t="shared" si="522"/>
        <v>50.870368622256564</v>
      </c>
      <c r="BS466" s="39">
        <f t="shared" si="523"/>
        <v>0</v>
      </c>
      <c r="BT466" s="39">
        <f t="shared" si="524"/>
        <v>0.68223961909755815</v>
      </c>
      <c r="BU466" s="39">
        <f t="shared" si="525"/>
        <v>3.2497139127964716</v>
      </c>
      <c r="BV466" s="39">
        <f t="shared" si="526"/>
        <v>5.389358044901897</v>
      </c>
      <c r="BW466" s="39">
        <f t="shared" si="527"/>
        <v>4.2773079959865585</v>
      </c>
      <c r="BX466" s="39">
        <f t="shared" si="528"/>
        <v>1.3064988159768773</v>
      </c>
      <c r="BY466" s="39">
        <f t="shared" si="529"/>
        <v>2.6840318334427592E-2</v>
      </c>
      <c r="BZ466" s="39">
        <f t="shared" si="530"/>
        <v>0</v>
      </c>
      <c r="CA466" s="39">
        <f t="shared" si="531"/>
        <v>59.697573724453164</v>
      </c>
      <c r="CB466" s="39">
        <f t="shared" si="532"/>
        <v>66.454826412731705</v>
      </c>
      <c r="CC466" s="39">
        <f t="shared" si="533"/>
        <v>66.848715560961864</v>
      </c>
      <c r="CD466" s="39">
        <f t="shared" si="534"/>
        <v>93.842619276064411</v>
      </c>
      <c r="CE466" s="39">
        <f t="shared" si="535"/>
        <v>92.240896708892919</v>
      </c>
      <c r="CF466" s="39">
        <f t="shared" si="536"/>
        <v>80.148307206637824</v>
      </c>
      <c r="CG466" s="39">
        <f t="shared" si="537"/>
        <v>76.324392361533185</v>
      </c>
      <c r="CH466" s="39">
        <f t="shared" si="538"/>
        <v>50.897208940590993</v>
      </c>
      <c r="CI466" s="39">
        <f t="shared" si="539"/>
        <v>0</v>
      </c>
      <c r="CJ466" s="39">
        <f t="shared" si="540"/>
        <v>0</v>
      </c>
      <c r="CK466" s="39">
        <f t="shared" si="541"/>
        <v>0</v>
      </c>
      <c r="CL466" s="39">
        <f t="shared" si="542"/>
        <v>0</v>
      </c>
      <c r="CM466" s="39">
        <f t="shared" si="543"/>
        <v>0</v>
      </c>
      <c r="CN466" s="39">
        <f t="shared" si="544"/>
        <v>0</v>
      </c>
      <c r="CO466" s="39">
        <f t="shared" si="545"/>
        <v>0</v>
      </c>
      <c r="CP466" s="39">
        <f t="shared" si="546"/>
        <v>0</v>
      </c>
    </row>
    <row r="467" spans="12:94" ht="16" customHeight="1" x14ac:dyDescent="0.2">
      <c r="L467" s="63">
        <v>30779</v>
      </c>
      <c r="M467" s="38">
        <v>0</v>
      </c>
      <c r="N467" s="38">
        <v>3.1</v>
      </c>
      <c r="O467" s="39">
        <v>2.3664000000000001</v>
      </c>
      <c r="P467" s="39">
        <v>1.1000000000000001</v>
      </c>
      <c r="Q467" s="46">
        <f t="shared" si="477"/>
        <v>8.9802215423405746E-2</v>
      </c>
      <c r="R467" s="81">
        <f t="shared" si="478"/>
        <v>0</v>
      </c>
      <c r="S467" s="82">
        <f t="shared" si="479"/>
        <v>0</v>
      </c>
      <c r="T467" s="39">
        <f t="shared" si="480"/>
        <v>0</v>
      </c>
      <c r="U467" s="83">
        <f t="shared" si="481"/>
        <v>3.4100000000000006</v>
      </c>
      <c r="V467" s="84">
        <f t="shared" si="482"/>
        <v>0</v>
      </c>
      <c r="W467" s="52">
        <f t="shared" si="483"/>
        <v>137.84373497421115</v>
      </c>
      <c r="X467" s="52">
        <f t="shared" si="484"/>
        <v>158.6108052176549</v>
      </c>
      <c r="Y467" s="52">
        <f t="shared" si="485"/>
        <v>296.45454019186604</v>
      </c>
      <c r="Z467" s="53">
        <f t="shared" si="486"/>
        <v>1.0769041794860246</v>
      </c>
      <c r="AA467" s="53">
        <f t="shared" si="487"/>
        <v>0.94411193581937436</v>
      </c>
      <c r="AB467" s="53">
        <f t="shared" si="488"/>
        <v>1.0015356087563041</v>
      </c>
      <c r="AC467" s="39" t="str">
        <f t="shared" si="489"/>
        <v>No</v>
      </c>
      <c r="AD467" s="85">
        <f t="shared" si="490"/>
        <v>0</v>
      </c>
      <c r="AE467" s="46">
        <f t="shared" si="491"/>
        <v>0</v>
      </c>
      <c r="AF467" s="46">
        <f t="shared" si="492"/>
        <v>2.1257999999999999</v>
      </c>
      <c r="AG467" s="39">
        <f t="shared" si="547"/>
        <v>59.697573724453164</v>
      </c>
      <c r="AH467" s="39">
        <f t="shared" si="548"/>
        <v>66.454826412731705</v>
      </c>
      <c r="AI467" s="39">
        <f t="shared" si="549"/>
        <v>66.848715560961864</v>
      </c>
      <c r="AJ467" s="39">
        <f t="shared" si="550"/>
        <v>93.842619276064411</v>
      </c>
      <c r="AK467" s="39">
        <f t="shared" si="551"/>
        <v>92.240896708892919</v>
      </c>
      <c r="AL467" s="39">
        <f t="shared" si="552"/>
        <v>80.148307206637824</v>
      </c>
      <c r="AM467" s="39">
        <f t="shared" si="553"/>
        <v>76.324392361533185</v>
      </c>
      <c r="AN467" s="39">
        <f t="shared" si="554"/>
        <v>50.897208940590993</v>
      </c>
      <c r="AO467" s="39">
        <f t="shared" si="493"/>
        <v>2.9697573724453168</v>
      </c>
      <c r="AP467" s="39">
        <f t="shared" si="494"/>
        <v>2.8454826412731706</v>
      </c>
      <c r="AQ467" s="39">
        <f t="shared" si="495"/>
        <v>3.0848715560961879</v>
      </c>
      <c r="AR467" s="39">
        <f t="shared" si="496"/>
        <v>4.884261927606441</v>
      </c>
      <c r="AS467" s="39">
        <f t="shared" si="497"/>
        <v>5.0240896708892926</v>
      </c>
      <c r="AT467" s="39">
        <f t="shared" si="498"/>
        <v>4.7148307206637821</v>
      </c>
      <c r="AU467" s="39">
        <f t="shared" si="499"/>
        <v>4.3324392361533182</v>
      </c>
      <c r="AV467" s="39">
        <f t="shared" si="500"/>
        <v>1.5252861326817613</v>
      </c>
      <c r="AW467" s="39">
        <f t="shared" si="501"/>
        <v>29.381019257809267</v>
      </c>
      <c r="AX467" s="39">
        <f t="shared" si="502"/>
        <v>3.4100000000000006</v>
      </c>
      <c r="AY467" s="39">
        <f t="shared" si="503"/>
        <v>3.4100000000000006</v>
      </c>
      <c r="AZ467" s="39">
        <f t="shared" si="504"/>
        <v>0.34467397305649566</v>
      </c>
      <c r="BA467" s="39">
        <f t="shared" si="505"/>
        <v>0.33025048319800882</v>
      </c>
      <c r="BB467" s="39">
        <f t="shared" si="506"/>
        <v>0.35803427763970497</v>
      </c>
      <c r="BC467" s="39">
        <f t="shared" si="507"/>
        <v>0.56687390682374295</v>
      </c>
      <c r="BD467" s="39">
        <f t="shared" si="508"/>
        <v>0.58310249986235207</v>
      </c>
      <c r="BE467" s="39">
        <f t="shared" si="509"/>
        <v>0.54720949659328766</v>
      </c>
      <c r="BF467" s="39">
        <f t="shared" si="510"/>
        <v>0.50282863455651194</v>
      </c>
      <c r="BG467" s="39">
        <f t="shared" si="511"/>
        <v>0.17702672826989682</v>
      </c>
      <c r="BH467" s="84">
        <f t="shared" si="512"/>
        <v>0</v>
      </c>
      <c r="BI467" s="84">
        <f t="shared" si="513"/>
        <v>0</v>
      </c>
      <c r="BJ467" s="84">
        <f t="shared" si="514"/>
        <v>0</v>
      </c>
      <c r="BK467" s="39">
        <f t="shared" si="515"/>
        <v>59.35289975139667</v>
      </c>
      <c r="BL467" s="39">
        <f t="shared" si="516"/>
        <v>66.124575929533691</v>
      </c>
      <c r="BM467" s="39">
        <f t="shared" si="517"/>
        <v>66.490681283322161</v>
      </c>
      <c r="BN467" s="39">
        <f t="shared" si="518"/>
        <v>93.275745369240667</v>
      </c>
      <c r="BO467" s="39">
        <f t="shared" si="519"/>
        <v>91.65779420903057</v>
      </c>
      <c r="BP467" s="39">
        <f t="shared" si="520"/>
        <v>79.601097710044542</v>
      </c>
      <c r="BQ467" s="39">
        <f t="shared" si="521"/>
        <v>75.821563726976677</v>
      </c>
      <c r="BR467" s="39">
        <f t="shared" si="522"/>
        <v>50.720182212321099</v>
      </c>
      <c r="BS467" s="39">
        <f t="shared" si="523"/>
        <v>0</v>
      </c>
      <c r="BT467" s="39">
        <f t="shared" si="524"/>
        <v>7.47455577202146E-2</v>
      </c>
      <c r="BU467" s="39">
        <f t="shared" si="525"/>
        <v>1.4944087699933049</v>
      </c>
      <c r="BV467" s="39">
        <f t="shared" si="526"/>
        <v>3.7654472215443917</v>
      </c>
      <c r="BW467" s="39">
        <f t="shared" si="527"/>
        <v>4.5946765254183504</v>
      </c>
      <c r="BX467" s="39">
        <f t="shared" si="528"/>
        <v>2.7606586260267165</v>
      </c>
      <c r="BY467" s="39">
        <f t="shared" si="529"/>
        <v>0.49293823618599786</v>
      </c>
      <c r="BZ467" s="39">
        <f t="shared" si="530"/>
        <v>0</v>
      </c>
      <c r="CA467" s="39">
        <f t="shared" si="531"/>
        <v>59.35289975139667</v>
      </c>
      <c r="CB467" s="39">
        <f t="shared" si="532"/>
        <v>66.049830371813471</v>
      </c>
      <c r="CC467" s="39">
        <f t="shared" si="533"/>
        <v>65.071018071049082</v>
      </c>
      <c r="CD467" s="39">
        <f t="shared" si="534"/>
        <v>91.004706917689575</v>
      </c>
      <c r="CE467" s="39">
        <f t="shared" si="535"/>
        <v>90.828564905156611</v>
      </c>
      <c r="CF467" s="39">
        <f t="shared" si="536"/>
        <v>81.435115609436181</v>
      </c>
      <c r="CG467" s="39">
        <f t="shared" si="537"/>
        <v>78.089284116817396</v>
      </c>
      <c r="CH467" s="39">
        <f t="shared" si="538"/>
        <v>51.213120448507098</v>
      </c>
      <c r="CI467" s="39">
        <f t="shared" si="539"/>
        <v>0</v>
      </c>
      <c r="CJ467" s="39">
        <f t="shared" si="540"/>
        <v>0</v>
      </c>
      <c r="CK467" s="39">
        <f t="shared" si="541"/>
        <v>0</v>
      </c>
      <c r="CL467" s="39">
        <f t="shared" si="542"/>
        <v>0</v>
      </c>
      <c r="CM467" s="39">
        <f t="shared" si="543"/>
        <v>0</v>
      </c>
      <c r="CN467" s="39">
        <f t="shared" si="544"/>
        <v>0</v>
      </c>
      <c r="CO467" s="39">
        <f t="shared" si="545"/>
        <v>0</v>
      </c>
      <c r="CP467" s="39">
        <f t="shared" si="546"/>
        <v>0</v>
      </c>
    </row>
    <row r="468" spans="12:94" ht="16" customHeight="1" x14ac:dyDescent="0.2">
      <c r="L468" s="63">
        <v>30780</v>
      </c>
      <c r="M468" s="38">
        <v>0</v>
      </c>
      <c r="N468" s="38">
        <v>3.3</v>
      </c>
      <c r="O468" s="39">
        <v>2.3664000000000001</v>
      </c>
      <c r="P468" s="39">
        <v>1.1000000000000001</v>
      </c>
      <c r="Q468" s="46">
        <f t="shared" si="477"/>
        <v>9.0500878882304042E-2</v>
      </c>
      <c r="R468" s="81">
        <f t="shared" si="478"/>
        <v>0</v>
      </c>
      <c r="S468" s="82">
        <f t="shared" si="479"/>
        <v>0</v>
      </c>
      <c r="T468" s="39">
        <f t="shared" si="480"/>
        <v>0</v>
      </c>
      <c r="U468" s="83">
        <f t="shared" si="481"/>
        <v>3.63</v>
      </c>
      <c r="V468" s="84">
        <f t="shared" si="482"/>
        <v>0</v>
      </c>
      <c r="W468" s="52">
        <f t="shared" si="483"/>
        <v>132.47845511194879</v>
      </c>
      <c r="X468" s="52">
        <f t="shared" si="484"/>
        <v>160.56608507991729</v>
      </c>
      <c r="Y468" s="52">
        <f t="shared" si="485"/>
        <v>293.04454019186608</v>
      </c>
      <c r="Z468" s="53">
        <f t="shared" si="486"/>
        <v>1.0349879305620999</v>
      </c>
      <c r="AA468" s="53">
        <f t="shared" si="487"/>
        <v>0.95575050642807913</v>
      </c>
      <c r="AB468" s="53">
        <f t="shared" si="488"/>
        <v>0.99001533848603407</v>
      </c>
      <c r="AC468" s="39" t="str">
        <f t="shared" si="489"/>
        <v>No</v>
      </c>
      <c r="AD468" s="85">
        <f t="shared" si="490"/>
        <v>0</v>
      </c>
      <c r="AE468" s="46">
        <f t="shared" si="491"/>
        <v>0</v>
      </c>
      <c r="AF468" s="46">
        <f t="shared" si="492"/>
        <v>2.1257999999999999</v>
      </c>
      <c r="AG468" s="39">
        <f t="shared" si="547"/>
        <v>59.35289975139667</v>
      </c>
      <c r="AH468" s="39">
        <f t="shared" si="548"/>
        <v>66.049830371813471</v>
      </c>
      <c r="AI468" s="39">
        <f t="shared" si="549"/>
        <v>65.071018071049082</v>
      </c>
      <c r="AJ468" s="39">
        <f t="shared" si="550"/>
        <v>91.004706917689575</v>
      </c>
      <c r="AK468" s="39">
        <f t="shared" si="551"/>
        <v>90.828564905156611</v>
      </c>
      <c r="AL468" s="39">
        <f t="shared" si="552"/>
        <v>81.435115609436181</v>
      </c>
      <c r="AM468" s="39">
        <f t="shared" si="553"/>
        <v>78.089284116817396</v>
      </c>
      <c r="AN468" s="39">
        <f t="shared" si="554"/>
        <v>51.213120448507098</v>
      </c>
      <c r="AO468" s="39">
        <f t="shared" si="493"/>
        <v>2.9352899751396673</v>
      </c>
      <c r="AP468" s="39">
        <f t="shared" si="494"/>
        <v>2.8049830371813473</v>
      </c>
      <c r="AQ468" s="39">
        <f t="shared" si="495"/>
        <v>2.90710180710491</v>
      </c>
      <c r="AR468" s="39">
        <f t="shared" si="496"/>
        <v>4.6004706917689573</v>
      </c>
      <c r="AS468" s="39">
        <f t="shared" si="497"/>
        <v>4.8828564905156622</v>
      </c>
      <c r="AT468" s="39">
        <f t="shared" si="498"/>
        <v>4.8435115609436181</v>
      </c>
      <c r="AU468" s="39">
        <f t="shared" si="499"/>
        <v>4.5089284116817394</v>
      </c>
      <c r="AV468" s="39">
        <f t="shared" si="500"/>
        <v>1.5796083641515577</v>
      </c>
      <c r="AW468" s="39">
        <f t="shared" si="501"/>
        <v>29.062750338487461</v>
      </c>
      <c r="AX468" s="39">
        <f t="shared" si="502"/>
        <v>3.63</v>
      </c>
      <c r="AY468" s="39">
        <f t="shared" si="503"/>
        <v>3.63</v>
      </c>
      <c r="AZ468" s="39">
        <f t="shared" si="504"/>
        <v>0.36662402854717308</v>
      </c>
      <c r="BA468" s="39">
        <f t="shared" si="505"/>
        <v>0.3503484118460829</v>
      </c>
      <c r="BB468" s="39">
        <f t="shared" si="506"/>
        <v>0.36310326575719504</v>
      </c>
      <c r="BC468" s="39">
        <f t="shared" si="507"/>
        <v>0.57460868006721588</v>
      </c>
      <c r="BD468" s="39">
        <f t="shared" si="508"/>
        <v>0.60987927343886472</v>
      </c>
      <c r="BE468" s="39">
        <f t="shared" si="509"/>
        <v>0.60496500714668311</v>
      </c>
      <c r="BF468" s="39">
        <f t="shared" si="510"/>
        <v>0.5631748524753194</v>
      </c>
      <c r="BG468" s="39">
        <f t="shared" si="511"/>
        <v>0.19729648072146541</v>
      </c>
      <c r="BH468" s="84">
        <f t="shared" si="512"/>
        <v>0</v>
      </c>
      <c r="BI468" s="84">
        <f t="shared" si="513"/>
        <v>0</v>
      </c>
      <c r="BJ468" s="84">
        <f t="shared" si="514"/>
        <v>0</v>
      </c>
      <c r="BK468" s="39">
        <f t="shared" si="515"/>
        <v>58.986275722849498</v>
      </c>
      <c r="BL468" s="39">
        <f t="shared" si="516"/>
        <v>65.699481959967386</v>
      </c>
      <c r="BM468" s="39">
        <f t="shared" si="517"/>
        <v>64.707914805291892</v>
      </c>
      <c r="BN468" s="39">
        <f t="shared" si="518"/>
        <v>90.43009823762236</v>
      </c>
      <c r="BO468" s="39">
        <f t="shared" si="519"/>
        <v>90.218685631717747</v>
      </c>
      <c r="BP468" s="39">
        <f t="shared" si="520"/>
        <v>80.830150602289493</v>
      </c>
      <c r="BQ468" s="39">
        <f t="shared" si="521"/>
        <v>77.526109264342082</v>
      </c>
      <c r="BR468" s="39">
        <f t="shared" si="522"/>
        <v>51.015823967785636</v>
      </c>
      <c r="BS468" s="39">
        <f t="shared" si="523"/>
        <v>0</v>
      </c>
      <c r="BT468" s="39">
        <f t="shared" si="524"/>
        <v>0</v>
      </c>
      <c r="BU468" s="39">
        <f t="shared" si="525"/>
        <v>0.42474888317514398</v>
      </c>
      <c r="BV468" s="39">
        <f t="shared" si="526"/>
        <v>2.0580589425734073</v>
      </c>
      <c r="BW468" s="39">
        <f t="shared" si="527"/>
        <v>3.7312113790306567</v>
      </c>
      <c r="BX468" s="39">
        <f t="shared" si="528"/>
        <v>3.4980903613736869</v>
      </c>
      <c r="BY468" s="39">
        <f t="shared" si="529"/>
        <v>1.5156655586052408</v>
      </c>
      <c r="BZ468" s="39">
        <f t="shared" si="530"/>
        <v>0</v>
      </c>
      <c r="CA468" s="39">
        <f t="shared" si="531"/>
        <v>58.986275722849498</v>
      </c>
      <c r="CB468" s="39">
        <f t="shared" si="532"/>
        <v>65.699481959967386</v>
      </c>
      <c r="CC468" s="39">
        <f t="shared" si="533"/>
        <v>64.283165922116751</v>
      </c>
      <c r="CD468" s="39">
        <f t="shared" si="534"/>
        <v>88.796788178224091</v>
      </c>
      <c r="CE468" s="39">
        <f t="shared" si="535"/>
        <v>88.545533195260504</v>
      </c>
      <c r="CF468" s="39">
        <f t="shared" si="536"/>
        <v>81.063271619946462</v>
      </c>
      <c r="CG468" s="39">
        <f t="shared" si="537"/>
        <v>79.508534067110531</v>
      </c>
      <c r="CH468" s="39">
        <f t="shared" si="538"/>
        <v>52.531489526390878</v>
      </c>
      <c r="CI468" s="39">
        <f t="shared" si="539"/>
        <v>0</v>
      </c>
      <c r="CJ468" s="39">
        <f t="shared" si="540"/>
        <v>0</v>
      </c>
      <c r="CK468" s="39">
        <f t="shared" si="541"/>
        <v>0</v>
      </c>
      <c r="CL468" s="39">
        <f t="shared" si="542"/>
        <v>0</v>
      </c>
      <c r="CM468" s="39">
        <f t="shared" si="543"/>
        <v>0</v>
      </c>
      <c r="CN468" s="39">
        <f t="shared" si="544"/>
        <v>0</v>
      </c>
      <c r="CO468" s="39">
        <f t="shared" si="545"/>
        <v>0</v>
      </c>
      <c r="CP468" s="39">
        <f t="shared" si="546"/>
        <v>0</v>
      </c>
    </row>
    <row r="469" spans="12:94" ht="16" customHeight="1" x14ac:dyDescent="0.2">
      <c r="L469" s="63">
        <v>30781</v>
      </c>
      <c r="M469" s="38">
        <v>0</v>
      </c>
      <c r="N469" s="38">
        <v>2.5</v>
      </c>
      <c r="O469" s="39">
        <v>2.3664000000000001</v>
      </c>
      <c r="P469" s="39">
        <v>1.1000000000000001</v>
      </c>
      <c r="Q469" s="46">
        <f t="shared" si="477"/>
        <v>9.1244035696926698E-2</v>
      </c>
      <c r="R469" s="81">
        <f t="shared" si="478"/>
        <v>0</v>
      </c>
      <c r="S469" s="82">
        <f t="shared" si="479"/>
        <v>0</v>
      </c>
      <c r="T469" s="39">
        <f t="shared" si="480"/>
        <v>0</v>
      </c>
      <c r="U469" s="83">
        <f t="shared" si="481"/>
        <v>2.75</v>
      </c>
      <c r="V469" s="84">
        <f t="shared" si="482"/>
        <v>0</v>
      </c>
      <c r="W469" s="52">
        <f t="shared" si="483"/>
        <v>128.76571178315771</v>
      </c>
      <c r="X469" s="52">
        <f t="shared" si="484"/>
        <v>160.64882840870837</v>
      </c>
      <c r="Y469" s="52">
        <f t="shared" si="485"/>
        <v>289.41454019186608</v>
      </c>
      <c r="Z469" s="53">
        <f t="shared" si="486"/>
        <v>1.0059821233059196</v>
      </c>
      <c r="AA469" s="53">
        <f t="shared" si="487"/>
        <v>0.95624302624231172</v>
      </c>
      <c r="AB469" s="53">
        <f t="shared" si="488"/>
        <v>0.97775182497252056</v>
      </c>
      <c r="AC469" s="39" t="str">
        <f t="shared" si="489"/>
        <v>No</v>
      </c>
      <c r="AD469" s="85">
        <f t="shared" si="490"/>
        <v>0</v>
      </c>
      <c r="AE469" s="46">
        <f t="shared" si="491"/>
        <v>0</v>
      </c>
      <c r="AF469" s="46">
        <f t="shared" si="492"/>
        <v>2.1257999999999999</v>
      </c>
      <c r="AG469" s="39">
        <f t="shared" si="547"/>
        <v>58.986275722849498</v>
      </c>
      <c r="AH469" s="39">
        <f t="shared" si="548"/>
        <v>65.699481959967386</v>
      </c>
      <c r="AI469" s="39">
        <f t="shared" si="549"/>
        <v>64.283165922116751</v>
      </c>
      <c r="AJ469" s="39">
        <f t="shared" si="550"/>
        <v>88.796788178224091</v>
      </c>
      <c r="AK469" s="39">
        <f t="shared" si="551"/>
        <v>88.545533195260504</v>
      </c>
      <c r="AL469" s="39">
        <f t="shared" si="552"/>
        <v>81.063271619946462</v>
      </c>
      <c r="AM469" s="39">
        <f t="shared" si="553"/>
        <v>79.508534067110531</v>
      </c>
      <c r="AN469" s="39">
        <f t="shared" si="554"/>
        <v>52.531489526390878</v>
      </c>
      <c r="AO469" s="39">
        <f t="shared" si="493"/>
        <v>2.8986275722849499</v>
      </c>
      <c r="AP469" s="39">
        <f t="shared" si="494"/>
        <v>2.7699481959967387</v>
      </c>
      <c r="AQ469" s="39">
        <f t="shared" si="495"/>
        <v>2.8283165922116766</v>
      </c>
      <c r="AR469" s="39">
        <f t="shared" si="496"/>
        <v>4.3796788178224082</v>
      </c>
      <c r="AS469" s="39">
        <f t="shared" si="497"/>
        <v>4.6545533195260509</v>
      </c>
      <c r="AT469" s="39">
        <f t="shared" si="498"/>
        <v>4.8063271619946457</v>
      </c>
      <c r="AU469" s="39">
        <f t="shared" si="499"/>
        <v>4.650853406711053</v>
      </c>
      <c r="AV469" s="39">
        <f t="shared" si="500"/>
        <v>1.816567062473887</v>
      </c>
      <c r="AW469" s="39">
        <f t="shared" si="501"/>
        <v>28.804872129021412</v>
      </c>
      <c r="AX469" s="39">
        <f t="shared" si="502"/>
        <v>2.75</v>
      </c>
      <c r="AY469" s="39">
        <f t="shared" si="503"/>
        <v>2.75</v>
      </c>
      <c r="AZ469" s="39">
        <f t="shared" si="504"/>
        <v>0.27673185939098349</v>
      </c>
      <c r="BA469" s="39">
        <f t="shared" si="505"/>
        <v>0.26444684443908401</v>
      </c>
      <c r="BB469" s="39">
        <f t="shared" si="506"/>
        <v>0.27001927291132705</v>
      </c>
      <c r="BC469" s="39">
        <f t="shared" si="507"/>
        <v>0.41812776307647503</v>
      </c>
      <c r="BD469" s="39">
        <f t="shared" si="508"/>
        <v>0.44437002085492316</v>
      </c>
      <c r="BE469" s="39">
        <f t="shared" si="509"/>
        <v>0.45885986357733266</v>
      </c>
      <c r="BF469" s="39">
        <f t="shared" si="510"/>
        <v>0.44401679032518254</v>
      </c>
      <c r="BG469" s="39">
        <f t="shared" si="511"/>
        <v>0.17342758542469197</v>
      </c>
      <c r="BH469" s="84">
        <f t="shared" si="512"/>
        <v>0</v>
      </c>
      <c r="BI469" s="84">
        <f t="shared" si="513"/>
        <v>0</v>
      </c>
      <c r="BJ469" s="84">
        <f t="shared" si="514"/>
        <v>0</v>
      </c>
      <c r="BK469" s="39">
        <f t="shared" si="515"/>
        <v>58.709543863458514</v>
      </c>
      <c r="BL469" s="39">
        <f t="shared" si="516"/>
        <v>65.435035115528308</v>
      </c>
      <c r="BM469" s="39">
        <f t="shared" si="517"/>
        <v>64.013146649205424</v>
      </c>
      <c r="BN469" s="39">
        <f t="shared" si="518"/>
        <v>88.378660415147621</v>
      </c>
      <c r="BO469" s="39">
        <f t="shared" si="519"/>
        <v>88.101163174405585</v>
      </c>
      <c r="BP469" s="39">
        <f t="shared" si="520"/>
        <v>80.604411756369132</v>
      </c>
      <c r="BQ469" s="39">
        <f t="shared" si="521"/>
        <v>79.064517276785352</v>
      </c>
      <c r="BR469" s="39">
        <f t="shared" si="522"/>
        <v>52.358061940966188</v>
      </c>
      <c r="BS469" s="39">
        <f t="shared" si="523"/>
        <v>0</v>
      </c>
      <c r="BT469" s="39">
        <f t="shared" si="524"/>
        <v>0</v>
      </c>
      <c r="BU469" s="39">
        <f t="shared" si="525"/>
        <v>7.8879895232631721E-3</v>
      </c>
      <c r="BV469" s="39">
        <f t="shared" si="526"/>
        <v>0.82719624908856415</v>
      </c>
      <c r="BW469" s="39">
        <f t="shared" si="527"/>
        <v>2.4606979046433595</v>
      </c>
      <c r="BX469" s="39">
        <f t="shared" si="528"/>
        <v>3.3626470538214703</v>
      </c>
      <c r="BY469" s="39">
        <f t="shared" si="529"/>
        <v>2.4387103660712026</v>
      </c>
      <c r="BZ469" s="39">
        <f t="shared" si="530"/>
        <v>0</v>
      </c>
      <c r="CA469" s="39">
        <f t="shared" si="531"/>
        <v>58.709543863458514</v>
      </c>
      <c r="CB469" s="39">
        <f t="shared" si="532"/>
        <v>65.435035115528308</v>
      </c>
      <c r="CC469" s="39">
        <f t="shared" si="533"/>
        <v>64.005258659682156</v>
      </c>
      <c r="CD469" s="39">
        <f t="shared" si="534"/>
        <v>87.559352155582332</v>
      </c>
      <c r="CE469" s="39">
        <f t="shared" si="535"/>
        <v>86.46766151885079</v>
      </c>
      <c r="CF469" s="39">
        <f t="shared" si="536"/>
        <v>79.702462607191009</v>
      </c>
      <c r="CG469" s="39">
        <f t="shared" si="537"/>
        <v>79.988453964535623</v>
      </c>
      <c r="CH469" s="39">
        <f t="shared" si="538"/>
        <v>54.796772307037394</v>
      </c>
      <c r="CI469" s="39">
        <f t="shared" si="539"/>
        <v>0</v>
      </c>
      <c r="CJ469" s="39">
        <f t="shared" si="540"/>
        <v>0</v>
      </c>
      <c r="CK469" s="39">
        <f t="shared" si="541"/>
        <v>0</v>
      </c>
      <c r="CL469" s="39">
        <f t="shared" si="542"/>
        <v>0</v>
      </c>
      <c r="CM469" s="39">
        <f t="shared" si="543"/>
        <v>0</v>
      </c>
      <c r="CN469" s="39">
        <f t="shared" si="544"/>
        <v>0</v>
      </c>
      <c r="CO469" s="39">
        <f t="shared" si="545"/>
        <v>0</v>
      </c>
      <c r="CP469" s="39">
        <f t="shared" si="546"/>
        <v>0</v>
      </c>
    </row>
    <row r="470" spans="12:94" ht="16" customHeight="1" x14ac:dyDescent="0.2">
      <c r="L470" s="63">
        <v>30782</v>
      </c>
      <c r="M470" s="38">
        <v>0</v>
      </c>
      <c r="N470" s="38">
        <v>3.4</v>
      </c>
      <c r="O470" s="39">
        <v>2.3664000000000001</v>
      </c>
      <c r="P470" s="39">
        <v>1.1000000000000001</v>
      </c>
      <c r="Q470" s="46">
        <f t="shared" si="477"/>
        <v>9.1804978655151664E-2</v>
      </c>
      <c r="R470" s="81">
        <f t="shared" si="478"/>
        <v>0</v>
      </c>
      <c r="S470" s="82">
        <f t="shared" si="479"/>
        <v>0</v>
      </c>
      <c r="T470" s="39">
        <f t="shared" si="480"/>
        <v>0</v>
      </c>
      <c r="U470" s="83">
        <f t="shared" si="481"/>
        <v>3.74</v>
      </c>
      <c r="V470" s="84">
        <f t="shared" si="482"/>
        <v>0</v>
      </c>
      <c r="W470" s="52">
        <f t="shared" si="483"/>
        <v>126.7091897942513</v>
      </c>
      <c r="X470" s="52">
        <f t="shared" si="484"/>
        <v>159.95535039761478</v>
      </c>
      <c r="Y470" s="52">
        <f t="shared" si="485"/>
        <v>286.66454019186608</v>
      </c>
      <c r="Z470" s="53">
        <f t="shared" si="486"/>
        <v>0.98991554526758829</v>
      </c>
      <c r="AA470" s="53">
        <f t="shared" si="487"/>
        <v>0.95211518093818326</v>
      </c>
      <c r="AB470" s="53">
        <f t="shared" si="488"/>
        <v>0.96846128443197999</v>
      </c>
      <c r="AC470" s="39" t="str">
        <f t="shared" si="489"/>
        <v>No</v>
      </c>
      <c r="AD470" s="85">
        <f t="shared" si="490"/>
        <v>0</v>
      </c>
      <c r="AE470" s="46">
        <f t="shared" si="491"/>
        <v>0</v>
      </c>
      <c r="AF470" s="46">
        <f t="shared" si="492"/>
        <v>2.1257999999999999</v>
      </c>
      <c r="AG470" s="39">
        <f t="shared" si="547"/>
        <v>58.709543863458514</v>
      </c>
      <c r="AH470" s="39">
        <f t="shared" si="548"/>
        <v>65.435035115528308</v>
      </c>
      <c r="AI470" s="39">
        <f t="shared" si="549"/>
        <v>64.005258659682156</v>
      </c>
      <c r="AJ470" s="39">
        <f t="shared" si="550"/>
        <v>87.559352155582332</v>
      </c>
      <c r="AK470" s="39">
        <f t="shared" si="551"/>
        <v>86.46766151885079</v>
      </c>
      <c r="AL470" s="39">
        <f t="shared" si="552"/>
        <v>79.702462607191009</v>
      </c>
      <c r="AM470" s="39">
        <f t="shared" si="553"/>
        <v>79.988453964535623</v>
      </c>
      <c r="AN470" s="39">
        <f t="shared" si="554"/>
        <v>54.796772307037394</v>
      </c>
      <c r="AO470" s="39">
        <f t="shared" si="493"/>
        <v>2.8709543863458515</v>
      </c>
      <c r="AP470" s="39">
        <f t="shared" si="494"/>
        <v>2.7435035115528308</v>
      </c>
      <c r="AQ470" s="39">
        <f t="shared" si="495"/>
        <v>2.8005258659682171</v>
      </c>
      <c r="AR470" s="39">
        <f t="shared" si="496"/>
        <v>4.2559352155582326</v>
      </c>
      <c r="AS470" s="39">
        <f t="shared" si="497"/>
        <v>4.4467661518850798</v>
      </c>
      <c r="AT470" s="39">
        <f t="shared" si="498"/>
        <v>4.6702462607191002</v>
      </c>
      <c r="AU470" s="39">
        <f t="shared" si="499"/>
        <v>4.6988453964535619</v>
      </c>
      <c r="AV470" s="39">
        <f t="shared" si="500"/>
        <v>2.1796772307037386</v>
      </c>
      <c r="AW470" s="39">
        <f t="shared" si="501"/>
        <v>28.66645401918661</v>
      </c>
      <c r="AX470" s="39">
        <f t="shared" si="502"/>
        <v>3.74</v>
      </c>
      <c r="AY470" s="39">
        <f t="shared" si="503"/>
        <v>3.74</v>
      </c>
      <c r="AZ470" s="39">
        <f t="shared" si="504"/>
        <v>0.37456217632452576</v>
      </c>
      <c r="BA470" s="39">
        <f t="shared" si="505"/>
        <v>0.35793415977923343</v>
      </c>
      <c r="BB470" s="39">
        <f t="shared" si="506"/>
        <v>0.36537364306414916</v>
      </c>
      <c r="BC470" s="39">
        <f t="shared" si="507"/>
        <v>0.55525520162118158</v>
      </c>
      <c r="BD470" s="39">
        <f t="shared" si="508"/>
        <v>0.58015216660278413</v>
      </c>
      <c r="BE470" s="39">
        <f t="shared" si="509"/>
        <v>0.60930874126945966</v>
      </c>
      <c r="BF470" s="39">
        <f t="shared" si="510"/>
        <v>0.61303995851646542</v>
      </c>
      <c r="BG470" s="39">
        <f t="shared" si="511"/>
        <v>0.28437395282220157</v>
      </c>
      <c r="BH470" s="84">
        <f t="shared" si="512"/>
        <v>0</v>
      </c>
      <c r="BI470" s="84">
        <f t="shared" si="513"/>
        <v>0</v>
      </c>
      <c r="BJ470" s="84">
        <f t="shared" si="514"/>
        <v>0</v>
      </c>
      <c r="BK470" s="39">
        <f t="shared" si="515"/>
        <v>58.33498168713399</v>
      </c>
      <c r="BL470" s="39">
        <f t="shared" si="516"/>
        <v>65.077100955749074</v>
      </c>
      <c r="BM470" s="39">
        <f t="shared" si="517"/>
        <v>63.63988501661801</v>
      </c>
      <c r="BN470" s="39">
        <f t="shared" si="518"/>
        <v>87.004096953961152</v>
      </c>
      <c r="BO470" s="39">
        <f t="shared" si="519"/>
        <v>85.887509352248003</v>
      </c>
      <c r="BP470" s="39">
        <f t="shared" si="520"/>
        <v>79.093153865921551</v>
      </c>
      <c r="BQ470" s="39">
        <f t="shared" si="521"/>
        <v>79.375414006019156</v>
      </c>
      <c r="BR470" s="39">
        <f t="shared" si="522"/>
        <v>54.512398354215193</v>
      </c>
      <c r="BS470" s="39">
        <f t="shared" si="523"/>
        <v>0</v>
      </c>
      <c r="BT470" s="39">
        <f t="shared" si="524"/>
        <v>0</v>
      </c>
      <c r="BU470" s="39">
        <f t="shared" si="525"/>
        <v>0</v>
      </c>
      <c r="BV470" s="39">
        <f t="shared" si="526"/>
        <v>2.4581723766829099E-3</v>
      </c>
      <c r="BW470" s="39">
        <f t="shared" si="527"/>
        <v>1.1325056113488101</v>
      </c>
      <c r="BX470" s="39">
        <f t="shared" si="528"/>
        <v>2.4558923195529219</v>
      </c>
      <c r="BY470" s="39">
        <f t="shared" si="529"/>
        <v>2.6252484036114851</v>
      </c>
      <c r="BZ470" s="39">
        <f t="shared" si="530"/>
        <v>0</v>
      </c>
      <c r="CA470" s="39">
        <f t="shared" si="531"/>
        <v>58.33498168713399</v>
      </c>
      <c r="CB470" s="39">
        <f t="shared" si="532"/>
        <v>65.077100955749074</v>
      </c>
      <c r="CC470" s="39">
        <f t="shared" si="533"/>
        <v>63.63988501661801</v>
      </c>
      <c r="CD470" s="39">
        <f t="shared" si="534"/>
        <v>87.001638781584475</v>
      </c>
      <c r="CE470" s="39">
        <f t="shared" si="535"/>
        <v>84.757461913275876</v>
      </c>
      <c r="CF470" s="39">
        <f t="shared" si="536"/>
        <v>77.769767157717439</v>
      </c>
      <c r="CG470" s="39">
        <f t="shared" si="537"/>
        <v>79.206057921960593</v>
      </c>
      <c r="CH470" s="39">
        <f t="shared" si="538"/>
        <v>57.13764675782668</v>
      </c>
      <c r="CI470" s="39">
        <f t="shared" si="539"/>
        <v>0</v>
      </c>
      <c r="CJ470" s="39">
        <f t="shared" si="540"/>
        <v>0</v>
      </c>
      <c r="CK470" s="39">
        <f t="shared" si="541"/>
        <v>0</v>
      </c>
      <c r="CL470" s="39">
        <f t="shared" si="542"/>
        <v>0</v>
      </c>
      <c r="CM470" s="39">
        <f t="shared" si="543"/>
        <v>0</v>
      </c>
      <c r="CN470" s="39">
        <f t="shared" si="544"/>
        <v>0</v>
      </c>
      <c r="CO470" s="39">
        <f t="shared" si="545"/>
        <v>0</v>
      </c>
      <c r="CP470" s="39">
        <f t="shared" si="546"/>
        <v>0</v>
      </c>
    </row>
    <row r="471" spans="12:94" ht="16" customHeight="1" x14ac:dyDescent="0.2">
      <c r="L471" s="63">
        <v>30783</v>
      </c>
      <c r="M471" s="38">
        <v>0</v>
      </c>
      <c r="N471" s="38">
        <v>3.9</v>
      </c>
      <c r="O471" s="39">
        <v>2.3664000000000001</v>
      </c>
      <c r="P471" s="39">
        <v>1.1000000000000001</v>
      </c>
      <c r="Q471" s="46">
        <f t="shared" si="477"/>
        <v>9.2564226309863537E-2</v>
      </c>
      <c r="R471" s="81">
        <f t="shared" si="478"/>
        <v>0</v>
      </c>
      <c r="S471" s="82">
        <f t="shared" si="479"/>
        <v>0</v>
      </c>
      <c r="T471" s="39">
        <f t="shared" si="480"/>
        <v>0</v>
      </c>
      <c r="U471" s="83">
        <f t="shared" si="481"/>
        <v>4.29</v>
      </c>
      <c r="V471" s="84">
        <f t="shared" si="482"/>
        <v>0</v>
      </c>
      <c r="W471" s="52">
        <f t="shared" si="483"/>
        <v>125.05360644108555</v>
      </c>
      <c r="X471" s="52">
        <f t="shared" si="484"/>
        <v>157.87093375078058</v>
      </c>
      <c r="Y471" s="52">
        <f t="shared" si="485"/>
        <v>282.92454019186613</v>
      </c>
      <c r="Z471" s="53">
        <f t="shared" si="486"/>
        <v>0.97698130032098085</v>
      </c>
      <c r="AA471" s="53">
        <f t="shared" si="487"/>
        <v>0.93970793899274152</v>
      </c>
      <c r="AB471" s="53">
        <f t="shared" si="488"/>
        <v>0.95582614929684506</v>
      </c>
      <c r="AC471" s="39" t="str">
        <f t="shared" si="489"/>
        <v>No</v>
      </c>
      <c r="AD471" s="85">
        <f t="shared" si="490"/>
        <v>0</v>
      </c>
      <c r="AE471" s="46">
        <f t="shared" si="491"/>
        <v>0</v>
      </c>
      <c r="AF471" s="46">
        <f t="shared" si="492"/>
        <v>2.1257999999999999</v>
      </c>
      <c r="AG471" s="39">
        <f t="shared" si="547"/>
        <v>58.33498168713399</v>
      </c>
      <c r="AH471" s="39">
        <f t="shared" si="548"/>
        <v>65.077100955749074</v>
      </c>
      <c r="AI471" s="39">
        <f t="shared" si="549"/>
        <v>63.63988501661801</v>
      </c>
      <c r="AJ471" s="39">
        <f t="shared" si="550"/>
        <v>87.001638781584475</v>
      </c>
      <c r="AK471" s="39">
        <f t="shared" si="551"/>
        <v>84.757461913275876</v>
      </c>
      <c r="AL471" s="39">
        <f t="shared" si="552"/>
        <v>77.769767157717439</v>
      </c>
      <c r="AM471" s="39">
        <f t="shared" si="553"/>
        <v>79.206057921960593</v>
      </c>
      <c r="AN471" s="39">
        <f t="shared" si="554"/>
        <v>57.13764675782668</v>
      </c>
      <c r="AO471" s="39">
        <f t="shared" si="493"/>
        <v>2.8334981687133993</v>
      </c>
      <c r="AP471" s="39">
        <f t="shared" si="494"/>
        <v>2.7077100955749076</v>
      </c>
      <c r="AQ471" s="39">
        <f t="shared" si="495"/>
        <v>2.7639885016618027</v>
      </c>
      <c r="AR471" s="39">
        <f t="shared" si="496"/>
        <v>4.2001638781584472</v>
      </c>
      <c r="AS471" s="39">
        <f t="shared" si="497"/>
        <v>4.2757461913275883</v>
      </c>
      <c r="AT471" s="39">
        <f t="shared" si="498"/>
        <v>4.4769767157717437</v>
      </c>
      <c r="AU471" s="39">
        <f t="shared" si="499"/>
        <v>4.6206057921960584</v>
      </c>
      <c r="AV471" s="39">
        <f t="shared" si="500"/>
        <v>2.4137646757826676</v>
      </c>
      <c r="AW471" s="39">
        <f t="shared" si="501"/>
        <v>28.292454019186614</v>
      </c>
      <c r="AX471" s="39">
        <f t="shared" si="502"/>
        <v>4.29</v>
      </c>
      <c r="AY471" s="39">
        <f t="shared" si="503"/>
        <v>4.29</v>
      </c>
      <c r="AZ471" s="39">
        <f t="shared" si="504"/>
        <v>0.42964484931342656</v>
      </c>
      <c r="BA471" s="39">
        <f t="shared" si="505"/>
        <v>0.41057153621735593</v>
      </c>
      <c r="BB471" s="39">
        <f t="shared" si="506"/>
        <v>0.41910506116181817</v>
      </c>
      <c r="BC471" s="39">
        <f t="shared" si="507"/>
        <v>0.6368731049303924</v>
      </c>
      <c r="BD471" s="39">
        <f t="shared" si="508"/>
        <v>0.64833369167467847</v>
      </c>
      <c r="BE471" s="39">
        <f t="shared" si="509"/>
        <v>0.67884638418555066</v>
      </c>
      <c r="BF471" s="39">
        <f t="shared" si="510"/>
        <v>0.7006249381930062</v>
      </c>
      <c r="BG471" s="39">
        <f t="shared" si="511"/>
        <v>0.36600043432377177</v>
      </c>
      <c r="BH471" s="84">
        <f t="shared" si="512"/>
        <v>0</v>
      </c>
      <c r="BI471" s="84">
        <f t="shared" si="513"/>
        <v>0</v>
      </c>
      <c r="BJ471" s="84">
        <f t="shared" si="514"/>
        <v>0</v>
      </c>
      <c r="BK471" s="39">
        <f t="shared" si="515"/>
        <v>57.905336837820563</v>
      </c>
      <c r="BL471" s="39">
        <f t="shared" si="516"/>
        <v>64.666529419531713</v>
      </c>
      <c r="BM471" s="39">
        <f t="shared" si="517"/>
        <v>63.220779955456194</v>
      </c>
      <c r="BN471" s="39">
        <f t="shared" si="518"/>
        <v>86.364765676654088</v>
      </c>
      <c r="BO471" s="39">
        <f t="shared" si="519"/>
        <v>84.109128221601196</v>
      </c>
      <c r="BP471" s="39">
        <f t="shared" si="520"/>
        <v>77.090920773531892</v>
      </c>
      <c r="BQ471" s="39">
        <f t="shared" si="521"/>
        <v>78.505432983767591</v>
      </c>
      <c r="BR471" s="39">
        <f t="shared" si="522"/>
        <v>56.771646323502907</v>
      </c>
      <c r="BS471" s="39">
        <f t="shared" si="523"/>
        <v>0</v>
      </c>
      <c r="BT471" s="39">
        <f t="shared" si="524"/>
        <v>0</v>
      </c>
      <c r="BU471" s="39">
        <f t="shared" si="525"/>
        <v>0</v>
      </c>
      <c r="BV471" s="39">
        <f t="shared" si="526"/>
        <v>0</v>
      </c>
      <c r="BW471" s="39">
        <f t="shared" si="527"/>
        <v>6.5476932960726222E-2</v>
      </c>
      <c r="BX471" s="39">
        <f t="shared" si="528"/>
        <v>1.2545524641191264</v>
      </c>
      <c r="BY471" s="39">
        <f t="shared" si="529"/>
        <v>2.1032597902605459</v>
      </c>
      <c r="BZ471" s="39">
        <f t="shared" si="530"/>
        <v>0</v>
      </c>
      <c r="CA471" s="39">
        <f t="shared" si="531"/>
        <v>57.905336837820563</v>
      </c>
      <c r="CB471" s="39">
        <f t="shared" si="532"/>
        <v>64.666529419531713</v>
      </c>
      <c r="CC471" s="39">
        <f t="shared" si="533"/>
        <v>63.220779955456194</v>
      </c>
      <c r="CD471" s="39">
        <f t="shared" si="534"/>
        <v>86.364765676654088</v>
      </c>
      <c r="CE471" s="39">
        <f t="shared" si="535"/>
        <v>84.043651288640476</v>
      </c>
      <c r="CF471" s="39">
        <f t="shared" si="536"/>
        <v>75.901845242373483</v>
      </c>
      <c r="CG471" s="39">
        <f t="shared" si="537"/>
        <v>77.656725657626168</v>
      </c>
      <c r="CH471" s="39">
        <f t="shared" si="538"/>
        <v>58.874906113763451</v>
      </c>
      <c r="CI471" s="39">
        <f t="shared" si="539"/>
        <v>0</v>
      </c>
      <c r="CJ471" s="39">
        <f t="shared" si="540"/>
        <v>0</v>
      </c>
      <c r="CK471" s="39">
        <f t="shared" si="541"/>
        <v>0</v>
      </c>
      <c r="CL471" s="39">
        <f t="shared" si="542"/>
        <v>0</v>
      </c>
      <c r="CM471" s="39">
        <f t="shared" si="543"/>
        <v>0</v>
      </c>
      <c r="CN471" s="39">
        <f t="shared" si="544"/>
        <v>0</v>
      </c>
      <c r="CO471" s="39">
        <f t="shared" si="545"/>
        <v>0</v>
      </c>
      <c r="CP471" s="39">
        <f t="shared" si="546"/>
        <v>0</v>
      </c>
    </row>
    <row r="472" spans="12:94" ht="16" customHeight="1" x14ac:dyDescent="0.2">
      <c r="L472" s="63">
        <v>30784</v>
      </c>
      <c r="M472" s="38">
        <v>0</v>
      </c>
      <c r="N472" s="38">
        <v>3.2</v>
      </c>
      <c r="O472" s="39">
        <v>2.3664000000000001</v>
      </c>
      <c r="P472" s="39">
        <v>1.1000000000000001</v>
      </c>
      <c r="Q472" s="46">
        <f t="shared" si="477"/>
        <v>9.3435128031444797E-2</v>
      </c>
      <c r="R472" s="81">
        <f t="shared" si="478"/>
        <v>0</v>
      </c>
      <c r="S472" s="82">
        <f t="shared" si="479"/>
        <v>0</v>
      </c>
      <c r="T472" s="39">
        <f t="shared" si="480"/>
        <v>0</v>
      </c>
      <c r="U472" s="83">
        <f t="shared" si="481"/>
        <v>3.5200000000000005</v>
      </c>
      <c r="V472" s="84">
        <f t="shared" si="482"/>
        <v>0</v>
      </c>
      <c r="W472" s="52">
        <f t="shared" si="483"/>
        <v>123.15741188946254</v>
      </c>
      <c r="X472" s="52">
        <f t="shared" si="484"/>
        <v>155.47712830240357</v>
      </c>
      <c r="Y472" s="52">
        <f t="shared" si="485"/>
        <v>278.63454019186611</v>
      </c>
      <c r="Z472" s="53">
        <f t="shared" si="486"/>
        <v>0.96216728038642607</v>
      </c>
      <c r="AA472" s="53">
        <f t="shared" si="487"/>
        <v>0.92545909703811646</v>
      </c>
      <c r="AB472" s="53">
        <f t="shared" si="488"/>
        <v>0.94133290605360176</v>
      </c>
      <c r="AC472" s="39" t="str">
        <f t="shared" si="489"/>
        <v>No</v>
      </c>
      <c r="AD472" s="85">
        <f t="shared" si="490"/>
        <v>0</v>
      </c>
      <c r="AE472" s="46">
        <f t="shared" si="491"/>
        <v>0</v>
      </c>
      <c r="AF472" s="46">
        <f t="shared" si="492"/>
        <v>2.1257999999999999</v>
      </c>
      <c r="AG472" s="39">
        <f t="shared" si="547"/>
        <v>57.905336837820563</v>
      </c>
      <c r="AH472" s="39">
        <f t="shared" si="548"/>
        <v>64.666529419531713</v>
      </c>
      <c r="AI472" s="39">
        <f t="shared" si="549"/>
        <v>63.220779955456194</v>
      </c>
      <c r="AJ472" s="39">
        <f t="shared" si="550"/>
        <v>86.364765676654088</v>
      </c>
      <c r="AK472" s="39">
        <f t="shared" si="551"/>
        <v>84.043651288640476</v>
      </c>
      <c r="AL472" s="39">
        <f t="shared" si="552"/>
        <v>75.901845242373483</v>
      </c>
      <c r="AM472" s="39">
        <f t="shared" si="553"/>
        <v>77.656725657626168</v>
      </c>
      <c r="AN472" s="39">
        <f t="shared" si="554"/>
        <v>58.874906113763451</v>
      </c>
      <c r="AO472" s="39">
        <f t="shared" si="493"/>
        <v>2.7905336837820567</v>
      </c>
      <c r="AP472" s="39">
        <f t="shared" si="494"/>
        <v>2.6666529419531715</v>
      </c>
      <c r="AQ472" s="39">
        <f t="shared" si="495"/>
        <v>2.7220779955456211</v>
      </c>
      <c r="AR472" s="39">
        <f t="shared" si="496"/>
        <v>4.1364765676654081</v>
      </c>
      <c r="AS472" s="39">
        <f t="shared" si="497"/>
        <v>4.2043651288640485</v>
      </c>
      <c r="AT472" s="39">
        <f t="shared" si="498"/>
        <v>4.2901845242373478</v>
      </c>
      <c r="AU472" s="39">
        <f t="shared" si="499"/>
        <v>4.465672565762616</v>
      </c>
      <c r="AV472" s="39">
        <f t="shared" si="500"/>
        <v>2.5874906113763445</v>
      </c>
      <c r="AW472" s="39">
        <f t="shared" si="501"/>
        <v>27.863454019186616</v>
      </c>
      <c r="AX472" s="39">
        <f t="shared" si="502"/>
        <v>3.5200000000000005</v>
      </c>
      <c r="AY472" s="39">
        <f t="shared" si="503"/>
        <v>3.5200000000000005</v>
      </c>
      <c r="AZ472" s="39">
        <f t="shared" si="504"/>
        <v>0.35252910712896546</v>
      </c>
      <c r="BA472" s="39">
        <f t="shared" si="505"/>
        <v>0.33687920920398429</v>
      </c>
      <c r="BB472" s="39">
        <f t="shared" si="506"/>
        <v>0.34388107582508159</v>
      </c>
      <c r="BC472" s="39">
        <f t="shared" si="507"/>
        <v>0.52256254763519383</v>
      </c>
      <c r="BD472" s="39">
        <f t="shared" si="508"/>
        <v>0.53113893357983166</v>
      </c>
      <c r="BE472" s="39">
        <f t="shared" si="509"/>
        <v>0.54198052814689435</v>
      </c>
      <c r="BF472" s="39">
        <f t="shared" si="510"/>
        <v>0.56414999449315506</v>
      </c>
      <c r="BG472" s="39">
        <f t="shared" si="511"/>
        <v>0.32687860398689406</v>
      </c>
      <c r="BH472" s="84">
        <f t="shared" si="512"/>
        <v>0</v>
      </c>
      <c r="BI472" s="84">
        <f t="shared" si="513"/>
        <v>0</v>
      </c>
      <c r="BJ472" s="84">
        <f t="shared" si="514"/>
        <v>0</v>
      </c>
      <c r="BK472" s="39">
        <f t="shared" si="515"/>
        <v>57.552807730691597</v>
      </c>
      <c r="BL472" s="39">
        <f t="shared" si="516"/>
        <v>64.329650210327728</v>
      </c>
      <c r="BM472" s="39">
        <f t="shared" si="517"/>
        <v>62.876898879631113</v>
      </c>
      <c r="BN472" s="39">
        <f t="shared" si="518"/>
        <v>85.842203129018898</v>
      </c>
      <c r="BO472" s="39">
        <f t="shared" si="519"/>
        <v>83.51251235506065</v>
      </c>
      <c r="BP472" s="39">
        <f t="shared" si="520"/>
        <v>75.359864714226589</v>
      </c>
      <c r="BQ472" s="39">
        <f t="shared" si="521"/>
        <v>77.092575663133019</v>
      </c>
      <c r="BR472" s="39">
        <f t="shared" si="522"/>
        <v>58.54802750977656</v>
      </c>
      <c r="BS472" s="39">
        <f t="shared" si="523"/>
        <v>0</v>
      </c>
      <c r="BT472" s="39">
        <f t="shared" si="524"/>
        <v>0</v>
      </c>
      <c r="BU472" s="39">
        <f t="shared" si="525"/>
        <v>0</v>
      </c>
      <c r="BV472" s="39">
        <f t="shared" si="526"/>
        <v>0</v>
      </c>
      <c r="BW472" s="39">
        <f t="shared" si="527"/>
        <v>0</v>
      </c>
      <c r="BX472" s="39">
        <f t="shared" si="528"/>
        <v>0.21591882853594482</v>
      </c>
      <c r="BY472" s="39">
        <f t="shared" si="529"/>
        <v>1.2555453978798028</v>
      </c>
      <c r="BZ472" s="39">
        <f t="shared" si="530"/>
        <v>0</v>
      </c>
      <c r="CA472" s="39">
        <f t="shared" si="531"/>
        <v>57.552807730691597</v>
      </c>
      <c r="CB472" s="39">
        <f t="shared" si="532"/>
        <v>64.329650210327728</v>
      </c>
      <c r="CC472" s="39">
        <f t="shared" si="533"/>
        <v>62.876898879631113</v>
      </c>
      <c r="CD472" s="39">
        <f t="shared" si="534"/>
        <v>85.842203129018898</v>
      </c>
      <c r="CE472" s="39">
        <f t="shared" si="535"/>
        <v>83.51251235506065</v>
      </c>
      <c r="CF472" s="39">
        <f t="shared" si="536"/>
        <v>75.143945885690641</v>
      </c>
      <c r="CG472" s="39">
        <f t="shared" si="537"/>
        <v>76.052949093789167</v>
      </c>
      <c r="CH472" s="39">
        <f t="shared" si="538"/>
        <v>59.80357290765636</v>
      </c>
      <c r="CI472" s="39">
        <f t="shared" si="539"/>
        <v>0</v>
      </c>
      <c r="CJ472" s="39">
        <f t="shared" si="540"/>
        <v>0</v>
      </c>
      <c r="CK472" s="39">
        <f t="shared" si="541"/>
        <v>0</v>
      </c>
      <c r="CL472" s="39">
        <f t="shared" si="542"/>
        <v>0</v>
      </c>
      <c r="CM472" s="39">
        <f t="shared" si="543"/>
        <v>0</v>
      </c>
      <c r="CN472" s="39">
        <f t="shared" si="544"/>
        <v>0</v>
      </c>
      <c r="CO472" s="39">
        <f t="shared" si="545"/>
        <v>0</v>
      </c>
      <c r="CP472" s="39">
        <f t="shared" si="546"/>
        <v>0</v>
      </c>
    </row>
    <row r="473" spans="12:94" ht="16" customHeight="1" x14ac:dyDescent="0.2">
      <c r="L473" s="63">
        <v>30785</v>
      </c>
      <c r="M473" s="38">
        <v>0</v>
      </c>
      <c r="N473" s="38">
        <v>3.9</v>
      </c>
      <c r="O473" s="39">
        <v>2.3664000000000001</v>
      </c>
      <c r="P473" s="39">
        <v>1.1000000000000001</v>
      </c>
      <c r="Q473" s="46">
        <f t="shared" si="477"/>
        <v>9.4149714059408918E-2</v>
      </c>
      <c r="R473" s="81">
        <f t="shared" si="478"/>
        <v>0</v>
      </c>
      <c r="S473" s="82">
        <f t="shared" si="479"/>
        <v>0</v>
      </c>
      <c r="T473" s="39">
        <f t="shared" si="480"/>
        <v>0</v>
      </c>
      <c r="U473" s="83">
        <f t="shared" si="481"/>
        <v>4.29</v>
      </c>
      <c r="V473" s="84">
        <f t="shared" si="482"/>
        <v>0</v>
      </c>
      <c r="W473" s="52">
        <f t="shared" si="483"/>
        <v>121.60155994966937</v>
      </c>
      <c r="X473" s="52">
        <f t="shared" si="484"/>
        <v>153.51298024219682</v>
      </c>
      <c r="Y473" s="52">
        <f t="shared" si="485"/>
        <v>275.11454019186618</v>
      </c>
      <c r="Z473" s="53">
        <f t="shared" si="486"/>
        <v>0.95001218710679192</v>
      </c>
      <c r="AA473" s="53">
        <f t="shared" si="487"/>
        <v>0.91376773953688584</v>
      </c>
      <c r="AB473" s="53">
        <f t="shared" si="488"/>
        <v>0.9294410141617101</v>
      </c>
      <c r="AC473" s="39" t="str">
        <f t="shared" si="489"/>
        <v>No</v>
      </c>
      <c r="AD473" s="85">
        <f t="shared" si="490"/>
        <v>0</v>
      </c>
      <c r="AE473" s="46">
        <f t="shared" si="491"/>
        <v>0</v>
      </c>
      <c r="AF473" s="46">
        <f t="shared" si="492"/>
        <v>2.1257999999999999</v>
      </c>
      <c r="AG473" s="39">
        <f t="shared" si="547"/>
        <v>57.552807730691597</v>
      </c>
      <c r="AH473" s="39">
        <f t="shared" si="548"/>
        <v>64.329650210327728</v>
      </c>
      <c r="AI473" s="39">
        <f t="shared" si="549"/>
        <v>62.876898879631113</v>
      </c>
      <c r="AJ473" s="39">
        <f t="shared" si="550"/>
        <v>85.842203129018898</v>
      </c>
      <c r="AK473" s="39">
        <f t="shared" si="551"/>
        <v>83.51251235506065</v>
      </c>
      <c r="AL473" s="39">
        <f t="shared" si="552"/>
        <v>75.143945885690641</v>
      </c>
      <c r="AM473" s="39">
        <f t="shared" si="553"/>
        <v>76.052949093789167</v>
      </c>
      <c r="AN473" s="39">
        <f t="shared" si="554"/>
        <v>59.80357290765636</v>
      </c>
      <c r="AO473" s="39">
        <f t="shared" si="493"/>
        <v>2.7552807730691597</v>
      </c>
      <c r="AP473" s="39">
        <f t="shared" si="494"/>
        <v>2.6329650210327729</v>
      </c>
      <c r="AQ473" s="39">
        <f t="shared" si="495"/>
        <v>2.687689887963113</v>
      </c>
      <c r="AR473" s="39">
        <f t="shared" si="496"/>
        <v>4.0842203129018895</v>
      </c>
      <c r="AS473" s="39">
        <f t="shared" si="497"/>
        <v>4.1512512355060656</v>
      </c>
      <c r="AT473" s="39">
        <f t="shared" si="498"/>
        <v>4.2143945885690632</v>
      </c>
      <c r="AU473" s="39">
        <f t="shared" si="499"/>
        <v>4.3052949093789161</v>
      </c>
      <c r="AV473" s="39">
        <f t="shared" si="500"/>
        <v>2.6803572907656354</v>
      </c>
      <c r="AW473" s="39">
        <f t="shared" si="501"/>
        <v>27.511454019186615</v>
      </c>
      <c r="AX473" s="39">
        <f t="shared" si="502"/>
        <v>4.29</v>
      </c>
      <c r="AY473" s="39">
        <f t="shared" si="503"/>
        <v>4.29</v>
      </c>
      <c r="AZ473" s="39">
        <f t="shared" si="504"/>
        <v>0.4296448493134265</v>
      </c>
      <c r="BA473" s="39">
        <f t="shared" si="505"/>
        <v>0.41057153621735581</v>
      </c>
      <c r="BB473" s="39">
        <f t="shared" si="506"/>
        <v>0.41910506116181823</v>
      </c>
      <c r="BC473" s="39">
        <f t="shared" si="507"/>
        <v>0.63687310493039251</v>
      </c>
      <c r="BD473" s="39">
        <f t="shared" si="508"/>
        <v>0.64732557530041979</v>
      </c>
      <c r="BE473" s="39">
        <f t="shared" si="509"/>
        <v>0.65717183731373774</v>
      </c>
      <c r="BF473" s="39">
        <f t="shared" si="510"/>
        <v>0.6713463835228296</v>
      </c>
      <c r="BG473" s="39">
        <f t="shared" si="511"/>
        <v>0.41796165224002002</v>
      </c>
      <c r="BH473" s="84">
        <f t="shared" si="512"/>
        <v>0</v>
      </c>
      <c r="BI473" s="84">
        <f t="shared" si="513"/>
        <v>0</v>
      </c>
      <c r="BJ473" s="84">
        <f t="shared" si="514"/>
        <v>0</v>
      </c>
      <c r="BK473" s="39">
        <f t="shared" si="515"/>
        <v>57.123162881378171</v>
      </c>
      <c r="BL473" s="39">
        <f t="shared" si="516"/>
        <v>63.919078674110374</v>
      </c>
      <c r="BM473" s="39">
        <f t="shared" si="517"/>
        <v>62.457793818469298</v>
      </c>
      <c r="BN473" s="39">
        <f t="shared" si="518"/>
        <v>85.205330024088511</v>
      </c>
      <c r="BO473" s="39">
        <f t="shared" si="519"/>
        <v>82.865186779760236</v>
      </c>
      <c r="BP473" s="39">
        <f t="shared" si="520"/>
        <v>74.486774048376901</v>
      </c>
      <c r="BQ473" s="39">
        <f t="shared" si="521"/>
        <v>75.381602710266336</v>
      </c>
      <c r="BR473" s="39">
        <f t="shared" si="522"/>
        <v>59.385611255416343</v>
      </c>
      <c r="BS473" s="39">
        <f t="shared" si="523"/>
        <v>0</v>
      </c>
      <c r="BT473" s="39">
        <f t="shared" si="524"/>
        <v>0</v>
      </c>
      <c r="BU473" s="39">
        <f t="shared" si="525"/>
        <v>0</v>
      </c>
      <c r="BV473" s="39">
        <f t="shared" si="526"/>
        <v>0</v>
      </c>
      <c r="BW473" s="39">
        <f t="shared" si="527"/>
        <v>0</v>
      </c>
      <c r="BX473" s="39">
        <f t="shared" si="528"/>
        <v>0</v>
      </c>
      <c r="BY473" s="39">
        <f t="shared" si="529"/>
        <v>0.22896162615979276</v>
      </c>
      <c r="BZ473" s="39">
        <f t="shared" si="530"/>
        <v>0</v>
      </c>
      <c r="CA473" s="39">
        <f t="shared" si="531"/>
        <v>57.123162881378171</v>
      </c>
      <c r="CB473" s="39">
        <f t="shared" si="532"/>
        <v>63.919078674110374</v>
      </c>
      <c r="CC473" s="39">
        <f t="shared" si="533"/>
        <v>62.457793818469298</v>
      </c>
      <c r="CD473" s="39">
        <f t="shared" si="534"/>
        <v>85.205330024088511</v>
      </c>
      <c r="CE473" s="39">
        <f t="shared" si="535"/>
        <v>82.865186779760236</v>
      </c>
      <c r="CF473" s="39">
        <f t="shared" si="536"/>
        <v>74.486774048376901</v>
      </c>
      <c r="CG473" s="39">
        <f t="shared" si="537"/>
        <v>75.152641084106548</v>
      </c>
      <c r="CH473" s="39">
        <f t="shared" si="538"/>
        <v>59.614572881576137</v>
      </c>
      <c r="CI473" s="39">
        <f t="shared" si="539"/>
        <v>0</v>
      </c>
      <c r="CJ473" s="39">
        <f t="shared" si="540"/>
        <v>0</v>
      </c>
      <c r="CK473" s="39">
        <f t="shared" si="541"/>
        <v>0</v>
      </c>
      <c r="CL473" s="39">
        <f t="shared" si="542"/>
        <v>0</v>
      </c>
      <c r="CM473" s="39">
        <f t="shared" si="543"/>
        <v>0</v>
      </c>
      <c r="CN473" s="39">
        <f t="shared" si="544"/>
        <v>0</v>
      </c>
      <c r="CO473" s="39">
        <f t="shared" si="545"/>
        <v>0</v>
      </c>
      <c r="CP473" s="39">
        <f t="shared" si="546"/>
        <v>0</v>
      </c>
    </row>
    <row r="474" spans="12:94" ht="16" customHeight="1" x14ac:dyDescent="0.2">
      <c r="L474" s="63">
        <v>30786</v>
      </c>
      <c r="M474" s="38">
        <v>0</v>
      </c>
      <c r="N474" s="38">
        <v>3</v>
      </c>
      <c r="O474" s="39">
        <v>2.3664000000000001</v>
      </c>
      <c r="P474" s="39">
        <v>1.1000000000000001</v>
      </c>
      <c r="Q474" s="46">
        <f t="shared" si="477"/>
        <v>9.5020615780990192E-2</v>
      </c>
      <c r="R474" s="81">
        <f t="shared" si="478"/>
        <v>0</v>
      </c>
      <c r="S474" s="82">
        <f t="shared" si="479"/>
        <v>0</v>
      </c>
      <c r="T474" s="39">
        <f t="shared" si="480"/>
        <v>0</v>
      </c>
      <c r="U474" s="83">
        <f t="shared" si="481"/>
        <v>3.3000000000000003</v>
      </c>
      <c r="V474" s="84">
        <f t="shared" si="482"/>
        <v>0</v>
      </c>
      <c r="W474" s="52">
        <f t="shared" si="483"/>
        <v>119.70536539804635</v>
      </c>
      <c r="X474" s="52">
        <f t="shared" si="484"/>
        <v>151.11917479381981</v>
      </c>
      <c r="Y474" s="52">
        <f t="shared" si="485"/>
        <v>270.82454019186616</v>
      </c>
      <c r="Z474" s="53">
        <f t="shared" si="486"/>
        <v>0.93519816717223714</v>
      </c>
      <c r="AA474" s="53">
        <f t="shared" si="487"/>
        <v>0.89951889758226078</v>
      </c>
      <c r="AB474" s="53">
        <f t="shared" si="488"/>
        <v>0.9149477709184668</v>
      </c>
      <c r="AC474" s="39" t="str">
        <f t="shared" si="489"/>
        <v>No</v>
      </c>
      <c r="AD474" s="85">
        <f t="shared" si="490"/>
        <v>0</v>
      </c>
      <c r="AE474" s="46">
        <f t="shared" si="491"/>
        <v>0</v>
      </c>
      <c r="AF474" s="46">
        <f t="shared" si="492"/>
        <v>2.1257999999999999</v>
      </c>
      <c r="AG474" s="39">
        <f t="shared" si="547"/>
        <v>57.123162881378171</v>
      </c>
      <c r="AH474" s="39">
        <f t="shared" si="548"/>
        <v>63.919078674110374</v>
      </c>
      <c r="AI474" s="39">
        <f t="shared" si="549"/>
        <v>62.457793818469298</v>
      </c>
      <c r="AJ474" s="39">
        <f t="shared" si="550"/>
        <v>85.205330024088511</v>
      </c>
      <c r="AK474" s="39">
        <f t="shared" si="551"/>
        <v>82.865186779760236</v>
      </c>
      <c r="AL474" s="39">
        <f t="shared" si="552"/>
        <v>74.486774048376901</v>
      </c>
      <c r="AM474" s="39">
        <f t="shared" si="553"/>
        <v>75.152641084106548</v>
      </c>
      <c r="AN474" s="39">
        <f t="shared" si="554"/>
        <v>59.614572881576137</v>
      </c>
      <c r="AO474" s="39">
        <f t="shared" si="493"/>
        <v>2.7123162881378171</v>
      </c>
      <c r="AP474" s="39">
        <f t="shared" si="494"/>
        <v>2.5919078674110376</v>
      </c>
      <c r="AQ474" s="39">
        <f t="shared" si="495"/>
        <v>2.6457793818469315</v>
      </c>
      <c r="AR474" s="39">
        <f t="shared" si="496"/>
        <v>4.0205330024088504</v>
      </c>
      <c r="AS474" s="39">
        <f t="shared" si="497"/>
        <v>4.0865186779760245</v>
      </c>
      <c r="AT474" s="39">
        <f t="shared" si="498"/>
        <v>4.1486774048376898</v>
      </c>
      <c r="AU474" s="39">
        <f t="shared" si="499"/>
        <v>4.2152641084106541</v>
      </c>
      <c r="AV474" s="39">
        <f t="shared" si="500"/>
        <v>2.6614572881576133</v>
      </c>
      <c r="AW474" s="39">
        <f t="shared" si="501"/>
        <v>27.082454019186617</v>
      </c>
      <c r="AX474" s="39">
        <f t="shared" si="502"/>
        <v>3.3000000000000003</v>
      </c>
      <c r="AY474" s="39">
        <f t="shared" si="503"/>
        <v>3.3000000000000003</v>
      </c>
      <c r="AZ474" s="39">
        <f t="shared" si="504"/>
        <v>0.33049603793340498</v>
      </c>
      <c r="BA474" s="39">
        <f t="shared" si="505"/>
        <v>0.31582425862873525</v>
      </c>
      <c r="BB474" s="39">
        <f t="shared" si="506"/>
        <v>0.32238850858601403</v>
      </c>
      <c r="BC474" s="39">
        <f t="shared" si="507"/>
        <v>0.48990238840799433</v>
      </c>
      <c r="BD474" s="39">
        <f t="shared" si="508"/>
        <v>0.49794275023109225</v>
      </c>
      <c r="BE474" s="39">
        <f t="shared" si="509"/>
        <v>0.50551679793364446</v>
      </c>
      <c r="BF474" s="39">
        <f t="shared" si="510"/>
        <v>0.51363039508533193</v>
      </c>
      <c r="BG474" s="39">
        <f t="shared" si="511"/>
        <v>0.3242988631937832</v>
      </c>
      <c r="BH474" s="84">
        <f t="shared" si="512"/>
        <v>0</v>
      </c>
      <c r="BI474" s="84">
        <f t="shared" si="513"/>
        <v>0</v>
      </c>
      <c r="BJ474" s="84">
        <f t="shared" si="514"/>
        <v>0</v>
      </c>
      <c r="BK474" s="39">
        <f t="shared" si="515"/>
        <v>56.792666843444763</v>
      </c>
      <c r="BL474" s="39">
        <f t="shared" si="516"/>
        <v>63.603254415481636</v>
      </c>
      <c r="BM474" s="39">
        <f t="shared" si="517"/>
        <v>62.135405309883282</v>
      </c>
      <c r="BN474" s="39">
        <f t="shared" si="518"/>
        <v>84.715427635680513</v>
      </c>
      <c r="BO474" s="39">
        <f t="shared" si="519"/>
        <v>82.367244029529147</v>
      </c>
      <c r="BP474" s="39">
        <f t="shared" si="520"/>
        <v>73.981257250443264</v>
      </c>
      <c r="BQ474" s="39">
        <f t="shared" si="521"/>
        <v>74.639010689021219</v>
      </c>
      <c r="BR474" s="39">
        <f t="shared" si="522"/>
        <v>59.290274018382355</v>
      </c>
      <c r="BS474" s="39">
        <f t="shared" si="523"/>
        <v>0</v>
      </c>
      <c r="BT474" s="39">
        <f t="shared" si="524"/>
        <v>0</v>
      </c>
      <c r="BU474" s="39">
        <f t="shared" si="525"/>
        <v>0</v>
      </c>
      <c r="BV474" s="39">
        <f t="shared" si="526"/>
        <v>0</v>
      </c>
      <c r="BW474" s="39">
        <f t="shared" si="527"/>
        <v>0</v>
      </c>
      <c r="BX474" s="39">
        <f t="shared" si="528"/>
        <v>0</v>
      </c>
      <c r="BY474" s="39">
        <f t="shared" si="529"/>
        <v>0</v>
      </c>
      <c r="BZ474" s="39">
        <f t="shared" si="530"/>
        <v>0</v>
      </c>
      <c r="CA474" s="39">
        <f t="shared" si="531"/>
        <v>56.792666843444763</v>
      </c>
      <c r="CB474" s="39">
        <f t="shared" si="532"/>
        <v>63.603254415481636</v>
      </c>
      <c r="CC474" s="39">
        <f t="shared" si="533"/>
        <v>62.135405309883282</v>
      </c>
      <c r="CD474" s="39">
        <f t="shared" si="534"/>
        <v>84.715427635680513</v>
      </c>
      <c r="CE474" s="39">
        <f t="shared" si="535"/>
        <v>82.367244029529147</v>
      </c>
      <c r="CF474" s="39">
        <f t="shared" si="536"/>
        <v>73.981257250443264</v>
      </c>
      <c r="CG474" s="39">
        <f t="shared" si="537"/>
        <v>74.639010689021219</v>
      </c>
      <c r="CH474" s="39">
        <f t="shared" si="538"/>
        <v>59.290274018382355</v>
      </c>
      <c r="CI474" s="39">
        <f t="shared" si="539"/>
        <v>0</v>
      </c>
      <c r="CJ474" s="39">
        <f t="shared" si="540"/>
        <v>0</v>
      </c>
      <c r="CK474" s="39">
        <f t="shared" si="541"/>
        <v>0</v>
      </c>
      <c r="CL474" s="39">
        <f t="shared" si="542"/>
        <v>0</v>
      </c>
      <c r="CM474" s="39">
        <f t="shared" si="543"/>
        <v>0</v>
      </c>
      <c r="CN474" s="39">
        <f t="shared" si="544"/>
        <v>0</v>
      </c>
      <c r="CO474" s="39">
        <f t="shared" si="545"/>
        <v>0</v>
      </c>
      <c r="CP474" s="39">
        <f t="shared" si="546"/>
        <v>0</v>
      </c>
    </row>
    <row r="475" spans="12:94" ht="16" customHeight="1" x14ac:dyDescent="0.2">
      <c r="L475" s="63">
        <v>30787</v>
      </c>
      <c r="M475" s="38">
        <v>24.6</v>
      </c>
      <c r="N475" s="38">
        <v>2.9</v>
      </c>
      <c r="O475" s="39">
        <v>2.3664000000000001</v>
      </c>
      <c r="P475" s="39">
        <v>1.1000000000000001</v>
      </c>
      <c r="Q475" s="46">
        <f t="shared" si="477"/>
        <v>9.569054018220656E-2</v>
      </c>
      <c r="R475" s="81">
        <f t="shared" si="478"/>
        <v>3.225764313217927</v>
      </c>
      <c r="S475" s="82">
        <f t="shared" si="479"/>
        <v>21.374235686782075</v>
      </c>
      <c r="T475" s="39">
        <f t="shared" si="480"/>
        <v>0</v>
      </c>
      <c r="U475" s="83">
        <f t="shared" si="481"/>
        <v>3.19</v>
      </c>
      <c r="V475" s="84">
        <f t="shared" si="482"/>
        <v>0</v>
      </c>
      <c r="W475" s="52">
        <f t="shared" si="483"/>
        <v>118.24675420449017</v>
      </c>
      <c r="X475" s="52">
        <f t="shared" si="484"/>
        <v>149.27778598737603</v>
      </c>
      <c r="Y475" s="52">
        <f t="shared" si="485"/>
        <v>267.52454019186621</v>
      </c>
      <c r="Z475" s="53">
        <f t="shared" si="486"/>
        <v>0.92380276722257948</v>
      </c>
      <c r="AA475" s="53">
        <f t="shared" si="487"/>
        <v>0.88855824992485732</v>
      </c>
      <c r="AB475" s="53">
        <f t="shared" si="488"/>
        <v>0.90379912226981829</v>
      </c>
      <c r="AC475" s="39" t="str">
        <f t="shared" si="489"/>
        <v>No</v>
      </c>
      <c r="AD475" s="85">
        <f t="shared" si="490"/>
        <v>0</v>
      </c>
      <c r="AE475" s="46">
        <f t="shared" si="491"/>
        <v>0</v>
      </c>
      <c r="AF475" s="46">
        <f t="shared" si="492"/>
        <v>2.1257999999999999</v>
      </c>
      <c r="AG475" s="39">
        <f t="shared" si="547"/>
        <v>56.792666843444763</v>
      </c>
      <c r="AH475" s="39">
        <f t="shared" si="548"/>
        <v>63.603254415481636</v>
      </c>
      <c r="AI475" s="39">
        <f t="shared" si="549"/>
        <v>62.135405309883282</v>
      </c>
      <c r="AJ475" s="39">
        <f t="shared" si="550"/>
        <v>84.715427635680513</v>
      </c>
      <c r="AK475" s="39">
        <f t="shared" si="551"/>
        <v>82.367244029529147</v>
      </c>
      <c r="AL475" s="39">
        <f t="shared" si="552"/>
        <v>73.981257250443264</v>
      </c>
      <c r="AM475" s="39">
        <f t="shared" si="553"/>
        <v>74.639010689021219</v>
      </c>
      <c r="AN475" s="39">
        <f t="shared" si="554"/>
        <v>59.290274018382355</v>
      </c>
      <c r="AO475" s="39">
        <f t="shared" si="493"/>
        <v>2.6792666843444763</v>
      </c>
      <c r="AP475" s="39">
        <f t="shared" si="494"/>
        <v>2.560325441548164</v>
      </c>
      <c r="AQ475" s="39">
        <f t="shared" si="495"/>
        <v>2.6135405309883297</v>
      </c>
      <c r="AR475" s="39">
        <f t="shared" si="496"/>
        <v>3.9715427635680509</v>
      </c>
      <c r="AS475" s="39">
        <f t="shared" si="497"/>
        <v>4.0367244029529159</v>
      </c>
      <c r="AT475" s="39">
        <f t="shared" si="498"/>
        <v>4.0981257250443255</v>
      </c>
      <c r="AU475" s="39">
        <f t="shared" si="499"/>
        <v>4.1639010689021214</v>
      </c>
      <c r="AV475" s="39">
        <f t="shared" si="500"/>
        <v>2.6290274018382349</v>
      </c>
      <c r="AW475" s="39">
        <f t="shared" si="501"/>
        <v>26.752454019186619</v>
      </c>
      <c r="AX475" s="39">
        <f t="shared" si="502"/>
        <v>3.19</v>
      </c>
      <c r="AY475" s="39">
        <f t="shared" si="503"/>
        <v>0</v>
      </c>
      <c r="AZ475" s="39">
        <f t="shared" si="504"/>
        <v>0</v>
      </c>
      <c r="BA475" s="39">
        <f t="shared" si="505"/>
        <v>0</v>
      </c>
      <c r="BB475" s="39">
        <f t="shared" si="506"/>
        <v>0</v>
      </c>
      <c r="BC475" s="39">
        <f t="shared" si="507"/>
        <v>0</v>
      </c>
      <c r="BD475" s="39">
        <f t="shared" si="508"/>
        <v>0</v>
      </c>
      <c r="BE475" s="39">
        <f t="shared" si="509"/>
        <v>0</v>
      </c>
      <c r="BF475" s="39">
        <f t="shared" si="510"/>
        <v>0</v>
      </c>
      <c r="BG475" s="39">
        <f t="shared" si="511"/>
        <v>0</v>
      </c>
      <c r="BH475" s="84">
        <f t="shared" si="512"/>
        <v>0</v>
      </c>
      <c r="BI475" s="84">
        <f t="shared" si="513"/>
        <v>0</v>
      </c>
      <c r="BJ475" s="84">
        <f t="shared" si="514"/>
        <v>0</v>
      </c>
      <c r="BK475" s="39">
        <f t="shared" si="515"/>
        <v>56.792666843444763</v>
      </c>
      <c r="BL475" s="39">
        <f t="shared" si="516"/>
        <v>63.603254415481636</v>
      </c>
      <c r="BM475" s="39">
        <f t="shared" si="517"/>
        <v>62.135405309883282</v>
      </c>
      <c r="BN475" s="39">
        <f t="shared" si="518"/>
        <v>84.715427635680513</v>
      </c>
      <c r="BO475" s="39">
        <f t="shared" si="519"/>
        <v>82.367244029529147</v>
      </c>
      <c r="BP475" s="39">
        <f t="shared" si="520"/>
        <v>73.981257250443264</v>
      </c>
      <c r="BQ475" s="39">
        <f t="shared" si="521"/>
        <v>74.639010689021219</v>
      </c>
      <c r="BR475" s="39">
        <f t="shared" si="522"/>
        <v>59.290274018382355</v>
      </c>
      <c r="BS475" s="39">
        <f t="shared" si="523"/>
        <v>0</v>
      </c>
      <c r="BT475" s="39">
        <f t="shared" si="524"/>
        <v>0</v>
      </c>
      <c r="BU475" s="39">
        <f t="shared" si="525"/>
        <v>0</v>
      </c>
      <c r="BV475" s="39">
        <f t="shared" si="526"/>
        <v>0</v>
      </c>
      <c r="BW475" s="39">
        <f t="shared" si="527"/>
        <v>0</v>
      </c>
      <c r="BX475" s="39">
        <f t="shared" si="528"/>
        <v>0</v>
      </c>
      <c r="BY475" s="39">
        <f t="shared" si="529"/>
        <v>0</v>
      </c>
      <c r="BZ475" s="39">
        <f t="shared" si="530"/>
        <v>0</v>
      </c>
      <c r="CA475" s="39">
        <f t="shared" si="531"/>
        <v>78.166902530226835</v>
      </c>
      <c r="CB475" s="39">
        <f t="shared" si="532"/>
        <v>63.603254415481636</v>
      </c>
      <c r="CC475" s="39">
        <f t="shared" si="533"/>
        <v>62.135405309883282</v>
      </c>
      <c r="CD475" s="39">
        <f t="shared" si="534"/>
        <v>84.715427635680513</v>
      </c>
      <c r="CE475" s="39">
        <f t="shared" si="535"/>
        <v>82.367244029529147</v>
      </c>
      <c r="CF475" s="39">
        <f t="shared" si="536"/>
        <v>73.981257250443264</v>
      </c>
      <c r="CG475" s="39">
        <f t="shared" si="537"/>
        <v>74.639010689021219</v>
      </c>
      <c r="CH475" s="39">
        <f t="shared" si="538"/>
        <v>59.290274018382355</v>
      </c>
      <c r="CI475" s="39">
        <f t="shared" si="539"/>
        <v>0</v>
      </c>
      <c r="CJ475" s="39">
        <f t="shared" si="540"/>
        <v>0</v>
      </c>
      <c r="CK475" s="39">
        <f t="shared" si="541"/>
        <v>0</v>
      </c>
      <c r="CL475" s="39">
        <f t="shared" si="542"/>
        <v>0</v>
      </c>
      <c r="CM475" s="39">
        <f t="shared" si="543"/>
        <v>0</v>
      </c>
      <c r="CN475" s="39">
        <f t="shared" si="544"/>
        <v>0</v>
      </c>
      <c r="CO475" s="39">
        <f t="shared" si="545"/>
        <v>0</v>
      </c>
      <c r="CP475" s="39">
        <f t="shared" si="546"/>
        <v>0</v>
      </c>
    </row>
    <row r="476" spans="12:94" ht="16" customHeight="1" x14ac:dyDescent="0.2">
      <c r="L476" s="63">
        <v>30788</v>
      </c>
      <c r="M476" s="38">
        <v>7</v>
      </c>
      <c r="N476" s="38">
        <v>0.9</v>
      </c>
      <c r="O476" s="39">
        <v>2.3664000000000001</v>
      </c>
      <c r="P476" s="39">
        <v>1.1000000000000001</v>
      </c>
      <c r="Q476" s="46">
        <f t="shared" si="477"/>
        <v>5.2364386763053709E-2</v>
      </c>
      <c r="R476" s="81">
        <f t="shared" si="478"/>
        <v>0.11614320344266248</v>
      </c>
      <c r="S476" s="82">
        <f t="shared" si="479"/>
        <v>6.8838567965573372</v>
      </c>
      <c r="T476" s="39">
        <f t="shared" si="480"/>
        <v>0</v>
      </c>
      <c r="U476" s="83">
        <f t="shared" si="481"/>
        <v>0.9900000000000001</v>
      </c>
      <c r="V476" s="84">
        <f t="shared" si="482"/>
        <v>0</v>
      </c>
      <c r="W476" s="52">
        <f t="shared" si="483"/>
        <v>139.62098989127225</v>
      </c>
      <c r="X476" s="52">
        <f t="shared" si="484"/>
        <v>149.27778598737603</v>
      </c>
      <c r="Y476" s="52">
        <f t="shared" si="485"/>
        <v>288.89877587864828</v>
      </c>
      <c r="Z476" s="53">
        <f t="shared" si="486"/>
        <v>1.0907889835255644</v>
      </c>
      <c r="AA476" s="53">
        <f t="shared" si="487"/>
        <v>0.88855824992485732</v>
      </c>
      <c r="AB476" s="53">
        <f t="shared" si="488"/>
        <v>0.97600937796840637</v>
      </c>
      <c r="AC476" s="39" t="str">
        <f t="shared" si="489"/>
        <v>No</v>
      </c>
      <c r="AD476" s="85">
        <f t="shared" si="490"/>
        <v>0</v>
      </c>
      <c r="AE476" s="46">
        <f t="shared" si="491"/>
        <v>0</v>
      </c>
      <c r="AF476" s="46">
        <f t="shared" si="492"/>
        <v>2.1257999999999999</v>
      </c>
      <c r="AG476" s="39">
        <f t="shared" si="547"/>
        <v>78.166902530226835</v>
      </c>
      <c r="AH476" s="39">
        <f t="shared" si="548"/>
        <v>63.603254415481636</v>
      </c>
      <c r="AI476" s="39">
        <f t="shared" si="549"/>
        <v>62.135405309883282</v>
      </c>
      <c r="AJ476" s="39">
        <f t="shared" si="550"/>
        <v>84.715427635680513</v>
      </c>
      <c r="AK476" s="39">
        <f t="shared" si="551"/>
        <v>82.367244029529147</v>
      </c>
      <c r="AL476" s="39">
        <f t="shared" si="552"/>
        <v>73.981257250443264</v>
      </c>
      <c r="AM476" s="39">
        <f t="shared" si="553"/>
        <v>74.639010689021219</v>
      </c>
      <c r="AN476" s="39">
        <f t="shared" si="554"/>
        <v>59.290274018382355</v>
      </c>
      <c r="AO476" s="39">
        <f t="shared" si="493"/>
        <v>4.8166902530226841</v>
      </c>
      <c r="AP476" s="39">
        <f t="shared" si="494"/>
        <v>2.560325441548164</v>
      </c>
      <c r="AQ476" s="39">
        <f t="shared" si="495"/>
        <v>2.6135405309883297</v>
      </c>
      <c r="AR476" s="39">
        <f t="shared" si="496"/>
        <v>3.9715427635680509</v>
      </c>
      <c r="AS476" s="39">
        <f t="shared" si="497"/>
        <v>4.0367244029529159</v>
      </c>
      <c r="AT476" s="39">
        <f t="shared" si="498"/>
        <v>4.0981257250443255</v>
      </c>
      <c r="AU476" s="39">
        <f t="shared" si="499"/>
        <v>4.1639010689021214</v>
      </c>
      <c r="AV476" s="39">
        <f t="shared" si="500"/>
        <v>2.6290274018382349</v>
      </c>
      <c r="AW476" s="39">
        <f t="shared" si="501"/>
        <v>28.889877587864827</v>
      </c>
      <c r="AX476" s="39">
        <f t="shared" si="502"/>
        <v>0.9900000000000001</v>
      </c>
      <c r="AY476" s="39">
        <f t="shared" si="503"/>
        <v>0</v>
      </c>
      <c r="AZ476" s="39">
        <f t="shared" si="504"/>
        <v>0</v>
      </c>
      <c r="BA476" s="39">
        <f t="shared" si="505"/>
        <v>0</v>
      </c>
      <c r="BB476" s="39">
        <f t="shared" si="506"/>
        <v>0</v>
      </c>
      <c r="BC476" s="39">
        <f t="shared" si="507"/>
        <v>0</v>
      </c>
      <c r="BD476" s="39">
        <f t="shared" si="508"/>
        <v>0</v>
      </c>
      <c r="BE476" s="39">
        <f t="shared" si="509"/>
        <v>0</v>
      </c>
      <c r="BF476" s="39">
        <f t="shared" si="510"/>
        <v>0</v>
      </c>
      <c r="BG476" s="39">
        <f t="shared" si="511"/>
        <v>0</v>
      </c>
      <c r="BH476" s="84">
        <f t="shared" si="512"/>
        <v>0</v>
      </c>
      <c r="BI476" s="84">
        <f t="shared" si="513"/>
        <v>0</v>
      </c>
      <c r="BJ476" s="84">
        <f t="shared" si="514"/>
        <v>0</v>
      </c>
      <c r="BK476" s="39">
        <f t="shared" si="515"/>
        <v>78.166902530226835</v>
      </c>
      <c r="BL476" s="39">
        <f t="shared" si="516"/>
        <v>63.603254415481636</v>
      </c>
      <c r="BM476" s="39">
        <f t="shared" si="517"/>
        <v>62.135405309883282</v>
      </c>
      <c r="BN476" s="39">
        <f t="shared" si="518"/>
        <v>84.715427635680513</v>
      </c>
      <c r="BO476" s="39">
        <f t="shared" si="519"/>
        <v>82.367244029529147</v>
      </c>
      <c r="BP476" s="39">
        <f t="shared" si="520"/>
        <v>73.981257250443264</v>
      </c>
      <c r="BQ476" s="39">
        <f t="shared" si="521"/>
        <v>74.639010689021219</v>
      </c>
      <c r="BR476" s="39">
        <f t="shared" si="522"/>
        <v>59.290274018382355</v>
      </c>
      <c r="BS476" s="39">
        <f t="shared" si="523"/>
        <v>10.900141518136101</v>
      </c>
      <c r="BT476" s="39">
        <f t="shared" si="524"/>
        <v>0</v>
      </c>
      <c r="BU476" s="39">
        <f t="shared" si="525"/>
        <v>0</v>
      </c>
      <c r="BV476" s="39">
        <f t="shared" si="526"/>
        <v>0</v>
      </c>
      <c r="BW476" s="39">
        <f t="shared" si="527"/>
        <v>0</v>
      </c>
      <c r="BX476" s="39">
        <f t="shared" si="528"/>
        <v>0</v>
      </c>
      <c r="BY476" s="39">
        <f t="shared" si="529"/>
        <v>0</v>
      </c>
      <c r="BZ476" s="39">
        <f t="shared" si="530"/>
        <v>0</v>
      </c>
      <c r="CA476" s="39">
        <f t="shared" si="531"/>
        <v>74.150617808648079</v>
      </c>
      <c r="CB476" s="39">
        <f t="shared" si="532"/>
        <v>74.503395933617739</v>
      </c>
      <c r="CC476" s="39">
        <f t="shared" si="533"/>
        <v>62.135405309883282</v>
      </c>
      <c r="CD476" s="39">
        <f t="shared" si="534"/>
        <v>84.715427635680513</v>
      </c>
      <c r="CE476" s="39">
        <f t="shared" si="535"/>
        <v>82.367244029529147</v>
      </c>
      <c r="CF476" s="39">
        <f t="shared" si="536"/>
        <v>73.981257250443264</v>
      </c>
      <c r="CG476" s="39">
        <f t="shared" si="537"/>
        <v>74.639010689021219</v>
      </c>
      <c r="CH476" s="39">
        <f t="shared" si="538"/>
        <v>59.290274018382355</v>
      </c>
      <c r="CI476" s="39">
        <f t="shared" si="539"/>
        <v>0</v>
      </c>
      <c r="CJ476" s="39">
        <f t="shared" si="540"/>
        <v>0</v>
      </c>
      <c r="CK476" s="39">
        <f t="shared" si="541"/>
        <v>0</v>
      </c>
      <c r="CL476" s="39">
        <f t="shared" si="542"/>
        <v>0</v>
      </c>
      <c r="CM476" s="39">
        <f t="shared" si="543"/>
        <v>0</v>
      </c>
      <c r="CN476" s="39">
        <f t="shared" si="544"/>
        <v>0</v>
      </c>
      <c r="CO476" s="39">
        <f t="shared" si="545"/>
        <v>0</v>
      </c>
      <c r="CP476" s="39">
        <f t="shared" si="546"/>
        <v>0</v>
      </c>
    </row>
    <row r="477" spans="12:94" ht="16" customHeight="1" x14ac:dyDescent="0.2">
      <c r="L477" s="63">
        <v>30789</v>
      </c>
      <c r="M477" s="38">
        <v>0</v>
      </c>
      <c r="N477" s="38">
        <v>2.1</v>
      </c>
      <c r="O477" s="39">
        <v>2.3664000000000001</v>
      </c>
      <c r="P477" s="39">
        <v>1.1000000000000001</v>
      </c>
      <c r="Q477" s="46">
        <f t="shared" si="477"/>
        <v>6.0505504441929571E-2</v>
      </c>
      <c r="R477" s="81">
        <f t="shared" si="478"/>
        <v>0</v>
      </c>
      <c r="S477" s="82">
        <f t="shared" si="479"/>
        <v>0</v>
      </c>
      <c r="T477" s="39">
        <f t="shared" si="480"/>
        <v>0</v>
      </c>
      <c r="U477" s="83">
        <f t="shared" si="481"/>
        <v>2.3100000000000005</v>
      </c>
      <c r="V477" s="84">
        <f t="shared" si="482"/>
        <v>0</v>
      </c>
      <c r="W477" s="52">
        <f t="shared" si="483"/>
        <v>146.50484668782963</v>
      </c>
      <c r="X477" s="52">
        <f t="shared" si="484"/>
        <v>149.27778598737603</v>
      </c>
      <c r="Y477" s="52">
        <f t="shared" si="485"/>
        <v>295.78263267520566</v>
      </c>
      <c r="Z477" s="53">
        <f t="shared" si="486"/>
        <v>1.144569114748669</v>
      </c>
      <c r="AA477" s="53">
        <f t="shared" si="487"/>
        <v>0.88855824992485732</v>
      </c>
      <c r="AB477" s="53">
        <f t="shared" si="488"/>
        <v>0.99926565092974884</v>
      </c>
      <c r="AC477" s="39" t="str">
        <f t="shared" si="489"/>
        <v>No</v>
      </c>
      <c r="AD477" s="85">
        <f t="shared" si="490"/>
        <v>0</v>
      </c>
      <c r="AE477" s="46">
        <f t="shared" si="491"/>
        <v>0</v>
      </c>
      <c r="AF477" s="46">
        <f t="shared" si="492"/>
        <v>2.1257999999999999</v>
      </c>
      <c r="AG477" s="39">
        <f t="shared" si="547"/>
        <v>74.150617808648079</v>
      </c>
      <c r="AH477" s="39">
        <f t="shared" si="548"/>
        <v>74.503395933617739</v>
      </c>
      <c r="AI477" s="39">
        <f t="shared" si="549"/>
        <v>62.135405309883282</v>
      </c>
      <c r="AJ477" s="39">
        <f t="shared" si="550"/>
        <v>84.715427635680513</v>
      </c>
      <c r="AK477" s="39">
        <f t="shared" si="551"/>
        <v>82.367244029529147</v>
      </c>
      <c r="AL477" s="39">
        <f t="shared" si="552"/>
        <v>73.981257250443264</v>
      </c>
      <c r="AM477" s="39">
        <f t="shared" si="553"/>
        <v>74.639010689021219</v>
      </c>
      <c r="AN477" s="39">
        <f t="shared" si="554"/>
        <v>59.290274018382355</v>
      </c>
      <c r="AO477" s="39">
        <f t="shared" si="493"/>
        <v>4.415061780864808</v>
      </c>
      <c r="AP477" s="39">
        <f t="shared" si="494"/>
        <v>3.6503395933617742</v>
      </c>
      <c r="AQ477" s="39">
        <f t="shared" si="495"/>
        <v>2.6135405309883297</v>
      </c>
      <c r="AR477" s="39">
        <f t="shared" si="496"/>
        <v>3.9715427635680509</v>
      </c>
      <c r="AS477" s="39">
        <f t="shared" si="497"/>
        <v>4.0367244029529159</v>
      </c>
      <c r="AT477" s="39">
        <f t="shared" si="498"/>
        <v>4.0981257250443255</v>
      </c>
      <c r="AU477" s="39">
        <f t="shared" si="499"/>
        <v>4.1639010689021214</v>
      </c>
      <c r="AV477" s="39">
        <f t="shared" si="500"/>
        <v>2.6290274018382349</v>
      </c>
      <c r="AW477" s="39">
        <f t="shared" si="501"/>
        <v>29.578263267520562</v>
      </c>
      <c r="AX477" s="39">
        <f t="shared" si="502"/>
        <v>2.3100000000000005</v>
      </c>
      <c r="AY477" s="39">
        <f t="shared" si="503"/>
        <v>2.3100000000000005</v>
      </c>
      <c r="AZ477" s="39">
        <f t="shared" si="504"/>
        <v>0.3448070166106354</v>
      </c>
      <c r="BA477" s="39">
        <f t="shared" si="505"/>
        <v>0.28508382606510446</v>
      </c>
      <c r="BB477" s="39">
        <f t="shared" si="506"/>
        <v>0.20411200522420417</v>
      </c>
      <c r="BC477" s="39">
        <f t="shared" si="507"/>
        <v>0.31016911645100942</v>
      </c>
      <c r="BD477" s="39">
        <f t="shared" si="508"/>
        <v>0.31525966506156211</v>
      </c>
      <c r="BE477" s="39">
        <f t="shared" si="509"/>
        <v>0.32005497886171025</v>
      </c>
      <c r="BF477" s="39">
        <f t="shared" si="510"/>
        <v>0.32519189453986475</v>
      </c>
      <c r="BG477" s="39">
        <f t="shared" si="511"/>
        <v>0.20532149718590986</v>
      </c>
      <c r="BH477" s="84">
        <f t="shared" si="512"/>
        <v>0</v>
      </c>
      <c r="BI477" s="84">
        <f t="shared" si="513"/>
        <v>0</v>
      </c>
      <c r="BJ477" s="84">
        <f t="shared" si="514"/>
        <v>0</v>
      </c>
      <c r="BK477" s="39">
        <f t="shared" si="515"/>
        <v>73.805810792037448</v>
      </c>
      <c r="BL477" s="39">
        <f t="shared" si="516"/>
        <v>74.218312107552634</v>
      </c>
      <c r="BM477" s="39">
        <f t="shared" si="517"/>
        <v>61.931293304659079</v>
      </c>
      <c r="BN477" s="39">
        <f t="shared" si="518"/>
        <v>84.405258519229506</v>
      </c>
      <c r="BO477" s="39">
        <f t="shared" si="519"/>
        <v>82.051984364467586</v>
      </c>
      <c r="BP477" s="39">
        <f t="shared" si="520"/>
        <v>73.661202271581558</v>
      </c>
      <c r="BQ477" s="39">
        <f t="shared" si="521"/>
        <v>74.31381879448135</v>
      </c>
      <c r="BR477" s="39">
        <f t="shared" si="522"/>
        <v>59.084952521196442</v>
      </c>
      <c r="BS477" s="39">
        <f t="shared" si="523"/>
        <v>8.2834864752224693</v>
      </c>
      <c r="BT477" s="39">
        <f t="shared" si="524"/>
        <v>4.9309872645315806</v>
      </c>
      <c r="BU477" s="39">
        <f t="shared" si="525"/>
        <v>0</v>
      </c>
      <c r="BV477" s="39">
        <f t="shared" si="526"/>
        <v>0</v>
      </c>
      <c r="BW477" s="39">
        <f t="shared" si="527"/>
        <v>0</v>
      </c>
      <c r="BX477" s="39">
        <f t="shared" si="528"/>
        <v>0</v>
      </c>
      <c r="BY477" s="39">
        <f t="shared" si="529"/>
        <v>0</v>
      </c>
      <c r="BZ477" s="39">
        <f t="shared" si="530"/>
        <v>0</v>
      </c>
      <c r="CA477" s="39">
        <f t="shared" si="531"/>
        <v>65.522324316814974</v>
      </c>
      <c r="CB477" s="39">
        <f t="shared" si="532"/>
        <v>77.570811318243528</v>
      </c>
      <c r="CC477" s="39">
        <f t="shared" si="533"/>
        <v>66.862280569190659</v>
      </c>
      <c r="CD477" s="39">
        <f t="shared" si="534"/>
        <v>84.405258519229506</v>
      </c>
      <c r="CE477" s="39">
        <f t="shared" si="535"/>
        <v>82.051984364467586</v>
      </c>
      <c r="CF477" s="39">
        <f t="shared" si="536"/>
        <v>73.661202271581558</v>
      </c>
      <c r="CG477" s="39">
        <f t="shared" si="537"/>
        <v>74.31381879448135</v>
      </c>
      <c r="CH477" s="39">
        <f t="shared" si="538"/>
        <v>59.084952521196442</v>
      </c>
      <c r="CI477" s="39">
        <f t="shared" si="539"/>
        <v>0</v>
      </c>
      <c r="CJ477" s="39">
        <f t="shared" si="540"/>
        <v>0</v>
      </c>
      <c r="CK477" s="39">
        <f t="shared" si="541"/>
        <v>0</v>
      </c>
      <c r="CL477" s="39">
        <f t="shared" si="542"/>
        <v>0</v>
      </c>
      <c r="CM477" s="39">
        <f t="shared" si="543"/>
        <v>0</v>
      </c>
      <c r="CN477" s="39">
        <f t="shared" si="544"/>
        <v>0</v>
      </c>
      <c r="CO477" s="39">
        <f t="shared" si="545"/>
        <v>0</v>
      </c>
      <c r="CP477" s="39">
        <f t="shared" si="546"/>
        <v>0</v>
      </c>
    </row>
    <row r="478" spans="12:94" ht="16" customHeight="1" x14ac:dyDescent="0.2">
      <c r="L478" s="63">
        <v>30790</v>
      </c>
      <c r="M478" s="38">
        <v>2.2999999999999998</v>
      </c>
      <c r="N478" s="38">
        <v>1.4</v>
      </c>
      <c r="O478" s="39">
        <v>2.3664000000000001</v>
      </c>
      <c r="P478" s="39">
        <v>1.1000000000000001</v>
      </c>
      <c r="Q478" s="46">
        <f t="shared" si="477"/>
        <v>7.799528854699668E-2</v>
      </c>
      <c r="R478" s="81">
        <f t="shared" si="478"/>
        <v>0</v>
      </c>
      <c r="S478" s="82">
        <f t="shared" si="479"/>
        <v>2.2999999999999998</v>
      </c>
      <c r="T478" s="39">
        <f t="shared" si="480"/>
        <v>0</v>
      </c>
      <c r="U478" s="83">
        <f t="shared" si="481"/>
        <v>1.54</v>
      </c>
      <c r="V478" s="84">
        <f t="shared" si="482"/>
        <v>0</v>
      </c>
      <c r="W478" s="52">
        <f t="shared" si="483"/>
        <v>145.36067472347867</v>
      </c>
      <c r="X478" s="52">
        <f t="shared" si="484"/>
        <v>148.11195795172694</v>
      </c>
      <c r="Y478" s="52">
        <f t="shared" si="485"/>
        <v>293.4726326752056</v>
      </c>
      <c r="Z478" s="53">
        <f t="shared" si="486"/>
        <v>1.1356302712771771</v>
      </c>
      <c r="AA478" s="53">
        <f t="shared" si="487"/>
        <v>0.881618797331708</v>
      </c>
      <c r="AB478" s="53">
        <f t="shared" si="488"/>
        <v>0.99146159687569457</v>
      </c>
      <c r="AC478" s="39" t="str">
        <f t="shared" si="489"/>
        <v>No</v>
      </c>
      <c r="AD478" s="85">
        <f t="shared" si="490"/>
        <v>0</v>
      </c>
      <c r="AE478" s="46">
        <f t="shared" si="491"/>
        <v>0</v>
      </c>
      <c r="AF478" s="46">
        <f t="shared" si="492"/>
        <v>2.1257999999999999</v>
      </c>
      <c r="AG478" s="39">
        <f t="shared" si="547"/>
        <v>65.522324316814974</v>
      </c>
      <c r="AH478" s="39">
        <f t="shared" si="548"/>
        <v>77.570811318243528</v>
      </c>
      <c r="AI478" s="39">
        <f t="shared" si="549"/>
        <v>66.862280569190659</v>
      </c>
      <c r="AJ478" s="39">
        <f t="shared" si="550"/>
        <v>84.405258519229506</v>
      </c>
      <c r="AK478" s="39">
        <f t="shared" si="551"/>
        <v>82.051984364467586</v>
      </c>
      <c r="AL478" s="39">
        <f t="shared" si="552"/>
        <v>73.661202271581558</v>
      </c>
      <c r="AM478" s="39">
        <f t="shared" si="553"/>
        <v>74.31381879448135</v>
      </c>
      <c r="AN478" s="39">
        <f t="shared" si="554"/>
        <v>59.084952521196442</v>
      </c>
      <c r="AO478" s="39">
        <f t="shared" si="493"/>
        <v>3.5522324316814977</v>
      </c>
      <c r="AP478" s="39">
        <f t="shared" si="494"/>
        <v>3.9570811318243528</v>
      </c>
      <c r="AQ478" s="39">
        <f t="shared" si="495"/>
        <v>3.0862280569190674</v>
      </c>
      <c r="AR478" s="39">
        <f t="shared" si="496"/>
        <v>3.94052585192295</v>
      </c>
      <c r="AS478" s="39">
        <f t="shared" si="497"/>
        <v>4.0051984364467597</v>
      </c>
      <c r="AT478" s="39">
        <f t="shared" si="498"/>
        <v>4.0661202271581551</v>
      </c>
      <c r="AU478" s="39">
        <f t="shared" si="499"/>
        <v>4.1313818794481341</v>
      </c>
      <c r="AV478" s="39">
        <f t="shared" si="500"/>
        <v>2.6084952521196438</v>
      </c>
      <c r="AW478" s="39">
        <f t="shared" si="501"/>
        <v>29.34726326752056</v>
      </c>
      <c r="AX478" s="39">
        <f t="shared" si="502"/>
        <v>1.54</v>
      </c>
      <c r="AY478" s="39">
        <f t="shared" si="503"/>
        <v>0</v>
      </c>
      <c r="AZ478" s="39">
        <f t="shared" si="504"/>
        <v>0</v>
      </c>
      <c r="BA478" s="39">
        <f t="shared" si="505"/>
        <v>0</v>
      </c>
      <c r="BB478" s="39">
        <f t="shared" si="506"/>
        <v>0</v>
      </c>
      <c r="BC478" s="39">
        <f t="shared" si="507"/>
        <v>0</v>
      </c>
      <c r="BD478" s="39">
        <f t="shared" si="508"/>
        <v>0</v>
      </c>
      <c r="BE478" s="39">
        <f t="shared" si="509"/>
        <v>0</v>
      </c>
      <c r="BF478" s="39">
        <f t="shared" si="510"/>
        <v>0</v>
      </c>
      <c r="BG478" s="39">
        <f t="shared" si="511"/>
        <v>0</v>
      </c>
      <c r="BH478" s="84">
        <f t="shared" si="512"/>
        <v>0</v>
      </c>
      <c r="BI478" s="84">
        <f t="shared" si="513"/>
        <v>0</v>
      </c>
      <c r="BJ478" s="84">
        <f t="shared" si="514"/>
        <v>0</v>
      </c>
      <c r="BK478" s="39">
        <f t="shared" si="515"/>
        <v>65.522324316814974</v>
      </c>
      <c r="BL478" s="39">
        <f t="shared" si="516"/>
        <v>77.570811318243528</v>
      </c>
      <c r="BM478" s="39">
        <f t="shared" si="517"/>
        <v>66.862280569190659</v>
      </c>
      <c r="BN478" s="39">
        <f t="shared" si="518"/>
        <v>84.405258519229506</v>
      </c>
      <c r="BO478" s="39">
        <f t="shared" si="519"/>
        <v>82.051984364467586</v>
      </c>
      <c r="BP478" s="39">
        <f t="shared" si="520"/>
        <v>73.661202271581558</v>
      </c>
      <c r="BQ478" s="39">
        <f t="shared" si="521"/>
        <v>74.31381879448135</v>
      </c>
      <c r="BR478" s="39">
        <f t="shared" si="522"/>
        <v>59.084952521196442</v>
      </c>
      <c r="BS478" s="39">
        <f t="shared" si="523"/>
        <v>3.3133945900889841</v>
      </c>
      <c r="BT478" s="39">
        <f t="shared" si="524"/>
        <v>6.9424867909461172</v>
      </c>
      <c r="BU478" s="39">
        <f t="shared" si="525"/>
        <v>1.7173683415144041</v>
      </c>
      <c r="BV478" s="39">
        <f t="shared" si="526"/>
        <v>0</v>
      </c>
      <c r="BW478" s="39">
        <f t="shared" si="527"/>
        <v>0</v>
      </c>
      <c r="BX478" s="39">
        <f t="shared" si="528"/>
        <v>0</v>
      </c>
      <c r="BY478" s="39">
        <f t="shared" si="529"/>
        <v>0</v>
      </c>
      <c r="BZ478" s="39">
        <f t="shared" si="530"/>
        <v>0</v>
      </c>
      <c r="CA478" s="39">
        <f t="shared" si="531"/>
        <v>64.508929726725995</v>
      </c>
      <c r="CB478" s="39">
        <f t="shared" si="532"/>
        <v>73.941719117386398</v>
      </c>
      <c r="CC478" s="39">
        <f t="shared" si="533"/>
        <v>72.087399018622378</v>
      </c>
      <c r="CD478" s="39">
        <f t="shared" si="534"/>
        <v>86.122626860743907</v>
      </c>
      <c r="CE478" s="39">
        <f t="shared" si="535"/>
        <v>82.051984364467586</v>
      </c>
      <c r="CF478" s="39">
        <f t="shared" si="536"/>
        <v>73.661202271581558</v>
      </c>
      <c r="CG478" s="39">
        <f t="shared" si="537"/>
        <v>74.31381879448135</v>
      </c>
      <c r="CH478" s="39">
        <f t="shared" si="538"/>
        <v>59.084952521196442</v>
      </c>
      <c r="CI478" s="39">
        <f t="shared" si="539"/>
        <v>0</v>
      </c>
      <c r="CJ478" s="39">
        <f t="shared" si="540"/>
        <v>0</v>
      </c>
      <c r="CK478" s="39">
        <f t="shared" si="541"/>
        <v>0</v>
      </c>
      <c r="CL478" s="39">
        <f t="shared" si="542"/>
        <v>0</v>
      </c>
      <c r="CM478" s="39">
        <f t="shared" si="543"/>
        <v>0</v>
      </c>
      <c r="CN478" s="39">
        <f t="shared" si="544"/>
        <v>0</v>
      </c>
      <c r="CO478" s="39">
        <f t="shared" si="545"/>
        <v>0</v>
      </c>
      <c r="CP478" s="39">
        <f t="shared" si="546"/>
        <v>0</v>
      </c>
    </row>
    <row r="479" spans="12:94" ht="16" customHeight="1" x14ac:dyDescent="0.2">
      <c r="L479" s="63">
        <v>30791</v>
      </c>
      <c r="M479" s="38">
        <v>1.8</v>
      </c>
      <c r="N479" s="38">
        <v>0.5</v>
      </c>
      <c r="O479" s="39">
        <v>2.3664000000000001</v>
      </c>
      <c r="P479" s="39">
        <v>1.1000000000000001</v>
      </c>
      <c r="Q479" s="46">
        <f t="shared" si="477"/>
        <v>8.0049466770150013E-2</v>
      </c>
      <c r="R479" s="81">
        <f t="shared" si="478"/>
        <v>0</v>
      </c>
      <c r="S479" s="82">
        <f t="shared" si="479"/>
        <v>1.8</v>
      </c>
      <c r="T479" s="39">
        <f t="shared" si="480"/>
        <v>0</v>
      </c>
      <c r="U479" s="83">
        <f t="shared" si="481"/>
        <v>0.55000000000000004</v>
      </c>
      <c r="V479" s="84">
        <f t="shared" si="482"/>
        <v>0</v>
      </c>
      <c r="W479" s="52">
        <f t="shared" si="483"/>
        <v>147.66067472347868</v>
      </c>
      <c r="X479" s="52">
        <f t="shared" si="484"/>
        <v>148.11195795172694</v>
      </c>
      <c r="Y479" s="52">
        <f t="shared" si="485"/>
        <v>295.77263267520561</v>
      </c>
      <c r="Z479" s="53">
        <f t="shared" si="486"/>
        <v>1.1535990212771772</v>
      </c>
      <c r="AA479" s="53">
        <f t="shared" si="487"/>
        <v>0.881618797331708</v>
      </c>
      <c r="AB479" s="53">
        <f t="shared" si="488"/>
        <v>0.9992318671459649</v>
      </c>
      <c r="AC479" s="39" t="str">
        <f t="shared" si="489"/>
        <v>No</v>
      </c>
      <c r="AD479" s="85">
        <f t="shared" si="490"/>
        <v>0</v>
      </c>
      <c r="AE479" s="46">
        <f t="shared" si="491"/>
        <v>0</v>
      </c>
      <c r="AF479" s="46">
        <f t="shared" si="492"/>
        <v>2.1257999999999999</v>
      </c>
      <c r="AG479" s="39">
        <f t="shared" si="547"/>
        <v>64.508929726725995</v>
      </c>
      <c r="AH479" s="39">
        <f t="shared" si="548"/>
        <v>73.941719117386398</v>
      </c>
      <c r="AI479" s="39">
        <f t="shared" si="549"/>
        <v>72.087399018622378</v>
      </c>
      <c r="AJ479" s="39">
        <f t="shared" si="550"/>
        <v>86.122626860743907</v>
      </c>
      <c r="AK479" s="39">
        <f t="shared" si="551"/>
        <v>82.051984364467586</v>
      </c>
      <c r="AL479" s="39">
        <f t="shared" si="552"/>
        <v>73.661202271581558</v>
      </c>
      <c r="AM479" s="39">
        <f t="shared" si="553"/>
        <v>74.31381879448135</v>
      </c>
      <c r="AN479" s="39">
        <f t="shared" si="554"/>
        <v>59.084952521196442</v>
      </c>
      <c r="AO479" s="39">
        <f t="shared" si="493"/>
        <v>3.4508929726725999</v>
      </c>
      <c r="AP479" s="39">
        <f t="shared" si="494"/>
        <v>3.5941719117386399</v>
      </c>
      <c r="AQ479" s="39">
        <f t="shared" si="495"/>
        <v>3.6087399018622395</v>
      </c>
      <c r="AR479" s="39">
        <f t="shared" si="496"/>
        <v>4.1122626860743905</v>
      </c>
      <c r="AS479" s="39">
        <f t="shared" si="497"/>
        <v>4.0051984364467597</v>
      </c>
      <c r="AT479" s="39">
        <f t="shared" si="498"/>
        <v>4.0661202271581551</v>
      </c>
      <c r="AU479" s="39">
        <f t="shared" si="499"/>
        <v>4.1313818794481341</v>
      </c>
      <c r="AV479" s="39">
        <f t="shared" si="500"/>
        <v>2.6084952521196438</v>
      </c>
      <c r="AW479" s="39">
        <f t="shared" si="501"/>
        <v>29.577263267520564</v>
      </c>
      <c r="AX479" s="39">
        <f t="shared" si="502"/>
        <v>0.55000000000000004</v>
      </c>
      <c r="AY479" s="39">
        <f t="shared" si="503"/>
        <v>0</v>
      </c>
      <c r="AZ479" s="39">
        <f t="shared" si="504"/>
        <v>0</v>
      </c>
      <c r="BA479" s="39">
        <f t="shared" si="505"/>
        <v>0</v>
      </c>
      <c r="BB479" s="39">
        <f t="shared" si="506"/>
        <v>0</v>
      </c>
      <c r="BC479" s="39">
        <f t="shared" si="507"/>
        <v>0</v>
      </c>
      <c r="BD479" s="39">
        <f t="shared" si="508"/>
        <v>0</v>
      </c>
      <c r="BE479" s="39">
        <f t="shared" si="509"/>
        <v>0</v>
      </c>
      <c r="BF479" s="39">
        <f t="shared" si="510"/>
        <v>0</v>
      </c>
      <c r="BG479" s="39">
        <f t="shared" si="511"/>
        <v>0</v>
      </c>
      <c r="BH479" s="84">
        <f t="shared" si="512"/>
        <v>0</v>
      </c>
      <c r="BI479" s="84">
        <f t="shared" si="513"/>
        <v>0</v>
      </c>
      <c r="BJ479" s="84">
        <f t="shared" si="514"/>
        <v>0</v>
      </c>
      <c r="BK479" s="39">
        <f t="shared" si="515"/>
        <v>64.508929726725995</v>
      </c>
      <c r="BL479" s="39">
        <f t="shared" si="516"/>
        <v>73.941719117386398</v>
      </c>
      <c r="BM479" s="39">
        <f t="shared" si="517"/>
        <v>72.087399018622378</v>
      </c>
      <c r="BN479" s="39">
        <f t="shared" si="518"/>
        <v>86.122626860743907</v>
      </c>
      <c r="BO479" s="39">
        <f t="shared" si="519"/>
        <v>82.051984364467586</v>
      </c>
      <c r="BP479" s="39">
        <f t="shared" si="520"/>
        <v>73.661202271581558</v>
      </c>
      <c r="BQ479" s="39">
        <f t="shared" si="521"/>
        <v>74.31381879448135</v>
      </c>
      <c r="BR479" s="39">
        <f t="shared" si="522"/>
        <v>59.084952521196442</v>
      </c>
      <c r="BS479" s="39">
        <f t="shared" si="523"/>
        <v>2.705357836035597</v>
      </c>
      <c r="BT479" s="39">
        <f t="shared" si="524"/>
        <v>4.7650314704318388</v>
      </c>
      <c r="BU479" s="39">
        <f t="shared" si="525"/>
        <v>4.8524394111734352</v>
      </c>
      <c r="BV479" s="39">
        <f t="shared" si="526"/>
        <v>0</v>
      </c>
      <c r="BW479" s="39">
        <f t="shared" si="527"/>
        <v>0</v>
      </c>
      <c r="BX479" s="39">
        <f t="shared" si="528"/>
        <v>0</v>
      </c>
      <c r="BY479" s="39">
        <f t="shared" si="529"/>
        <v>0</v>
      </c>
      <c r="BZ479" s="39">
        <f t="shared" si="530"/>
        <v>0</v>
      </c>
      <c r="CA479" s="39">
        <f t="shared" si="531"/>
        <v>63.603571890690397</v>
      </c>
      <c r="CB479" s="39">
        <f t="shared" si="532"/>
        <v>71.882045482990165</v>
      </c>
      <c r="CC479" s="39">
        <f t="shared" si="533"/>
        <v>71.999991077880779</v>
      </c>
      <c r="CD479" s="39">
        <f t="shared" si="534"/>
        <v>90.975066271917342</v>
      </c>
      <c r="CE479" s="39">
        <f t="shared" si="535"/>
        <v>82.051984364467586</v>
      </c>
      <c r="CF479" s="39">
        <f t="shared" si="536"/>
        <v>73.661202271581558</v>
      </c>
      <c r="CG479" s="39">
        <f t="shared" si="537"/>
        <v>74.31381879448135</v>
      </c>
      <c r="CH479" s="39">
        <f t="shared" si="538"/>
        <v>59.084952521196442</v>
      </c>
      <c r="CI479" s="39">
        <f t="shared" si="539"/>
        <v>0</v>
      </c>
      <c r="CJ479" s="39">
        <f t="shared" si="540"/>
        <v>0</v>
      </c>
      <c r="CK479" s="39">
        <f t="shared" si="541"/>
        <v>0</v>
      </c>
      <c r="CL479" s="39">
        <f t="shared" si="542"/>
        <v>0</v>
      </c>
      <c r="CM479" s="39">
        <f t="shared" si="543"/>
        <v>0</v>
      </c>
      <c r="CN479" s="39">
        <f t="shared" si="544"/>
        <v>0</v>
      </c>
      <c r="CO479" s="39">
        <f t="shared" si="545"/>
        <v>0</v>
      </c>
      <c r="CP479" s="39">
        <f t="shared" si="546"/>
        <v>0</v>
      </c>
    </row>
    <row r="480" spans="12:94" ht="16" customHeight="1" x14ac:dyDescent="0.2">
      <c r="L480" s="63">
        <v>30792</v>
      </c>
      <c r="M480" s="38">
        <v>0.8</v>
      </c>
      <c r="N480" s="38">
        <v>0.9</v>
      </c>
      <c r="O480" s="39">
        <v>2.3664000000000001</v>
      </c>
      <c r="P480" s="39">
        <v>1.1000000000000001</v>
      </c>
      <c r="Q480" s="46">
        <f t="shared" si="477"/>
        <v>8.1884651572924877E-2</v>
      </c>
      <c r="R480" s="81">
        <f t="shared" si="478"/>
        <v>0</v>
      </c>
      <c r="S480" s="82">
        <f t="shared" si="479"/>
        <v>0.8</v>
      </c>
      <c r="T480" s="39">
        <f t="shared" si="480"/>
        <v>0</v>
      </c>
      <c r="U480" s="83">
        <f t="shared" si="481"/>
        <v>0.9900000000000001</v>
      </c>
      <c r="V480" s="84">
        <f t="shared" si="482"/>
        <v>0</v>
      </c>
      <c r="W480" s="52">
        <f t="shared" si="483"/>
        <v>149.46067472347869</v>
      </c>
      <c r="X480" s="52">
        <f t="shared" si="484"/>
        <v>148.11195795172694</v>
      </c>
      <c r="Y480" s="52">
        <f t="shared" si="485"/>
        <v>297.57263267520563</v>
      </c>
      <c r="Z480" s="53">
        <f t="shared" si="486"/>
        <v>1.1676615212771773</v>
      </c>
      <c r="AA480" s="53">
        <f t="shared" si="487"/>
        <v>0.881618797331708</v>
      </c>
      <c r="AB480" s="53">
        <f t="shared" si="488"/>
        <v>1.005312948227046</v>
      </c>
      <c r="AC480" s="39" t="str">
        <f t="shared" si="489"/>
        <v>No</v>
      </c>
      <c r="AD480" s="85">
        <f t="shared" si="490"/>
        <v>0</v>
      </c>
      <c r="AE480" s="46">
        <f t="shared" si="491"/>
        <v>0</v>
      </c>
      <c r="AF480" s="46">
        <f t="shared" si="492"/>
        <v>2.1257999999999999</v>
      </c>
      <c r="AG480" s="39">
        <f t="shared" si="547"/>
        <v>63.603571890690397</v>
      </c>
      <c r="AH480" s="39">
        <f t="shared" si="548"/>
        <v>71.882045482990165</v>
      </c>
      <c r="AI480" s="39">
        <f t="shared" si="549"/>
        <v>71.999991077880779</v>
      </c>
      <c r="AJ480" s="39">
        <f t="shared" si="550"/>
        <v>90.975066271917342</v>
      </c>
      <c r="AK480" s="39">
        <f t="shared" si="551"/>
        <v>82.051984364467586</v>
      </c>
      <c r="AL480" s="39">
        <f t="shared" si="552"/>
        <v>73.661202271581558</v>
      </c>
      <c r="AM480" s="39">
        <f t="shared" si="553"/>
        <v>74.31381879448135</v>
      </c>
      <c r="AN480" s="39">
        <f t="shared" si="554"/>
        <v>59.084952521196442</v>
      </c>
      <c r="AO480" s="39">
        <f t="shared" si="493"/>
        <v>3.36035718906904</v>
      </c>
      <c r="AP480" s="39">
        <f t="shared" si="494"/>
        <v>3.3882045482990168</v>
      </c>
      <c r="AQ480" s="39">
        <f t="shared" si="495"/>
        <v>3.5999991077880793</v>
      </c>
      <c r="AR480" s="39">
        <f t="shared" si="496"/>
        <v>4.5975066271917333</v>
      </c>
      <c r="AS480" s="39">
        <f t="shared" si="497"/>
        <v>4.0051984364467597</v>
      </c>
      <c r="AT480" s="39">
        <f t="shared" si="498"/>
        <v>4.0661202271581551</v>
      </c>
      <c r="AU480" s="39">
        <f t="shared" si="499"/>
        <v>4.1313818794481341</v>
      </c>
      <c r="AV480" s="39">
        <f t="shared" si="500"/>
        <v>2.6084952521196438</v>
      </c>
      <c r="AW480" s="39">
        <f t="shared" si="501"/>
        <v>29.757263267520564</v>
      </c>
      <c r="AX480" s="39">
        <f t="shared" si="502"/>
        <v>0.9900000000000001</v>
      </c>
      <c r="AY480" s="39">
        <f t="shared" si="503"/>
        <v>0.19000000000000006</v>
      </c>
      <c r="AZ480" s="39">
        <f t="shared" si="504"/>
        <v>2.1455866427743449E-2</v>
      </c>
      <c r="BA480" s="39">
        <f t="shared" si="505"/>
        <v>2.1633671698548396E-2</v>
      </c>
      <c r="BB480" s="39">
        <f t="shared" si="506"/>
        <v>2.2985979064355254E-2</v>
      </c>
      <c r="BC480" s="39">
        <f t="shared" si="507"/>
        <v>2.9355060353277358E-2</v>
      </c>
      <c r="BD480" s="39">
        <f t="shared" si="508"/>
        <v>2.5573175062623681E-2</v>
      </c>
      <c r="BE480" s="39">
        <f t="shared" si="509"/>
        <v>2.5962160438432722E-2</v>
      </c>
      <c r="BF480" s="39">
        <f t="shared" si="510"/>
        <v>2.6378855812050298E-2</v>
      </c>
      <c r="BG480" s="39">
        <f t="shared" si="511"/>
        <v>1.6655231142968883E-2</v>
      </c>
      <c r="BH480" s="84">
        <f t="shared" si="512"/>
        <v>0</v>
      </c>
      <c r="BI480" s="84">
        <f t="shared" si="513"/>
        <v>0</v>
      </c>
      <c r="BJ480" s="84">
        <f t="shared" si="514"/>
        <v>0</v>
      </c>
      <c r="BK480" s="39">
        <f t="shared" si="515"/>
        <v>63.582116024262653</v>
      </c>
      <c r="BL480" s="39">
        <f t="shared" si="516"/>
        <v>71.860411811291613</v>
      </c>
      <c r="BM480" s="39">
        <f t="shared" si="517"/>
        <v>71.97700509881642</v>
      </c>
      <c r="BN480" s="39">
        <f t="shared" si="518"/>
        <v>90.94571121156406</v>
      </c>
      <c r="BO480" s="39">
        <f t="shared" si="519"/>
        <v>82.026411189404968</v>
      </c>
      <c r="BP480" s="39">
        <f t="shared" si="520"/>
        <v>73.635240111143119</v>
      </c>
      <c r="BQ480" s="39">
        <f t="shared" si="521"/>
        <v>74.287439938669294</v>
      </c>
      <c r="BR480" s="39">
        <f t="shared" si="522"/>
        <v>59.068297290053472</v>
      </c>
      <c r="BS480" s="39">
        <f t="shared" si="523"/>
        <v>2.1492696145575918</v>
      </c>
      <c r="BT480" s="39">
        <f t="shared" si="524"/>
        <v>3.5162470867749676</v>
      </c>
      <c r="BU480" s="39">
        <f t="shared" si="525"/>
        <v>4.7862030592898606</v>
      </c>
      <c r="BV480" s="39">
        <f t="shared" si="526"/>
        <v>2.3674267269384273</v>
      </c>
      <c r="BW480" s="39">
        <f t="shared" si="527"/>
        <v>0</v>
      </c>
      <c r="BX480" s="39">
        <f t="shared" si="528"/>
        <v>0</v>
      </c>
      <c r="BY480" s="39">
        <f t="shared" si="529"/>
        <v>0</v>
      </c>
      <c r="BZ480" s="39">
        <f t="shared" si="530"/>
        <v>0</v>
      </c>
      <c r="CA480" s="39">
        <f t="shared" si="531"/>
        <v>62.042846409705064</v>
      </c>
      <c r="CB480" s="39">
        <f t="shared" si="532"/>
        <v>70.493434339074241</v>
      </c>
      <c r="CC480" s="39">
        <f t="shared" si="533"/>
        <v>70.707049126301527</v>
      </c>
      <c r="CD480" s="39">
        <f t="shared" si="534"/>
        <v>93.364487543915487</v>
      </c>
      <c r="CE480" s="39">
        <f t="shared" si="535"/>
        <v>84.393837916343401</v>
      </c>
      <c r="CF480" s="39">
        <f t="shared" si="536"/>
        <v>73.635240111143119</v>
      </c>
      <c r="CG480" s="39">
        <f t="shared" si="537"/>
        <v>74.287439938669294</v>
      </c>
      <c r="CH480" s="39">
        <f t="shared" si="538"/>
        <v>59.068297290053472</v>
      </c>
      <c r="CI480" s="39">
        <f t="shared" si="539"/>
        <v>0</v>
      </c>
      <c r="CJ480" s="39">
        <f t="shared" si="540"/>
        <v>0</v>
      </c>
      <c r="CK480" s="39">
        <f t="shared" si="541"/>
        <v>0</v>
      </c>
      <c r="CL480" s="39">
        <f t="shared" si="542"/>
        <v>0</v>
      </c>
      <c r="CM480" s="39">
        <f t="shared" si="543"/>
        <v>0</v>
      </c>
      <c r="CN480" s="39">
        <f t="shared" si="544"/>
        <v>0</v>
      </c>
      <c r="CO480" s="39">
        <f t="shared" si="545"/>
        <v>0</v>
      </c>
      <c r="CP480" s="39">
        <f t="shared" si="546"/>
        <v>0</v>
      </c>
    </row>
    <row r="481" spans="12:94" ht="16" customHeight="1" x14ac:dyDescent="0.2">
      <c r="L481" s="63">
        <v>30793</v>
      </c>
      <c r="M481" s="38">
        <v>0.3</v>
      </c>
      <c r="N481" s="38">
        <v>1.1000000000000001</v>
      </c>
      <c r="O481" s="39">
        <v>2.3664000000000001</v>
      </c>
      <c r="P481" s="39">
        <v>1.1000000000000001</v>
      </c>
      <c r="Q481" s="46">
        <f t="shared" si="477"/>
        <v>8.5048284304651889E-2</v>
      </c>
      <c r="R481" s="81">
        <f t="shared" si="478"/>
        <v>0</v>
      </c>
      <c r="S481" s="82">
        <f t="shared" si="479"/>
        <v>0.3</v>
      </c>
      <c r="T481" s="39">
        <f t="shared" si="480"/>
        <v>0</v>
      </c>
      <c r="U481" s="83">
        <f t="shared" si="481"/>
        <v>1.2100000000000002</v>
      </c>
      <c r="V481" s="84">
        <f t="shared" si="482"/>
        <v>0</v>
      </c>
      <c r="W481" s="52">
        <f t="shared" si="483"/>
        <v>147.60781741899632</v>
      </c>
      <c r="X481" s="52">
        <f t="shared" si="484"/>
        <v>150.38481525620927</v>
      </c>
      <c r="Y481" s="52">
        <f t="shared" si="485"/>
        <v>297.99263267520558</v>
      </c>
      <c r="Z481" s="53">
        <f t="shared" si="486"/>
        <v>1.1531860735859087</v>
      </c>
      <c r="AA481" s="53">
        <f t="shared" si="487"/>
        <v>0.89514770985838843</v>
      </c>
      <c r="AB481" s="53">
        <f t="shared" si="488"/>
        <v>1.0067318671459649</v>
      </c>
      <c r="AC481" s="39" t="str">
        <f t="shared" si="489"/>
        <v>No</v>
      </c>
      <c r="AD481" s="85">
        <f t="shared" si="490"/>
        <v>0</v>
      </c>
      <c r="AE481" s="46">
        <f t="shared" si="491"/>
        <v>0</v>
      </c>
      <c r="AF481" s="46">
        <f t="shared" si="492"/>
        <v>2.1257999999999999</v>
      </c>
      <c r="AG481" s="39">
        <f t="shared" si="547"/>
        <v>62.042846409705064</v>
      </c>
      <c r="AH481" s="39">
        <f t="shared" si="548"/>
        <v>70.493434339074241</v>
      </c>
      <c r="AI481" s="39">
        <f t="shared" si="549"/>
        <v>70.707049126301527</v>
      </c>
      <c r="AJ481" s="39">
        <f t="shared" si="550"/>
        <v>93.364487543915487</v>
      </c>
      <c r="AK481" s="39">
        <f t="shared" si="551"/>
        <v>84.393837916343401</v>
      </c>
      <c r="AL481" s="39">
        <f t="shared" si="552"/>
        <v>73.635240111143119</v>
      </c>
      <c r="AM481" s="39">
        <f t="shared" si="553"/>
        <v>74.287439938669294</v>
      </c>
      <c r="AN481" s="39">
        <f t="shared" si="554"/>
        <v>59.068297290053472</v>
      </c>
      <c r="AO481" s="39">
        <f t="shared" si="493"/>
        <v>3.2042846409705064</v>
      </c>
      <c r="AP481" s="39">
        <f t="shared" si="494"/>
        <v>3.2493434339074243</v>
      </c>
      <c r="AQ481" s="39">
        <f t="shared" si="495"/>
        <v>3.4707049126301541</v>
      </c>
      <c r="AR481" s="39">
        <f t="shared" si="496"/>
        <v>4.8364487543915482</v>
      </c>
      <c r="AS481" s="39">
        <f t="shared" si="497"/>
        <v>4.2393837916343413</v>
      </c>
      <c r="AT481" s="39">
        <f t="shared" si="498"/>
        <v>4.0635240111143114</v>
      </c>
      <c r="AU481" s="39">
        <f t="shared" si="499"/>
        <v>4.1287439938669293</v>
      </c>
      <c r="AV481" s="39">
        <f t="shared" si="500"/>
        <v>2.6068297290053466</v>
      </c>
      <c r="AW481" s="39">
        <f t="shared" si="501"/>
        <v>29.799263267520562</v>
      </c>
      <c r="AX481" s="39">
        <f t="shared" si="502"/>
        <v>1.2100000000000002</v>
      </c>
      <c r="AY481" s="39">
        <f t="shared" si="503"/>
        <v>0.91000000000000014</v>
      </c>
      <c r="AZ481" s="39">
        <f t="shared" si="504"/>
        <v>9.7851379650090858E-2</v>
      </c>
      <c r="BA481" s="39">
        <f t="shared" si="505"/>
        <v>9.9227370096716644E-2</v>
      </c>
      <c r="BB481" s="39">
        <f t="shared" si="506"/>
        <v>0.10598723338022407</v>
      </c>
      <c r="BC481" s="39">
        <f t="shared" si="507"/>
        <v>0.14769386501220394</v>
      </c>
      <c r="BD481" s="39">
        <f t="shared" si="508"/>
        <v>0.1294608935715558</v>
      </c>
      <c r="BE481" s="39">
        <f t="shared" si="509"/>
        <v>0.12409054602851256</v>
      </c>
      <c r="BF481" s="39">
        <f t="shared" si="510"/>
        <v>0.12608221219059418</v>
      </c>
      <c r="BG481" s="39">
        <f t="shared" si="511"/>
        <v>7.9606500070102074E-2</v>
      </c>
      <c r="BH481" s="84">
        <f t="shared" si="512"/>
        <v>0</v>
      </c>
      <c r="BI481" s="84">
        <f t="shared" si="513"/>
        <v>0</v>
      </c>
      <c r="BJ481" s="84">
        <f t="shared" si="514"/>
        <v>0</v>
      </c>
      <c r="BK481" s="39">
        <f t="shared" si="515"/>
        <v>61.944995030054976</v>
      </c>
      <c r="BL481" s="39">
        <f t="shared" si="516"/>
        <v>70.394206968977528</v>
      </c>
      <c r="BM481" s="39">
        <f t="shared" si="517"/>
        <v>70.601061892921308</v>
      </c>
      <c r="BN481" s="39">
        <f t="shared" si="518"/>
        <v>93.216793678903286</v>
      </c>
      <c r="BO481" s="39">
        <f t="shared" si="519"/>
        <v>84.264377022771839</v>
      </c>
      <c r="BP481" s="39">
        <f t="shared" si="520"/>
        <v>73.511149565114607</v>
      </c>
      <c r="BQ481" s="39">
        <f t="shared" si="521"/>
        <v>74.161357726478698</v>
      </c>
      <c r="BR481" s="39">
        <f t="shared" si="522"/>
        <v>58.988690789983373</v>
      </c>
      <c r="BS481" s="39">
        <f t="shared" si="523"/>
        <v>1.1669970180329854</v>
      </c>
      <c r="BT481" s="39">
        <f t="shared" si="524"/>
        <v>2.6365241813865166</v>
      </c>
      <c r="BU481" s="39">
        <f t="shared" si="525"/>
        <v>3.9606371357527932</v>
      </c>
      <c r="BV481" s="39">
        <f t="shared" si="526"/>
        <v>3.7300762073419631</v>
      </c>
      <c r="BW481" s="39">
        <f t="shared" si="527"/>
        <v>0.15862621366311203</v>
      </c>
      <c r="BX481" s="39">
        <f t="shared" si="528"/>
        <v>0</v>
      </c>
      <c r="BY481" s="39">
        <f t="shared" si="529"/>
        <v>0</v>
      </c>
      <c r="BZ481" s="39">
        <f t="shared" si="530"/>
        <v>0</v>
      </c>
      <c r="CA481" s="39">
        <f t="shared" si="531"/>
        <v>60.777998012021989</v>
      </c>
      <c r="CB481" s="39">
        <f t="shared" si="532"/>
        <v>68.924679805623995</v>
      </c>
      <c r="CC481" s="39">
        <f t="shared" si="533"/>
        <v>69.276948938555037</v>
      </c>
      <c r="CD481" s="39">
        <f t="shared" si="534"/>
        <v>93.447354607314111</v>
      </c>
      <c r="CE481" s="39">
        <f t="shared" si="535"/>
        <v>87.835827016450693</v>
      </c>
      <c r="CF481" s="39">
        <f t="shared" si="536"/>
        <v>73.669775778777719</v>
      </c>
      <c r="CG481" s="39">
        <f t="shared" si="537"/>
        <v>74.161357726478698</v>
      </c>
      <c r="CH481" s="39">
        <f t="shared" si="538"/>
        <v>58.988690789983373</v>
      </c>
      <c r="CI481" s="39">
        <f t="shared" si="539"/>
        <v>0</v>
      </c>
      <c r="CJ481" s="39">
        <f t="shared" si="540"/>
        <v>0</v>
      </c>
      <c r="CK481" s="39">
        <f t="shared" si="541"/>
        <v>0</v>
      </c>
      <c r="CL481" s="39">
        <f t="shared" si="542"/>
        <v>0</v>
      </c>
      <c r="CM481" s="39">
        <f t="shared" si="543"/>
        <v>0</v>
      </c>
      <c r="CN481" s="39">
        <f t="shared" si="544"/>
        <v>0</v>
      </c>
      <c r="CO481" s="39">
        <f t="shared" si="545"/>
        <v>0</v>
      </c>
      <c r="CP481" s="39">
        <f t="shared" si="546"/>
        <v>0</v>
      </c>
    </row>
    <row r="482" spans="12:94" ht="16" customHeight="1" x14ac:dyDescent="0.2">
      <c r="L482" s="63">
        <v>30794</v>
      </c>
      <c r="M482" s="38">
        <v>0</v>
      </c>
      <c r="N482" s="38">
        <v>1.6</v>
      </c>
      <c r="O482" s="39">
        <v>2.3664000000000001</v>
      </c>
      <c r="P482" s="39">
        <v>1.1000000000000001</v>
      </c>
      <c r="Q482" s="46">
        <f t="shared" si="477"/>
        <v>8.7612166191847321E-2</v>
      </c>
      <c r="R482" s="81">
        <f t="shared" si="478"/>
        <v>0</v>
      </c>
      <c r="S482" s="82">
        <f t="shared" si="479"/>
        <v>0</v>
      </c>
      <c r="T482" s="39">
        <f t="shared" si="480"/>
        <v>0</v>
      </c>
      <c r="U482" s="83">
        <f t="shared" si="481"/>
        <v>1.7600000000000002</v>
      </c>
      <c r="V482" s="84">
        <f t="shared" si="482"/>
        <v>0</v>
      </c>
      <c r="W482" s="52">
        <f t="shared" si="483"/>
        <v>143.4269813635151</v>
      </c>
      <c r="X482" s="52">
        <f t="shared" si="484"/>
        <v>153.65565131169046</v>
      </c>
      <c r="Y482" s="52">
        <f t="shared" si="485"/>
        <v>297.08263267520556</v>
      </c>
      <c r="Z482" s="53">
        <f t="shared" si="486"/>
        <v>1.1205232919024617</v>
      </c>
      <c r="AA482" s="53">
        <f t="shared" si="487"/>
        <v>0.91461697209339565</v>
      </c>
      <c r="AB482" s="53">
        <f t="shared" si="488"/>
        <v>1.0036575428216403</v>
      </c>
      <c r="AC482" s="39" t="str">
        <f t="shared" si="489"/>
        <v>No</v>
      </c>
      <c r="AD482" s="85">
        <f t="shared" si="490"/>
        <v>0</v>
      </c>
      <c r="AE482" s="46">
        <f t="shared" si="491"/>
        <v>0</v>
      </c>
      <c r="AF482" s="46">
        <f t="shared" si="492"/>
        <v>2.1257999999999999</v>
      </c>
      <c r="AG482" s="39">
        <f t="shared" si="547"/>
        <v>60.777998012021989</v>
      </c>
      <c r="AH482" s="39">
        <f t="shared" si="548"/>
        <v>68.924679805623995</v>
      </c>
      <c r="AI482" s="39">
        <f t="shared" si="549"/>
        <v>69.276948938555037</v>
      </c>
      <c r="AJ482" s="39">
        <f t="shared" si="550"/>
        <v>93.447354607314111</v>
      </c>
      <c r="AK482" s="39">
        <f t="shared" si="551"/>
        <v>87.835827016450693</v>
      </c>
      <c r="AL482" s="39">
        <f t="shared" si="552"/>
        <v>73.669775778777719</v>
      </c>
      <c r="AM482" s="39">
        <f t="shared" si="553"/>
        <v>74.161357726478698</v>
      </c>
      <c r="AN482" s="39">
        <f t="shared" si="554"/>
        <v>58.988690789983373</v>
      </c>
      <c r="AO482" s="39">
        <f t="shared" si="493"/>
        <v>3.077799801202199</v>
      </c>
      <c r="AP482" s="39">
        <f t="shared" si="494"/>
        <v>3.0924679805623998</v>
      </c>
      <c r="AQ482" s="39">
        <f t="shared" si="495"/>
        <v>3.3276948938555053</v>
      </c>
      <c r="AR482" s="39">
        <f t="shared" si="496"/>
        <v>4.8447354607314104</v>
      </c>
      <c r="AS482" s="39">
        <f t="shared" si="497"/>
        <v>4.5835827016450699</v>
      </c>
      <c r="AT482" s="39">
        <f t="shared" si="498"/>
        <v>4.066977577877771</v>
      </c>
      <c r="AU482" s="39">
        <f t="shared" si="499"/>
        <v>4.1161357726478691</v>
      </c>
      <c r="AV482" s="39">
        <f t="shared" si="500"/>
        <v>2.5988690789983369</v>
      </c>
      <c r="AW482" s="39">
        <f t="shared" si="501"/>
        <v>29.708263267520564</v>
      </c>
      <c r="AX482" s="39">
        <f t="shared" si="502"/>
        <v>1.7600000000000002</v>
      </c>
      <c r="AY482" s="39">
        <f t="shared" si="503"/>
        <v>1.7600000000000002</v>
      </c>
      <c r="AZ482" s="39">
        <f t="shared" si="504"/>
        <v>0.18233740563481834</v>
      </c>
      <c r="BA482" s="39">
        <f t="shared" si="505"/>
        <v>0.18320638930584221</v>
      </c>
      <c r="BB482" s="39">
        <f t="shared" si="506"/>
        <v>0.19714188474924238</v>
      </c>
      <c r="BC482" s="39">
        <f t="shared" si="507"/>
        <v>0.28701557994503796</v>
      </c>
      <c r="BD482" s="39">
        <f t="shared" si="508"/>
        <v>0.27154416541457427</v>
      </c>
      <c r="BE482" s="39">
        <f t="shared" si="509"/>
        <v>0.24093904354518234</v>
      </c>
      <c r="BF482" s="39">
        <f t="shared" si="510"/>
        <v>0.24385131148950076</v>
      </c>
      <c r="BG482" s="39">
        <f t="shared" si="511"/>
        <v>0.15396421991580181</v>
      </c>
      <c r="BH482" s="84">
        <f t="shared" si="512"/>
        <v>0</v>
      </c>
      <c r="BI482" s="84">
        <f t="shared" si="513"/>
        <v>0</v>
      </c>
      <c r="BJ482" s="84">
        <f t="shared" si="514"/>
        <v>0</v>
      </c>
      <c r="BK482" s="39">
        <f t="shared" si="515"/>
        <v>60.59566060638717</v>
      </c>
      <c r="BL482" s="39">
        <f t="shared" si="516"/>
        <v>68.741473416318158</v>
      </c>
      <c r="BM482" s="39">
        <f t="shared" si="517"/>
        <v>69.079807053805794</v>
      </c>
      <c r="BN482" s="39">
        <f t="shared" si="518"/>
        <v>93.160339027369076</v>
      </c>
      <c r="BO482" s="39">
        <f t="shared" si="519"/>
        <v>87.564282851036126</v>
      </c>
      <c r="BP482" s="39">
        <f t="shared" si="520"/>
        <v>73.428836735232537</v>
      </c>
      <c r="BQ482" s="39">
        <f t="shared" si="521"/>
        <v>73.917506414989191</v>
      </c>
      <c r="BR482" s="39">
        <f t="shared" si="522"/>
        <v>58.834726570067573</v>
      </c>
      <c r="BS482" s="39">
        <f t="shared" si="523"/>
        <v>0.35739636383230217</v>
      </c>
      <c r="BT482" s="39">
        <f t="shared" si="524"/>
        <v>1.6448840497908945</v>
      </c>
      <c r="BU482" s="39">
        <f t="shared" si="525"/>
        <v>3.0478842322834852</v>
      </c>
      <c r="BV482" s="39">
        <f t="shared" si="526"/>
        <v>3.696203416421437</v>
      </c>
      <c r="BW482" s="39">
        <f t="shared" si="527"/>
        <v>2.1385697106216837</v>
      </c>
      <c r="BX482" s="39">
        <f t="shared" si="528"/>
        <v>0</v>
      </c>
      <c r="BY482" s="39">
        <f t="shared" si="529"/>
        <v>0</v>
      </c>
      <c r="BZ482" s="39">
        <f t="shared" si="530"/>
        <v>0</v>
      </c>
      <c r="CA482" s="39">
        <f t="shared" si="531"/>
        <v>60.23826424255487</v>
      </c>
      <c r="CB482" s="39">
        <f t="shared" si="532"/>
        <v>67.453985730359577</v>
      </c>
      <c r="CC482" s="39">
        <f t="shared" si="533"/>
        <v>67.676806871313204</v>
      </c>
      <c r="CD482" s="39">
        <f t="shared" si="534"/>
        <v>92.512019843231116</v>
      </c>
      <c r="CE482" s="39">
        <f t="shared" si="535"/>
        <v>89.121916556835885</v>
      </c>
      <c r="CF482" s="39">
        <f t="shared" si="536"/>
        <v>75.567406445854218</v>
      </c>
      <c r="CG482" s="39">
        <f t="shared" si="537"/>
        <v>73.917506414989191</v>
      </c>
      <c r="CH482" s="39">
        <f t="shared" si="538"/>
        <v>58.834726570067573</v>
      </c>
      <c r="CI482" s="39">
        <f t="shared" si="539"/>
        <v>0</v>
      </c>
      <c r="CJ482" s="39">
        <f t="shared" si="540"/>
        <v>0</v>
      </c>
      <c r="CK482" s="39">
        <f t="shared" si="541"/>
        <v>0</v>
      </c>
      <c r="CL482" s="39">
        <f t="shared" si="542"/>
        <v>0</v>
      </c>
      <c r="CM482" s="39">
        <f t="shared" si="543"/>
        <v>0</v>
      </c>
      <c r="CN482" s="39">
        <f t="shared" si="544"/>
        <v>0</v>
      </c>
      <c r="CO482" s="39">
        <f t="shared" si="545"/>
        <v>0</v>
      </c>
      <c r="CP482" s="39">
        <f t="shared" si="546"/>
        <v>0</v>
      </c>
    </row>
    <row r="483" spans="12:94" ht="16" customHeight="1" x14ac:dyDescent="0.2">
      <c r="L483" s="63">
        <v>30795</v>
      </c>
      <c r="M483" s="38">
        <v>0</v>
      </c>
      <c r="N483" s="38">
        <v>3.4</v>
      </c>
      <c r="O483" s="39">
        <v>2.3664000000000001</v>
      </c>
      <c r="P483" s="39">
        <v>1.1000000000000001</v>
      </c>
      <c r="Q483" s="46">
        <f t="shared" si="477"/>
        <v>8.8706221129956339E-2</v>
      </c>
      <c r="R483" s="81">
        <f t="shared" si="478"/>
        <v>0</v>
      </c>
      <c r="S483" s="82">
        <f t="shared" si="479"/>
        <v>0</v>
      </c>
      <c r="T483" s="39">
        <f t="shared" si="480"/>
        <v>0</v>
      </c>
      <c r="U483" s="83">
        <f t="shared" si="481"/>
        <v>3.74</v>
      </c>
      <c r="V483" s="84">
        <f t="shared" si="482"/>
        <v>0</v>
      </c>
      <c r="W483" s="52">
        <f t="shared" si="483"/>
        <v>138.88107668745874</v>
      </c>
      <c r="X483" s="52">
        <f t="shared" si="484"/>
        <v>156.44155598774688</v>
      </c>
      <c r="Y483" s="52">
        <f t="shared" si="485"/>
        <v>295.32263267520563</v>
      </c>
      <c r="Z483" s="53">
        <f t="shared" si="486"/>
        <v>1.0850084116207714</v>
      </c>
      <c r="AA483" s="53">
        <f t="shared" si="487"/>
        <v>0.93119973802230283</v>
      </c>
      <c r="AB483" s="53">
        <f t="shared" si="488"/>
        <v>0.99771159687569466</v>
      </c>
      <c r="AC483" s="39" t="str">
        <f t="shared" si="489"/>
        <v>No</v>
      </c>
      <c r="AD483" s="85">
        <f t="shared" si="490"/>
        <v>0</v>
      </c>
      <c r="AE483" s="46">
        <f t="shared" si="491"/>
        <v>0</v>
      </c>
      <c r="AF483" s="46">
        <f t="shared" si="492"/>
        <v>2.1257999999999999</v>
      </c>
      <c r="AG483" s="39">
        <f t="shared" si="547"/>
        <v>60.23826424255487</v>
      </c>
      <c r="AH483" s="39">
        <f t="shared" si="548"/>
        <v>67.453985730359577</v>
      </c>
      <c r="AI483" s="39">
        <f t="shared" si="549"/>
        <v>67.676806871313204</v>
      </c>
      <c r="AJ483" s="39">
        <f t="shared" si="550"/>
        <v>92.512019843231116</v>
      </c>
      <c r="AK483" s="39">
        <f t="shared" si="551"/>
        <v>89.121916556835885</v>
      </c>
      <c r="AL483" s="39">
        <f t="shared" si="552"/>
        <v>75.567406445854218</v>
      </c>
      <c r="AM483" s="39">
        <f t="shared" si="553"/>
        <v>73.917506414989191</v>
      </c>
      <c r="AN483" s="39">
        <f t="shared" si="554"/>
        <v>58.834726570067573</v>
      </c>
      <c r="AO483" s="39">
        <f t="shared" si="493"/>
        <v>3.0238264242554873</v>
      </c>
      <c r="AP483" s="39">
        <f t="shared" si="494"/>
        <v>2.9453985730359578</v>
      </c>
      <c r="AQ483" s="39">
        <f t="shared" si="495"/>
        <v>3.1676806871313219</v>
      </c>
      <c r="AR483" s="39">
        <f t="shared" si="496"/>
        <v>4.751201984323111</v>
      </c>
      <c r="AS483" s="39">
        <f t="shared" si="497"/>
        <v>4.712191655683589</v>
      </c>
      <c r="AT483" s="39">
        <f t="shared" si="498"/>
        <v>4.2567406445854212</v>
      </c>
      <c r="AU483" s="39">
        <f t="shared" si="499"/>
        <v>4.0917506414989182</v>
      </c>
      <c r="AV483" s="39">
        <f t="shared" si="500"/>
        <v>2.583472657006757</v>
      </c>
      <c r="AW483" s="39">
        <f t="shared" si="501"/>
        <v>29.532263267520563</v>
      </c>
      <c r="AX483" s="39">
        <f t="shared" si="502"/>
        <v>3.74</v>
      </c>
      <c r="AY483" s="39">
        <f t="shared" si="503"/>
        <v>3.74</v>
      </c>
      <c r="AZ483" s="39">
        <f t="shared" si="504"/>
        <v>0.38294087805837851</v>
      </c>
      <c r="BA483" s="39">
        <f t="shared" si="505"/>
        <v>0.3730086842097739</v>
      </c>
      <c r="BB483" s="39">
        <f t="shared" si="506"/>
        <v>0.40115874840180488</v>
      </c>
      <c r="BC483" s="39">
        <f t="shared" si="507"/>
        <v>0.60169771820066487</v>
      </c>
      <c r="BD483" s="39">
        <f t="shared" si="508"/>
        <v>0.59675740503231156</v>
      </c>
      <c r="BE483" s="39">
        <f t="shared" si="509"/>
        <v>0.53907856186079872</v>
      </c>
      <c r="BF483" s="39">
        <f t="shared" si="510"/>
        <v>0.51818403691518899</v>
      </c>
      <c r="BG483" s="39">
        <f t="shared" si="511"/>
        <v>0.3271739673210789</v>
      </c>
      <c r="BH483" s="84">
        <f t="shared" si="512"/>
        <v>0</v>
      </c>
      <c r="BI483" s="84">
        <f t="shared" si="513"/>
        <v>0</v>
      </c>
      <c r="BJ483" s="84">
        <f t="shared" si="514"/>
        <v>0</v>
      </c>
      <c r="BK483" s="39">
        <f t="shared" si="515"/>
        <v>59.855323364496492</v>
      </c>
      <c r="BL483" s="39">
        <f t="shared" si="516"/>
        <v>67.080977046149798</v>
      </c>
      <c r="BM483" s="39">
        <f t="shared" si="517"/>
        <v>67.275648122911406</v>
      </c>
      <c r="BN483" s="39">
        <f t="shared" si="518"/>
        <v>91.910322125030447</v>
      </c>
      <c r="BO483" s="39">
        <f t="shared" si="519"/>
        <v>88.525159151803578</v>
      </c>
      <c r="BP483" s="39">
        <f t="shared" si="520"/>
        <v>75.028327883993413</v>
      </c>
      <c r="BQ483" s="39">
        <f t="shared" si="521"/>
        <v>73.399322378074004</v>
      </c>
      <c r="BR483" s="39">
        <f t="shared" si="522"/>
        <v>58.507552602746493</v>
      </c>
      <c r="BS483" s="39">
        <f t="shared" si="523"/>
        <v>0</v>
      </c>
      <c r="BT483" s="39">
        <f t="shared" si="524"/>
        <v>0.6485862276898785</v>
      </c>
      <c r="BU483" s="39">
        <f t="shared" si="525"/>
        <v>1.9653888737468519</v>
      </c>
      <c r="BV483" s="39">
        <f t="shared" si="526"/>
        <v>2.9461932750182598</v>
      </c>
      <c r="BW483" s="39">
        <f t="shared" si="527"/>
        <v>2.7150954910821552</v>
      </c>
      <c r="BX483" s="39">
        <f t="shared" si="528"/>
        <v>1.6996730396039082E-2</v>
      </c>
      <c r="BY483" s="39">
        <f t="shared" si="529"/>
        <v>0</v>
      </c>
      <c r="BZ483" s="39">
        <f t="shared" si="530"/>
        <v>0</v>
      </c>
      <c r="CA483" s="39">
        <f t="shared" si="531"/>
        <v>59.855323364496492</v>
      </c>
      <c r="CB483" s="39">
        <f t="shared" si="532"/>
        <v>66.432390818459922</v>
      </c>
      <c r="CC483" s="39">
        <f t="shared" si="533"/>
        <v>65.958845476854435</v>
      </c>
      <c r="CD483" s="39">
        <f t="shared" si="534"/>
        <v>90.929517723759034</v>
      </c>
      <c r="CE483" s="39">
        <f t="shared" si="535"/>
        <v>88.756256935739685</v>
      </c>
      <c r="CF483" s="39">
        <f t="shared" si="536"/>
        <v>77.72642664467952</v>
      </c>
      <c r="CG483" s="39">
        <f t="shared" si="537"/>
        <v>73.416319108470049</v>
      </c>
      <c r="CH483" s="39">
        <f t="shared" si="538"/>
        <v>58.507552602746493</v>
      </c>
      <c r="CI483" s="39">
        <f t="shared" si="539"/>
        <v>0</v>
      </c>
      <c r="CJ483" s="39">
        <f t="shared" si="540"/>
        <v>0</v>
      </c>
      <c r="CK483" s="39">
        <f t="shared" si="541"/>
        <v>0</v>
      </c>
      <c r="CL483" s="39">
        <f t="shared" si="542"/>
        <v>0</v>
      </c>
      <c r="CM483" s="39">
        <f t="shared" si="543"/>
        <v>0</v>
      </c>
      <c r="CN483" s="39">
        <f t="shared" si="544"/>
        <v>0</v>
      </c>
      <c r="CO483" s="39">
        <f t="shared" si="545"/>
        <v>0</v>
      </c>
      <c r="CP483" s="39">
        <f t="shared" si="546"/>
        <v>0</v>
      </c>
    </row>
    <row r="484" spans="12:94" ht="16" customHeight="1" x14ac:dyDescent="0.2">
      <c r="L484" s="63">
        <v>30796</v>
      </c>
      <c r="M484" s="38">
        <v>0</v>
      </c>
      <c r="N484" s="38">
        <v>2</v>
      </c>
      <c r="O484" s="39">
        <v>2.3664000000000001</v>
      </c>
      <c r="P484" s="39">
        <v>1.1000000000000001</v>
      </c>
      <c r="Q484" s="46">
        <f t="shared" si="477"/>
        <v>8.9482452639534138E-2</v>
      </c>
      <c r="R484" s="81">
        <f t="shared" si="478"/>
        <v>0</v>
      </c>
      <c r="S484" s="82">
        <f t="shared" si="479"/>
        <v>0</v>
      </c>
      <c r="T484" s="39">
        <f t="shared" si="480"/>
        <v>0</v>
      </c>
      <c r="U484" s="83">
        <f t="shared" si="481"/>
        <v>2.2000000000000002</v>
      </c>
      <c r="V484" s="84">
        <f t="shared" si="482"/>
        <v>0</v>
      </c>
      <c r="W484" s="52">
        <f t="shared" si="483"/>
        <v>134.17607738356992</v>
      </c>
      <c r="X484" s="52">
        <f t="shared" si="484"/>
        <v>157.40655529163575</v>
      </c>
      <c r="Y484" s="52">
        <f t="shared" si="485"/>
        <v>291.58263267520567</v>
      </c>
      <c r="Z484" s="53">
        <f t="shared" si="486"/>
        <v>1.04825060455914</v>
      </c>
      <c r="AA484" s="53">
        <f t="shared" si="487"/>
        <v>0.93694378149783186</v>
      </c>
      <c r="AB484" s="53">
        <f t="shared" si="488"/>
        <v>0.98507646174055974</v>
      </c>
      <c r="AC484" s="39" t="str">
        <f t="shared" si="489"/>
        <v>No</v>
      </c>
      <c r="AD484" s="85">
        <f t="shared" si="490"/>
        <v>0</v>
      </c>
      <c r="AE484" s="46">
        <f t="shared" si="491"/>
        <v>0</v>
      </c>
      <c r="AF484" s="46">
        <f t="shared" si="492"/>
        <v>2.1257999999999999</v>
      </c>
      <c r="AG484" s="39">
        <f t="shared" si="547"/>
        <v>59.855323364496492</v>
      </c>
      <c r="AH484" s="39">
        <f t="shared" si="548"/>
        <v>66.432390818459922</v>
      </c>
      <c r="AI484" s="39">
        <f t="shared" si="549"/>
        <v>65.958845476854435</v>
      </c>
      <c r="AJ484" s="39">
        <f t="shared" si="550"/>
        <v>90.929517723759034</v>
      </c>
      <c r="AK484" s="39">
        <f t="shared" si="551"/>
        <v>88.756256935739685</v>
      </c>
      <c r="AL484" s="39">
        <f t="shared" si="552"/>
        <v>77.72642664467952</v>
      </c>
      <c r="AM484" s="39">
        <f t="shared" si="553"/>
        <v>73.416319108470049</v>
      </c>
      <c r="AN484" s="39">
        <f t="shared" si="554"/>
        <v>58.507552602746493</v>
      </c>
      <c r="AO484" s="39">
        <f t="shared" si="493"/>
        <v>2.9855323364496495</v>
      </c>
      <c r="AP484" s="39">
        <f t="shared" si="494"/>
        <v>2.8432390818459923</v>
      </c>
      <c r="AQ484" s="39">
        <f t="shared" si="495"/>
        <v>2.9958845476854452</v>
      </c>
      <c r="AR484" s="39">
        <f t="shared" si="496"/>
        <v>4.592951772375903</v>
      </c>
      <c r="AS484" s="39">
        <f t="shared" si="497"/>
        <v>4.6756256935739691</v>
      </c>
      <c r="AT484" s="39">
        <f t="shared" si="498"/>
        <v>4.4726426644679513</v>
      </c>
      <c r="AU484" s="39">
        <f t="shared" si="499"/>
        <v>4.0416319108470047</v>
      </c>
      <c r="AV484" s="39">
        <f t="shared" si="500"/>
        <v>2.5507552602746486</v>
      </c>
      <c r="AW484" s="39">
        <f t="shared" si="501"/>
        <v>29.158263267520564</v>
      </c>
      <c r="AX484" s="39">
        <f t="shared" si="502"/>
        <v>2.2000000000000002</v>
      </c>
      <c r="AY484" s="39">
        <f t="shared" si="503"/>
        <v>2.2000000000000002</v>
      </c>
      <c r="AZ484" s="39">
        <f t="shared" si="504"/>
        <v>0.22525934003434031</v>
      </c>
      <c r="BA484" s="39">
        <f t="shared" si="505"/>
        <v>0.2145232698762542</v>
      </c>
      <c r="BB484" s="39">
        <f t="shared" si="506"/>
        <v>0.2260404175803449</v>
      </c>
      <c r="BC484" s="39">
        <f t="shared" si="507"/>
        <v>0.34653963463188842</v>
      </c>
      <c r="BD484" s="39">
        <f t="shared" si="508"/>
        <v>0.35277740760783738</v>
      </c>
      <c r="BE484" s="39">
        <f t="shared" si="509"/>
        <v>0.33746227515512145</v>
      </c>
      <c r="BF484" s="39">
        <f t="shared" si="510"/>
        <v>0.30494238021946141</v>
      </c>
      <c r="BG484" s="39">
        <f t="shared" si="511"/>
        <v>0.19245527489475225</v>
      </c>
      <c r="BH484" s="84">
        <f t="shared" si="512"/>
        <v>0</v>
      </c>
      <c r="BI484" s="84">
        <f t="shared" si="513"/>
        <v>0</v>
      </c>
      <c r="BJ484" s="84">
        <f t="shared" si="514"/>
        <v>0</v>
      </c>
      <c r="BK484" s="39">
        <f t="shared" si="515"/>
        <v>59.63006402446215</v>
      </c>
      <c r="BL484" s="39">
        <f t="shared" si="516"/>
        <v>66.217867548583669</v>
      </c>
      <c r="BM484" s="39">
        <f t="shared" si="517"/>
        <v>65.732805059274085</v>
      </c>
      <c r="BN484" s="39">
        <f t="shared" si="518"/>
        <v>90.582978089127138</v>
      </c>
      <c r="BO484" s="39">
        <f t="shared" si="519"/>
        <v>88.403479528131854</v>
      </c>
      <c r="BP484" s="39">
        <f t="shared" si="520"/>
        <v>77.388964369524402</v>
      </c>
      <c r="BQ484" s="39">
        <f t="shared" si="521"/>
        <v>73.11137672825059</v>
      </c>
      <c r="BR484" s="39">
        <f t="shared" si="522"/>
        <v>58.315097327851738</v>
      </c>
      <c r="BS484" s="39">
        <f t="shared" si="523"/>
        <v>0</v>
      </c>
      <c r="BT484" s="39">
        <f t="shared" si="524"/>
        <v>0.13072052915020152</v>
      </c>
      <c r="BU484" s="39">
        <f t="shared" si="525"/>
        <v>1.0396830355644595</v>
      </c>
      <c r="BV484" s="39">
        <f t="shared" si="526"/>
        <v>2.1497868534762743</v>
      </c>
      <c r="BW484" s="39">
        <f t="shared" si="527"/>
        <v>2.6420877168791206</v>
      </c>
      <c r="BX484" s="39">
        <f t="shared" si="528"/>
        <v>1.4333786217146325</v>
      </c>
      <c r="BY484" s="39">
        <f t="shared" si="529"/>
        <v>0</v>
      </c>
      <c r="BZ484" s="39">
        <f t="shared" si="530"/>
        <v>0</v>
      </c>
      <c r="CA484" s="39">
        <f t="shared" si="531"/>
        <v>59.63006402446215</v>
      </c>
      <c r="CB484" s="39">
        <f t="shared" si="532"/>
        <v>66.087147019433473</v>
      </c>
      <c r="CC484" s="39">
        <f t="shared" si="533"/>
        <v>64.823842552859816</v>
      </c>
      <c r="CD484" s="39">
        <f t="shared" si="534"/>
        <v>89.472874271215332</v>
      </c>
      <c r="CE484" s="39">
        <f t="shared" si="535"/>
        <v>87.911178664729007</v>
      </c>
      <c r="CF484" s="39">
        <f t="shared" si="536"/>
        <v>78.597673464688881</v>
      </c>
      <c r="CG484" s="39">
        <f t="shared" si="537"/>
        <v>74.544755349965229</v>
      </c>
      <c r="CH484" s="39">
        <f t="shared" si="538"/>
        <v>58.315097327851738</v>
      </c>
      <c r="CI484" s="39">
        <f t="shared" si="539"/>
        <v>0</v>
      </c>
      <c r="CJ484" s="39">
        <f t="shared" si="540"/>
        <v>0</v>
      </c>
      <c r="CK484" s="39">
        <f t="shared" si="541"/>
        <v>0</v>
      </c>
      <c r="CL484" s="39">
        <f t="shared" si="542"/>
        <v>0</v>
      </c>
      <c r="CM484" s="39">
        <f t="shared" si="543"/>
        <v>0</v>
      </c>
      <c r="CN484" s="39">
        <f t="shared" si="544"/>
        <v>0</v>
      </c>
      <c r="CO484" s="39">
        <f t="shared" si="545"/>
        <v>0</v>
      </c>
      <c r="CP484" s="39">
        <f t="shared" si="546"/>
        <v>0</v>
      </c>
    </row>
    <row r="485" spans="12:94" ht="16" customHeight="1" x14ac:dyDescent="0.2">
      <c r="L485" s="63">
        <v>30797</v>
      </c>
      <c r="M485" s="38">
        <v>0</v>
      </c>
      <c r="N485" s="38">
        <v>3</v>
      </c>
      <c r="O485" s="39">
        <v>2.3664000000000001</v>
      </c>
      <c r="P485" s="39">
        <v>1.1000000000000001</v>
      </c>
      <c r="Q485" s="46">
        <f t="shared" si="477"/>
        <v>8.9939059409874011E-2</v>
      </c>
      <c r="R485" s="81">
        <f t="shared" si="478"/>
        <v>0</v>
      </c>
      <c r="S485" s="82">
        <f t="shared" si="479"/>
        <v>0</v>
      </c>
      <c r="T485" s="39">
        <f t="shared" si="480"/>
        <v>0</v>
      </c>
      <c r="U485" s="83">
        <f t="shared" si="481"/>
        <v>3.3000000000000003</v>
      </c>
      <c r="V485" s="84">
        <f t="shared" si="482"/>
        <v>0</v>
      </c>
      <c r="W485" s="52">
        <f t="shared" si="483"/>
        <v>131.01392786797078</v>
      </c>
      <c r="X485" s="52">
        <f t="shared" si="484"/>
        <v>158.36870480723485</v>
      </c>
      <c r="Y485" s="52">
        <f t="shared" si="485"/>
        <v>289.38263267520563</v>
      </c>
      <c r="Z485" s="53">
        <f t="shared" si="486"/>
        <v>1.0235463114685217</v>
      </c>
      <c r="AA485" s="53">
        <f t="shared" si="487"/>
        <v>0.94267086194782646</v>
      </c>
      <c r="AB485" s="53">
        <f t="shared" si="488"/>
        <v>0.9776440293081271</v>
      </c>
      <c r="AC485" s="39" t="str">
        <f t="shared" si="489"/>
        <v>No</v>
      </c>
      <c r="AD485" s="85">
        <f t="shared" si="490"/>
        <v>0</v>
      </c>
      <c r="AE485" s="46">
        <f t="shared" si="491"/>
        <v>0</v>
      </c>
      <c r="AF485" s="46">
        <f t="shared" si="492"/>
        <v>2.1257999999999999</v>
      </c>
      <c r="AG485" s="39">
        <f t="shared" si="547"/>
        <v>59.63006402446215</v>
      </c>
      <c r="AH485" s="39">
        <f t="shared" si="548"/>
        <v>66.087147019433473</v>
      </c>
      <c r="AI485" s="39">
        <f t="shared" si="549"/>
        <v>64.823842552859816</v>
      </c>
      <c r="AJ485" s="39">
        <f t="shared" si="550"/>
        <v>89.472874271215332</v>
      </c>
      <c r="AK485" s="39">
        <f t="shared" si="551"/>
        <v>87.911178664729007</v>
      </c>
      <c r="AL485" s="39">
        <f t="shared" si="552"/>
        <v>78.597673464688881</v>
      </c>
      <c r="AM485" s="39">
        <f t="shared" si="553"/>
        <v>74.544755349965229</v>
      </c>
      <c r="AN485" s="39">
        <f t="shared" si="554"/>
        <v>58.315097327851738</v>
      </c>
      <c r="AO485" s="39">
        <f t="shared" si="493"/>
        <v>2.963006402446215</v>
      </c>
      <c r="AP485" s="39">
        <f t="shared" si="494"/>
        <v>2.8087147019433476</v>
      </c>
      <c r="AQ485" s="39">
        <f t="shared" si="495"/>
        <v>2.8823842552859831</v>
      </c>
      <c r="AR485" s="39">
        <f t="shared" si="496"/>
        <v>4.447287427121533</v>
      </c>
      <c r="AS485" s="39">
        <f t="shared" si="497"/>
        <v>4.591117866472902</v>
      </c>
      <c r="AT485" s="39">
        <f t="shared" si="498"/>
        <v>4.5597673464688873</v>
      </c>
      <c r="AU485" s="39">
        <f t="shared" si="499"/>
        <v>4.1544755349965223</v>
      </c>
      <c r="AV485" s="39">
        <f t="shared" si="500"/>
        <v>2.5315097327851732</v>
      </c>
      <c r="AW485" s="39">
        <f t="shared" si="501"/>
        <v>28.938263267520565</v>
      </c>
      <c r="AX485" s="39">
        <f t="shared" si="502"/>
        <v>3.3000000000000003</v>
      </c>
      <c r="AY485" s="39">
        <f t="shared" si="503"/>
        <v>3.3000000000000003</v>
      </c>
      <c r="AZ485" s="39">
        <f t="shared" si="504"/>
        <v>0.3378890100515104</v>
      </c>
      <c r="BA485" s="39">
        <f t="shared" si="505"/>
        <v>0.32029422190017959</v>
      </c>
      <c r="BB485" s="39">
        <f t="shared" si="506"/>
        <v>0.32869519343683556</v>
      </c>
      <c r="BC485" s="39">
        <f t="shared" si="507"/>
        <v>0.50715028658865702</v>
      </c>
      <c r="BD485" s="39">
        <f t="shared" si="508"/>
        <v>0.52355211573340188</v>
      </c>
      <c r="BE485" s="39">
        <f t="shared" si="509"/>
        <v>0.51997703194012646</v>
      </c>
      <c r="BF485" s="39">
        <f t="shared" si="510"/>
        <v>0.47375922800716092</v>
      </c>
      <c r="BG485" s="39">
        <f t="shared" si="511"/>
        <v>0.28868291234212834</v>
      </c>
      <c r="BH485" s="84">
        <f t="shared" si="512"/>
        <v>0</v>
      </c>
      <c r="BI485" s="84">
        <f t="shared" si="513"/>
        <v>0</v>
      </c>
      <c r="BJ485" s="84">
        <f t="shared" si="514"/>
        <v>0</v>
      </c>
      <c r="BK485" s="39">
        <f t="shared" si="515"/>
        <v>59.292175014410638</v>
      </c>
      <c r="BL485" s="39">
        <f t="shared" si="516"/>
        <v>65.766852797533289</v>
      </c>
      <c r="BM485" s="39">
        <f t="shared" si="517"/>
        <v>64.495147359422987</v>
      </c>
      <c r="BN485" s="39">
        <f t="shared" si="518"/>
        <v>88.965723984626678</v>
      </c>
      <c r="BO485" s="39">
        <f t="shared" si="519"/>
        <v>87.387626548995613</v>
      </c>
      <c r="BP485" s="39">
        <f t="shared" si="520"/>
        <v>78.077696432748752</v>
      </c>
      <c r="BQ485" s="39">
        <f t="shared" si="521"/>
        <v>74.070996121958075</v>
      </c>
      <c r="BR485" s="39">
        <f t="shared" si="522"/>
        <v>58.026414415509613</v>
      </c>
      <c r="BS485" s="39">
        <f t="shared" si="523"/>
        <v>0</v>
      </c>
      <c r="BT485" s="39">
        <f t="shared" si="524"/>
        <v>0</v>
      </c>
      <c r="BU485" s="39">
        <f t="shared" si="525"/>
        <v>0.29708841565380056</v>
      </c>
      <c r="BV485" s="39">
        <f t="shared" si="526"/>
        <v>1.1794343907759981</v>
      </c>
      <c r="BW485" s="39">
        <f t="shared" si="527"/>
        <v>2.032575929397376</v>
      </c>
      <c r="BX485" s="39">
        <f t="shared" si="528"/>
        <v>1.8466178596492426</v>
      </c>
      <c r="BY485" s="39">
        <f t="shared" si="529"/>
        <v>0</v>
      </c>
      <c r="BZ485" s="39">
        <f t="shared" si="530"/>
        <v>0</v>
      </c>
      <c r="CA485" s="39">
        <f t="shared" si="531"/>
        <v>59.292175014410638</v>
      </c>
      <c r="CB485" s="39">
        <f t="shared" si="532"/>
        <v>65.766852797533289</v>
      </c>
      <c r="CC485" s="39">
        <f t="shared" si="533"/>
        <v>64.198058943769183</v>
      </c>
      <c r="CD485" s="39">
        <f t="shared" si="534"/>
        <v>88.083378009504486</v>
      </c>
      <c r="CE485" s="39">
        <f t="shared" si="535"/>
        <v>86.534485010374226</v>
      </c>
      <c r="CF485" s="39">
        <f t="shared" si="536"/>
        <v>78.263654502496891</v>
      </c>
      <c r="CG485" s="39">
        <f t="shared" si="537"/>
        <v>75.917613981607317</v>
      </c>
      <c r="CH485" s="39">
        <f t="shared" si="538"/>
        <v>58.026414415509613</v>
      </c>
      <c r="CI485" s="39">
        <f t="shared" si="539"/>
        <v>0</v>
      </c>
      <c r="CJ485" s="39">
        <f t="shared" si="540"/>
        <v>0</v>
      </c>
      <c r="CK485" s="39">
        <f t="shared" si="541"/>
        <v>0</v>
      </c>
      <c r="CL485" s="39">
        <f t="shared" si="542"/>
        <v>0</v>
      </c>
      <c r="CM485" s="39">
        <f t="shared" si="543"/>
        <v>0</v>
      </c>
      <c r="CN485" s="39">
        <f t="shared" si="544"/>
        <v>0</v>
      </c>
      <c r="CO485" s="39">
        <f t="shared" si="545"/>
        <v>0</v>
      </c>
      <c r="CP485" s="39">
        <f t="shared" si="546"/>
        <v>0</v>
      </c>
    </row>
    <row r="486" spans="12:94" ht="16" customHeight="1" x14ac:dyDescent="0.2">
      <c r="L486" s="63">
        <v>30798</v>
      </c>
      <c r="M486" s="38">
        <v>0</v>
      </c>
      <c r="N486" s="38">
        <v>2.5</v>
      </c>
      <c r="O486" s="39">
        <v>2.3664000000000001</v>
      </c>
      <c r="P486" s="39">
        <v>1.1000000000000001</v>
      </c>
      <c r="Q486" s="46">
        <f t="shared" si="477"/>
        <v>9.0623969565383836E-2</v>
      </c>
      <c r="R486" s="81">
        <f t="shared" si="478"/>
        <v>0</v>
      </c>
      <c r="S486" s="82">
        <f t="shared" si="479"/>
        <v>0</v>
      </c>
      <c r="T486" s="39">
        <f t="shared" si="480"/>
        <v>0</v>
      </c>
      <c r="U486" s="83">
        <f t="shared" si="481"/>
        <v>2.75</v>
      </c>
      <c r="V486" s="84">
        <f t="shared" si="482"/>
        <v>0</v>
      </c>
      <c r="W486" s="52">
        <f t="shared" si="483"/>
        <v>128.34046476521758</v>
      </c>
      <c r="X486" s="52">
        <f t="shared" si="484"/>
        <v>157.74216790998804</v>
      </c>
      <c r="Y486" s="52">
        <f t="shared" si="485"/>
        <v>286.08263267520562</v>
      </c>
      <c r="Z486" s="53">
        <f t="shared" si="486"/>
        <v>1.0026598809782623</v>
      </c>
      <c r="AA486" s="53">
        <f t="shared" si="487"/>
        <v>0.93894147565469077</v>
      </c>
      <c r="AB486" s="53">
        <f t="shared" si="488"/>
        <v>0.96649538065947849</v>
      </c>
      <c r="AC486" s="39" t="str">
        <f t="shared" si="489"/>
        <v>No</v>
      </c>
      <c r="AD486" s="85">
        <f t="shared" si="490"/>
        <v>0</v>
      </c>
      <c r="AE486" s="46">
        <f t="shared" si="491"/>
        <v>0</v>
      </c>
      <c r="AF486" s="46">
        <f t="shared" si="492"/>
        <v>2.1257999999999999</v>
      </c>
      <c r="AG486" s="39">
        <f t="shared" si="547"/>
        <v>59.292175014410638</v>
      </c>
      <c r="AH486" s="39">
        <f t="shared" si="548"/>
        <v>65.766852797533289</v>
      </c>
      <c r="AI486" s="39">
        <f t="shared" si="549"/>
        <v>64.198058943769183</v>
      </c>
      <c r="AJ486" s="39">
        <f t="shared" si="550"/>
        <v>88.083378009504486</v>
      </c>
      <c r="AK486" s="39">
        <f t="shared" si="551"/>
        <v>86.534485010374226</v>
      </c>
      <c r="AL486" s="39">
        <f t="shared" si="552"/>
        <v>78.263654502496891</v>
      </c>
      <c r="AM486" s="39">
        <f t="shared" si="553"/>
        <v>75.917613981607317</v>
      </c>
      <c r="AN486" s="39">
        <f t="shared" si="554"/>
        <v>58.026414415509613</v>
      </c>
      <c r="AO486" s="39">
        <f t="shared" si="493"/>
        <v>2.9292175014410642</v>
      </c>
      <c r="AP486" s="39">
        <f t="shared" si="494"/>
        <v>2.776685279753329</v>
      </c>
      <c r="AQ486" s="39">
        <f t="shared" si="495"/>
        <v>2.8198058943769198</v>
      </c>
      <c r="AR486" s="39">
        <f t="shared" si="496"/>
        <v>4.308337800950448</v>
      </c>
      <c r="AS486" s="39">
        <f t="shared" si="497"/>
        <v>4.4534485010374238</v>
      </c>
      <c r="AT486" s="39">
        <f t="shared" si="498"/>
        <v>4.5263654502496884</v>
      </c>
      <c r="AU486" s="39">
        <f t="shared" si="499"/>
        <v>4.2917613981607312</v>
      </c>
      <c r="AV486" s="39">
        <f t="shared" si="500"/>
        <v>2.5026414415509608</v>
      </c>
      <c r="AW486" s="39">
        <f t="shared" si="501"/>
        <v>28.608263267520563</v>
      </c>
      <c r="AX486" s="39">
        <f t="shared" si="502"/>
        <v>2.75</v>
      </c>
      <c r="AY486" s="39">
        <f t="shared" si="503"/>
        <v>2.75</v>
      </c>
      <c r="AZ486" s="39">
        <f t="shared" si="504"/>
        <v>0.28157417504292537</v>
      </c>
      <c r="BA486" s="39">
        <f t="shared" si="505"/>
        <v>0.26691185158348296</v>
      </c>
      <c r="BB486" s="39">
        <f t="shared" si="506"/>
        <v>0.27105686692768605</v>
      </c>
      <c r="BC486" s="39">
        <f t="shared" si="507"/>
        <v>0.4141435934723407</v>
      </c>
      <c r="BD486" s="39">
        <f t="shared" si="508"/>
        <v>0.42809251520546232</v>
      </c>
      <c r="BE486" s="39">
        <f t="shared" si="509"/>
        <v>0.4351017351800765</v>
      </c>
      <c r="BF486" s="39">
        <f t="shared" si="510"/>
        <v>0.41255016896958607</v>
      </c>
      <c r="BG486" s="39">
        <f t="shared" si="511"/>
        <v>0.24056909361844034</v>
      </c>
      <c r="BH486" s="84">
        <f t="shared" si="512"/>
        <v>0</v>
      </c>
      <c r="BI486" s="84">
        <f t="shared" si="513"/>
        <v>0</v>
      </c>
      <c r="BJ486" s="84">
        <f t="shared" si="514"/>
        <v>0</v>
      </c>
      <c r="BK486" s="39">
        <f t="shared" si="515"/>
        <v>59.010600839367712</v>
      </c>
      <c r="BL486" s="39">
        <f t="shared" si="516"/>
        <v>65.499940945949803</v>
      </c>
      <c r="BM486" s="39">
        <f t="shared" si="517"/>
        <v>63.927002076841497</v>
      </c>
      <c r="BN486" s="39">
        <f t="shared" si="518"/>
        <v>87.66923441603214</v>
      </c>
      <c r="BO486" s="39">
        <f t="shared" si="519"/>
        <v>86.106392495168762</v>
      </c>
      <c r="BP486" s="39">
        <f t="shared" si="520"/>
        <v>77.828552767316808</v>
      </c>
      <c r="BQ486" s="39">
        <f t="shared" si="521"/>
        <v>75.505063812637729</v>
      </c>
      <c r="BR486" s="39">
        <f t="shared" si="522"/>
        <v>57.785845321891173</v>
      </c>
      <c r="BS486" s="39">
        <f t="shared" si="523"/>
        <v>0</v>
      </c>
      <c r="BT486" s="39">
        <f t="shared" si="524"/>
        <v>0</v>
      </c>
      <c r="BU486" s="39">
        <f t="shared" si="525"/>
        <v>0</v>
      </c>
      <c r="BV486" s="39">
        <f t="shared" si="526"/>
        <v>0.40154064961927532</v>
      </c>
      <c r="BW486" s="39">
        <f t="shared" si="527"/>
        <v>1.263835497101266</v>
      </c>
      <c r="BX486" s="39">
        <f t="shared" si="528"/>
        <v>1.6971316603900759</v>
      </c>
      <c r="BY486" s="39">
        <f t="shared" si="529"/>
        <v>0.30303828758262907</v>
      </c>
      <c r="BZ486" s="39">
        <f t="shared" si="530"/>
        <v>0</v>
      </c>
      <c r="CA486" s="39">
        <f t="shared" si="531"/>
        <v>59.010600839367712</v>
      </c>
      <c r="CB486" s="39">
        <f t="shared" si="532"/>
        <v>65.499940945949803</v>
      </c>
      <c r="CC486" s="39">
        <f t="shared" si="533"/>
        <v>63.927002076841497</v>
      </c>
      <c r="CD486" s="39">
        <f t="shared" si="534"/>
        <v>87.267693766412862</v>
      </c>
      <c r="CE486" s="39">
        <f t="shared" si="535"/>
        <v>85.244097647686772</v>
      </c>
      <c r="CF486" s="39">
        <f t="shared" si="536"/>
        <v>77.395256604028006</v>
      </c>
      <c r="CG486" s="39">
        <f t="shared" si="537"/>
        <v>76.899157185445176</v>
      </c>
      <c r="CH486" s="39">
        <f t="shared" si="538"/>
        <v>58.088883609473804</v>
      </c>
      <c r="CI486" s="39">
        <f t="shared" si="539"/>
        <v>0</v>
      </c>
      <c r="CJ486" s="39">
        <f t="shared" si="540"/>
        <v>0</v>
      </c>
      <c r="CK486" s="39">
        <f t="shared" si="541"/>
        <v>0</v>
      </c>
      <c r="CL486" s="39">
        <f t="shared" si="542"/>
        <v>0</v>
      </c>
      <c r="CM486" s="39">
        <f t="shared" si="543"/>
        <v>0</v>
      </c>
      <c r="CN486" s="39">
        <f t="shared" si="544"/>
        <v>0</v>
      </c>
      <c r="CO486" s="39">
        <f t="shared" si="545"/>
        <v>0</v>
      </c>
      <c r="CP486" s="39">
        <f t="shared" si="546"/>
        <v>0</v>
      </c>
    </row>
    <row r="487" spans="12:94" ht="16" customHeight="1" x14ac:dyDescent="0.2">
      <c r="L487" s="63">
        <v>30799</v>
      </c>
      <c r="M487" s="38">
        <v>0</v>
      </c>
      <c r="N487" s="38">
        <v>1.8</v>
      </c>
      <c r="O487" s="39">
        <v>2.3664000000000001</v>
      </c>
      <c r="P487" s="39">
        <v>1.1000000000000001</v>
      </c>
      <c r="Q487" s="46">
        <f t="shared" si="477"/>
        <v>9.1194728028308691E-2</v>
      </c>
      <c r="R487" s="81">
        <f t="shared" si="478"/>
        <v>0</v>
      </c>
      <c r="S487" s="82">
        <f t="shared" si="479"/>
        <v>0</v>
      </c>
      <c r="T487" s="39">
        <f t="shared" si="480"/>
        <v>0</v>
      </c>
      <c r="U487" s="83">
        <f t="shared" si="481"/>
        <v>1.9800000000000002</v>
      </c>
      <c r="V487" s="84">
        <f t="shared" si="482"/>
        <v>0</v>
      </c>
      <c r="W487" s="52">
        <f t="shared" si="483"/>
        <v>126.70523762857187</v>
      </c>
      <c r="X487" s="52">
        <f t="shared" si="484"/>
        <v>156.62739504663375</v>
      </c>
      <c r="Y487" s="52">
        <f t="shared" si="485"/>
        <v>283.33263267520562</v>
      </c>
      <c r="Z487" s="53">
        <f t="shared" si="486"/>
        <v>0.9898846689732177</v>
      </c>
      <c r="AA487" s="53">
        <f t="shared" si="487"/>
        <v>0.9323059228966295</v>
      </c>
      <c r="AB487" s="53">
        <f t="shared" si="488"/>
        <v>0.95720484011893792</v>
      </c>
      <c r="AC487" s="39" t="str">
        <f t="shared" si="489"/>
        <v>No</v>
      </c>
      <c r="AD487" s="85">
        <f t="shared" si="490"/>
        <v>0</v>
      </c>
      <c r="AE487" s="46">
        <f t="shared" si="491"/>
        <v>0</v>
      </c>
      <c r="AF487" s="46">
        <f t="shared" si="492"/>
        <v>2.1257999999999999</v>
      </c>
      <c r="AG487" s="39">
        <f t="shared" si="547"/>
        <v>59.010600839367712</v>
      </c>
      <c r="AH487" s="39">
        <f t="shared" si="548"/>
        <v>65.499940945949803</v>
      </c>
      <c r="AI487" s="39">
        <f t="shared" si="549"/>
        <v>63.927002076841497</v>
      </c>
      <c r="AJ487" s="39">
        <f t="shared" si="550"/>
        <v>87.267693766412862</v>
      </c>
      <c r="AK487" s="39">
        <f t="shared" si="551"/>
        <v>85.244097647686772</v>
      </c>
      <c r="AL487" s="39">
        <f t="shared" si="552"/>
        <v>77.395256604028006</v>
      </c>
      <c r="AM487" s="39">
        <f t="shared" si="553"/>
        <v>76.899157185445176</v>
      </c>
      <c r="AN487" s="39">
        <f t="shared" si="554"/>
        <v>58.088883609473804</v>
      </c>
      <c r="AO487" s="39">
        <f t="shared" si="493"/>
        <v>2.9010600839367715</v>
      </c>
      <c r="AP487" s="39">
        <f t="shared" si="494"/>
        <v>2.7499940945949803</v>
      </c>
      <c r="AQ487" s="39">
        <f t="shared" si="495"/>
        <v>2.7927002076841512</v>
      </c>
      <c r="AR487" s="39">
        <f t="shared" si="496"/>
        <v>4.2267693766412853</v>
      </c>
      <c r="AS487" s="39">
        <f t="shared" si="497"/>
        <v>4.3244097647686779</v>
      </c>
      <c r="AT487" s="39">
        <f t="shared" si="498"/>
        <v>4.4395256604027997</v>
      </c>
      <c r="AU487" s="39">
        <f t="shared" si="499"/>
        <v>4.3899157185445175</v>
      </c>
      <c r="AV487" s="39">
        <f t="shared" si="500"/>
        <v>2.5088883609473798</v>
      </c>
      <c r="AW487" s="39">
        <f t="shared" si="501"/>
        <v>28.333263267520564</v>
      </c>
      <c r="AX487" s="39">
        <f t="shared" si="502"/>
        <v>1.9800000000000002</v>
      </c>
      <c r="AY487" s="39">
        <f t="shared" si="503"/>
        <v>1.9800000000000002</v>
      </c>
      <c r="AZ487" s="39">
        <f t="shared" si="504"/>
        <v>0.20273340603090625</v>
      </c>
      <c r="BA487" s="39">
        <f t="shared" si="505"/>
        <v>0.19217653314010769</v>
      </c>
      <c r="BB487" s="39">
        <f t="shared" si="506"/>
        <v>0.19516094418793395</v>
      </c>
      <c r="BC487" s="39">
        <f t="shared" si="507"/>
        <v>0.2953773198212376</v>
      </c>
      <c r="BD487" s="39">
        <f t="shared" si="508"/>
        <v>0.30220067675922418</v>
      </c>
      <c r="BE487" s="39">
        <f t="shared" si="509"/>
        <v>0.31024526630062182</v>
      </c>
      <c r="BF487" s="39">
        <f t="shared" si="510"/>
        <v>0.30677839826103387</v>
      </c>
      <c r="BG487" s="39">
        <f t="shared" si="511"/>
        <v>0.17532745549893466</v>
      </c>
      <c r="BH487" s="84">
        <f t="shared" si="512"/>
        <v>0</v>
      </c>
      <c r="BI487" s="84">
        <f t="shared" si="513"/>
        <v>0</v>
      </c>
      <c r="BJ487" s="84">
        <f t="shared" si="514"/>
        <v>0</v>
      </c>
      <c r="BK487" s="39">
        <f t="shared" si="515"/>
        <v>58.807867433336803</v>
      </c>
      <c r="BL487" s="39">
        <f t="shared" si="516"/>
        <v>65.307764412809689</v>
      </c>
      <c r="BM487" s="39">
        <f t="shared" si="517"/>
        <v>63.731841132653564</v>
      </c>
      <c r="BN487" s="39">
        <f t="shared" si="518"/>
        <v>86.97231644659162</v>
      </c>
      <c r="BO487" s="39">
        <f t="shared" si="519"/>
        <v>84.941896970927544</v>
      </c>
      <c r="BP487" s="39">
        <f t="shared" si="520"/>
        <v>77.08501133772738</v>
      </c>
      <c r="BQ487" s="39">
        <f t="shared" si="521"/>
        <v>76.592378787184145</v>
      </c>
      <c r="BR487" s="39">
        <f t="shared" si="522"/>
        <v>57.913556153974866</v>
      </c>
      <c r="BS487" s="39">
        <f t="shared" si="523"/>
        <v>0</v>
      </c>
      <c r="BT487" s="39">
        <f t="shared" si="524"/>
        <v>0</v>
      </c>
      <c r="BU487" s="39">
        <f t="shared" si="525"/>
        <v>0</v>
      </c>
      <c r="BV487" s="39">
        <f t="shared" si="526"/>
        <v>0</v>
      </c>
      <c r="BW487" s="39">
        <f t="shared" si="527"/>
        <v>0.56513818255653514</v>
      </c>
      <c r="BX487" s="39">
        <f t="shared" si="528"/>
        <v>1.2510068026364194</v>
      </c>
      <c r="BY487" s="39">
        <f t="shared" si="529"/>
        <v>0.95542727231047875</v>
      </c>
      <c r="BZ487" s="39">
        <f t="shared" si="530"/>
        <v>0</v>
      </c>
      <c r="CA487" s="39">
        <f t="shared" si="531"/>
        <v>58.807867433336803</v>
      </c>
      <c r="CB487" s="39">
        <f t="shared" si="532"/>
        <v>65.307764412809689</v>
      </c>
      <c r="CC487" s="39">
        <f t="shared" si="533"/>
        <v>63.731841132653564</v>
      </c>
      <c r="CD487" s="39">
        <f t="shared" si="534"/>
        <v>86.97231644659162</v>
      </c>
      <c r="CE487" s="39">
        <f t="shared" si="535"/>
        <v>84.376758788371006</v>
      </c>
      <c r="CF487" s="39">
        <f t="shared" si="536"/>
        <v>76.399142717647493</v>
      </c>
      <c r="CG487" s="39">
        <f t="shared" si="537"/>
        <v>76.887958317510098</v>
      </c>
      <c r="CH487" s="39">
        <f t="shared" si="538"/>
        <v>58.868983426285347</v>
      </c>
      <c r="CI487" s="39">
        <f t="shared" si="539"/>
        <v>0</v>
      </c>
      <c r="CJ487" s="39">
        <f t="shared" si="540"/>
        <v>0</v>
      </c>
      <c r="CK487" s="39">
        <f t="shared" si="541"/>
        <v>0</v>
      </c>
      <c r="CL487" s="39">
        <f t="shared" si="542"/>
        <v>0</v>
      </c>
      <c r="CM487" s="39">
        <f t="shared" si="543"/>
        <v>0</v>
      </c>
      <c r="CN487" s="39">
        <f t="shared" si="544"/>
        <v>0</v>
      </c>
      <c r="CO487" s="39">
        <f t="shared" si="545"/>
        <v>0</v>
      </c>
      <c r="CP487" s="39">
        <f t="shared" si="546"/>
        <v>0</v>
      </c>
    </row>
    <row r="488" spans="12:94" ht="16" customHeight="1" x14ac:dyDescent="0.2">
      <c r="L488" s="63">
        <v>30800</v>
      </c>
      <c r="M488" s="38">
        <v>0</v>
      </c>
      <c r="N488" s="38">
        <v>1.7</v>
      </c>
      <c r="O488" s="39">
        <v>2.3664000000000001</v>
      </c>
      <c r="P488" s="39">
        <v>1.1000000000000001</v>
      </c>
      <c r="Q488" s="46">
        <f t="shared" si="477"/>
        <v>9.1605674121614591E-2</v>
      </c>
      <c r="R488" s="81">
        <f t="shared" si="478"/>
        <v>0</v>
      </c>
      <c r="S488" s="82">
        <f t="shared" si="479"/>
        <v>0</v>
      </c>
      <c r="T488" s="39">
        <f t="shared" si="480"/>
        <v>0</v>
      </c>
      <c r="U488" s="83">
        <f t="shared" si="481"/>
        <v>1.87</v>
      </c>
      <c r="V488" s="84">
        <f t="shared" si="482"/>
        <v>0</v>
      </c>
      <c r="W488" s="52">
        <f t="shared" si="483"/>
        <v>125.81978942539166</v>
      </c>
      <c r="X488" s="52">
        <f t="shared" si="484"/>
        <v>155.53284324981394</v>
      </c>
      <c r="Y488" s="52">
        <f t="shared" si="485"/>
        <v>281.3526326752056</v>
      </c>
      <c r="Z488" s="53">
        <f t="shared" si="486"/>
        <v>0.98296710488587236</v>
      </c>
      <c r="AA488" s="53">
        <f t="shared" si="487"/>
        <v>0.92579073362984488</v>
      </c>
      <c r="AB488" s="53">
        <f t="shared" si="488"/>
        <v>0.95051565092974866</v>
      </c>
      <c r="AC488" s="39" t="str">
        <f t="shared" si="489"/>
        <v>No</v>
      </c>
      <c r="AD488" s="85">
        <f t="shared" si="490"/>
        <v>0</v>
      </c>
      <c r="AE488" s="46">
        <f t="shared" si="491"/>
        <v>0</v>
      </c>
      <c r="AF488" s="46">
        <f t="shared" si="492"/>
        <v>2.1257999999999999</v>
      </c>
      <c r="AG488" s="39">
        <f t="shared" si="547"/>
        <v>58.807867433336803</v>
      </c>
      <c r="AH488" s="39">
        <f t="shared" si="548"/>
        <v>65.307764412809689</v>
      </c>
      <c r="AI488" s="39">
        <f t="shared" si="549"/>
        <v>63.731841132653564</v>
      </c>
      <c r="AJ488" s="39">
        <f t="shared" si="550"/>
        <v>86.97231644659162</v>
      </c>
      <c r="AK488" s="39">
        <f t="shared" si="551"/>
        <v>84.376758788371006</v>
      </c>
      <c r="AL488" s="39">
        <f t="shared" si="552"/>
        <v>76.399142717647493</v>
      </c>
      <c r="AM488" s="39">
        <f t="shared" si="553"/>
        <v>76.887958317510098</v>
      </c>
      <c r="AN488" s="39">
        <f t="shared" si="554"/>
        <v>58.868983426285347</v>
      </c>
      <c r="AO488" s="39">
        <f t="shared" si="493"/>
        <v>2.8807867433336805</v>
      </c>
      <c r="AP488" s="39">
        <f t="shared" si="494"/>
        <v>2.7307764412809692</v>
      </c>
      <c r="AQ488" s="39">
        <f t="shared" si="495"/>
        <v>2.7731841132653581</v>
      </c>
      <c r="AR488" s="39">
        <f t="shared" si="496"/>
        <v>4.1972316446591611</v>
      </c>
      <c r="AS488" s="39">
        <f t="shared" si="497"/>
        <v>4.2376758788371012</v>
      </c>
      <c r="AT488" s="39">
        <f t="shared" si="498"/>
        <v>4.3399142717647488</v>
      </c>
      <c r="AU488" s="39">
        <f t="shared" si="499"/>
        <v>4.3887958317510094</v>
      </c>
      <c r="AV488" s="39">
        <f t="shared" si="500"/>
        <v>2.5868983426285341</v>
      </c>
      <c r="AW488" s="39">
        <f t="shared" si="501"/>
        <v>28.135263267520561</v>
      </c>
      <c r="AX488" s="39">
        <f t="shared" si="502"/>
        <v>1.87</v>
      </c>
      <c r="AY488" s="39">
        <f t="shared" si="503"/>
        <v>1.87</v>
      </c>
      <c r="AZ488" s="39">
        <f t="shared" si="504"/>
        <v>0.19147043902918923</v>
      </c>
      <c r="BA488" s="39">
        <f t="shared" si="505"/>
        <v>0.18150005907676836</v>
      </c>
      <c r="BB488" s="39">
        <f t="shared" si="506"/>
        <v>0.18431866951082654</v>
      </c>
      <c r="BC488" s="39">
        <f t="shared" si="507"/>
        <v>0.27896746872005779</v>
      </c>
      <c r="BD488" s="39">
        <f t="shared" si="508"/>
        <v>0.28165557997722368</v>
      </c>
      <c r="BE488" s="39">
        <f t="shared" si="509"/>
        <v>0.28845081743268425</v>
      </c>
      <c r="BF488" s="39">
        <f t="shared" si="510"/>
        <v>0.29169971246896531</v>
      </c>
      <c r="BG488" s="39">
        <f t="shared" si="511"/>
        <v>0.17193725378428518</v>
      </c>
      <c r="BH488" s="84">
        <f t="shared" si="512"/>
        <v>0</v>
      </c>
      <c r="BI488" s="84">
        <f t="shared" si="513"/>
        <v>0</v>
      </c>
      <c r="BJ488" s="84">
        <f t="shared" si="514"/>
        <v>0</v>
      </c>
      <c r="BK488" s="39">
        <f t="shared" si="515"/>
        <v>58.616396994307614</v>
      </c>
      <c r="BL488" s="39">
        <f t="shared" si="516"/>
        <v>65.126264353732921</v>
      </c>
      <c r="BM488" s="39">
        <f t="shared" si="517"/>
        <v>63.547522463142741</v>
      </c>
      <c r="BN488" s="39">
        <f t="shared" si="518"/>
        <v>86.693348977871565</v>
      </c>
      <c r="BO488" s="39">
        <f t="shared" si="519"/>
        <v>84.09510320839378</v>
      </c>
      <c r="BP488" s="39">
        <f t="shared" si="520"/>
        <v>76.110691900214803</v>
      </c>
      <c r="BQ488" s="39">
        <f t="shared" si="521"/>
        <v>76.596258605041129</v>
      </c>
      <c r="BR488" s="39">
        <f t="shared" si="522"/>
        <v>58.697046172501061</v>
      </c>
      <c r="BS488" s="39">
        <f t="shared" si="523"/>
        <v>0</v>
      </c>
      <c r="BT488" s="39">
        <f t="shared" si="524"/>
        <v>0</v>
      </c>
      <c r="BU488" s="39">
        <f t="shared" si="525"/>
        <v>0</v>
      </c>
      <c r="BV488" s="39">
        <f t="shared" si="526"/>
        <v>0</v>
      </c>
      <c r="BW488" s="39">
        <f t="shared" si="527"/>
        <v>5.7061925036276759E-2</v>
      </c>
      <c r="BX488" s="39">
        <f t="shared" si="528"/>
        <v>0.66641514012887337</v>
      </c>
      <c r="BY488" s="39">
        <f t="shared" si="529"/>
        <v>0.95775516302466879</v>
      </c>
      <c r="BZ488" s="39">
        <f t="shared" si="530"/>
        <v>0</v>
      </c>
      <c r="CA488" s="39">
        <f t="shared" si="531"/>
        <v>58.616396994307614</v>
      </c>
      <c r="CB488" s="39">
        <f t="shared" si="532"/>
        <v>65.126264353732921</v>
      </c>
      <c r="CC488" s="39">
        <f t="shared" si="533"/>
        <v>63.547522463142741</v>
      </c>
      <c r="CD488" s="39">
        <f t="shared" si="534"/>
        <v>86.693348977871565</v>
      </c>
      <c r="CE488" s="39">
        <f t="shared" si="535"/>
        <v>84.038041283357501</v>
      </c>
      <c r="CF488" s="39">
        <f t="shared" si="536"/>
        <v>75.501338685122207</v>
      </c>
      <c r="CG488" s="39">
        <f t="shared" si="537"/>
        <v>76.304918582145334</v>
      </c>
      <c r="CH488" s="39">
        <f t="shared" si="538"/>
        <v>59.654801335525732</v>
      </c>
      <c r="CI488" s="39">
        <f t="shared" si="539"/>
        <v>0</v>
      </c>
      <c r="CJ488" s="39">
        <f t="shared" si="540"/>
        <v>0</v>
      </c>
      <c r="CK488" s="39">
        <f t="shared" si="541"/>
        <v>0</v>
      </c>
      <c r="CL488" s="39">
        <f t="shared" si="542"/>
        <v>0</v>
      </c>
      <c r="CM488" s="39">
        <f t="shared" si="543"/>
        <v>0</v>
      </c>
      <c r="CN488" s="39">
        <f t="shared" si="544"/>
        <v>0</v>
      </c>
      <c r="CO488" s="39">
        <f t="shared" si="545"/>
        <v>0</v>
      </c>
      <c r="CP488" s="39">
        <f t="shared" si="546"/>
        <v>0</v>
      </c>
    </row>
    <row r="489" spans="12:94" ht="16" customHeight="1" x14ac:dyDescent="0.2">
      <c r="L489" s="63">
        <v>30801</v>
      </c>
      <c r="M489" s="38">
        <v>0</v>
      </c>
      <c r="N489" s="38">
        <v>2</v>
      </c>
      <c r="O489" s="39">
        <v>2.3664000000000001</v>
      </c>
      <c r="P489" s="39">
        <v>1.1000000000000001</v>
      </c>
      <c r="Q489" s="46">
        <f t="shared" si="477"/>
        <v>9.1993789876403484E-2</v>
      </c>
      <c r="R489" s="81">
        <f t="shared" si="478"/>
        <v>0</v>
      </c>
      <c r="S489" s="82">
        <f t="shared" si="479"/>
        <v>0</v>
      </c>
      <c r="T489" s="39">
        <f t="shared" si="480"/>
        <v>0</v>
      </c>
      <c r="U489" s="83">
        <f t="shared" si="481"/>
        <v>2.2000000000000002</v>
      </c>
      <c r="V489" s="84">
        <f t="shared" si="482"/>
        <v>0</v>
      </c>
      <c r="W489" s="52">
        <f t="shared" si="483"/>
        <v>124.98353278905483</v>
      </c>
      <c r="X489" s="52">
        <f t="shared" si="484"/>
        <v>154.49909988615076</v>
      </c>
      <c r="Y489" s="52">
        <f t="shared" si="485"/>
        <v>279.48263267520559</v>
      </c>
      <c r="Z489" s="53">
        <f t="shared" si="486"/>
        <v>0.97643384991449089</v>
      </c>
      <c r="AA489" s="53">
        <f t="shared" si="487"/>
        <v>0.91963749932232597</v>
      </c>
      <c r="AB489" s="53">
        <f t="shared" si="488"/>
        <v>0.94419808336218103</v>
      </c>
      <c r="AC489" s="39" t="str">
        <f t="shared" si="489"/>
        <v>No</v>
      </c>
      <c r="AD489" s="85">
        <f t="shared" si="490"/>
        <v>0</v>
      </c>
      <c r="AE489" s="46">
        <f t="shared" si="491"/>
        <v>0</v>
      </c>
      <c r="AF489" s="46">
        <f t="shared" si="492"/>
        <v>2.1257999999999999</v>
      </c>
      <c r="AG489" s="39">
        <f t="shared" si="547"/>
        <v>58.616396994307614</v>
      </c>
      <c r="AH489" s="39">
        <f t="shared" si="548"/>
        <v>65.126264353732921</v>
      </c>
      <c r="AI489" s="39">
        <f t="shared" si="549"/>
        <v>63.547522463142741</v>
      </c>
      <c r="AJ489" s="39">
        <f t="shared" si="550"/>
        <v>86.693348977871565</v>
      </c>
      <c r="AK489" s="39">
        <f t="shared" si="551"/>
        <v>84.038041283357501</v>
      </c>
      <c r="AL489" s="39">
        <f t="shared" si="552"/>
        <v>75.501338685122207</v>
      </c>
      <c r="AM489" s="39">
        <f t="shared" si="553"/>
        <v>76.304918582145334</v>
      </c>
      <c r="AN489" s="39">
        <f t="shared" si="554"/>
        <v>59.654801335525732</v>
      </c>
      <c r="AO489" s="39">
        <f t="shared" si="493"/>
        <v>2.8616396994307616</v>
      </c>
      <c r="AP489" s="39">
        <f t="shared" si="494"/>
        <v>2.7126264353732923</v>
      </c>
      <c r="AQ489" s="39">
        <f t="shared" si="495"/>
        <v>2.7547522463142755</v>
      </c>
      <c r="AR489" s="39">
        <f t="shared" si="496"/>
        <v>4.1693348977871558</v>
      </c>
      <c r="AS489" s="39">
        <f t="shared" si="497"/>
        <v>4.2038041283357508</v>
      </c>
      <c r="AT489" s="39">
        <f t="shared" si="498"/>
        <v>4.2501338685122203</v>
      </c>
      <c r="AU489" s="39">
        <f t="shared" si="499"/>
        <v>4.3304918582145326</v>
      </c>
      <c r="AV489" s="39">
        <f t="shared" si="500"/>
        <v>2.6654801335525726</v>
      </c>
      <c r="AW489" s="39">
        <f t="shared" si="501"/>
        <v>27.948263267520566</v>
      </c>
      <c r="AX489" s="39">
        <f t="shared" si="502"/>
        <v>2.2000000000000002</v>
      </c>
      <c r="AY489" s="39">
        <f t="shared" si="503"/>
        <v>2.2000000000000002</v>
      </c>
      <c r="AZ489" s="39">
        <f t="shared" si="504"/>
        <v>0.22525934003434023</v>
      </c>
      <c r="BA489" s="39">
        <f t="shared" si="505"/>
        <v>0.21352948126678628</v>
      </c>
      <c r="BB489" s="39">
        <f t="shared" si="506"/>
        <v>0.21684549354214883</v>
      </c>
      <c r="BC489" s="39">
        <f t="shared" si="507"/>
        <v>0.3281970220235973</v>
      </c>
      <c r="BD489" s="39">
        <f t="shared" si="508"/>
        <v>0.3309103322025177</v>
      </c>
      <c r="BE489" s="39">
        <f t="shared" si="509"/>
        <v>0.33455726465812691</v>
      </c>
      <c r="BF489" s="39">
        <f t="shared" si="510"/>
        <v>0.34088279464376064</v>
      </c>
      <c r="BG489" s="39">
        <f t="shared" si="511"/>
        <v>0.20981827162872188</v>
      </c>
      <c r="BH489" s="84">
        <f t="shared" si="512"/>
        <v>0</v>
      </c>
      <c r="BI489" s="84">
        <f t="shared" si="513"/>
        <v>0</v>
      </c>
      <c r="BJ489" s="84">
        <f t="shared" si="514"/>
        <v>0</v>
      </c>
      <c r="BK489" s="39">
        <f t="shared" si="515"/>
        <v>58.391137654273273</v>
      </c>
      <c r="BL489" s="39">
        <f t="shared" si="516"/>
        <v>64.912734872466132</v>
      </c>
      <c r="BM489" s="39">
        <f t="shared" si="517"/>
        <v>63.330676969600589</v>
      </c>
      <c r="BN489" s="39">
        <f t="shared" si="518"/>
        <v>86.365151955847963</v>
      </c>
      <c r="BO489" s="39">
        <f t="shared" si="519"/>
        <v>83.70713095115498</v>
      </c>
      <c r="BP489" s="39">
        <f t="shared" si="520"/>
        <v>75.166781420464076</v>
      </c>
      <c r="BQ489" s="39">
        <f t="shared" si="521"/>
        <v>75.964035787501572</v>
      </c>
      <c r="BR489" s="39">
        <f t="shared" si="522"/>
        <v>59.444983063897013</v>
      </c>
      <c r="BS489" s="39">
        <f t="shared" si="523"/>
        <v>0</v>
      </c>
      <c r="BT489" s="39">
        <f t="shared" si="524"/>
        <v>0</v>
      </c>
      <c r="BU489" s="39">
        <f t="shared" si="525"/>
        <v>0</v>
      </c>
      <c r="BV489" s="39">
        <f t="shared" si="526"/>
        <v>0</v>
      </c>
      <c r="BW489" s="39">
        <f t="shared" si="527"/>
        <v>0</v>
      </c>
      <c r="BX489" s="39">
        <f t="shared" si="528"/>
        <v>0.10006885227843725</v>
      </c>
      <c r="BY489" s="39">
        <f t="shared" si="529"/>
        <v>0.5784214725009349</v>
      </c>
      <c r="BZ489" s="39">
        <f t="shared" si="530"/>
        <v>0</v>
      </c>
      <c r="CA489" s="39">
        <f t="shared" si="531"/>
        <v>58.391137654273273</v>
      </c>
      <c r="CB489" s="39">
        <f t="shared" si="532"/>
        <v>64.912734872466132</v>
      </c>
      <c r="CC489" s="39">
        <f t="shared" si="533"/>
        <v>63.330676969600589</v>
      </c>
      <c r="CD489" s="39">
        <f t="shared" si="534"/>
        <v>86.365151955847963</v>
      </c>
      <c r="CE489" s="39">
        <f t="shared" si="535"/>
        <v>83.70713095115498</v>
      </c>
      <c r="CF489" s="39">
        <f t="shared" si="536"/>
        <v>75.066712568185636</v>
      </c>
      <c r="CG489" s="39">
        <f t="shared" si="537"/>
        <v>75.485683167279078</v>
      </c>
      <c r="CH489" s="39">
        <f t="shared" si="538"/>
        <v>60.023404536397948</v>
      </c>
      <c r="CI489" s="39">
        <f t="shared" si="539"/>
        <v>0</v>
      </c>
      <c r="CJ489" s="39">
        <f t="shared" si="540"/>
        <v>0</v>
      </c>
      <c r="CK489" s="39">
        <f t="shared" si="541"/>
        <v>0</v>
      </c>
      <c r="CL489" s="39">
        <f t="shared" si="542"/>
        <v>0</v>
      </c>
      <c r="CM489" s="39">
        <f t="shared" si="543"/>
        <v>0</v>
      </c>
      <c r="CN489" s="39">
        <f t="shared" si="544"/>
        <v>0</v>
      </c>
      <c r="CO489" s="39">
        <f t="shared" si="545"/>
        <v>0</v>
      </c>
      <c r="CP489" s="39">
        <f t="shared" si="546"/>
        <v>0</v>
      </c>
    </row>
    <row r="490" spans="12:94" ht="16" customHeight="1" x14ac:dyDescent="0.2">
      <c r="L490" s="63">
        <v>30802</v>
      </c>
      <c r="M490" s="38">
        <v>0</v>
      </c>
      <c r="N490" s="38">
        <v>3.3</v>
      </c>
      <c r="O490" s="39">
        <v>2.3664000000000001</v>
      </c>
      <c r="P490" s="39">
        <v>1.1000000000000001</v>
      </c>
      <c r="Q490" s="46">
        <f t="shared" si="477"/>
        <v>9.2450396646743357E-2</v>
      </c>
      <c r="R490" s="81">
        <f t="shared" si="478"/>
        <v>0</v>
      </c>
      <c r="S490" s="82">
        <f t="shared" si="479"/>
        <v>0</v>
      </c>
      <c r="T490" s="39">
        <f t="shared" si="480"/>
        <v>0</v>
      </c>
      <c r="U490" s="83">
        <f t="shared" si="481"/>
        <v>3.63</v>
      </c>
      <c r="V490" s="84">
        <f t="shared" si="482"/>
        <v>0</v>
      </c>
      <c r="W490" s="52">
        <f t="shared" si="483"/>
        <v>123.99970145218799</v>
      </c>
      <c r="X490" s="52">
        <f t="shared" si="484"/>
        <v>153.28293122301767</v>
      </c>
      <c r="Y490" s="52">
        <f t="shared" si="485"/>
        <v>277.28263267520566</v>
      </c>
      <c r="Z490" s="53">
        <f t="shared" si="486"/>
        <v>0.96874766759521869</v>
      </c>
      <c r="AA490" s="53">
        <f t="shared" si="487"/>
        <v>0.9123984001370099</v>
      </c>
      <c r="AB490" s="53">
        <f t="shared" si="488"/>
        <v>0.93676565092974884</v>
      </c>
      <c r="AC490" s="39" t="str">
        <f t="shared" si="489"/>
        <v>No</v>
      </c>
      <c r="AD490" s="85">
        <f t="shared" si="490"/>
        <v>0</v>
      </c>
      <c r="AE490" s="46">
        <f t="shared" si="491"/>
        <v>0</v>
      </c>
      <c r="AF490" s="46">
        <f t="shared" si="492"/>
        <v>2.1257999999999999</v>
      </c>
      <c r="AG490" s="39">
        <f t="shared" si="547"/>
        <v>58.391137654273273</v>
      </c>
      <c r="AH490" s="39">
        <f t="shared" si="548"/>
        <v>64.912734872466132</v>
      </c>
      <c r="AI490" s="39">
        <f t="shared" si="549"/>
        <v>63.330676969600589</v>
      </c>
      <c r="AJ490" s="39">
        <f t="shared" si="550"/>
        <v>86.365151955847963</v>
      </c>
      <c r="AK490" s="39">
        <f t="shared" si="551"/>
        <v>83.70713095115498</v>
      </c>
      <c r="AL490" s="39">
        <f t="shared" si="552"/>
        <v>75.066712568185636</v>
      </c>
      <c r="AM490" s="39">
        <f t="shared" si="553"/>
        <v>75.485683167279078</v>
      </c>
      <c r="AN490" s="39">
        <f t="shared" si="554"/>
        <v>60.023404536397948</v>
      </c>
      <c r="AO490" s="39">
        <f t="shared" si="493"/>
        <v>2.8391137654273275</v>
      </c>
      <c r="AP490" s="39">
        <f t="shared" si="494"/>
        <v>2.6912734872466135</v>
      </c>
      <c r="AQ490" s="39">
        <f t="shared" si="495"/>
        <v>2.7330676969600605</v>
      </c>
      <c r="AR490" s="39">
        <f t="shared" si="496"/>
        <v>4.1365151955847956</v>
      </c>
      <c r="AS490" s="39">
        <f t="shared" si="497"/>
        <v>4.1707130951154987</v>
      </c>
      <c r="AT490" s="39">
        <f t="shared" si="498"/>
        <v>4.2066712568185629</v>
      </c>
      <c r="AU490" s="39">
        <f t="shared" si="499"/>
        <v>4.2485683167279076</v>
      </c>
      <c r="AV490" s="39">
        <f t="shared" si="500"/>
        <v>2.7023404536397941</v>
      </c>
      <c r="AW490" s="39">
        <f t="shared" si="501"/>
        <v>27.728263267520564</v>
      </c>
      <c r="AX490" s="39">
        <f t="shared" si="502"/>
        <v>3.63</v>
      </c>
      <c r="AY490" s="39">
        <f t="shared" si="503"/>
        <v>3.63</v>
      </c>
      <c r="AZ490" s="39">
        <f t="shared" si="504"/>
        <v>0.37167791105666137</v>
      </c>
      <c r="BA490" s="39">
        <f t="shared" si="505"/>
        <v>0.35232364409019734</v>
      </c>
      <c r="BB490" s="39">
        <f t="shared" si="506"/>
        <v>0.35779506434454555</v>
      </c>
      <c r="BC490" s="39">
        <f t="shared" si="507"/>
        <v>0.54152508633893548</v>
      </c>
      <c r="BD490" s="39">
        <f t="shared" si="508"/>
        <v>0.54600204813415409</v>
      </c>
      <c r="BE490" s="39">
        <f t="shared" si="509"/>
        <v>0.55070945175777075</v>
      </c>
      <c r="BF490" s="39">
        <f t="shared" si="510"/>
        <v>0.55619433647642769</v>
      </c>
      <c r="BG490" s="39">
        <f t="shared" si="511"/>
        <v>0.35377245780130712</v>
      </c>
      <c r="BH490" s="84">
        <f t="shared" si="512"/>
        <v>0</v>
      </c>
      <c r="BI490" s="84">
        <f t="shared" si="513"/>
        <v>0</v>
      </c>
      <c r="BJ490" s="84">
        <f t="shared" si="514"/>
        <v>0</v>
      </c>
      <c r="BK490" s="39">
        <f t="shared" si="515"/>
        <v>58.019459743216608</v>
      </c>
      <c r="BL490" s="39">
        <f t="shared" si="516"/>
        <v>64.560411228375941</v>
      </c>
      <c r="BM490" s="39">
        <f t="shared" si="517"/>
        <v>62.972881905256045</v>
      </c>
      <c r="BN490" s="39">
        <f t="shared" si="518"/>
        <v>85.823626869509027</v>
      </c>
      <c r="BO490" s="39">
        <f t="shared" si="519"/>
        <v>83.161128903020824</v>
      </c>
      <c r="BP490" s="39">
        <f t="shared" si="520"/>
        <v>74.516003116427868</v>
      </c>
      <c r="BQ490" s="39">
        <f t="shared" si="521"/>
        <v>74.929488830802654</v>
      </c>
      <c r="BR490" s="39">
        <f t="shared" si="522"/>
        <v>59.669632078596642</v>
      </c>
      <c r="BS490" s="39">
        <f t="shared" si="523"/>
        <v>0</v>
      </c>
      <c r="BT490" s="39">
        <f t="shared" si="524"/>
        <v>0</v>
      </c>
      <c r="BU490" s="39">
        <f t="shared" si="525"/>
        <v>0</v>
      </c>
      <c r="BV490" s="39">
        <f t="shared" si="526"/>
        <v>0</v>
      </c>
      <c r="BW490" s="39">
        <f t="shared" si="527"/>
        <v>0</v>
      </c>
      <c r="BX490" s="39">
        <f t="shared" si="528"/>
        <v>0</v>
      </c>
      <c r="BY490" s="39">
        <f t="shared" si="529"/>
        <v>0</v>
      </c>
      <c r="BZ490" s="39">
        <f t="shared" si="530"/>
        <v>0</v>
      </c>
      <c r="CA490" s="39">
        <f t="shared" si="531"/>
        <v>58.019459743216608</v>
      </c>
      <c r="CB490" s="39">
        <f t="shared" si="532"/>
        <v>64.560411228375941</v>
      </c>
      <c r="CC490" s="39">
        <f t="shared" si="533"/>
        <v>62.972881905256045</v>
      </c>
      <c r="CD490" s="39">
        <f t="shared" si="534"/>
        <v>85.823626869509027</v>
      </c>
      <c r="CE490" s="39">
        <f t="shared" si="535"/>
        <v>83.161128903020824</v>
      </c>
      <c r="CF490" s="39">
        <f t="shared" si="536"/>
        <v>74.516003116427868</v>
      </c>
      <c r="CG490" s="39">
        <f t="shared" si="537"/>
        <v>74.929488830802654</v>
      </c>
      <c r="CH490" s="39">
        <f t="shared" si="538"/>
        <v>59.669632078596642</v>
      </c>
      <c r="CI490" s="39">
        <f t="shared" si="539"/>
        <v>0</v>
      </c>
      <c r="CJ490" s="39">
        <f t="shared" si="540"/>
        <v>0</v>
      </c>
      <c r="CK490" s="39">
        <f t="shared" si="541"/>
        <v>0</v>
      </c>
      <c r="CL490" s="39">
        <f t="shared" si="542"/>
        <v>0</v>
      </c>
      <c r="CM490" s="39">
        <f t="shared" si="543"/>
        <v>0</v>
      </c>
      <c r="CN490" s="39">
        <f t="shared" si="544"/>
        <v>0</v>
      </c>
      <c r="CO490" s="39">
        <f t="shared" si="545"/>
        <v>0</v>
      </c>
      <c r="CP490" s="39">
        <f t="shared" si="546"/>
        <v>0</v>
      </c>
    </row>
    <row r="491" spans="12:94" ht="16" customHeight="1" x14ac:dyDescent="0.2">
      <c r="L491" s="63">
        <v>30803</v>
      </c>
      <c r="M491" s="38">
        <v>0</v>
      </c>
      <c r="N491" s="38">
        <v>2.5</v>
      </c>
      <c r="O491" s="39">
        <v>2.3664000000000001</v>
      </c>
      <c r="P491" s="39">
        <v>1.1000000000000001</v>
      </c>
      <c r="Q491" s="46">
        <f t="shared" si="477"/>
        <v>9.3203797817804163E-2</v>
      </c>
      <c r="R491" s="81">
        <f t="shared" si="478"/>
        <v>0</v>
      </c>
      <c r="S491" s="82">
        <f t="shared" si="479"/>
        <v>0</v>
      </c>
      <c r="T491" s="39">
        <f t="shared" si="480"/>
        <v>0</v>
      </c>
      <c r="U491" s="83">
        <f t="shared" si="481"/>
        <v>2.75</v>
      </c>
      <c r="V491" s="84">
        <f t="shared" si="482"/>
        <v>0</v>
      </c>
      <c r="W491" s="52">
        <f t="shared" si="483"/>
        <v>122.37637974635766</v>
      </c>
      <c r="X491" s="52">
        <f t="shared" si="484"/>
        <v>151.27625292884801</v>
      </c>
      <c r="Y491" s="52">
        <f t="shared" si="485"/>
        <v>273.65263267520567</v>
      </c>
      <c r="Z491" s="53">
        <f t="shared" si="486"/>
        <v>0.95606546676841919</v>
      </c>
      <c r="AA491" s="53">
        <f t="shared" si="487"/>
        <v>0.90045388648123814</v>
      </c>
      <c r="AB491" s="53">
        <f t="shared" si="488"/>
        <v>0.92450213741623533</v>
      </c>
      <c r="AC491" s="39" t="str">
        <f t="shared" si="489"/>
        <v>No</v>
      </c>
      <c r="AD491" s="85">
        <f t="shared" si="490"/>
        <v>0</v>
      </c>
      <c r="AE491" s="46">
        <f t="shared" si="491"/>
        <v>0</v>
      </c>
      <c r="AF491" s="46">
        <f t="shared" si="492"/>
        <v>2.1257999999999999</v>
      </c>
      <c r="AG491" s="39">
        <f t="shared" si="547"/>
        <v>58.019459743216608</v>
      </c>
      <c r="AH491" s="39">
        <f t="shared" si="548"/>
        <v>64.560411228375941</v>
      </c>
      <c r="AI491" s="39">
        <f t="shared" si="549"/>
        <v>62.972881905256045</v>
      </c>
      <c r="AJ491" s="39">
        <f t="shared" si="550"/>
        <v>85.823626869509027</v>
      </c>
      <c r="AK491" s="39">
        <f t="shared" si="551"/>
        <v>83.161128903020824</v>
      </c>
      <c r="AL491" s="39">
        <f t="shared" si="552"/>
        <v>74.516003116427868</v>
      </c>
      <c r="AM491" s="39">
        <f t="shared" si="553"/>
        <v>74.929488830802654</v>
      </c>
      <c r="AN491" s="39">
        <f t="shared" si="554"/>
        <v>59.669632078596642</v>
      </c>
      <c r="AO491" s="39">
        <f t="shared" si="493"/>
        <v>2.801945974321661</v>
      </c>
      <c r="AP491" s="39">
        <f t="shared" si="494"/>
        <v>2.6560411228375944</v>
      </c>
      <c r="AQ491" s="39">
        <f t="shared" si="495"/>
        <v>2.6972881905256063</v>
      </c>
      <c r="AR491" s="39">
        <f t="shared" si="496"/>
        <v>4.0823626869509022</v>
      </c>
      <c r="AS491" s="39">
        <f t="shared" si="497"/>
        <v>4.1161128903020829</v>
      </c>
      <c r="AT491" s="39">
        <f t="shared" si="498"/>
        <v>4.1516003116427864</v>
      </c>
      <c r="AU491" s="39">
        <f t="shared" si="499"/>
        <v>4.1929488830802653</v>
      </c>
      <c r="AV491" s="39">
        <f t="shared" si="500"/>
        <v>2.6669632078596637</v>
      </c>
      <c r="AW491" s="39">
        <f t="shared" si="501"/>
        <v>27.365263267520561</v>
      </c>
      <c r="AX491" s="39">
        <f t="shared" si="502"/>
        <v>2.75</v>
      </c>
      <c r="AY491" s="39">
        <f t="shared" si="503"/>
        <v>2.75</v>
      </c>
      <c r="AZ491" s="39">
        <f t="shared" si="504"/>
        <v>0.28157417504292531</v>
      </c>
      <c r="BA491" s="39">
        <f t="shared" si="505"/>
        <v>0.26691185158348291</v>
      </c>
      <c r="BB491" s="39">
        <f t="shared" si="506"/>
        <v>0.2710568669276861</v>
      </c>
      <c r="BC491" s="39">
        <f t="shared" si="507"/>
        <v>0.41024627752949672</v>
      </c>
      <c r="BD491" s="39">
        <f t="shared" si="508"/>
        <v>0.41363791525314708</v>
      </c>
      <c r="BE491" s="39">
        <f t="shared" si="509"/>
        <v>0.4172041301195234</v>
      </c>
      <c r="BF491" s="39">
        <f t="shared" si="510"/>
        <v>0.42135934581547563</v>
      </c>
      <c r="BG491" s="39">
        <f t="shared" si="511"/>
        <v>0.26800943772826302</v>
      </c>
      <c r="BH491" s="84">
        <f t="shared" si="512"/>
        <v>0</v>
      </c>
      <c r="BI491" s="84">
        <f t="shared" si="513"/>
        <v>0</v>
      </c>
      <c r="BJ491" s="84">
        <f t="shared" si="514"/>
        <v>0</v>
      </c>
      <c r="BK491" s="39">
        <f t="shared" si="515"/>
        <v>57.737885568173681</v>
      </c>
      <c r="BL491" s="39">
        <f t="shared" si="516"/>
        <v>64.293499376792454</v>
      </c>
      <c r="BM491" s="39">
        <f t="shared" si="517"/>
        <v>62.701825038328359</v>
      </c>
      <c r="BN491" s="39">
        <f t="shared" si="518"/>
        <v>85.413380591979532</v>
      </c>
      <c r="BO491" s="39">
        <f t="shared" si="519"/>
        <v>82.747490987767677</v>
      </c>
      <c r="BP491" s="39">
        <f t="shared" si="520"/>
        <v>74.098798986308338</v>
      </c>
      <c r="BQ491" s="39">
        <f t="shared" si="521"/>
        <v>74.50812948498718</v>
      </c>
      <c r="BR491" s="39">
        <f t="shared" si="522"/>
        <v>59.401622640868382</v>
      </c>
      <c r="BS491" s="39">
        <f t="shared" si="523"/>
        <v>0</v>
      </c>
      <c r="BT491" s="39">
        <f t="shared" si="524"/>
        <v>0</v>
      </c>
      <c r="BU491" s="39">
        <f t="shared" si="525"/>
        <v>0</v>
      </c>
      <c r="BV491" s="39">
        <f t="shared" si="526"/>
        <v>0</v>
      </c>
      <c r="BW491" s="39">
        <f t="shared" si="527"/>
        <v>0</v>
      </c>
      <c r="BX491" s="39">
        <f t="shared" si="528"/>
        <v>0</v>
      </c>
      <c r="BY491" s="39">
        <f t="shared" si="529"/>
        <v>0</v>
      </c>
      <c r="BZ491" s="39">
        <f t="shared" si="530"/>
        <v>0</v>
      </c>
      <c r="CA491" s="39">
        <f t="shared" si="531"/>
        <v>57.737885568173681</v>
      </c>
      <c r="CB491" s="39">
        <f t="shared" si="532"/>
        <v>64.293499376792454</v>
      </c>
      <c r="CC491" s="39">
        <f t="shared" si="533"/>
        <v>62.701825038328359</v>
      </c>
      <c r="CD491" s="39">
        <f t="shared" si="534"/>
        <v>85.413380591979532</v>
      </c>
      <c r="CE491" s="39">
        <f t="shared" si="535"/>
        <v>82.747490987767677</v>
      </c>
      <c r="CF491" s="39">
        <f t="shared" si="536"/>
        <v>74.098798986308338</v>
      </c>
      <c r="CG491" s="39">
        <f t="shared" si="537"/>
        <v>74.50812948498718</v>
      </c>
      <c r="CH491" s="39">
        <f t="shared" si="538"/>
        <v>59.401622640868382</v>
      </c>
      <c r="CI491" s="39">
        <f t="shared" si="539"/>
        <v>0</v>
      </c>
      <c r="CJ491" s="39">
        <f t="shared" si="540"/>
        <v>0</v>
      </c>
      <c r="CK491" s="39">
        <f t="shared" si="541"/>
        <v>0</v>
      </c>
      <c r="CL491" s="39">
        <f t="shared" si="542"/>
        <v>0</v>
      </c>
      <c r="CM491" s="39">
        <f t="shared" si="543"/>
        <v>0</v>
      </c>
      <c r="CN491" s="39">
        <f t="shared" si="544"/>
        <v>0</v>
      </c>
      <c r="CO491" s="39">
        <f t="shared" si="545"/>
        <v>0</v>
      </c>
      <c r="CP491" s="39">
        <f t="shared" si="546"/>
        <v>0</v>
      </c>
    </row>
    <row r="492" spans="12:94" ht="16" customHeight="1" x14ac:dyDescent="0.2">
      <c r="L492" s="63">
        <v>30804</v>
      </c>
      <c r="M492" s="38">
        <v>0</v>
      </c>
      <c r="N492" s="38">
        <v>3.4</v>
      </c>
      <c r="O492" s="39">
        <v>2.3664000000000001</v>
      </c>
      <c r="P492" s="39">
        <v>1.1000000000000001</v>
      </c>
      <c r="Q492" s="46">
        <f t="shared" si="477"/>
        <v>9.3774556280729018E-2</v>
      </c>
      <c r="R492" s="81">
        <f t="shared" si="478"/>
        <v>0</v>
      </c>
      <c r="S492" s="82">
        <f t="shared" si="479"/>
        <v>0</v>
      </c>
      <c r="T492" s="39">
        <f t="shared" si="480"/>
        <v>0</v>
      </c>
      <c r="U492" s="83">
        <f t="shared" si="481"/>
        <v>3.74</v>
      </c>
      <c r="V492" s="84">
        <f t="shared" si="482"/>
        <v>0</v>
      </c>
      <c r="W492" s="52">
        <f t="shared" si="483"/>
        <v>121.14659057527405</v>
      </c>
      <c r="X492" s="52">
        <f t="shared" si="484"/>
        <v>149.75604209993156</v>
      </c>
      <c r="Y492" s="52">
        <f t="shared" si="485"/>
        <v>270.90263267520561</v>
      </c>
      <c r="Z492" s="53">
        <f t="shared" si="486"/>
        <v>0.94645773886932849</v>
      </c>
      <c r="AA492" s="53">
        <f t="shared" si="487"/>
        <v>0.89140501249959259</v>
      </c>
      <c r="AB492" s="53">
        <f t="shared" si="488"/>
        <v>0.91521159687569464</v>
      </c>
      <c r="AC492" s="39" t="str">
        <f t="shared" si="489"/>
        <v>No</v>
      </c>
      <c r="AD492" s="85">
        <f t="shared" si="490"/>
        <v>0</v>
      </c>
      <c r="AE492" s="46">
        <f t="shared" si="491"/>
        <v>0</v>
      </c>
      <c r="AF492" s="46">
        <f t="shared" si="492"/>
        <v>2.1257999999999999</v>
      </c>
      <c r="AG492" s="39">
        <f t="shared" si="547"/>
        <v>57.737885568173681</v>
      </c>
      <c r="AH492" s="39">
        <f t="shared" si="548"/>
        <v>64.293499376792454</v>
      </c>
      <c r="AI492" s="39">
        <f t="shared" si="549"/>
        <v>62.701825038328359</v>
      </c>
      <c r="AJ492" s="39">
        <f t="shared" si="550"/>
        <v>85.413380591979532</v>
      </c>
      <c r="AK492" s="39">
        <f t="shared" si="551"/>
        <v>82.747490987767677</v>
      </c>
      <c r="AL492" s="39">
        <f t="shared" si="552"/>
        <v>74.098798986308338</v>
      </c>
      <c r="AM492" s="39">
        <f t="shared" si="553"/>
        <v>74.50812948498718</v>
      </c>
      <c r="AN492" s="39">
        <f t="shared" si="554"/>
        <v>59.401622640868382</v>
      </c>
      <c r="AO492" s="39">
        <f t="shared" si="493"/>
        <v>2.7737885568173684</v>
      </c>
      <c r="AP492" s="39">
        <f t="shared" si="494"/>
        <v>2.6293499376792457</v>
      </c>
      <c r="AQ492" s="39">
        <f t="shared" si="495"/>
        <v>2.6701825038328373</v>
      </c>
      <c r="AR492" s="39">
        <f t="shared" si="496"/>
        <v>4.0413380591979529</v>
      </c>
      <c r="AS492" s="39">
        <f t="shared" si="497"/>
        <v>4.0747490987767687</v>
      </c>
      <c r="AT492" s="39">
        <f t="shared" si="498"/>
        <v>4.1098798986308331</v>
      </c>
      <c r="AU492" s="39">
        <f t="shared" si="499"/>
        <v>4.1508129484987171</v>
      </c>
      <c r="AV492" s="39">
        <f t="shared" si="500"/>
        <v>2.6401622640868379</v>
      </c>
      <c r="AW492" s="39">
        <f t="shared" si="501"/>
        <v>27.090263267520562</v>
      </c>
      <c r="AX492" s="39">
        <f t="shared" si="502"/>
        <v>3.74</v>
      </c>
      <c r="AY492" s="39">
        <f t="shared" si="503"/>
        <v>3.74</v>
      </c>
      <c r="AZ492" s="39">
        <f t="shared" si="504"/>
        <v>0.38294087805837834</v>
      </c>
      <c r="BA492" s="39">
        <f t="shared" si="505"/>
        <v>0.36300011815353672</v>
      </c>
      <c r="BB492" s="39">
        <f t="shared" si="506"/>
        <v>0.36863733902165308</v>
      </c>
      <c r="BC492" s="39">
        <f t="shared" si="507"/>
        <v>0.55793493744011557</v>
      </c>
      <c r="BD492" s="39">
        <f t="shared" si="508"/>
        <v>0.56254756474428003</v>
      </c>
      <c r="BE492" s="39">
        <f t="shared" si="509"/>
        <v>0.56739761696255175</v>
      </c>
      <c r="BF492" s="39">
        <f t="shared" si="510"/>
        <v>0.5730487103090468</v>
      </c>
      <c r="BG492" s="39">
        <f t="shared" si="511"/>
        <v>0.36449283531043775</v>
      </c>
      <c r="BH492" s="84">
        <f t="shared" si="512"/>
        <v>0</v>
      </c>
      <c r="BI492" s="84">
        <f t="shared" si="513"/>
        <v>0</v>
      </c>
      <c r="BJ492" s="84">
        <f t="shared" si="514"/>
        <v>0</v>
      </c>
      <c r="BK492" s="39">
        <f t="shared" si="515"/>
        <v>57.354944690115303</v>
      </c>
      <c r="BL492" s="39">
        <f t="shared" si="516"/>
        <v>63.930499258638918</v>
      </c>
      <c r="BM492" s="39">
        <f t="shared" si="517"/>
        <v>62.333187699306706</v>
      </c>
      <c r="BN492" s="39">
        <f t="shared" si="518"/>
        <v>84.855445654539423</v>
      </c>
      <c r="BO492" s="39">
        <f t="shared" si="519"/>
        <v>82.184943423023398</v>
      </c>
      <c r="BP492" s="39">
        <f t="shared" si="520"/>
        <v>73.531401369345787</v>
      </c>
      <c r="BQ492" s="39">
        <f t="shared" si="521"/>
        <v>73.935080774678127</v>
      </c>
      <c r="BR492" s="39">
        <f t="shared" si="522"/>
        <v>59.037129805557946</v>
      </c>
      <c r="BS492" s="39">
        <f t="shared" si="523"/>
        <v>0</v>
      </c>
      <c r="BT492" s="39">
        <f t="shared" si="524"/>
        <v>0</v>
      </c>
      <c r="BU492" s="39">
        <f t="shared" si="525"/>
        <v>0</v>
      </c>
      <c r="BV492" s="39">
        <f t="shared" si="526"/>
        <v>0</v>
      </c>
      <c r="BW492" s="39">
        <f t="shared" si="527"/>
        <v>0</v>
      </c>
      <c r="BX492" s="39">
        <f t="shared" si="528"/>
        <v>0</v>
      </c>
      <c r="BY492" s="39">
        <f t="shared" si="529"/>
        <v>0</v>
      </c>
      <c r="BZ492" s="39">
        <f t="shared" si="530"/>
        <v>0</v>
      </c>
      <c r="CA492" s="39">
        <f t="shared" si="531"/>
        <v>57.354944690115303</v>
      </c>
      <c r="CB492" s="39">
        <f t="shared" si="532"/>
        <v>63.930499258638918</v>
      </c>
      <c r="CC492" s="39">
        <f t="shared" si="533"/>
        <v>62.333187699306706</v>
      </c>
      <c r="CD492" s="39">
        <f t="shared" si="534"/>
        <v>84.855445654539423</v>
      </c>
      <c r="CE492" s="39">
        <f t="shared" si="535"/>
        <v>82.184943423023398</v>
      </c>
      <c r="CF492" s="39">
        <f t="shared" si="536"/>
        <v>73.531401369345787</v>
      </c>
      <c r="CG492" s="39">
        <f t="shared" si="537"/>
        <v>73.935080774678127</v>
      </c>
      <c r="CH492" s="39">
        <f t="shared" si="538"/>
        <v>59.037129805557946</v>
      </c>
      <c r="CI492" s="39">
        <f t="shared" si="539"/>
        <v>0</v>
      </c>
      <c r="CJ492" s="39">
        <f t="shared" si="540"/>
        <v>0</v>
      </c>
      <c r="CK492" s="39">
        <f t="shared" si="541"/>
        <v>0</v>
      </c>
      <c r="CL492" s="39">
        <f t="shared" si="542"/>
        <v>0</v>
      </c>
      <c r="CM492" s="39">
        <f t="shared" si="543"/>
        <v>0</v>
      </c>
      <c r="CN492" s="39">
        <f t="shared" si="544"/>
        <v>0</v>
      </c>
      <c r="CO492" s="39">
        <f t="shared" si="545"/>
        <v>0</v>
      </c>
      <c r="CP492" s="39">
        <f t="shared" si="546"/>
        <v>0</v>
      </c>
    </row>
    <row r="493" spans="12:94" ht="16" customHeight="1" x14ac:dyDescent="0.2">
      <c r="L493" s="63">
        <v>30805</v>
      </c>
      <c r="M493" s="38">
        <v>0.3</v>
      </c>
      <c r="N493" s="38">
        <v>1.1000000000000001</v>
      </c>
      <c r="O493" s="39">
        <v>2.3664000000000001</v>
      </c>
      <c r="P493" s="39">
        <v>1.1000000000000001</v>
      </c>
      <c r="Q493" s="46">
        <f t="shared" si="477"/>
        <v>9.4550787790306817E-2</v>
      </c>
      <c r="R493" s="81">
        <f t="shared" si="478"/>
        <v>0</v>
      </c>
      <c r="S493" s="82">
        <f t="shared" si="479"/>
        <v>0.3</v>
      </c>
      <c r="T493" s="39">
        <f t="shared" si="480"/>
        <v>0</v>
      </c>
      <c r="U493" s="83">
        <f t="shared" si="481"/>
        <v>1.2100000000000002</v>
      </c>
      <c r="V493" s="84">
        <f t="shared" si="482"/>
        <v>0</v>
      </c>
      <c r="W493" s="52">
        <f t="shared" si="483"/>
        <v>119.47407730260034</v>
      </c>
      <c r="X493" s="52">
        <f t="shared" si="484"/>
        <v>147.68855537260521</v>
      </c>
      <c r="Y493" s="52">
        <f t="shared" si="485"/>
        <v>267.16263267520554</v>
      </c>
      <c r="Z493" s="53">
        <f t="shared" si="486"/>
        <v>0.93339122892656512</v>
      </c>
      <c r="AA493" s="53">
        <f t="shared" si="487"/>
        <v>0.87909854388455477</v>
      </c>
      <c r="AB493" s="53">
        <f t="shared" si="488"/>
        <v>0.90257646174055928</v>
      </c>
      <c r="AC493" s="39" t="str">
        <f t="shared" si="489"/>
        <v>No</v>
      </c>
      <c r="AD493" s="85">
        <f t="shared" si="490"/>
        <v>0</v>
      </c>
      <c r="AE493" s="46">
        <f t="shared" si="491"/>
        <v>0</v>
      </c>
      <c r="AF493" s="46">
        <f t="shared" si="492"/>
        <v>2.1257999999999999</v>
      </c>
      <c r="AG493" s="39">
        <f t="shared" si="547"/>
        <v>57.354944690115303</v>
      </c>
      <c r="AH493" s="39">
        <f t="shared" si="548"/>
        <v>63.930499258638918</v>
      </c>
      <c r="AI493" s="39">
        <f t="shared" si="549"/>
        <v>62.333187699306706</v>
      </c>
      <c r="AJ493" s="39">
        <f t="shared" si="550"/>
        <v>84.855445654539423</v>
      </c>
      <c r="AK493" s="39">
        <f t="shared" si="551"/>
        <v>82.184943423023398</v>
      </c>
      <c r="AL493" s="39">
        <f t="shared" si="552"/>
        <v>73.531401369345787</v>
      </c>
      <c r="AM493" s="39">
        <f t="shared" si="553"/>
        <v>73.935080774678127</v>
      </c>
      <c r="AN493" s="39">
        <f t="shared" si="554"/>
        <v>59.037129805557946</v>
      </c>
      <c r="AO493" s="39">
        <f t="shared" si="493"/>
        <v>2.7354944690115306</v>
      </c>
      <c r="AP493" s="39">
        <f t="shared" si="494"/>
        <v>2.5930499258638919</v>
      </c>
      <c r="AQ493" s="39">
        <f t="shared" si="495"/>
        <v>2.6333187699306722</v>
      </c>
      <c r="AR493" s="39">
        <f t="shared" si="496"/>
        <v>3.9855445654539419</v>
      </c>
      <c r="AS493" s="39">
        <f t="shared" si="497"/>
        <v>4.0184943423023407</v>
      </c>
      <c r="AT493" s="39">
        <f t="shared" si="498"/>
        <v>4.0531401369345783</v>
      </c>
      <c r="AU493" s="39">
        <f t="shared" si="499"/>
        <v>4.0935080774678125</v>
      </c>
      <c r="AV493" s="39">
        <f t="shared" si="500"/>
        <v>2.6037129805557941</v>
      </c>
      <c r="AW493" s="39">
        <f t="shared" si="501"/>
        <v>26.71626326752056</v>
      </c>
      <c r="AX493" s="39">
        <f t="shared" si="502"/>
        <v>1.2100000000000002</v>
      </c>
      <c r="AY493" s="39">
        <f t="shared" si="503"/>
        <v>0.91000000000000014</v>
      </c>
      <c r="AZ493" s="39">
        <f t="shared" si="504"/>
        <v>9.317545428693165E-2</v>
      </c>
      <c r="BA493" s="39">
        <f t="shared" si="505"/>
        <v>8.8323558160352519E-2</v>
      </c>
      <c r="BB493" s="39">
        <f t="shared" si="506"/>
        <v>8.9695181419707046E-2</v>
      </c>
      <c r="BC493" s="39">
        <f t="shared" si="507"/>
        <v>0.13575422274612439</v>
      </c>
      <c r="BD493" s="39">
        <f t="shared" si="508"/>
        <v>0.13687654650195052</v>
      </c>
      <c r="BE493" s="39">
        <f t="shared" si="509"/>
        <v>0.13805663942136956</v>
      </c>
      <c r="BF493" s="39">
        <f t="shared" si="510"/>
        <v>0.13943163806984832</v>
      </c>
      <c r="BG493" s="39">
        <f t="shared" si="511"/>
        <v>8.8686759393716161E-2</v>
      </c>
      <c r="BH493" s="84">
        <f t="shared" si="512"/>
        <v>0</v>
      </c>
      <c r="BI493" s="84">
        <f t="shared" si="513"/>
        <v>0</v>
      </c>
      <c r="BJ493" s="84">
        <f t="shared" si="514"/>
        <v>0</v>
      </c>
      <c r="BK493" s="39">
        <f t="shared" si="515"/>
        <v>57.261769235828375</v>
      </c>
      <c r="BL493" s="39">
        <f t="shared" si="516"/>
        <v>63.842175700478563</v>
      </c>
      <c r="BM493" s="39">
        <f t="shared" si="517"/>
        <v>62.243492517886999</v>
      </c>
      <c r="BN493" s="39">
        <f t="shared" si="518"/>
        <v>84.719691431793294</v>
      </c>
      <c r="BO493" s="39">
        <f t="shared" si="519"/>
        <v>82.048066876521446</v>
      </c>
      <c r="BP493" s="39">
        <f t="shared" si="520"/>
        <v>73.393344729924422</v>
      </c>
      <c r="BQ493" s="39">
        <f t="shared" si="521"/>
        <v>73.795649136608276</v>
      </c>
      <c r="BR493" s="39">
        <f t="shared" si="522"/>
        <v>58.948443046164229</v>
      </c>
      <c r="BS493" s="39">
        <f t="shared" si="523"/>
        <v>0</v>
      </c>
      <c r="BT493" s="39">
        <f t="shared" si="524"/>
        <v>0</v>
      </c>
      <c r="BU493" s="39">
        <f t="shared" si="525"/>
        <v>0</v>
      </c>
      <c r="BV493" s="39">
        <f t="shared" si="526"/>
        <v>0</v>
      </c>
      <c r="BW493" s="39">
        <f t="shared" si="527"/>
        <v>0</v>
      </c>
      <c r="BX493" s="39">
        <f t="shared" si="528"/>
        <v>0</v>
      </c>
      <c r="BY493" s="39">
        <f t="shared" si="529"/>
        <v>0</v>
      </c>
      <c r="BZ493" s="39">
        <f t="shared" si="530"/>
        <v>0</v>
      </c>
      <c r="CA493" s="39">
        <f t="shared" si="531"/>
        <v>57.261769235828375</v>
      </c>
      <c r="CB493" s="39">
        <f t="shared" si="532"/>
        <v>63.842175700478563</v>
      </c>
      <c r="CC493" s="39">
        <f t="shared" si="533"/>
        <v>62.243492517886999</v>
      </c>
      <c r="CD493" s="39">
        <f t="shared" si="534"/>
        <v>84.719691431793294</v>
      </c>
      <c r="CE493" s="39">
        <f t="shared" si="535"/>
        <v>82.048066876521446</v>
      </c>
      <c r="CF493" s="39">
        <f t="shared" si="536"/>
        <v>73.393344729924422</v>
      </c>
      <c r="CG493" s="39">
        <f t="shared" si="537"/>
        <v>73.795649136608276</v>
      </c>
      <c r="CH493" s="39">
        <f t="shared" si="538"/>
        <v>58.948443046164229</v>
      </c>
      <c r="CI493" s="39">
        <f t="shared" si="539"/>
        <v>0</v>
      </c>
      <c r="CJ493" s="39">
        <f t="shared" si="540"/>
        <v>0</v>
      </c>
      <c r="CK493" s="39">
        <f t="shared" si="541"/>
        <v>0</v>
      </c>
      <c r="CL493" s="39">
        <f t="shared" si="542"/>
        <v>0</v>
      </c>
      <c r="CM493" s="39">
        <f t="shared" si="543"/>
        <v>0</v>
      </c>
      <c r="CN493" s="39">
        <f t="shared" si="544"/>
        <v>0</v>
      </c>
      <c r="CO493" s="39">
        <f t="shared" si="545"/>
        <v>0</v>
      </c>
      <c r="CP493" s="39">
        <f t="shared" si="546"/>
        <v>0</v>
      </c>
    </row>
    <row r="494" spans="12:94" ht="16" customHeight="1" x14ac:dyDescent="0.2">
      <c r="L494" s="63">
        <v>30806</v>
      </c>
      <c r="M494" s="38">
        <v>0</v>
      </c>
      <c r="N494" s="38">
        <v>2</v>
      </c>
      <c r="O494" s="39">
        <v>2.3664000000000001</v>
      </c>
      <c r="P494" s="39">
        <v>1.1000000000000001</v>
      </c>
      <c r="Q494" s="46">
        <f t="shared" si="477"/>
        <v>9.4739656954401938E-2</v>
      </c>
      <c r="R494" s="81">
        <f t="shared" si="478"/>
        <v>0</v>
      </c>
      <c r="S494" s="82">
        <f t="shared" si="479"/>
        <v>0</v>
      </c>
      <c r="T494" s="39">
        <f t="shared" si="480"/>
        <v>0</v>
      </c>
      <c r="U494" s="83">
        <f t="shared" si="481"/>
        <v>2.2000000000000002</v>
      </c>
      <c r="V494" s="84">
        <f t="shared" si="482"/>
        <v>0</v>
      </c>
      <c r="W494" s="52">
        <f t="shared" si="483"/>
        <v>119.06712888598724</v>
      </c>
      <c r="X494" s="52">
        <f t="shared" si="484"/>
        <v>147.18550378921839</v>
      </c>
      <c r="Y494" s="52">
        <f t="shared" si="485"/>
        <v>266.25263267520563</v>
      </c>
      <c r="Z494" s="53">
        <f t="shared" si="486"/>
        <v>0.93021194442177535</v>
      </c>
      <c r="AA494" s="53">
        <f t="shared" si="487"/>
        <v>0.87610418922153799</v>
      </c>
      <c r="AB494" s="53">
        <f t="shared" si="488"/>
        <v>0.89950213741623519</v>
      </c>
      <c r="AC494" s="39" t="str">
        <f t="shared" si="489"/>
        <v>No</v>
      </c>
      <c r="AD494" s="85">
        <f t="shared" si="490"/>
        <v>0</v>
      </c>
      <c r="AE494" s="46">
        <f t="shared" si="491"/>
        <v>0</v>
      </c>
      <c r="AF494" s="46">
        <f t="shared" si="492"/>
        <v>2.1257999999999999</v>
      </c>
      <c r="AG494" s="39">
        <f t="shared" si="547"/>
        <v>57.261769235828375</v>
      </c>
      <c r="AH494" s="39">
        <f t="shared" si="548"/>
        <v>63.842175700478563</v>
      </c>
      <c r="AI494" s="39">
        <f t="shared" si="549"/>
        <v>62.243492517886999</v>
      </c>
      <c r="AJ494" s="39">
        <f t="shared" si="550"/>
        <v>84.719691431793294</v>
      </c>
      <c r="AK494" s="39">
        <f t="shared" si="551"/>
        <v>82.048066876521446</v>
      </c>
      <c r="AL494" s="39">
        <f t="shared" si="552"/>
        <v>73.393344729924422</v>
      </c>
      <c r="AM494" s="39">
        <f t="shared" si="553"/>
        <v>73.795649136608276</v>
      </c>
      <c r="AN494" s="39">
        <f t="shared" si="554"/>
        <v>58.948443046164229</v>
      </c>
      <c r="AO494" s="39">
        <f t="shared" si="493"/>
        <v>2.7261769235828375</v>
      </c>
      <c r="AP494" s="39">
        <f t="shared" si="494"/>
        <v>2.5842175700478567</v>
      </c>
      <c r="AQ494" s="39">
        <f t="shared" si="495"/>
        <v>2.6243492517887015</v>
      </c>
      <c r="AR494" s="39">
        <f t="shared" si="496"/>
        <v>3.9719691431793289</v>
      </c>
      <c r="AS494" s="39">
        <f t="shared" si="497"/>
        <v>4.0048066876521453</v>
      </c>
      <c r="AT494" s="39">
        <f t="shared" si="498"/>
        <v>4.0393344729924419</v>
      </c>
      <c r="AU494" s="39">
        <f t="shared" si="499"/>
        <v>4.0795649136608274</v>
      </c>
      <c r="AV494" s="39">
        <f t="shared" si="500"/>
        <v>2.5948443046164225</v>
      </c>
      <c r="AW494" s="39">
        <f t="shared" si="501"/>
        <v>26.625263267520562</v>
      </c>
      <c r="AX494" s="39">
        <f t="shared" si="502"/>
        <v>2.2000000000000002</v>
      </c>
      <c r="AY494" s="39">
        <f t="shared" si="503"/>
        <v>2.2000000000000002</v>
      </c>
      <c r="AZ494" s="39">
        <f t="shared" si="504"/>
        <v>0.22525934003434023</v>
      </c>
      <c r="BA494" s="39">
        <f t="shared" si="505"/>
        <v>0.21352948126678628</v>
      </c>
      <c r="BB494" s="39">
        <f t="shared" si="506"/>
        <v>0.21684549354214888</v>
      </c>
      <c r="BC494" s="39">
        <f t="shared" si="507"/>
        <v>0.32819702202359735</v>
      </c>
      <c r="BD494" s="39">
        <f t="shared" si="508"/>
        <v>0.3309103322025177</v>
      </c>
      <c r="BE494" s="39">
        <f t="shared" si="509"/>
        <v>0.33376330409561877</v>
      </c>
      <c r="BF494" s="39">
        <f t="shared" si="510"/>
        <v>0.33708747665238048</v>
      </c>
      <c r="BG494" s="39">
        <f t="shared" si="511"/>
        <v>0.21440755018261046</v>
      </c>
      <c r="BH494" s="84">
        <f t="shared" si="512"/>
        <v>0</v>
      </c>
      <c r="BI494" s="84">
        <f t="shared" si="513"/>
        <v>0</v>
      </c>
      <c r="BJ494" s="84">
        <f t="shared" si="514"/>
        <v>0</v>
      </c>
      <c r="BK494" s="39">
        <f t="shared" si="515"/>
        <v>57.036509895794033</v>
      </c>
      <c r="BL494" s="39">
        <f t="shared" si="516"/>
        <v>63.628646219211774</v>
      </c>
      <c r="BM494" s="39">
        <f t="shared" si="517"/>
        <v>62.026647024344847</v>
      </c>
      <c r="BN494" s="39">
        <f t="shared" si="518"/>
        <v>84.391494409769692</v>
      </c>
      <c r="BO494" s="39">
        <f t="shared" si="519"/>
        <v>81.717156544318925</v>
      </c>
      <c r="BP494" s="39">
        <f t="shared" si="520"/>
        <v>73.05958142582881</v>
      </c>
      <c r="BQ494" s="39">
        <f t="shared" si="521"/>
        <v>73.45856165995589</v>
      </c>
      <c r="BR494" s="39">
        <f t="shared" si="522"/>
        <v>58.734035495981615</v>
      </c>
      <c r="BS494" s="39">
        <f t="shared" si="523"/>
        <v>0</v>
      </c>
      <c r="BT494" s="39">
        <f t="shared" si="524"/>
        <v>0</v>
      </c>
      <c r="BU494" s="39">
        <f t="shared" si="525"/>
        <v>0</v>
      </c>
      <c r="BV494" s="39">
        <f t="shared" si="526"/>
        <v>0</v>
      </c>
      <c r="BW494" s="39">
        <f t="shared" si="527"/>
        <v>0</v>
      </c>
      <c r="BX494" s="39">
        <f t="shared" si="528"/>
        <v>0</v>
      </c>
      <c r="BY494" s="39">
        <f t="shared" si="529"/>
        <v>0</v>
      </c>
      <c r="BZ494" s="39">
        <f t="shared" si="530"/>
        <v>0</v>
      </c>
      <c r="CA494" s="39">
        <f t="shared" si="531"/>
        <v>57.036509895794033</v>
      </c>
      <c r="CB494" s="39">
        <f t="shared" si="532"/>
        <v>63.628646219211774</v>
      </c>
      <c r="CC494" s="39">
        <f t="shared" si="533"/>
        <v>62.026647024344847</v>
      </c>
      <c r="CD494" s="39">
        <f t="shared" si="534"/>
        <v>84.391494409769692</v>
      </c>
      <c r="CE494" s="39">
        <f t="shared" si="535"/>
        <v>81.717156544318925</v>
      </c>
      <c r="CF494" s="39">
        <f t="shared" si="536"/>
        <v>73.05958142582881</v>
      </c>
      <c r="CG494" s="39">
        <f t="shared" si="537"/>
        <v>73.45856165995589</v>
      </c>
      <c r="CH494" s="39">
        <f t="shared" si="538"/>
        <v>58.734035495981615</v>
      </c>
      <c r="CI494" s="39">
        <f t="shared" si="539"/>
        <v>0</v>
      </c>
      <c r="CJ494" s="39">
        <f t="shared" si="540"/>
        <v>0</v>
      </c>
      <c r="CK494" s="39">
        <f t="shared" si="541"/>
        <v>0</v>
      </c>
      <c r="CL494" s="39">
        <f t="shared" si="542"/>
        <v>0</v>
      </c>
      <c r="CM494" s="39">
        <f t="shared" si="543"/>
        <v>0</v>
      </c>
      <c r="CN494" s="39">
        <f t="shared" si="544"/>
        <v>0</v>
      </c>
      <c r="CO494" s="39">
        <f t="shared" si="545"/>
        <v>0</v>
      </c>
      <c r="CP494" s="39">
        <f t="shared" si="546"/>
        <v>0</v>
      </c>
    </row>
    <row r="495" spans="12:94" ht="16" customHeight="1" x14ac:dyDescent="0.2">
      <c r="L495" s="63">
        <v>30807</v>
      </c>
      <c r="M495" s="38">
        <v>0</v>
      </c>
      <c r="N495" s="38">
        <v>1.8</v>
      </c>
      <c r="O495" s="39">
        <v>2.3664000000000001</v>
      </c>
      <c r="P495" s="39">
        <v>1.1000000000000001</v>
      </c>
      <c r="Q495" s="46">
        <f t="shared" si="477"/>
        <v>9.5196263724741825E-2</v>
      </c>
      <c r="R495" s="81">
        <f t="shared" si="478"/>
        <v>0</v>
      </c>
      <c r="S495" s="82">
        <f t="shared" si="479"/>
        <v>0</v>
      </c>
      <c r="T495" s="39">
        <f t="shared" si="480"/>
        <v>0</v>
      </c>
      <c r="U495" s="83">
        <f t="shared" si="481"/>
        <v>1.9800000000000002</v>
      </c>
      <c r="V495" s="84">
        <f t="shared" si="482"/>
        <v>0</v>
      </c>
      <c r="W495" s="52">
        <f t="shared" si="483"/>
        <v>118.08329754912035</v>
      </c>
      <c r="X495" s="52">
        <f t="shared" si="484"/>
        <v>145.96933512608524</v>
      </c>
      <c r="Y495" s="52">
        <f t="shared" si="485"/>
        <v>264.05263267520559</v>
      </c>
      <c r="Z495" s="53">
        <f t="shared" si="486"/>
        <v>0.9225257621025027</v>
      </c>
      <c r="AA495" s="53">
        <f t="shared" si="487"/>
        <v>0.8688650900362217</v>
      </c>
      <c r="AB495" s="53">
        <f t="shared" si="488"/>
        <v>0.89206970498380267</v>
      </c>
      <c r="AC495" s="39" t="str">
        <f t="shared" si="489"/>
        <v>No</v>
      </c>
      <c r="AD495" s="85">
        <f t="shared" si="490"/>
        <v>0</v>
      </c>
      <c r="AE495" s="46">
        <f t="shared" si="491"/>
        <v>0</v>
      </c>
      <c r="AF495" s="46">
        <f t="shared" si="492"/>
        <v>2.1257999999999999</v>
      </c>
      <c r="AG495" s="39">
        <f t="shared" si="547"/>
        <v>57.036509895794033</v>
      </c>
      <c r="AH495" s="39">
        <f t="shared" si="548"/>
        <v>63.628646219211774</v>
      </c>
      <c r="AI495" s="39">
        <f t="shared" si="549"/>
        <v>62.026647024344847</v>
      </c>
      <c r="AJ495" s="39">
        <f t="shared" si="550"/>
        <v>84.391494409769692</v>
      </c>
      <c r="AK495" s="39">
        <f t="shared" si="551"/>
        <v>81.717156544318925</v>
      </c>
      <c r="AL495" s="39">
        <f t="shared" si="552"/>
        <v>73.05958142582881</v>
      </c>
      <c r="AM495" s="39">
        <f t="shared" si="553"/>
        <v>73.45856165995589</v>
      </c>
      <c r="AN495" s="39">
        <f t="shared" si="554"/>
        <v>58.734035495981615</v>
      </c>
      <c r="AO495" s="39">
        <f t="shared" si="493"/>
        <v>2.7036509895794034</v>
      </c>
      <c r="AP495" s="39">
        <f t="shared" si="494"/>
        <v>2.5628646219211775</v>
      </c>
      <c r="AQ495" s="39">
        <f t="shared" si="495"/>
        <v>2.6026647024344864</v>
      </c>
      <c r="AR495" s="39">
        <f t="shared" si="496"/>
        <v>3.9391494409769687</v>
      </c>
      <c r="AS495" s="39">
        <f t="shared" si="497"/>
        <v>3.9717156544318932</v>
      </c>
      <c r="AT495" s="39">
        <f t="shared" si="498"/>
        <v>4.0059581425828803</v>
      </c>
      <c r="AU495" s="39">
        <f t="shared" si="499"/>
        <v>4.0458561659955885</v>
      </c>
      <c r="AV495" s="39">
        <f t="shared" si="500"/>
        <v>2.5734035495981611</v>
      </c>
      <c r="AW495" s="39">
        <f t="shared" si="501"/>
        <v>26.40526326752056</v>
      </c>
      <c r="AX495" s="39">
        <f t="shared" si="502"/>
        <v>1.9800000000000002</v>
      </c>
      <c r="AY495" s="39">
        <f t="shared" si="503"/>
        <v>1.9800000000000002</v>
      </c>
      <c r="AZ495" s="39">
        <f t="shared" si="504"/>
        <v>0.20273340603090623</v>
      </c>
      <c r="BA495" s="39">
        <f t="shared" si="505"/>
        <v>0.19217653314010766</v>
      </c>
      <c r="BB495" s="39">
        <f t="shared" si="506"/>
        <v>0.19516094418793398</v>
      </c>
      <c r="BC495" s="39">
        <f t="shared" si="507"/>
        <v>0.29537731982123766</v>
      </c>
      <c r="BD495" s="39">
        <f t="shared" si="508"/>
        <v>0.29781929898226595</v>
      </c>
      <c r="BE495" s="39">
        <f t="shared" si="509"/>
        <v>0.30038697368605694</v>
      </c>
      <c r="BF495" s="39">
        <f t="shared" si="510"/>
        <v>0.30337872898714241</v>
      </c>
      <c r="BG495" s="39">
        <f t="shared" si="511"/>
        <v>0.19296679516434942</v>
      </c>
      <c r="BH495" s="84">
        <f t="shared" si="512"/>
        <v>0</v>
      </c>
      <c r="BI495" s="84">
        <f t="shared" si="513"/>
        <v>0</v>
      </c>
      <c r="BJ495" s="84">
        <f t="shared" si="514"/>
        <v>0</v>
      </c>
      <c r="BK495" s="39">
        <f t="shared" si="515"/>
        <v>56.833776489763125</v>
      </c>
      <c r="BL495" s="39">
        <f t="shared" si="516"/>
        <v>63.436469686071668</v>
      </c>
      <c r="BM495" s="39">
        <f t="shared" si="517"/>
        <v>61.831486080156914</v>
      </c>
      <c r="BN495" s="39">
        <f t="shared" si="518"/>
        <v>84.09611708994845</v>
      </c>
      <c r="BO495" s="39">
        <f t="shared" si="519"/>
        <v>81.419337245336663</v>
      </c>
      <c r="BP495" s="39">
        <f t="shared" si="520"/>
        <v>72.759194452142751</v>
      </c>
      <c r="BQ495" s="39">
        <f t="shared" si="521"/>
        <v>73.155182930968749</v>
      </c>
      <c r="BR495" s="39">
        <f t="shared" si="522"/>
        <v>58.541068700817263</v>
      </c>
      <c r="BS495" s="39">
        <f t="shared" si="523"/>
        <v>0</v>
      </c>
      <c r="BT495" s="39">
        <f t="shared" si="524"/>
        <v>0</v>
      </c>
      <c r="BU495" s="39">
        <f t="shared" si="525"/>
        <v>0</v>
      </c>
      <c r="BV495" s="39">
        <f t="shared" si="526"/>
        <v>0</v>
      </c>
      <c r="BW495" s="39">
        <f t="shared" si="527"/>
        <v>0</v>
      </c>
      <c r="BX495" s="39">
        <f t="shared" si="528"/>
        <v>0</v>
      </c>
      <c r="BY495" s="39">
        <f t="shared" si="529"/>
        <v>0</v>
      </c>
      <c r="BZ495" s="39">
        <f t="shared" si="530"/>
        <v>0</v>
      </c>
      <c r="CA495" s="39">
        <f t="shared" si="531"/>
        <v>56.833776489763125</v>
      </c>
      <c r="CB495" s="39">
        <f t="shared" si="532"/>
        <v>63.436469686071668</v>
      </c>
      <c r="CC495" s="39">
        <f t="shared" si="533"/>
        <v>61.831486080156914</v>
      </c>
      <c r="CD495" s="39">
        <f t="shared" si="534"/>
        <v>84.09611708994845</v>
      </c>
      <c r="CE495" s="39">
        <f t="shared" si="535"/>
        <v>81.419337245336663</v>
      </c>
      <c r="CF495" s="39">
        <f t="shared" si="536"/>
        <v>72.759194452142751</v>
      </c>
      <c r="CG495" s="39">
        <f t="shared" si="537"/>
        <v>73.155182930968749</v>
      </c>
      <c r="CH495" s="39">
        <f t="shared" si="538"/>
        <v>58.541068700817263</v>
      </c>
      <c r="CI495" s="39">
        <f t="shared" si="539"/>
        <v>0</v>
      </c>
      <c r="CJ495" s="39">
        <f t="shared" si="540"/>
        <v>0</v>
      </c>
      <c r="CK495" s="39">
        <f t="shared" si="541"/>
        <v>0</v>
      </c>
      <c r="CL495" s="39">
        <f t="shared" si="542"/>
        <v>0</v>
      </c>
      <c r="CM495" s="39">
        <f t="shared" si="543"/>
        <v>0</v>
      </c>
      <c r="CN495" s="39">
        <f t="shared" si="544"/>
        <v>0</v>
      </c>
      <c r="CO495" s="39">
        <f t="shared" si="545"/>
        <v>0</v>
      </c>
      <c r="CP495" s="39">
        <f t="shared" si="546"/>
        <v>0</v>
      </c>
    </row>
    <row r="496" spans="12:94" ht="16" customHeight="1" x14ac:dyDescent="0.2">
      <c r="L496" s="63">
        <v>30808</v>
      </c>
      <c r="M496" s="38">
        <v>0</v>
      </c>
      <c r="N496" s="38">
        <v>1.7</v>
      </c>
      <c r="O496" s="39">
        <v>2.3664000000000001</v>
      </c>
      <c r="P496" s="39">
        <v>1.1000000000000001</v>
      </c>
      <c r="Q496" s="46">
        <f t="shared" si="477"/>
        <v>9.5607209818047725E-2</v>
      </c>
      <c r="R496" s="81">
        <f t="shared" si="478"/>
        <v>0</v>
      </c>
      <c r="S496" s="82">
        <f t="shared" si="479"/>
        <v>0</v>
      </c>
      <c r="T496" s="39">
        <f t="shared" si="480"/>
        <v>0</v>
      </c>
      <c r="U496" s="83">
        <f t="shared" si="481"/>
        <v>1.87</v>
      </c>
      <c r="V496" s="84">
        <f t="shared" si="482"/>
        <v>0</v>
      </c>
      <c r="W496" s="52">
        <f t="shared" si="483"/>
        <v>117.19784934594014</v>
      </c>
      <c r="X496" s="52">
        <f t="shared" si="484"/>
        <v>144.87478332926543</v>
      </c>
      <c r="Y496" s="52">
        <f t="shared" si="485"/>
        <v>262.07263267520557</v>
      </c>
      <c r="Z496" s="53">
        <f t="shared" si="486"/>
        <v>0.91560819801515736</v>
      </c>
      <c r="AA496" s="53">
        <f t="shared" si="487"/>
        <v>0.86234990076943707</v>
      </c>
      <c r="AB496" s="53">
        <f t="shared" si="488"/>
        <v>0.88538051579461341</v>
      </c>
      <c r="AC496" s="39" t="str">
        <f t="shared" si="489"/>
        <v>No</v>
      </c>
      <c r="AD496" s="85">
        <f t="shared" si="490"/>
        <v>0</v>
      </c>
      <c r="AE496" s="46">
        <f t="shared" si="491"/>
        <v>0</v>
      </c>
      <c r="AF496" s="46">
        <f t="shared" si="492"/>
        <v>2.1257999999999999</v>
      </c>
      <c r="AG496" s="39">
        <f t="shared" si="547"/>
        <v>56.833776489763125</v>
      </c>
      <c r="AH496" s="39">
        <f t="shared" si="548"/>
        <v>63.436469686071668</v>
      </c>
      <c r="AI496" s="39">
        <f t="shared" si="549"/>
        <v>61.831486080156914</v>
      </c>
      <c r="AJ496" s="39">
        <f t="shared" si="550"/>
        <v>84.09611708994845</v>
      </c>
      <c r="AK496" s="39">
        <f t="shared" si="551"/>
        <v>81.419337245336663</v>
      </c>
      <c r="AL496" s="39">
        <f t="shared" si="552"/>
        <v>72.759194452142751</v>
      </c>
      <c r="AM496" s="39">
        <f t="shared" si="553"/>
        <v>73.155182930968749</v>
      </c>
      <c r="AN496" s="39">
        <f t="shared" si="554"/>
        <v>58.541068700817263</v>
      </c>
      <c r="AO496" s="39">
        <f t="shared" si="493"/>
        <v>2.6833776489763128</v>
      </c>
      <c r="AP496" s="39">
        <f t="shared" si="494"/>
        <v>2.5436469686071668</v>
      </c>
      <c r="AQ496" s="39">
        <f t="shared" si="495"/>
        <v>2.5831486080156929</v>
      </c>
      <c r="AR496" s="39">
        <f t="shared" si="496"/>
        <v>3.9096117089948446</v>
      </c>
      <c r="AS496" s="39">
        <f t="shared" si="497"/>
        <v>3.9419337245336674</v>
      </c>
      <c r="AT496" s="39">
        <f t="shared" si="498"/>
        <v>3.9759194452142745</v>
      </c>
      <c r="AU496" s="39">
        <f t="shared" si="499"/>
        <v>4.015518293096874</v>
      </c>
      <c r="AV496" s="39">
        <f t="shared" si="500"/>
        <v>2.5541068700817258</v>
      </c>
      <c r="AW496" s="39">
        <f t="shared" si="501"/>
        <v>26.20726326752056</v>
      </c>
      <c r="AX496" s="39">
        <f t="shared" si="502"/>
        <v>1.87</v>
      </c>
      <c r="AY496" s="39">
        <f t="shared" si="503"/>
        <v>1.87</v>
      </c>
      <c r="AZ496" s="39">
        <f t="shared" si="504"/>
        <v>0.1914704390291892</v>
      </c>
      <c r="BA496" s="39">
        <f t="shared" si="505"/>
        <v>0.18150005907676833</v>
      </c>
      <c r="BB496" s="39">
        <f t="shared" si="506"/>
        <v>0.18431866951082654</v>
      </c>
      <c r="BC496" s="39">
        <f t="shared" si="507"/>
        <v>0.27896746872005773</v>
      </c>
      <c r="BD496" s="39">
        <f t="shared" si="508"/>
        <v>0.28127378237214007</v>
      </c>
      <c r="BE496" s="39">
        <f t="shared" si="509"/>
        <v>0.28369880848127599</v>
      </c>
      <c r="BF496" s="39">
        <f t="shared" si="510"/>
        <v>0.28652435515452335</v>
      </c>
      <c r="BG496" s="39">
        <f t="shared" si="511"/>
        <v>0.18224641765521885</v>
      </c>
      <c r="BH496" s="84">
        <f t="shared" si="512"/>
        <v>0</v>
      </c>
      <c r="BI496" s="84">
        <f t="shared" si="513"/>
        <v>0</v>
      </c>
      <c r="BJ496" s="84">
        <f t="shared" si="514"/>
        <v>0</v>
      </c>
      <c r="BK496" s="39">
        <f t="shared" si="515"/>
        <v>56.642306050733936</v>
      </c>
      <c r="BL496" s="39">
        <f t="shared" si="516"/>
        <v>63.2549696269949</v>
      </c>
      <c r="BM496" s="39">
        <f t="shared" si="517"/>
        <v>61.647167410646091</v>
      </c>
      <c r="BN496" s="39">
        <f t="shared" si="518"/>
        <v>83.817149621228396</v>
      </c>
      <c r="BO496" s="39">
        <f t="shared" si="519"/>
        <v>81.138063462964524</v>
      </c>
      <c r="BP496" s="39">
        <f t="shared" si="520"/>
        <v>72.475495643661475</v>
      </c>
      <c r="BQ496" s="39">
        <f t="shared" si="521"/>
        <v>72.868658575814223</v>
      </c>
      <c r="BR496" s="39">
        <f t="shared" si="522"/>
        <v>58.358822283162041</v>
      </c>
      <c r="BS496" s="39">
        <f t="shared" si="523"/>
        <v>0</v>
      </c>
      <c r="BT496" s="39">
        <f t="shared" si="524"/>
        <v>0</v>
      </c>
      <c r="BU496" s="39">
        <f t="shared" si="525"/>
        <v>0</v>
      </c>
      <c r="BV496" s="39">
        <f t="shared" si="526"/>
        <v>0</v>
      </c>
      <c r="BW496" s="39">
        <f t="shared" si="527"/>
        <v>0</v>
      </c>
      <c r="BX496" s="39">
        <f t="shared" si="528"/>
        <v>0</v>
      </c>
      <c r="BY496" s="39">
        <f t="shared" si="529"/>
        <v>0</v>
      </c>
      <c r="BZ496" s="39">
        <f t="shared" si="530"/>
        <v>0</v>
      </c>
      <c r="CA496" s="39">
        <f t="shared" si="531"/>
        <v>56.642306050733936</v>
      </c>
      <c r="CB496" s="39">
        <f t="shared" si="532"/>
        <v>63.2549696269949</v>
      </c>
      <c r="CC496" s="39">
        <f t="shared" si="533"/>
        <v>61.647167410646091</v>
      </c>
      <c r="CD496" s="39">
        <f t="shared" si="534"/>
        <v>83.817149621228396</v>
      </c>
      <c r="CE496" s="39">
        <f t="shared" si="535"/>
        <v>81.138063462964524</v>
      </c>
      <c r="CF496" s="39">
        <f t="shared" si="536"/>
        <v>72.475495643661475</v>
      </c>
      <c r="CG496" s="39">
        <f t="shared" si="537"/>
        <v>72.868658575814223</v>
      </c>
      <c r="CH496" s="39">
        <f t="shared" si="538"/>
        <v>58.358822283162041</v>
      </c>
      <c r="CI496" s="39">
        <f t="shared" si="539"/>
        <v>0</v>
      </c>
      <c r="CJ496" s="39">
        <f t="shared" si="540"/>
        <v>0</v>
      </c>
      <c r="CK496" s="39">
        <f t="shared" si="541"/>
        <v>0</v>
      </c>
      <c r="CL496" s="39">
        <f t="shared" si="542"/>
        <v>0</v>
      </c>
      <c r="CM496" s="39">
        <f t="shared" si="543"/>
        <v>0</v>
      </c>
      <c r="CN496" s="39">
        <f t="shared" si="544"/>
        <v>0</v>
      </c>
      <c r="CO496" s="39">
        <f t="shared" si="545"/>
        <v>0</v>
      </c>
      <c r="CP496" s="39">
        <f t="shared" si="546"/>
        <v>0</v>
      </c>
    </row>
    <row r="497" spans="12:94" ht="16" customHeight="1" x14ac:dyDescent="0.2">
      <c r="L497" s="63">
        <v>30809</v>
      </c>
      <c r="M497" s="38">
        <v>0</v>
      </c>
      <c r="N497" s="38">
        <v>1.5</v>
      </c>
      <c r="O497" s="39">
        <v>2.3664000000000001</v>
      </c>
      <c r="P497" s="39">
        <v>1.1000000000000001</v>
      </c>
      <c r="Q497" s="46">
        <f t="shared" si="477"/>
        <v>9.5995325572836618E-2</v>
      </c>
      <c r="R497" s="81">
        <f t="shared" si="478"/>
        <v>0</v>
      </c>
      <c r="S497" s="82">
        <f t="shared" si="479"/>
        <v>0</v>
      </c>
      <c r="T497" s="39">
        <f t="shared" si="480"/>
        <v>0</v>
      </c>
      <c r="U497" s="83">
        <f t="shared" si="481"/>
        <v>1.6500000000000001</v>
      </c>
      <c r="V497" s="84">
        <f t="shared" si="482"/>
        <v>0</v>
      </c>
      <c r="W497" s="52">
        <f t="shared" si="483"/>
        <v>116.36159270960331</v>
      </c>
      <c r="X497" s="52">
        <f t="shared" si="484"/>
        <v>143.84103996560225</v>
      </c>
      <c r="Y497" s="52">
        <f t="shared" si="485"/>
        <v>260.20263267520556</v>
      </c>
      <c r="Z497" s="53">
        <f t="shared" si="486"/>
        <v>0.9090749430437759</v>
      </c>
      <c r="AA497" s="53">
        <f t="shared" si="487"/>
        <v>0.85619666646191817</v>
      </c>
      <c r="AB497" s="53">
        <f t="shared" si="488"/>
        <v>0.87906294822704578</v>
      </c>
      <c r="AC497" s="39" t="str">
        <f t="shared" si="489"/>
        <v>No</v>
      </c>
      <c r="AD497" s="85">
        <f t="shared" si="490"/>
        <v>0</v>
      </c>
      <c r="AE497" s="46">
        <f t="shared" si="491"/>
        <v>0</v>
      </c>
      <c r="AF497" s="46">
        <f t="shared" si="492"/>
        <v>2.1257999999999999</v>
      </c>
      <c r="AG497" s="39">
        <f t="shared" si="547"/>
        <v>56.642306050733936</v>
      </c>
      <c r="AH497" s="39">
        <f t="shared" si="548"/>
        <v>63.2549696269949</v>
      </c>
      <c r="AI497" s="39">
        <f t="shared" si="549"/>
        <v>61.647167410646091</v>
      </c>
      <c r="AJ497" s="39">
        <f t="shared" si="550"/>
        <v>83.817149621228396</v>
      </c>
      <c r="AK497" s="39">
        <f t="shared" si="551"/>
        <v>81.138063462964524</v>
      </c>
      <c r="AL497" s="39">
        <f t="shared" si="552"/>
        <v>72.475495643661475</v>
      </c>
      <c r="AM497" s="39">
        <f t="shared" si="553"/>
        <v>72.868658575814223</v>
      </c>
      <c r="AN497" s="39">
        <f t="shared" si="554"/>
        <v>58.358822283162041</v>
      </c>
      <c r="AO497" s="39">
        <f t="shared" si="493"/>
        <v>2.6642306050733939</v>
      </c>
      <c r="AP497" s="39">
        <f t="shared" si="494"/>
        <v>2.5254969626994903</v>
      </c>
      <c r="AQ497" s="39">
        <f t="shared" si="495"/>
        <v>2.5647167410646108</v>
      </c>
      <c r="AR497" s="39">
        <f t="shared" si="496"/>
        <v>3.8817149621228388</v>
      </c>
      <c r="AS497" s="39">
        <f t="shared" si="497"/>
        <v>3.9138063462964534</v>
      </c>
      <c r="AT497" s="39">
        <f t="shared" si="498"/>
        <v>3.9475495643661471</v>
      </c>
      <c r="AU497" s="39">
        <f t="shared" si="499"/>
        <v>3.9868658575814218</v>
      </c>
      <c r="AV497" s="39">
        <f t="shared" si="500"/>
        <v>2.5358822283162037</v>
      </c>
      <c r="AW497" s="39">
        <f t="shared" si="501"/>
        <v>26.020263267520562</v>
      </c>
      <c r="AX497" s="39">
        <f t="shared" si="502"/>
        <v>1.6500000000000001</v>
      </c>
      <c r="AY497" s="39">
        <f t="shared" si="503"/>
        <v>1.6500000000000001</v>
      </c>
      <c r="AZ497" s="39">
        <f t="shared" si="504"/>
        <v>0.16894450502575517</v>
      </c>
      <c r="BA497" s="39">
        <f t="shared" si="505"/>
        <v>0.16014711095008971</v>
      </c>
      <c r="BB497" s="39">
        <f t="shared" si="506"/>
        <v>0.16263412015661166</v>
      </c>
      <c r="BC497" s="39">
        <f t="shared" si="507"/>
        <v>0.24614776651769799</v>
      </c>
      <c r="BD497" s="39">
        <f t="shared" si="508"/>
        <v>0.24818274915188826</v>
      </c>
      <c r="BE497" s="39">
        <f t="shared" si="509"/>
        <v>0.25032247807171409</v>
      </c>
      <c r="BF497" s="39">
        <f t="shared" si="510"/>
        <v>0.25281560748928533</v>
      </c>
      <c r="BG497" s="39">
        <f t="shared" si="511"/>
        <v>0.16080566263695778</v>
      </c>
      <c r="BH497" s="84">
        <f t="shared" si="512"/>
        <v>0</v>
      </c>
      <c r="BI497" s="84">
        <f t="shared" si="513"/>
        <v>0</v>
      </c>
      <c r="BJ497" s="84">
        <f t="shared" si="514"/>
        <v>0</v>
      </c>
      <c r="BK497" s="39">
        <f t="shared" si="515"/>
        <v>56.47336154570818</v>
      </c>
      <c r="BL497" s="39">
        <f t="shared" si="516"/>
        <v>63.094822516044808</v>
      </c>
      <c r="BM497" s="39">
        <f t="shared" si="517"/>
        <v>61.48453329048948</v>
      </c>
      <c r="BN497" s="39">
        <f t="shared" si="518"/>
        <v>83.571001854710701</v>
      </c>
      <c r="BO497" s="39">
        <f t="shared" si="519"/>
        <v>80.88988071381263</v>
      </c>
      <c r="BP497" s="39">
        <f t="shared" si="520"/>
        <v>72.225173165589766</v>
      </c>
      <c r="BQ497" s="39">
        <f t="shared" si="521"/>
        <v>72.615842968324941</v>
      </c>
      <c r="BR497" s="39">
        <f t="shared" si="522"/>
        <v>58.198016620525081</v>
      </c>
      <c r="BS497" s="39">
        <f t="shared" si="523"/>
        <v>0</v>
      </c>
      <c r="BT497" s="39">
        <f t="shared" si="524"/>
        <v>0</v>
      </c>
      <c r="BU497" s="39">
        <f t="shared" si="525"/>
        <v>0</v>
      </c>
      <c r="BV497" s="39">
        <f t="shared" si="526"/>
        <v>0</v>
      </c>
      <c r="BW497" s="39">
        <f t="shared" si="527"/>
        <v>0</v>
      </c>
      <c r="BX497" s="39">
        <f t="shared" si="528"/>
        <v>0</v>
      </c>
      <c r="BY497" s="39">
        <f t="shared" si="529"/>
        <v>0</v>
      </c>
      <c r="BZ497" s="39">
        <f t="shared" si="530"/>
        <v>0</v>
      </c>
      <c r="CA497" s="39">
        <f t="shared" si="531"/>
        <v>56.47336154570818</v>
      </c>
      <c r="CB497" s="39">
        <f t="shared" si="532"/>
        <v>63.094822516044808</v>
      </c>
      <c r="CC497" s="39">
        <f t="shared" si="533"/>
        <v>61.48453329048948</v>
      </c>
      <c r="CD497" s="39">
        <f t="shared" si="534"/>
        <v>83.571001854710701</v>
      </c>
      <c r="CE497" s="39">
        <f t="shared" si="535"/>
        <v>80.88988071381263</v>
      </c>
      <c r="CF497" s="39">
        <f t="shared" si="536"/>
        <v>72.225173165589766</v>
      </c>
      <c r="CG497" s="39">
        <f t="shared" si="537"/>
        <v>72.615842968324941</v>
      </c>
      <c r="CH497" s="39">
        <f t="shared" si="538"/>
        <v>58.198016620525081</v>
      </c>
      <c r="CI497" s="39">
        <f t="shared" si="539"/>
        <v>0</v>
      </c>
      <c r="CJ497" s="39">
        <f t="shared" si="540"/>
        <v>0</v>
      </c>
      <c r="CK497" s="39">
        <f t="shared" si="541"/>
        <v>0</v>
      </c>
      <c r="CL497" s="39">
        <f t="shared" si="542"/>
        <v>0</v>
      </c>
      <c r="CM497" s="39">
        <f t="shared" si="543"/>
        <v>0</v>
      </c>
      <c r="CN497" s="39">
        <f t="shared" si="544"/>
        <v>0</v>
      </c>
      <c r="CO497" s="39">
        <f t="shared" si="545"/>
        <v>0</v>
      </c>
      <c r="CP497" s="39">
        <f t="shared" si="546"/>
        <v>0</v>
      </c>
    </row>
    <row r="498" spans="12:94" ht="16" customHeight="1" x14ac:dyDescent="0.2">
      <c r="L498" s="63">
        <v>30810</v>
      </c>
      <c r="M498" s="38">
        <v>0</v>
      </c>
      <c r="N498" s="38">
        <v>2.2999999999999998</v>
      </c>
      <c r="O498" s="39">
        <v>2.3664000000000001</v>
      </c>
      <c r="P498" s="39">
        <v>1.1000000000000001</v>
      </c>
      <c r="Q498" s="46">
        <f t="shared" si="477"/>
        <v>9.6337780650591537E-2</v>
      </c>
      <c r="R498" s="81">
        <f t="shared" si="478"/>
        <v>0</v>
      </c>
      <c r="S498" s="82">
        <f t="shared" si="479"/>
        <v>0</v>
      </c>
      <c r="T498" s="39">
        <f t="shared" si="480"/>
        <v>0</v>
      </c>
      <c r="U498" s="83">
        <f t="shared" si="481"/>
        <v>2.5299999999999998</v>
      </c>
      <c r="V498" s="84">
        <f t="shared" si="482"/>
        <v>0</v>
      </c>
      <c r="W498" s="52">
        <f t="shared" si="483"/>
        <v>115.62371920695318</v>
      </c>
      <c r="X498" s="52">
        <f t="shared" si="484"/>
        <v>142.92891346825246</v>
      </c>
      <c r="Y498" s="52">
        <f t="shared" si="485"/>
        <v>258.55263267520564</v>
      </c>
      <c r="Z498" s="53">
        <f t="shared" si="486"/>
        <v>0.90331030630432174</v>
      </c>
      <c r="AA498" s="53">
        <f t="shared" si="487"/>
        <v>0.85076734207293137</v>
      </c>
      <c r="AB498" s="53">
        <f t="shared" si="488"/>
        <v>0.87348862390272175</v>
      </c>
      <c r="AC498" s="39" t="str">
        <f t="shared" si="489"/>
        <v>No</v>
      </c>
      <c r="AD498" s="85">
        <f t="shared" si="490"/>
        <v>0</v>
      </c>
      <c r="AE498" s="46">
        <f t="shared" si="491"/>
        <v>0</v>
      </c>
      <c r="AF498" s="46">
        <f t="shared" si="492"/>
        <v>2.1257999999999999</v>
      </c>
      <c r="AG498" s="39">
        <f t="shared" si="547"/>
        <v>56.47336154570818</v>
      </c>
      <c r="AH498" s="39">
        <f t="shared" si="548"/>
        <v>63.094822516044808</v>
      </c>
      <c r="AI498" s="39">
        <f t="shared" si="549"/>
        <v>61.48453329048948</v>
      </c>
      <c r="AJ498" s="39">
        <f t="shared" si="550"/>
        <v>83.571001854710701</v>
      </c>
      <c r="AK498" s="39">
        <f t="shared" si="551"/>
        <v>80.88988071381263</v>
      </c>
      <c r="AL498" s="39">
        <f t="shared" si="552"/>
        <v>72.225173165589766</v>
      </c>
      <c r="AM498" s="39">
        <f t="shared" si="553"/>
        <v>72.615842968324941</v>
      </c>
      <c r="AN498" s="39">
        <f t="shared" si="554"/>
        <v>58.198016620525081</v>
      </c>
      <c r="AO498" s="39">
        <f t="shared" si="493"/>
        <v>2.6473361545708181</v>
      </c>
      <c r="AP498" s="39">
        <f t="shared" si="494"/>
        <v>2.509482251604481</v>
      </c>
      <c r="AQ498" s="39">
        <f t="shared" si="495"/>
        <v>2.5484533290489497</v>
      </c>
      <c r="AR498" s="39">
        <f t="shared" si="496"/>
        <v>3.8571001854710696</v>
      </c>
      <c r="AS498" s="39">
        <f t="shared" si="497"/>
        <v>3.8889880713812639</v>
      </c>
      <c r="AT498" s="39">
        <f t="shared" si="498"/>
        <v>3.922517316558976</v>
      </c>
      <c r="AU498" s="39">
        <f t="shared" si="499"/>
        <v>3.9615842968324935</v>
      </c>
      <c r="AV498" s="39">
        <f t="shared" si="500"/>
        <v>2.5198016620525077</v>
      </c>
      <c r="AW498" s="39">
        <f t="shared" si="501"/>
        <v>25.855263267520563</v>
      </c>
      <c r="AX498" s="39">
        <f t="shared" si="502"/>
        <v>2.5299999999999998</v>
      </c>
      <c r="AY498" s="39">
        <f t="shared" si="503"/>
        <v>2.5299999999999998</v>
      </c>
      <c r="AZ498" s="39">
        <f t="shared" si="504"/>
        <v>0.2590482410394912</v>
      </c>
      <c r="BA498" s="39">
        <f t="shared" si="505"/>
        <v>0.24555890345680415</v>
      </c>
      <c r="BB498" s="39">
        <f t="shared" si="506"/>
        <v>0.2493723175734712</v>
      </c>
      <c r="BC498" s="39">
        <f t="shared" si="507"/>
        <v>0.37742657532713692</v>
      </c>
      <c r="BD498" s="39">
        <f t="shared" si="508"/>
        <v>0.38054688203289522</v>
      </c>
      <c r="BE498" s="39">
        <f t="shared" si="509"/>
        <v>0.3838277997099615</v>
      </c>
      <c r="BF498" s="39">
        <f t="shared" si="510"/>
        <v>0.38765059815023745</v>
      </c>
      <c r="BG498" s="39">
        <f t="shared" si="511"/>
        <v>0.24656868271000187</v>
      </c>
      <c r="BH498" s="84">
        <f t="shared" si="512"/>
        <v>0</v>
      </c>
      <c r="BI498" s="84">
        <f t="shared" si="513"/>
        <v>0</v>
      </c>
      <c r="BJ498" s="84">
        <f t="shared" si="514"/>
        <v>0</v>
      </c>
      <c r="BK498" s="39">
        <f t="shared" si="515"/>
        <v>56.214313304668686</v>
      </c>
      <c r="BL498" s="39">
        <f t="shared" si="516"/>
        <v>62.849263612588004</v>
      </c>
      <c r="BM498" s="39">
        <f t="shared" si="517"/>
        <v>61.235160972916006</v>
      </c>
      <c r="BN498" s="39">
        <f t="shared" si="518"/>
        <v>83.193575279383566</v>
      </c>
      <c r="BO498" s="39">
        <f t="shared" si="519"/>
        <v>80.509333831779742</v>
      </c>
      <c r="BP498" s="39">
        <f t="shared" si="520"/>
        <v>71.841345365879803</v>
      </c>
      <c r="BQ498" s="39">
        <f t="shared" si="521"/>
        <v>72.22819237017471</v>
      </c>
      <c r="BR498" s="39">
        <f t="shared" si="522"/>
        <v>57.951447937815082</v>
      </c>
      <c r="BS498" s="39">
        <f t="shared" si="523"/>
        <v>0</v>
      </c>
      <c r="BT498" s="39">
        <f t="shared" si="524"/>
        <v>0</v>
      </c>
      <c r="BU498" s="39">
        <f t="shared" si="525"/>
        <v>0</v>
      </c>
      <c r="BV498" s="39">
        <f t="shared" si="526"/>
        <v>0</v>
      </c>
      <c r="BW498" s="39">
        <f t="shared" si="527"/>
        <v>0</v>
      </c>
      <c r="BX498" s="39">
        <f t="shared" si="528"/>
        <v>0</v>
      </c>
      <c r="BY498" s="39">
        <f t="shared" si="529"/>
        <v>0</v>
      </c>
      <c r="BZ498" s="39">
        <f t="shared" si="530"/>
        <v>0</v>
      </c>
      <c r="CA498" s="39">
        <f t="shared" si="531"/>
        <v>56.214313304668686</v>
      </c>
      <c r="CB498" s="39">
        <f t="shared" si="532"/>
        <v>62.849263612588004</v>
      </c>
      <c r="CC498" s="39">
        <f t="shared" si="533"/>
        <v>61.235160972916006</v>
      </c>
      <c r="CD498" s="39">
        <f t="shared" si="534"/>
        <v>83.193575279383566</v>
      </c>
      <c r="CE498" s="39">
        <f t="shared" si="535"/>
        <v>80.509333831779742</v>
      </c>
      <c r="CF498" s="39">
        <f t="shared" si="536"/>
        <v>71.841345365879803</v>
      </c>
      <c r="CG498" s="39">
        <f t="shared" si="537"/>
        <v>72.22819237017471</v>
      </c>
      <c r="CH498" s="39">
        <f t="shared" si="538"/>
        <v>57.951447937815082</v>
      </c>
      <c r="CI498" s="39">
        <f t="shared" si="539"/>
        <v>0</v>
      </c>
      <c r="CJ498" s="39">
        <f t="shared" si="540"/>
        <v>0</v>
      </c>
      <c r="CK498" s="39">
        <f t="shared" si="541"/>
        <v>0</v>
      </c>
      <c r="CL498" s="39">
        <f t="shared" si="542"/>
        <v>0</v>
      </c>
      <c r="CM498" s="39">
        <f t="shared" si="543"/>
        <v>0</v>
      </c>
      <c r="CN498" s="39">
        <f t="shared" si="544"/>
        <v>0</v>
      </c>
      <c r="CO498" s="39">
        <f t="shared" si="545"/>
        <v>0</v>
      </c>
      <c r="CP498" s="39">
        <f t="shared" si="546"/>
        <v>0</v>
      </c>
    </row>
    <row r="499" spans="12:94" ht="16" customHeight="1" x14ac:dyDescent="0.2">
      <c r="L499" s="63">
        <v>30811</v>
      </c>
      <c r="M499" s="38">
        <v>0</v>
      </c>
      <c r="N499" s="38">
        <v>2.2999999999999998</v>
      </c>
      <c r="O499" s="39">
        <v>2.3664000000000001</v>
      </c>
      <c r="P499" s="39">
        <v>1.1000000000000001</v>
      </c>
      <c r="Q499" s="46">
        <f t="shared" si="477"/>
        <v>9.6862878436482391E-2</v>
      </c>
      <c r="R499" s="81">
        <f t="shared" si="478"/>
        <v>0</v>
      </c>
      <c r="S499" s="82">
        <f t="shared" si="479"/>
        <v>0</v>
      </c>
      <c r="T499" s="39">
        <f t="shared" si="480"/>
        <v>0</v>
      </c>
      <c r="U499" s="83">
        <f t="shared" si="481"/>
        <v>2.5299999999999998</v>
      </c>
      <c r="V499" s="84">
        <f t="shared" si="482"/>
        <v>0</v>
      </c>
      <c r="W499" s="52">
        <f t="shared" si="483"/>
        <v>114.49231316955627</v>
      </c>
      <c r="X499" s="52">
        <f t="shared" si="484"/>
        <v>141.53031950564935</v>
      </c>
      <c r="Y499" s="52">
        <f t="shared" si="485"/>
        <v>256.02263267520561</v>
      </c>
      <c r="Z499" s="53">
        <f t="shared" si="486"/>
        <v>0.89447119663715835</v>
      </c>
      <c r="AA499" s="53">
        <f t="shared" si="487"/>
        <v>0.84244237800981758</v>
      </c>
      <c r="AB499" s="53">
        <f t="shared" si="488"/>
        <v>0.86494132660542433</v>
      </c>
      <c r="AC499" s="39" t="str">
        <f t="shared" si="489"/>
        <v>No</v>
      </c>
      <c r="AD499" s="85">
        <f t="shared" si="490"/>
        <v>0</v>
      </c>
      <c r="AE499" s="46">
        <f t="shared" si="491"/>
        <v>0</v>
      </c>
      <c r="AF499" s="46">
        <f t="shared" si="492"/>
        <v>2.1257999999999999</v>
      </c>
      <c r="AG499" s="39">
        <f t="shared" si="547"/>
        <v>56.214313304668686</v>
      </c>
      <c r="AH499" s="39">
        <f t="shared" si="548"/>
        <v>62.849263612588004</v>
      </c>
      <c r="AI499" s="39">
        <f t="shared" si="549"/>
        <v>61.235160972916006</v>
      </c>
      <c r="AJ499" s="39">
        <f t="shared" si="550"/>
        <v>83.193575279383566</v>
      </c>
      <c r="AK499" s="39">
        <f t="shared" si="551"/>
        <v>80.509333831779742</v>
      </c>
      <c r="AL499" s="39">
        <f t="shared" si="552"/>
        <v>71.841345365879803</v>
      </c>
      <c r="AM499" s="39">
        <f t="shared" si="553"/>
        <v>72.22819237017471</v>
      </c>
      <c r="AN499" s="39">
        <f t="shared" si="554"/>
        <v>57.951447937815082</v>
      </c>
      <c r="AO499" s="39">
        <f t="shared" si="493"/>
        <v>2.6214313304668688</v>
      </c>
      <c r="AP499" s="39">
        <f t="shared" si="494"/>
        <v>2.4849263612588004</v>
      </c>
      <c r="AQ499" s="39">
        <f t="shared" si="495"/>
        <v>2.5235160972916022</v>
      </c>
      <c r="AR499" s="39">
        <f t="shared" si="496"/>
        <v>3.8193575279383563</v>
      </c>
      <c r="AS499" s="39">
        <f t="shared" si="497"/>
        <v>3.8509333831779751</v>
      </c>
      <c r="AT499" s="39">
        <f t="shared" si="498"/>
        <v>3.8841345365879798</v>
      </c>
      <c r="AU499" s="39">
        <f t="shared" si="499"/>
        <v>3.9228192370174706</v>
      </c>
      <c r="AV499" s="39">
        <f t="shared" si="500"/>
        <v>2.4951447937815079</v>
      </c>
      <c r="AW499" s="39">
        <f t="shared" si="501"/>
        <v>25.602263267520563</v>
      </c>
      <c r="AX499" s="39">
        <f t="shared" si="502"/>
        <v>2.5299999999999998</v>
      </c>
      <c r="AY499" s="39">
        <f t="shared" si="503"/>
        <v>2.5299999999999998</v>
      </c>
      <c r="AZ499" s="39">
        <f t="shared" si="504"/>
        <v>0.2590482410394912</v>
      </c>
      <c r="BA499" s="39">
        <f t="shared" si="505"/>
        <v>0.24555890345680415</v>
      </c>
      <c r="BB499" s="39">
        <f t="shared" si="506"/>
        <v>0.24937231757347117</v>
      </c>
      <c r="BC499" s="39">
        <f t="shared" si="507"/>
        <v>0.37742657532713692</v>
      </c>
      <c r="BD499" s="39">
        <f t="shared" si="508"/>
        <v>0.38054688203289527</v>
      </c>
      <c r="BE499" s="39">
        <f t="shared" si="509"/>
        <v>0.3838277997099615</v>
      </c>
      <c r="BF499" s="39">
        <f t="shared" si="510"/>
        <v>0.3876505981502375</v>
      </c>
      <c r="BG499" s="39">
        <f t="shared" si="511"/>
        <v>0.2465686827100019</v>
      </c>
      <c r="BH499" s="84">
        <f t="shared" si="512"/>
        <v>0</v>
      </c>
      <c r="BI499" s="84">
        <f t="shared" si="513"/>
        <v>0</v>
      </c>
      <c r="BJ499" s="84">
        <f t="shared" si="514"/>
        <v>0</v>
      </c>
      <c r="BK499" s="39">
        <f t="shared" si="515"/>
        <v>55.955265063629192</v>
      </c>
      <c r="BL499" s="39">
        <f t="shared" si="516"/>
        <v>62.6037047091312</v>
      </c>
      <c r="BM499" s="39">
        <f t="shared" si="517"/>
        <v>60.985788655342532</v>
      </c>
      <c r="BN499" s="39">
        <f t="shared" si="518"/>
        <v>82.816148704056431</v>
      </c>
      <c r="BO499" s="39">
        <f t="shared" si="519"/>
        <v>80.128786949746853</v>
      </c>
      <c r="BP499" s="39">
        <f t="shared" si="520"/>
        <v>71.457517566169841</v>
      </c>
      <c r="BQ499" s="39">
        <f t="shared" si="521"/>
        <v>71.84054177202448</v>
      </c>
      <c r="BR499" s="39">
        <f t="shared" si="522"/>
        <v>57.704879255105084</v>
      </c>
      <c r="BS499" s="39">
        <f t="shared" si="523"/>
        <v>0</v>
      </c>
      <c r="BT499" s="39">
        <f t="shared" si="524"/>
        <v>0</v>
      </c>
      <c r="BU499" s="39">
        <f t="shared" si="525"/>
        <v>0</v>
      </c>
      <c r="BV499" s="39">
        <f t="shared" si="526"/>
        <v>0</v>
      </c>
      <c r="BW499" s="39">
        <f t="shared" si="527"/>
        <v>0</v>
      </c>
      <c r="BX499" s="39">
        <f t="shared" si="528"/>
        <v>0</v>
      </c>
      <c r="BY499" s="39">
        <f t="shared" si="529"/>
        <v>0</v>
      </c>
      <c r="BZ499" s="39">
        <f t="shared" si="530"/>
        <v>0</v>
      </c>
      <c r="CA499" s="39">
        <f t="shared" si="531"/>
        <v>55.955265063629192</v>
      </c>
      <c r="CB499" s="39">
        <f t="shared" si="532"/>
        <v>62.6037047091312</v>
      </c>
      <c r="CC499" s="39">
        <f t="shared" si="533"/>
        <v>60.985788655342532</v>
      </c>
      <c r="CD499" s="39">
        <f t="shared" si="534"/>
        <v>82.816148704056431</v>
      </c>
      <c r="CE499" s="39">
        <f t="shared" si="535"/>
        <v>80.128786949746853</v>
      </c>
      <c r="CF499" s="39">
        <f t="shared" si="536"/>
        <v>71.457517566169841</v>
      </c>
      <c r="CG499" s="39">
        <f t="shared" si="537"/>
        <v>71.84054177202448</v>
      </c>
      <c r="CH499" s="39">
        <f t="shared" si="538"/>
        <v>57.704879255105084</v>
      </c>
      <c r="CI499" s="39">
        <f t="shared" si="539"/>
        <v>0</v>
      </c>
      <c r="CJ499" s="39">
        <f t="shared" si="540"/>
        <v>0</v>
      </c>
      <c r="CK499" s="39">
        <f t="shared" si="541"/>
        <v>0</v>
      </c>
      <c r="CL499" s="39">
        <f t="shared" si="542"/>
        <v>0</v>
      </c>
      <c r="CM499" s="39">
        <f t="shared" si="543"/>
        <v>0</v>
      </c>
      <c r="CN499" s="39">
        <f t="shared" si="544"/>
        <v>0</v>
      </c>
      <c r="CO499" s="39">
        <f t="shared" si="545"/>
        <v>0</v>
      </c>
      <c r="CP499" s="39">
        <f t="shared" si="546"/>
        <v>0</v>
      </c>
    </row>
    <row r="500" spans="12:94" ht="16" customHeight="1" x14ac:dyDescent="0.2">
      <c r="L500" s="63">
        <v>30812</v>
      </c>
      <c r="M500" s="38">
        <v>0</v>
      </c>
      <c r="N500" s="38">
        <v>1.6</v>
      </c>
      <c r="O500" s="39">
        <v>2.3664000000000001</v>
      </c>
      <c r="P500" s="39">
        <v>1.1000000000000001</v>
      </c>
      <c r="Q500" s="46">
        <f t="shared" si="477"/>
        <v>9.738797622237326E-2</v>
      </c>
      <c r="R500" s="81">
        <f t="shared" si="478"/>
        <v>0</v>
      </c>
      <c r="S500" s="82">
        <f t="shared" si="479"/>
        <v>0</v>
      </c>
      <c r="T500" s="39">
        <f t="shared" si="480"/>
        <v>0</v>
      </c>
      <c r="U500" s="83">
        <f t="shared" si="481"/>
        <v>1.7600000000000002</v>
      </c>
      <c r="V500" s="84">
        <f t="shared" si="482"/>
        <v>0</v>
      </c>
      <c r="W500" s="52">
        <f t="shared" si="483"/>
        <v>113.36090713215935</v>
      </c>
      <c r="X500" s="52">
        <f t="shared" si="484"/>
        <v>140.13172554304629</v>
      </c>
      <c r="Y500" s="52">
        <f t="shared" si="485"/>
        <v>253.49263267520564</v>
      </c>
      <c r="Z500" s="53">
        <f t="shared" si="486"/>
        <v>0.88563208696999496</v>
      </c>
      <c r="AA500" s="53">
        <f t="shared" si="487"/>
        <v>0.83411741394670413</v>
      </c>
      <c r="AB500" s="53">
        <f t="shared" si="488"/>
        <v>0.85639402930812714</v>
      </c>
      <c r="AC500" s="39" t="str">
        <f t="shared" si="489"/>
        <v>No</v>
      </c>
      <c r="AD500" s="85">
        <f t="shared" si="490"/>
        <v>0</v>
      </c>
      <c r="AE500" s="46">
        <f t="shared" si="491"/>
        <v>0</v>
      </c>
      <c r="AF500" s="46">
        <f t="shared" si="492"/>
        <v>2.1257999999999999</v>
      </c>
      <c r="AG500" s="39">
        <f t="shared" si="547"/>
        <v>55.955265063629192</v>
      </c>
      <c r="AH500" s="39">
        <f t="shared" si="548"/>
        <v>62.6037047091312</v>
      </c>
      <c r="AI500" s="39">
        <f t="shared" si="549"/>
        <v>60.985788655342532</v>
      </c>
      <c r="AJ500" s="39">
        <f t="shared" si="550"/>
        <v>82.816148704056431</v>
      </c>
      <c r="AK500" s="39">
        <f t="shared" si="551"/>
        <v>80.128786949746853</v>
      </c>
      <c r="AL500" s="39">
        <f t="shared" si="552"/>
        <v>71.457517566169841</v>
      </c>
      <c r="AM500" s="39">
        <f t="shared" si="553"/>
        <v>71.84054177202448</v>
      </c>
      <c r="AN500" s="39">
        <f t="shared" si="554"/>
        <v>57.704879255105084</v>
      </c>
      <c r="AO500" s="39">
        <f t="shared" si="493"/>
        <v>2.5955265063629192</v>
      </c>
      <c r="AP500" s="39">
        <f t="shared" si="494"/>
        <v>2.4603704709131202</v>
      </c>
      <c r="AQ500" s="39">
        <f t="shared" si="495"/>
        <v>2.4985788655342547</v>
      </c>
      <c r="AR500" s="39">
        <f t="shared" si="496"/>
        <v>3.7816148704056425</v>
      </c>
      <c r="AS500" s="39">
        <f t="shared" si="497"/>
        <v>3.8128786949746862</v>
      </c>
      <c r="AT500" s="39">
        <f t="shared" si="498"/>
        <v>3.8457517566169837</v>
      </c>
      <c r="AU500" s="39">
        <f t="shared" si="499"/>
        <v>3.8840541772024473</v>
      </c>
      <c r="AV500" s="39">
        <f t="shared" si="500"/>
        <v>2.4704879255105077</v>
      </c>
      <c r="AW500" s="39">
        <f t="shared" si="501"/>
        <v>25.349263267520563</v>
      </c>
      <c r="AX500" s="39">
        <f t="shared" si="502"/>
        <v>1.7600000000000002</v>
      </c>
      <c r="AY500" s="39">
        <f t="shared" si="503"/>
        <v>1.7600000000000002</v>
      </c>
      <c r="AZ500" s="39">
        <f t="shared" si="504"/>
        <v>0.18020747202747212</v>
      </c>
      <c r="BA500" s="39">
        <f t="shared" si="505"/>
        <v>0.17082358501342901</v>
      </c>
      <c r="BB500" s="39">
        <f t="shared" si="506"/>
        <v>0.17347639483371907</v>
      </c>
      <c r="BC500" s="39">
        <f t="shared" si="507"/>
        <v>0.26255761761887791</v>
      </c>
      <c r="BD500" s="39">
        <f t="shared" si="508"/>
        <v>0.26472826576201419</v>
      </c>
      <c r="BE500" s="39">
        <f t="shared" si="509"/>
        <v>0.26701064327649504</v>
      </c>
      <c r="BF500" s="39">
        <f t="shared" si="510"/>
        <v>0.26966998132190445</v>
      </c>
      <c r="BG500" s="39">
        <f t="shared" si="511"/>
        <v>0.17152604014608833</v>
      </c>
      <c r="BH500" s="84">
        <f t="shared" si="512"/>
        <v>0</v>
      </c>
      <c r="BI500" s="84">
        <f t="shared" si="513"/>
        <v>0</v>
      </c>
      <c r="BJ500" s="84">
        <f t="shared" si="514"/>
        <v>0</v>
      </c>
      <c r="BK500" s="39">
        <f t="shared" si="515"/>
        <v>55.775057591601723</v>
      </c>
      <c r="BL500" s="39">
        <f t="shared" si="516"/>
        <v>62.43288112411777</v>
      </c>
      <c r="BM500" s="39">
        <f t="shared" si="517"/>
        <v>60.812312260508811</v>
      </c>
      <c r="BN500" s="39">
        <f t="shared" si="518"/>
        <v>82.55359108643755</v>
      </c>
      <c r="BO500" s="39">
        <f t="shared" si="519"/>
        <v>79.864058683984837</v>
      </c>
      <c r="BP500" s="39">
        <f t="shared" si="520"/>
        <v>71.190506922893348</v>
      </c>
      <c r="BQ500" s="39">
        <f t="shared" si="521"/>
        <v>71.570871790702569</v>
      </c>
      <c r="BR500" s="39">
        <f t="shared" si="522"/>
        <v>57.533353214958993</v>
      </c>
      <c r="BS500" s="39">
        <f t="shared" si="523"/>
        <v>0</v>
      </c>
      <c r="BT500" s="39">
        <f t="shared" si="524"/>
        <v>0</v>
      </c>
      <c r="BU500" s="39">
        <f t="shared" si="525"/>
        <v>0</v>
      </c>
      <c r="BV500" s="39">
        <f t="shared" si="526"/>
        <v>0</v>
      </c>
      <c r="BW500" s="39">
        <f t="shared" si="527"/>
        <v>0</v>
      </c>
      <c r="BX500" s="39">
        <f t="shared" si="528"/>
        <v>0</v>
      </c>
      <c r="BY500" s="39">
        <f t="shared" si="529"/>
        <v>0</v>
      </c>
      <c r="BZ500" s="39">
        <f t="shared" si="530"/>
        <v>0</v>
      </c>
      <c r="CA500" s="39">
        <f t="shared" si="531"/>
        <v>55.775057591601723</v>
      </c>
      <c r="CB500" s="39">
        <f t="shared" si="532"/>
        <v>62.43288112411777</v>
      </c>
      <c r="CC500" s="39">
        <f t="shared" si="533"/>
        <v>60.812312260508811</v>
      </c>
      <c r="CD500" s="39">
        <f t="shared" si="534"/>
        <v>82.55359108643755</v>
      </c>
      <c r="CE500" s="39">
        <f t="shared" si="535"/>
        <v>79.864058683984837</v>
      </c>
      <c r="CF500" s="39">
        <f t="shared" si="536"/>
        <v>71.190506922893348</v>
      </c>
      <c r="CG500" s="39">
        <f t="shared" si="537"/>
        <v>71.570871790702569</v>
      </c>
      <c r="CH500" s="39">
        <f t="shared" si="538"/>
        <v>57.533353214958993</v>
      </c>
      <c r="CI500" s="39">
        <f t="shared" si="539"/>
        <v>0</v>
      </c>
      <c r="CJ500" s="39">
        <f t="shared" si="540"/>
        <v>0</v>
      </c>
      <c r="CK500" s="39">
        <f t="shared" si="541"/>
        <v>0</v>
      </c>
      <c r="CL500" s="39">
        <f t="shared" si="542"/>
        <v>0</v>
      </c>
      <c r="CM500" s="39">
        <f t="shared" si="543"/>
        <v>0</v>
      </c>
      <c r="CN500" s="39">
        <f t="shared" si="544"/>
        <v>0</v>
      </c>
      <c r="CO500" s="39">
        <f t="shared" si="545"/>
        <v>0</v>
      </c>
      <c r="CP500" s="39">
        <f t="shared" si="546"/>
        <v>0</v>
      </c>
    </row>
    <row r="501" spans="12:94" ht="16" customHeight="1" x14ac:dyDescent="0.2">
      <c r="L501" s="63">
        <v>30813</v>
      </c>
      <c r="M501" s="38">
        <v>0.5</v>
      </c>
      <c r="N501" s="38">
        <v>1.5</v>
      </c>
      <c r="O501" s="39">
        <v>2.3664000000000001</v>
      </c>
      <c r="P501" s="39">
        <v>1.1000000000000001</v>
      </c>
      <c r="Q501" s="46">
        <f t="shared" si="477"/>
        <v>9.7753261638645159E-2</v>
      </c>
      <c r="R501" s="81">
        <f t="shared" si="478"/>
        <v>0</v>
      </c>
      <c r="S501" s="82">
        <f t="shared" si="479"/>
        <v>0.5</v>
      </c>
      <c r="T501" s="39">
        <f t="shared" si="480"/>
        <v>0</v>
      </c>
      <c r="U501" s="83">
        <f t="shared" si="481"/>
        <v>1.6500000000000001</v>
      </c>
      <c r="V501" s="84">
        <f t="shared" si="482"/>
        <v>0</v>
      </c>
      <c r="W501" s="52">
        <f t="shared" si="483"/>
        <v>112.57384206266585</v>
      </c>
      <c r="X501" s="52">
        <f t="shared" si="484"/>
        <v>139.15879061253975</v>
      </c>
      <c r="Y501" s="52">
        <f t="shared" si="485"/>
        <v>251.73263267520559</v>
      </c>
      <c r="Z501" s="53">
        <f t="shared" si="486"/>
        <v>0.87948314111457693</v>
      </c>
      <c r="AA501" s="53">
        <f t="shared" si="487"/>
        <v>0.82832613459845084</v>
      </c>
      <c r="AB501" s="53">
        <f t="shared" si="488"/>
        <v>0.85044808336218103</v>
      </c>
      <c r="AC501" s="39" t="str">
        <f t="shared" si="489"/>
        <v>No</v>
      </c>
      <c r="AD501" s="85">
        <f t="shared" si="490"/>
        <v>0</v>
      </c>
      <c r="AE501" s="46">
        <f t="shared" si="491"/>
        <v>0</v>
      </c>
      <c r="AF501" s="46">
        <f t="shared" si="492"/>
        <v>2.1257999999999999</v>
      </c>
      <c r="AG501" s="39">
        <f t="shared" si="547"/>
        <v>55.775057591601723</v>
      </c>
      <c r="AH501" s="39">
        <f t="shared" si="548"/>
        <v>62.43288112411777</v>
      </c>
      <c r="AI501" s="39">
        <f t="shared" si="549"/>
        <v>60.812312260508811</v>
      </c>
      <c r="AJ501" s="39">
        <f t="shared" si="550"/>
        <v>82.55359108643755</v>
      </c>
      <c r="AK501" s="39">
        <f t="shared" si="551"/>
        <v>79.864058683984837</v>
      </c>
      <c r="AL501" s="39">
        <f t="shared" si="552"/>
        <v>71.190506922893348</v>
      </c>
      <c r="AM501" s="39">
        <f t="shared" si="553"/>
        <v>71.570871790702569</v>
      </c>
      <c r="AN501" s="39">
        <f t="shared" si="554"/>
        <v>57.533353214958993</v>
      </c>
      <c r="AO501" s="39">
        <f t="shared" si="493"/>
        <v>2.5775057591601724</v>
      </c>
      <c r="AP501" s="39">
        <f t="shared" si="494"/>
        <v>2.4432881124117771</v>
      </c>
      <c r="AQ501" s="39">
        <f t="shared" si="495"/>
        <v>2.4812312260508826</v>
      </c>
      <c r="AR501" s="39">
        <f t="shared" si="496"/>
        <v>3.7553591086437543</v>
      </c>
      <c r="AS501" s="39">
        <f t="shared" si="497"/>
        <v>3.7864058683984845</v>
      </c>
      <c r="AT501" s="39">
        <f t="shared" si="498"/>
        <v>3.8190506922893341</v>
      </c>
      <c r="AU501" s="39">
        <f t="shared" si="499"/>
        <v>3.8570871790702563</v>
      </c>
      <c r="AV501" s="39">
        <f t="shared" si="500"/>
        <v>2.4533353214958988</v>
      </c>
      <c r="AW501" s="39">
        <f t="shared" si="501"/>
        <v>25.173263267520561</v>
      </c>
      <c r="AX501" s="39">
        <f t="shared" si="502"/>
        <v>1.6500000000000001</v>
      </c>
      <c r="AY501" s="39">
        <f t="shared" si="503"/>
        <v>1.1500000000000001</v>
      </c>
      <c r="AZ501" s="39">
        <f t="shared" si="504"/>
        <v>0.11774920047249601</v>
      </c>
      <c r="BA501" s="39">
        <f t="shared" si="505"/>
        <v>0.11161768338945645</v>
      </c>
      <c r="BB501" s="39">
        <f t="shared" si="506"/>
        <v>0.1133510534424869</v>
      </c>
      <c r="BC501" s="39">
        <f t="shared" si="507"/>
        <v>0.17155753423960773</v>
      </c>
      <c r="BD501" s="39">
        <f t="shared" si="508"/>
        <v>0.17297585546949792</v>
      </c>
      <c r="BE501" s="39">
        <f t="shared" si="509"/>
        <v>0.1744671816863462</v>
      </c>
      <c r="BF501" s="39">
        <f t="shared" si="510"/>
        <v>0.17620481734101706</v>
      </c>
      <c r="BG501" s="39">
        <f t="shared" si="511"/>
        <v>0.11207667395909181</v>
      </c>
      <c r="BH501" s="84">
        <f t="shared" si="512"/>
        <v>0</v>
      </c>
      <c r="BI501" s="84">
        <f t="shared" si="513"/>
        <v>0</v>
      </c>
      <c r="BJ501" s="84">
        <f t="shared" si="514"/>
        <v>0</v>
      </c>
      <c r="BK501" s="39">
        <f t="shared" si="515"/>
        <v>55.657308391129227</v>
      </c>
      <c r="BL501" s="39">
        <f t="shared" si="516"/>
        <v>62.321263440728316</v>
      </c>
      <c r="BM501" s="39">
        <f t="shared" si="517"/>
        <v>60.698961207066326</v>
      </c>
      <c r="BN501" s="39">
        <f t="shared" si="518"/>
        <v>82.382033552197939</v>
      </c>
      <c r="BO501" s="39">
        <f t="shared" si="519"/>
        <v>79.691082828515334</v>
      </c>
      <c r="BP501" s="39">
        <f t="shared" si="520"/>
        <v>71.016039741206995</v>
      </c>
      <c r="BQ501" s="39">
        <f t="shared" si="521"/>
        <v>71.394666973361552</v>
      </c>
      <c r="BR501" s="39">
        <f t="shared" si="522"/>
        <v>57.421276540999898</v>
      </c>
      <c r="BS501" s="39">
        <f t="shared" si="523"/>
        <v>0</v>
      </c>
      <c r="BT501" s="39">
        <f t="shared" si="524"/>
        <v>0</v>
      </c>
      <c r="BU501" s="39">
        <f t="shared" si="525"/>
        <v>0</v>
      </c>
      <c r="BV501" s="39">
        <f t="shared" si="526"/>
        <v>0</v>
      </c>
      <c r="BW501" s="39">
        <f t="shared" si="527"/>
        <v>0</v>
      </c>
      <c r="BX501" s="39">
        <f t="shared" si="528"/>
        <v>0</v>
      </c>
      <c r="BY501" s="39">
        <f t="shared" si="529"/>
        <v>0</v>
      </c>
      <c r="BZ501" s="39">
        <f t="shared" si="530"/>
        <v>0</v>
      </c>
      <c r="CA501" s="39">
        <f t="shared" si="531"/>
        <v>55.657308391129227</v>
      </c>
      <c r="CB501" s="39">
        <f t="shared" si="532"/>
        <v>62.321263440728316</v>
      </c>
      <c r="CC501" s="39">
        <f t="shared" si="533"/>
        <v>60.698961207066326</v>
      </c>
      <c r="CD501" s="39">
        <f t="shared" si="534"/>
        <v>82.382033552197939</v>
      </c>
      <c r="CE501" s="39">
        <f t="shared" si="535"/>
        <v>79.691082828515334</v>
      </c>
      <c r="CF501" s="39">
        <f t="shared" si="536"/>
        <v>71.016039741206995</v>
      </c>
      <c r="CG501" s="39">
        <f t="shared" si="537"/>
        <v>71.394666973361552</v>
      </c>
      <c r="CH501" s="39">
        <f t="shared" si="538"/>
        <v>57.421276540999898</v>
      </c>
      <c r="CI501" s="39">
        <f t="shared" si="539"/>
        <v>0</v>
      </c>
      <c r="CJ501" s="39">
        <f t="shared" si="540"/>
        <v>0</v>
      </c>
      <c r="CK501" s="39">
        <f t="shared" si="541"/>
        <v>0</v>
      </c>
      <c r="CL501" s="39">
        <f t="shared" si="542"/>
        <v>0</v>
      </c>
      <c r="CM501" s="39">
        <f t="shared" si="543"/>
        <v>0</v>
      </c>
      <c r="CN501" s="39">
        <f t="shared" si="544"/>
        <v>0</v>
      </c>
      <c r="CO501" s="39">
        <f t="shared" si="545"/>
        <v>0</v>
      </c>
      <c r="CP501" s="39">
        <f t="shared" si="546"/>
        <v>0</v>
      </c>
    </row>
    <row r="502" spans="12:94" ht="16" customHeight="1" x14ac:dyDescent="0.2">
      <c r="L502" s="63">
        <v>30814</v>
      </c>
      <c r="M502" s="38">
        <v>0</v>
      </c>
      <c r="N502" s="38">
        <v>1.5</v>
      </c>
      <c r="O502" s="39">
        <v>2.3664000000000001</v>
      </c>
      <c r="P502" s="39">
        <v>1.1000000000000001</v>
      </c>
      <c r="Q502" s="46">
        <f t="shared" si="477"/>
        <v>9.7991942450413719E-2</v>
      </c>
      <c r="R502" s="81">
        <f t="shared" si="478"/>
        <v>0</v>
      </c>
      <c r="S502" s="82">
        <f t="shared" si="479"/>
        <v>0</v>
      </c>
      <c r="T502" s="39">
        <f t="shared" si="480"/>
        <v>0</v>
      </c>
      <c r="U502" s="83">
        <f t="shared" si="481"/>
        <v>1.6500000000000001</v>
      </c>
      <c r="V502" s="84">
        <f t="shared" si="482"/>
        <v>0</v>
      </c>
      <c r="W502" s="52">
        <f t="shared" si="483"/>
        <v>112.05956659112184</v>
      </c>
      <c r="X502" s="52">
        <f t="shared" si="484"/>
        <v>138.52306608408378</v>
      </c>
      <c r="Y502" s="52">
        <f t="shared" si="485"/>
        <v>250.58263267520562</v>
      </c>
      <c r="Z502" s="53">
        <f t="shared" si="486"/>
        <v>0.87546536399313934</v>
      </c>
      <c r="AA502" s="53">
        <f t="shared" si="487"/>
        <v>0.82454206002430819</v>
      </c>
      <c r="AB502" s="53">
        <f t="shared" si="488"/>
        <v>0.84656294822704603</v>
      </c>
      <c r="AC502" s="39" t="str">
        <f t="shared" si="489"/>
        <v>No</v>
      </c>
      <c r="AD502" s="85">
        <f t="shared" si="490"/>
        <v>0</v>
      </c>
      <c r="AE502" s="46">
        <f t="shared" si="491"/>
        <v>0</v>
      </c>
      <c r="AF502" s="46">
        <f t="shared" si="492"/>
        <v>2.1257999999999999</v>
      </c>
      <c r="AG502" s="39">
        <f t="shared" si="547"/>
        <v>55.657308391129227</v>
      </c>
      <c r="AH502" s="39">
        <f t="shared" si="548"/>
        <v>62.321263440728316</v>
      </c>
      <c r="AI502" s="39">
        <f t="shared" si="549"/>
        <v>60.698961207066326</v>
      </c>
      <c r="AJ502" s="39">
        <f t="shared" si="550"/>
        <v>82.382033552197939</v>
      </c>
      <c r="AK502" s="39">
        <f t="shared" si="551"/>
        <v>79.691082828515334</v>
      </c>
      <c r="AL502" s="39">
        <f t="shared" si="552"/>
        <v>71.016039741206995</v>
      </c>
      <c r="AM502" s="39">
        <f t="shared" si="553"/>
        <v>71.394666973361552</v>
      </c>
      <c r="AN502" s="39">
        <f t="shared" si="554"/>
        <v>57.421276540999898</v>
      </c>
      <c r="AO502" s="39">
        <f t="shared" si="493"/>
        <v>2.565730839112923</v>
      </c>
      <c r="AP502" s="39">
        <f t="shared" si="494"/>
        <v>2.4321263440728318</v>
      </c>
      <c r="AQ502" s="39">
        <f t="shared" si="495"/>
        <v>2.4698961207066343</v>
      </c>
      <c r="AR502" s="39">
        <f t="shared" si="496"/>
        <v>3.7382033552197935</v>
      </c>
      <c r="AS502" s="39">
        <f t="shared" si="497"/>
        <v>3.7691082828515343</v>
      </c>
      <c r="AT502" s="39">
        <f t="shared" si="498"/>
        <v>3.8016039741206988</v>
      </c>
      <c r="AU502" s="39">
        <f t="shared" si="499"/>
        <v>3.8394666973361549</v>
      </c>
      <c r="AV502" s="39">
        <f t="shared" si="500"/>
        <v>2.4421276540999894</v>
      </c>
      <c r="AW502" s="39">
        <f t="shared" si="501"/>
        <v>25.058263267520559</v>
      </c>
      <c r="AX502" s="39">
        <f t="shared" si="502"/>
        <v>1.6500000000000001</v>
      </c>
      <c r="AY502" s="39">
        <f t="shared" si="503"/>
        <v>1.6500000000000001</v>
      </c>
      <c r="AZ502" s="39">
        <f t="shared" si="504"/>
        <v>0.16894450502575517</v>
      </c>
      <c r="BA502" s="39">
        <f t="shared" si="505"/>
        <v>0.16014711095008974</v>
      </c>
      <c r="BB502" s="39">
        <f t="shared" si="506"/>
        <v>0.16263412015661166</v>
      </c>
      <c r="BC502" s="39">
        <f t="shared" si="507"/>
        <v>0.24614776651769804</v>
      </c>
      <c r="BD502" s="39">
        <f t="shared" si="508"/>
        <v>0.24818274915188832</v>
      </c>
      <c r="BE502" s="39">
        <f t="shared" si="509"/>
        <v>0.25032247807171409</v>
      </c>
      <c r="BF502" s="39">
        <f t="shared" si="510"/>
        <v>0.25281560748928539</v>
      </c>
      <c r="BG502" s="39">
        <f t="shared" si="511"/>
        <v>0.16080566263695781</v>
      </c>
      <c r="BH502" s="84">
        <f t="shared" si="512"/>
        <v>0</v>
      </c>
      <c r="BI502" s="84">
        <f t="shared" si="513"/>
        <v>0</v>
      </c>
      <c r="BJ502" s="84">
        <f t="shared" si="514"/>
        <v>0</v>
      </c>
      <c r="BK502" s="39">
        <f t="shared" si="515"/>
        <v>55.488363886103471</v>
      </c>
      <c r="BL502" s="39">
        <f t="shared" si="516"/>
        <v>62.161116329778224</v>
      </c>
      <c r="BM502" s="39">
        <f t="shared" si="517"/>
        <v>60.536327086909715</v>
      </c>
      <c r="BN502" s="39">
        <f t="shared" si="518"/>
        <v>82.135885785680244</v>
      </c>
      <c r="BO502" s="39">
        <f t="shared" si="519"/>
        <v>79.44290007936344</v>
      </c>
      <c r="BP502" s="39">
        <f t="shared" si="520"/>
        <v>70.765717263135286</v>
      </c>
      <c r="BQ502" s="39">
        <f t="shared" si="521"/>
        <v>71.14185136587227</v>
      </c>
      <c r="BR502" s="39">
        <f t="shared" si="522"/>
        <v>57.260470878362938</v>
      </c>
      <c r="BS502" s="39">
        <f t="shared" si="523"/>
        <v>0</v>
      </c>
      <c r="BT502" s="39">
        <f t="shared" si="524"/>
        <v>0</v>
      </c>
      <c r="BU502" s="39">
        <f t="shared" si="525"/>
        <v>0</v>
      </c>
      <c r="BV502" s="39">
        <f t="shared" si="526"/>
        <v>0</v>
      </c>
      <c r="BW502" s="39">
        <f t="shared" si="527"/>
        <v>0</v>
      </c>
      <c r="BX502" s="39">
        <f t="shared" si="528"/>
        <v>0</v>
      </c>
      <c r="BY502" s="39">
        <f t="shared" si="529"/>
        <v>0</v>
      </c>
      <c r="BZ502" s="39">
        <f t="shared" si="530"/>
        <v>0</v>
      </c>
      <c r="CA502" s="39">
        <f t="shared" si="531"/>
        <v>55.488363886103471</v>
      </c>
      <c r="CB502" s="39">
        <f t="shared" si="532"/>
        <v>62.161116329778224</v>
      </c>
      <c r="CC502" s="39">
        <f t="shared" si="533"/>
        <v>60.536327086909715</v>
      </c>
      <c r="CD502" s="39">
        <f t="shared" si="534"/>
        <v>82.135885785680244</v>
      </c>
      <c r="CE502" s="39">
        <f t="shared" si="535"/>
        <v>79.44290007936344</v>
      </c>
      <c r="CF502" s="39">
        <f t="shared" si="536"/>
        <v>70.765717263135286</v>
      </c>
      <c r="CG502" s="39">
        <f t="shared" si="537"/>
        <v>71.14185136587227</v>
      </c>
      <c r="CH502" s="39">
        <f t="shared" si="538"/>
        <v>57.260470878362938</v>
      </c>
      <c r="CI502" s="39">
        <f t="shared" si="539"/>
        <v>0</v>
      </c>
      <c r="CJ502" s="39">
        <f t="shared" si="540"/>
        <v>0</v>
      </c>
      <c r="CK502" s="39">
        <f t="shared" si="541"/>
        <v>0</v>
      </c>
      <c r="CL502" s="39">
        <f t="shared" si="542"/>
        <v>0</v>
      </c>
      <c r="CM502" s="39">
        <f t="shared" si="543"/>
        <v>0</v>
      </c>
      <c r="CN502" s="39">
        <f t="shared" si="544"/>
        <v>0</v>
      </c>
      <c r="CO502" s="39">
        <f t="shared" si="545"/>
        <v>0</v>
      </c>
      <c r="CP502" s="39">
        <f t="shared" si="546"/>
        <v>0</v>
      </c>
    </row>
    <row r="503" spans="12:94" ht="16" customHeight="1" x14ac:dyDescent="0.2">
      <c r="L503" s="63">
        <v>30815</v>
      </c>
      <c r="M503" s="38">
        <v>0</v>
      </c>
      <c r="N503" s="38">
        <v>1.8</v>
      </c>
      <c r="O503" s="39">
        <v>2.3664000000000001</v>
      </c>
      <c r="P503" s="39">
        <v>1.1000000000000001</v>
      </c>
      <c r="Q503" s="46">
        <f t="shared" si="477"/>
        <v>9.8334397528168638E-2</v>
      </c>
      <c r="R503" s="81">
        <f t="shared" si="478"/>
        <v>0</v>
      </c>
      <c r="S503" s="82">
        <f t="shared" si="479"/>
        <v>0</v>
      </c>
      <c r="T503" s="39">
        <f t="shared" si="480"/>
        <v>0</v>
      </c>
      <c r="U503" s="83">
        <f t="shared" si="481"/>
        <v>1.9800000000000002</v>
      </c>
      <c r="V503" s="84">
        <f t="shared" si="482"/>
        <v>0</v>
      </c>
      <c r="W503" s="52">
        <f t="shared" si="483"/>
        <v>111.32169308847165</v>
      </c>
      <c r="X503" s="52">
        <f t="shared" si="484"/>
        <v>137.61093958673393</v>
      </c>
      <c r="Y503" s="52">
        <f t="shared" si="485"/>
        <v>248.93263267520558</v>
      </c>
      <c r="Z503" s="53">
        <f t="shared" si="486"/>
        <v>0.86970072725368475</v>
      </c>
      <c r="AA503" s="53">
        <f t="shared" si="487"/>
        <v>0.81911273563532105</v>
      </c>
      <c r="AB503" s="53">
        <f t="shared" si="488"/>
        <v>0.84098862390272155</v>
      </c>
      <c r="AC503" s="39" t="str">
        <f t="shared" si="489"/>
        <v>No</v>
      </c>
      <c r="AD503" s="85">
        <f t="shared" si="490"/>
        <v>0</v>
      </c>
      <c r="AE503" s="46">
        <f t="shared" si="491"/>
        <v>0</v>
      </c>
      <c r="AF503" s="46">
        <f t="shared" si="492"/>
        <v>2.1257999999999999</v>
      </c>
      <c r="AG503" s="39">
        <f t="shared" si="547"/>
        <v>55.488363886103471</v>
      </c>
      <c r="AH503" s="39">
        <f t="shared" si="548"/>
        <v>62.161116329778224</v>
      </c>
      <c r="AI503" s="39">
        <f t="shared" si="549"/>
        <v>60.536327086909715</v>
      </c>
      <c r="AJ503" s="39">
        <f t="shared" si="550"/>
        <v>82.135885785680244</v>
      </c>
      <c r="AK503" s="39">
        <f t="shared" si="551"/>
        <v>79.44290007936344</v>
      </c>
      <c r="AL503" s="39">
        <f t="shared" si="552"/>
        <v>70.765717263135286</v>
      </c>
      <c r="AM503" s="39">
        <f t="shared" si="553"/>
        <v>71.14185136587227</v>
      </c>
      <c r="AN503" s="39">
        <f t="shared" si="554"/>
        <v>57.260470878362938</v>
      </c>
      <c r="AO503" s="39">
        <f t="shared" si="493"/>
        <v>2.5488363886103471</v>
      </c>
      <c r="AP503" s="39">
        <f t="shared" si="494"/>
        <v>2.4161116329778225</v>
      </c>
      <c r="AQ503" s="39">
        <f t="shared" si="495"/>
        <v>2.4536327086909733</v>
      </c>
      <c r="AR503" s="39">
        <f t="shared" si="496"/>
        <v>3.7135885785680238</v>
      </c>
      <c r="AS503" s="39">
        <f t="shared" si="497"/>
        <v>3.7442900079363448</v>
      </c>
      <c r="AT503" s="39">
        <f t="shared" si="498"/>
        <v>3.7765717263135281</v>
      </c>
      <c r="AU503" s="39">
        <f t="shared" si="499"/>
        <v>3.8141851365872266</v>
      </c>
      <c r="AV503" s="39">
        <f t="shared" si="500"/>
        <v>2.4260470878362934</v>
      </c>
      <c r="AW503" s="39">
        <f t="shared" si="501"/>
        <v>24.89326326752056</v>
      </c>
      <c r="AX503" s="39">
        <f t="shared" si="502"/>
        <v>1.9800000000000002</v>
      </c>
      <c r="AY503" s="39">
        <f t="shared" si="503"/>
        <v>1.9800000000000002</v>
      </c>
      <c r="AZ503" s="39">
        <f t="shared" si="504"/>
        <v>0.20273340603090617</v>
      </c>
      <c r="BA503" s="39">
        <f t="shared" si="505"/>
        <v>0.19217653314010763</v>
      </c>
      <c r="BB503" s="39">
        <f t="shared" si="506"/>
        <v>0.195160944187934</v>
      </c>
      <c r="BC503" s="39">
        <f t="shared" si="507"/>
        <v>0.29537731982123766</v>
      </c>
      <c r="BD503" s="39">
        <f t="shared" si="508"/>
        <v>0.29781929898226595</v>
      </c>
      <c r="BE503" s="39">
        <f t="shared" si="509"/>
        <v>0.30038697368605694</v>
      </c>
      <c r="BF503" s="39">
        <f t="shared" si="510"/>
        <v>0.30337872898714252</v>
      </c>
      <c r="BG503" s="39">
        <f t="shared" si="511"/>
        <v>0.19296679516434936</v>
      </c>
      <c r="BH503" s="84">
        <f t="shared" si="512"/>
        <v>0</v>
      </c>
      <c r="BI503" s="84">
        <f t="shared" si="513"/>
        <v>0</v>
      </c>
      <c r="BJ503" s="84">
        <f t="shared" si="514"/>
        <v>0</v>
      </c>
      <c r="BK503" s="39">
        <f t="shared" si="515"/>
        <v>55.285630480072562</v>
      </c>
      <c r="BL503" s="39">
        <f t="shared" si="516"/>
        <v>61.968939796638118</v>
      </c>
      <c r="BM503" s="39">
        <f t="shared" si="517"/>
        <v>60.341166142721782</v>
      </c>
      <c r="BN503" s="39">
        <f t="shared" si="518"/>
        <v>81.840508465859003</v>
      </c>
      <c r="BO503" s="39">
        <f t="shared" si="519"/>
        <v>79.145080780381178</v>
      </c>
      <c r="BP503" s="39">
        <f t="shared" si="520"/>
        <v>70.465330289449227</v>
      </c>
      <c r="BQ503" s="39">
        <f t="shared" si="521"/>
        <v>70.838472636885129</v>
      </c>
      <c r="BR503" s="39">
        <f t="shared" si="522"/>
        <v>57.067504083198585</v>
      </c>
      <c r="BS503" s="39">
        <f t="shared" si="523"/>
        <v>0</v>
      </c>
      <c r="BT503" s="39">
        <f t="shared" si="524"/>
        <v>0</v>
      </c>
      <c r="BU503" s="39">
        <f t="shared" si="525"/>
        <v>0</v>
      </c>
      <c r="BV503" s="39">
        <f t="shared" si="526"/>
        <v>0</v>
      </c>
      <c r="BW503" s="39">
        <f t="shared" si="527"/>
        <v>0</v>
      </c>
      <c r="BX503" s="39">
        <f t="shared" si="528"/>
        <v>0</v>
      </c>
      <c r="BY503" s="39">
        <f t="shared" si="529"/>
        <v>0</v>
      </c>
      <c r="BZ503" s="39">
        <f t="shared" si="530"/>
        <v>0</v>
      </c>
      <c r="CA503" s="39">
        <f t="shared" si="531"/>
        <v>55.285630480072562</v>
      </c>
      <c r="CB503" s="39">
        <f t="shared" si="532"/>
        <v>61.968939796638118</v>
      </c>
      <c r="CC503" s="39">
        <f t="shared" si="533"/>
        <v>60.341166142721782</v>
      </c>
      <c r="CD503" s="39">
        <f t="shared" si="534"/>
        <v>81.840508465859003</v>
      </c>
      <c r="CE503" s="39">
        <f t="shared" si="535"/>
        <v>79.145080780381178</v>
      </c>
      <c r="CF503" s="39">
        <f t="shared" si="536"/>
        <v>70.465330289449227</v>
      </c>
      <c r="CG503" s="39">
        <f t="shared" si="537"/>
        <v>70.838472636885129</v>
      </c>
      <c r="CH503" s="39">
        <f t="shared" si="538"/>
        <v>57.067504083198585</v>
      </c>
      <c r="CI503" s="39">
        <f t="shared" si="539"/>
        <v>0</v>
      </c>
      <c r="CJ503" s="39">
        <f t="shared" si="540"/>
        <v>0</v>
      </c>
      <c r="CK503" s="39">
        <f t="shared" si="541"/>
        <v>0</v>
      </c>
      <c r="CL503" s="39">
        <f t="shared" si="542"/>
        <v>0</v>
      </c>
      <c r="CM503" s="39">
        <f t="shared" si="543"/>
        <v>0</v>
      </c>
      <c r="CN503" s="39">
        <f t="shared" si="544"/>
        <v>0</v>
      </c>
      <c r="CO503" s="39">
        <f t="shared" si="545"/>
        <v>0</v>
      </c>
      <c r="CP503" s="39">
        <f t="shared" si="546"/>
        <v>0</v>
      </c>
    </row>
    <row r="504" spans="12:94" ht="16" customHeight="1" x14ac:dyDescent="0.2">
      <c r="L504" s="63">
        <v>30816</v>
      </c>
      <c r="M504" s="38">
        <v>0</v>
      </c>
      <c r="N504" s="38">
        <v>2.4</v>
      </c>
      <c r="O504" s="39">
        <v>2.3664000000000001</v>
      </c>
      <c r="P504" s="39">
        <v>1.1000000000000001</v>
      </c>
      <c r="Q504" s="46">
        <f t="shared" si="477"/>
        <v>9.8745343621474524E-2</v>
      </c>
      <c r="R504" s="81">
        <f t="shared" si="478"/>
        <v>0</v>
      </c>
      <c r="S504" s="82">
        <f t="shared" si="479"/>
        <v>0</v>
      </c>
      <c r="T504" s="39">
        <f t="shared" si="480"/>
        <v>0</v>
      </c>
      <c r="U504" s="83">
        <f t="shared" si="481"/>
        <v>2.64</v>
      </c>
      <c r="V504" s="84">
        <f t="shared" si="482"/>
        <v>0</v>
      </c>
      <c r="W504" s="52">
        <f t="shared" si="483"/>
        <v>110.43624488529144</v>
      </c>
      <c r="X504" s="52">
        <f t="shared" si="484"/>
        <v>136.51638778991412</v>
      </c>
      <c r="Y504" s="52">
        <f t="shared" si="485"/>
        <v>246.95263267520556</v>
      </c>
      <c r="Z504" s="53">
        <f t="shared" si="486"/>
        <v>0.86278316316633941</v>
      </c>
      <c r="AA504" s="53">
        <f t="shared" si="487"/>
        <v>0.81259754636853643</v>
      </c>
      <c r="AB504" s="53">
        <f t="shared" si="488"/>
        <v>0.8342994347135323</v>
      </c>
      <c r="AC504" s="39" t="str">
        <f t="shared" si="489"/>
        <v>No</v>
      </c>
      <c r="AD504" s="85">
        <f t="shared" si="490"/>
        <v>0</v>
      </c>
      <c r="AE504" s="46">
        <f t="shared" si="491"/>
        <v>0</v>
      </c>
      <c r="AF504" s="46">
        <f t="shared" si="492"/>
        <v>2.1257999999999999</v>
      </c>
      <c r="AG504" s="39">
        <f t="shared" si="547"/>
        <v>55.285630480072562</v>
      </c>
      <c r="AH504" s="39">
        <f t="shared" si="548"/>
        <v>61.968939796638118</v>
      </c>
      <c r="AI504" s="39">
        <f t="shared" si="549"/>
        <v>60.341166142721782</v>
      </c>
      <c r="AJ504" s="39">
        <f t="shared" si="550"/>
        <v>81.840508465859003</v>
      </c>
      <c r="AK504" s="39">
        <f t="shared" si="551"/>
        <v>79.145080780381178</v>
      </c>
      <c r="AL504" s="39">
        <f t="shared" si="552"/>
        <v>70.465330289449227</v>
      </c>
      <c r="AM504" s="39">
        <f t="shared" si="553"/>
        <v>70.838472636885129</v>
      </c>
      <c r="AN504" s="39">
        <f t="shared" si="554"/>
        <v>57.067504083198585</v>
      </c>
      <c r="AO504" s="39">
        <f t="shared" si="493"/>
        <v>2.5285630480072565</v>
      </c>
      <c r="AP504" s="39">
        <f t="shared" si="494"/>
        <v>2.3968939796638118</v>
      </c>
      <c r="AQ504" s="39">
        <f t="shared" si="495"/>
        <v>2.4341166142721797</v>
      </c>
      <c r="AR504" s="39">
        <f t="shared" si="496"/>
        <v>3.6840508465858997</v>
      </c>
      <c r="AS504" s="39">
        <f t="shared" si="497"/>
        <v>3.7145080780381186</v>
      </c>
      <c r="AT504" s="39">
        <f t="shared" si="498"/>
        <v>3.7465330289449223</v>
      </c>
      <c r="AU504" s="39">
        <f t="shared" si="499"/>
        <v>3.7838472636885125</v>
      </c>
      <c r="AV504" s="39">
        <f t="shared" si="500"/>
        <v>2.4067504083198581</v>
      </c>
      <c r="AW504" s="39">
        <f t="shared" si="501"/>
        <v>24.695263267520559</v>
      </c>
      <c r="AX504" s="39">
        <f t="shared" si="502"/>
        <v>2.64</v>
      </c>
      <c r="AY504" s="39">
        <f t="shared" si="503"/>
        <v>2.64</v>
      </c>
      <c r="AZ504" s="39">
        <f t="shared" si="504"/>
        <v>0.27031120804120823</v>
      </c>
      <c r="BA504" s="39">
        <f t="shared" si="505"/>
        <v>0.25623537752014353</v>
      </c>
      <c r="BB504" s="39">
        <f t="shared" si="506"/>
        <v>0.26021459225057864</v>
      </c>
      <c r="BC504" s="39">
        <f t="shared" si="507"/>
        <v>0.39383642642831684</v>
      </c>
      <c r="BD504" s="39">
        <f t="shared" si="508"/>
        <v>0.39709239864302126</v>
      </c>
      <c r="BE504" s="39">
        <f t="shared" si="509"/>
        <v>0.40051596491474256</v>
      </c>
      <c r="BF504" s="39">
        <f t="shared" si="510"/>
        <v>0.40450497198285673</v>
      </c>
      <c r="BG504" s="39">
        <f t="shared" si="511"/>
        <v>0.25728906021913239</v>
      </c>
      <c r="BH504" s="84">
        <f t="shared" si="512"/>
        <v>0</v>
      </c>
      <c r="BI504" s="84">
        <f t="shared" si="513"/>
        <v>0</v>
      </c>
      <c r="BJ504" s="84">
        <f t="shared" si="514"/>
        <v>0</v>
      </c>
      <c r="BK504" s="39">
        <f t="shared" si="515"/>
        <v>55.015319272031356</v>
      </c>
      <c r="BL504" s="39">
        <f t="shared" si="516"/>
        <v>61.712704419117976</v>
      </c>
      <c r="BM504" s="39">
        <f t="shared" si="517"/>
        <v>60.080951550471205</v>
      </c>
      <c r="BN504" s="39">
        <f t="shared" si="518"/>
        <v>81.44667203943068</v>
      </c>
      <c r="BO504" s="39">
        <f t="shared" si="519"/>
        <v>78.747988381738153</v>
      </c>
      <c r="BP504" s="39">
        <f t="shared" si="520"/>
        <v>70.064814324534481</v>
      </c>
      <c r="BQ504" s="39">
        <f t="shared" si="521"/>
        <v>70.433967664902269</v>
      </c>
      <c r="BR504" s="39">
        <f t="shared" si="522"/>
        <v>56.810215022979456</v>
      </c>
      <c r="BS504" s="39">
        <f t="shared" si="523"/>
        <v>0</v>
      </c>
      <c r="BT504" s="39">
        <f t="shared" si="524"/>
        <v>0</v>
      </c>
      <c r="BU504" s="39">
        <f t="shared" si="525"/>
        <v>0</v>
      </c>
      <c r="BV504" s="39">
        <f t="shared" si="526"/>
        <v>0</v>
      </c>
      <c r="BW504" s="39">
        <f t="shared" si="527"/>
        <v>0</v>
      </c>
      <c r="BX504" s="39">
        <f t="shared" si="528"/>
        <v>0</v>
      </c>
      <c r="BY504" s="39">
        <f t="shared" si="529"/>
        <v>0</v>
      </c>
      <c r="BZ504" s="39">
        <f t="shared" si="530"/>
        <v>0</v>
      </c>
      <c r="CA504" s="39">
        <f t="shared" si="531"/>
        <v>55.015319272031356</v>
      </c>
      <c r="CB504" s="39">
        <f t="shared" si="532"/>
        <v>61.712704419117976</v>
      </c>
      <c r="CC504" s="39">
        <f t="shared" si="533"/>
        <v>60.080951550471205</v>
      </c>
      <c r="CD504" s="39">
        <f t="shared" si="534"/>
        <v>81.44667203943068</v>
      </c>
      <c r="CE504" s="39">
        <f t="shared" si="535"/>
        <v>78.747988381738153</v>
      </c>
      <c r="CF504" s="39">
        <f t="shared" si="536"/>
        <v>70.064814324534481</v>
      </c>
      <c r="CG504" s="39">
        <f t="shared" si="537"/>
        <v>70.433967664902269</v>
      </c>
      <c r="CH504" s="39">
        <f t="shared" si="538"/>
        <v>56.810215022979456</v>
      </c>
      <c r="CI504" s="39">
        <f t="shared" si="539"/>
        <v>0</v>
      </c>
      <c r="CJ504" s="39">
        <f t="shared" si="540"/>
        <v>0</v>
      </c>
      <c r="CK504" s="39">
        <f t="shared" si="541"/>
        <v>0</v>
      </c>
      <c r="CL504" s="39">
        <f t="shared" si="542"/>
        <v>0</v>
      </c>
      <c r="CM504" s="39">
        <f t="shared" si="543"/>
        <v>0</v>
      </c>
      <c r="CN504" s="39">
        <f t="shared" si="544"/>
        <v>0</v>
      </c>
      <c r="CO504" s="39">
        <f t="shared" si="545"/>
        <v>0</v>
      </c>
      <c r="CP504" s="39">
        <f t="shared" si="546"/>
        <v>0</v>
      </c>
    </row>
    <row r="505" spans="12:94" ht="16" customHeight="1" x14ac:dyDescent="0.2">
      <c r="L505" s="63">
        <v>30817</v>
      </c>
      <c r="M505" s="38">
        <v>0</v>
      </c>
      <c r="N505" s="38">
        <v>2.1</v>
      </c>
      <c r="O505" s="39">
        <v>2.3664000000000001</v>
      </c>
      <c r="P505" s="39">
        <v>1.1000000000000001</v>
      </c>
      <c r="Q505" s="46">
        <f t="shared" si="477"/>
        <v>9.9293271745882386E-2</v>
      </c>
      <c r="R505" s="81">
        <f t="shared" si="478"/>
        <v>0</v>
      </c>
      <c r="S505" s="82">
        <f t="shared" si="479"/>
        <v>0</v>
      </c>
      <c r="T505" s="39">
        <f t="shared" si="480"/>
        <v>0</v>
      </c>
      <c r="U505" s="83">
        <f t="shared" si="481"/>
        <v>2.3100000000000005</v>
      </c>
      <c r="V505" s="84">
        <f t="shared" si="482"/>
        <v>0</v>
      </c>
      <c r="W505" s="52">
        <f t="shared" si="483"/>
        <v>109.25564728105121</v>
      </c>
      <c r="X505" s="52">
        <f t="shared" si="484"/>
        <v>135.05698539415437</v>
      </c>
      <c r="Y505" s="52">
        <f t="shared" si="485"/>
        <v>244.31263267520558</v>
      </c>
      <c r="Z505" s="53">
        <f t="shared" si="486"/>
        <v>0.85355974438321258</v>
      </c>
      <c r="AA505" s="53">
        <f t="shared" si="487"/>
        <v>0.80391062734615693</v>
      </c>
      <c r="AB505" s="53">
        <f t="shared" si="488"/>
        <v>0.82538051579461347</v>
      </c>
      <c r="AC505" s="39" t="str">
        <f t="shared" si="489"/>
        <v>No</v>
      </c>
      <c r="AD505" s="85">
        <f t="shared" si="490"/>
        <v>0</v>
      </c>
      <c r="AE505" s="46">
        <f t="shared" si="491"/>
        <v>0</v>
      </c>
      <c r="AF505" s="46">
        <f t="shared" si="492"/>
        <v>2.1257999999999999</v>
      </c>
      <c r="AG505" s="39">
        <f t="shared" si="547"/>
        <v>55.015319272031356</v>
      </c>
      <c r="AH505" s="39">
        <f t="shared" si="548"/>
        <v>61.712704419117976</v>
      </c>
      <c r="AI505" s="39">
        <f t="shared" si="549"/>
        <v>60.080951550471205</v>
      </c>
      <c r="AJ505" s="39">
        <f t="shared" si="550"/>
        <v>81.44667203943068</v>
      </c>
      <c r="AK505" s="39">
        <f t="shared" si="551"/>
        <v>78.747988381738153</v>
      </c>
      <c r="AL505" s="39">
        <f t="shared" si="552"/>
        <v>70.064814324534481</v>
      </c>
      <c r="AM505" s="39">
        <f t="shared" si="553"/>
        <v>70.433967664902269</v>
      </c>
      <c r="AN505" s="39">
        <f t="shared" si="554"/>
        <v>56.810215022979456</v>
      </c>
      <c r="AO505" s="39">
        <f t="shared" si="493"/>
        <v>2.5015319272031356</v>
      </c>
      <c r="AP505" s="39">
        <f t="shared" si="494"/>
        <v>2.3712704419117978</v>
      </c>
      <c r="AQ505" s="39">
        <f t="shared" si="495"/>
        <v>2.4080951550471221</v>
      </c>
      <c r="AR505" s="39">
        <f t="shared" si="496"/>
        <v>3.6446672039430674</v>
      </c>
      <c r="AS505" s="39">
        <f t="shared" si="497"/>
        <v>3.6747988381738161</v>
      </c>
      <c r="AT505" s="39">
        <f t="shared" si="498"/>
        <v>3.7064814324534474</v>
      </c>
      <c r="AU505" s="39">
        <f t="shared" si="499"/>
        <v>3.7433967664902266</v>
      </c>
      <c r="AV505" s="39">
        <f t="shared" si="500"/>
        <v>2.3810215022979451</v>
      </c>
      <c r="AW505" s="39">
        <f t="shared" si="501"/>
        <v>24.43126326752056</v>
      </c>
      <c r="AX505" s="39">
        <f t="shared" si="502"/>
        <v>2.3100000000000005</v>
      </c>
      <c r="AY505" s="39">
        <f t="shared" si="503"/>
        <v>2.3100000000000005</v>
      </c>
      <c r="AZ505" s="39">
        <f t="shared" si="504"/>
        <v>0.23652230703605723</v>
      </c>
      <c r="BA505" s="39">
        <f t="shared" si="505"/>
        <v>0.22420595533012566</v>
      </c>
      <c r="BB505" s="39">
        <f t="shared" si="506"/>
        <v>0.22768776821925638</v>
      </c>
      <c r="BC505" s="39">
        <f t="shared" si="507"/>
        <v>0.34460687312477722</v>
      </c>
      <c r="BD505" s="39">
        <f t="shared" si="508"/>
        <v>0.34745584881264363</v>
      </c>
      <c r="BE505" s="39">
        <f t="shared" si="509"/>
        <v>0.35045146930039972</v>
      </c>
      <c r="BF505" s="39">
        <f t="shared" si="510"/>
        <v>0.3539418504849996</v>
      </c>
      <c r="BG505" s="39">
        <f t="shared" si="511"/>
        <v>0.22512792769174089</v>
      </c>
      <c r="BH505" s="84">
        <f t="shared" si="512"/>
        <v>0</v>
      </c>
      <c r="BI505" s="84">
        <f t="shared" si="513"/>
        <v>0</v>
      </c>
      <c r="BJ505" s="84">
        <f t="shared" si="514"/>
        <v>0</v>
      </c>
      <c r="BK505" s="39">
        <f t="shared" si="515"/>
        <v>54.778796964995301</v>
      </c>
      <c r="BL505" s="39">
        <f t="shared" si="516"/>
        <v>61.488498463787849</v>
      </c>
      <c r="BM505" s="39">
        <f t="shared" si="517"/>
        <v>59.85326378225195</v>
      </c>
      <c r="BN505" s="39">
        <f t="shared" si="518"/>
        <v>81.102065166305906</v>
      </c>
      <c r="BO505" s="39">
        <f t="shared" si="519"/>
        <v>78.40053253292551</v>
      </c>
      <c r="BP505" s="39">
        <f t="shared" si="520"/>
        <v>69.714362855234086</v>
      </c>
      <c r="BQ505" s="39">
        <f t="shared" si="521"/>
        <v>70.080025814417269</v>
      </c>
      <c r="BR505" s="39">
        <f t="shared" si="522"/>
        <v>56.585087095287712</v>
      </c>
      <c r="BS505" s="39">
        <f t="shared" si="523"/>
        <v>0</v>
      </c>
      <c r="BT505" s="39">
        <f t="shared" si="524"/>
        <v>0</v>
      </c>
      <c r="BU505" s="39">
        <f t="shared" si="525"/>
        <v>0</v>
      </c>
      <c r="BV505" s="39">
        <f t="shared" si="526"/>
        <v>0</v>
      </c>
      <c r="BW505" s="39">
        <f t="shared" si="527"/>
        <v>0</v>
      </c>
      <c r="BX505" s="39">
        <f t="shared" si="528"/>
        <v>0</v>
      </c>
      <c r="BY505" s="39">
        <f t="shared" si="529"/>
        <v>0</v>
      </c>
      <c r="BZ505" s="39">
        <f t="shared" si="530"/>
        <v>0</v>
      </c>
      <c r="CA505" s="39">
        <f t="shared" si="531"/>
        <v>54.778796964995301</v>
      </c>
      <c r="CB505" s="39">
        <f t="shared" si="532"/>
        <v>61.488498463787849</v>
      </c>
      <c r="CC505" s="39">
        <f t="shared" si="533"/>
        <v>59.85326378225195</v>
      </c>
      <c r="CD505" s="39">
        <f t="shared" si="534"/>
        <v>81.102065166305906</v>
      </c>
      <c r="CE505" s="39">
        <f t="shared" si="535"/>
        <v>78.40053253292551</v>
      </c>
      <c r="CF505" s="39">
        <f t="shared" si="536"/>
        <v>69.714362855234086</v>
      </c>
      <c r="CG505" s="39">
        <f t="shared" si="537"/>
        <v>70.080025814417269</v>
      </c>
      <c r="CH505" s="39">
        <f t="shared" si="538"/>
        <v>56.585087095287712</v>
      </c>
      <c r="CI505" s="39">
        <f t="shared" si="539"/>
        <v>0</v>
      </c>
      <c r="CJ505" s="39">
        <f t="shared" si="540"/>
        <v>0</v>
      </c>
      <c r="CK505" s="39">
        <f t="shared" si="541"/>
        <v>0</v>
      </c>
      <c r="CL505" s="39">
        <f t="shared" si="542"/>
        <v>0</v>
      </c>
      <c r="CM505" s="39">
        <f t="shared" si="543"/>
        <v>0</v>
      </c>
      <c r="CN505" s="39">
        <f t="shared" si="544"/>
        <v>0</v>
      </c>
      <c r="CO505" s="39">
        <f t="shared" si="545"/>
        <v>0</v>
      </c>
      <c r="CP505" s="39">
        <f t="shared" si="546"/>
        <v>0</v>
      </c>
    </row>
    <row r="506" spans="12:94" ht="16" customHeight="1" x14ac:dyDescent="0.2">
      <c r="L506" s="63">
        <v>30818</v>
      </c>
      <c r="M506" s="38">
        <v>0</v>
      </c>
      <c r="N506" s="38">
        <v>2.1</v>
      </c>
      <c r="O506" s="39">
        <v>2.3664000000000001</v>
      </c>
      <c r="P506" s="39">
        <v>1.1000000000000001</v>
      </c>
      <c r="Q506" s="46">
        <f t="shared" si="477"/>
        <v>9.9772708854739239E-2</v>
      </c>
      <c r="R506" s="81">
        <f t="shared" si="478"/>
        <v>0</v>
      </c>
      <c r="S506" s="82">
        <f t="shared" si="479"/>
        <v>0</v>
      </c>
      <c r="T506" s="39">
        <f t="shared" si="480"/>
        <v>0</v>
      </c>
      <c r="U506" s="83">
        <f t="shared" si="481"/>
        <v>2.3100000000000005</v>
      </c>
      <c r="V506" s="84">
        <f t="shared" si="482"/>
        <v>0</v>
      </c>
      <c r="W506" s="52">
        <f t="shared" si="483"/>
        <v>108.22262437734099</v>
      </c>
      <c r="X506" s="52">
        <f t="shared" si="484"/>
        <v>133.78000829786458</v>
      </c>
      <c r="Y506" s="52">
        <f t="shared" si="485"/>
        <v>242.00263267520558</v>
      </c>
      <c r="Z506" s="53">
        <f t="shared" si="486"/>
        <v>0.8454892529479765</v>
      </c>
      <c r="AA506" s="53">
        <f t="shared" si="487"/>
        <v>0.79630957320157492</v>
      </c>
      <c r="AB506" s="53">
        <f t="shared" si="488"/>
        <v>0.81757646174055942</v>
      </c>
      <c r="AC506" s="39" t="str">
        <f t="shared" si="489"/>
        <v>No</v>
      </c>
      <c r="AD506" s="85">
        <f t="shared" si="490"/>
        <v>0</v>
      </c>
      <c r="AE506" s="46">
        <f t="shared" si="491"/>
        <v>0</v>
      </c>
      <c r="AF506" s="46">
        <f t="shared" si="492"/>
        <v>2.1257999999999999</v>
      </c>
      <c r="AG506" s="39">
        <f t="shared" si="547"/>
        <v>54.778796964995301</v>
      </c>
      <c r="AH506" s="39">
        <f t="shared" si="548"/>
        <v>61.488498463787849</v>
      </c>
      <c r="AI506" s="39">
        <f t="shared" si="549"/>
        <v>59.85326378225195</v>
      </c>
      <c r="AJ506" s="39">
        <f t="shared" si="550"/>
        <v>81.102065166305906</v>
      </c>
      <c r="AK506" s="39">
        <f t="shared" si="551"/>
        <v>78.40053253292551</v>
      </c>
      <c r="AL506" s="39">
        <f t="shared" si="552"/>
        <v>69.714362855234086</v>
      </c>
      <c r="AM506" s="39">
        <f t="shared" si="553"/>
        <v>70.080025814417269</v>
      </c>
      <c r="AN506" s="39">
        <f t="shared" si="554"/>
        <v>56.585087095287712</v>
      </c>
      <c r="AO506" s="39">
        <f t="shared" si="493"/>
        <v>2.4778796964995302</v>
      </c>
      <c r="AP506" s="39">
        <f t="shared" si="494"/>
        <v>2.3488498463787848</v>
      </c>
      <c r="AQ506" s="39">
        <f t="shared" si="495"/>
        <v>2.3853263782251966</v>
      </c>
      <c r="AR506" s="39">
        <f t="shared" si="496"/>
        <v>3.6102065166305901</v>
      </c>
      <c r="AS506" s="39">
        <f t="shared" si="497"/>
        <v>3.6400532532925518</v>
      </c>
      <c r="AT506" s="39">
        <f t="shared" si="498"/>
        <v>3.6714362855234079</v>
      </c>
      <c r="AU506" s="39">
        <f t="shared" si="499"/>
        <v>3.7080025814417263</v>
      </c>
      <c r="AV506" s="39">
        <f t="shared" si="500"/>
        <v>2.3585087095287705</v>
      </c>
      <c r="AW506" s="39">
        <f t="shared" si="501"/>
        <v>24.200263267520558</v>
      </c>
      <c r="AX506" s="39">
        <f t="shared" si="502"/>
        <v>2.3100000000000005</v>
      </c>
      <c r="AY506" s="39">
        <f t="shared" si="503"/>
        <v>2.3100000000000005</v>
      </c>
      <c r="AZ506" s="39">
        <f t="shared" si="504"/>
        <v>0.23652230703605726</v>
      </c>
      <c r="BA506" s="39">
        <f t="shared" si="505"/>
        <v>0.22420595533012563</v>
      </c>
      <c r="BB506" s="39">
        <f t="shared" si="506"/>
        <v>0.2276877682192564</v>
      </c>
      <c r="BC506" s="39">
        <f t="shared" si="507"/>
        <v>0.34460687312477728</v>
      </c>
      <c r="BD506" s="39">
        <f t="shared" si="508"/>
        <v>0.34745584881264363</v>
      </c>
      <c r="BE506" s="39">
        <f t="shared" si="509"/>
        <v>0.35045146930039983</v>
      </c>
      <c r="BF506" s="39">
        <f t="shared" si="510"/>
        <v>0.3539418504849996</v>
      </c>
      <c r="BG506" s="39">
        <f t="shared" si="511"/>
        <v>0.22512792769174086</v>
      </c>
      <c r="BH506" s="84">
        <f t="shared" si="512"/>
        <v>0</v>
      </c>
      <c r="BI506" s="84">
        <f t="shared" si="513"/>
        <v>0</v>
      </c>
      <c r="BJ506" s="84">
        <f t="shared" si="514"/>
        <v>0</v>
      </c>
      <c r="BK506" s="39">
        <f t="shared" si="515"/>
        <v>54.542274657959247</v>
      </c>
      <c r="BL506" s="39">
        <f t="shared" si="516"/>
        <v>61.264292508457721</v>
      </c>
      <c r="BM506" s="39">
        <f t="shared" si="517"/>
        <v>59.625576014032696</v>
      </c>
      <c r="BN506" s="39">
        <f t="shared" si="518"/>
        <v>80.757458293181131</v>
      </c>
      <c r="BO506" s="39">
        <f t="shared" si="519"/>
        <v>78.053076684112867</v>
      </c>
      <c r="BP506" s="39">
        <f t="shared" si="520"/>
        <v>69.36391138593369</v>
      </c>
      <c r="BQ506" s="39">
        <f t="shared" si="521"/>
        <v>69.726083963932268</v>
      </c>
      <c r="BR506" s="39">
        <f t="shared" si="522"/>
        <v>56.359959167595967</v>
      </c>
      <c r="BS506" s="39">
        <f t="shared" si="523"/>
        <v>0</v>
      </c>
      <c r="BT506" s="39">
        <f t="shared" si="524"/>
        <v>0</v>
      </c>
      <c r="BU506" s="39">
        <f t="shared" si="525"/>
        <v>0</v>
      </c>
      <c r="BV506" s="39">
        <f t="shared" si="526"/>
        <v>0</v>
      </c>
      <c r="BW506" s="39">
        <f t="shared" si="527"/>
        <v>0</v>
      </c>
      <c r="BX506" s="39">
        <f t="shared" si="528"/>
        <v>0</v>
      </c>
      <c r="BY506" s="39">
        <f t="shared" si="529"/>
        <v>0</v>
      </c>
      <c r="BZ506" s="39">
        <f t="shared" si="530"/>
        <v>0</v>
      </c>
      <c r="CA506" s="39">
        <f t="shared" si="531"/>
        <v>54.542274657959247</v>
      </c>
      <c r="CB506" s="39">
        <f t="shared" si="532"/>
        <v>61.264292508457721</v>
      </c>
      <c r="CC506" s="39">
        <f t="shared" si="533"/>
        <v>59.625576014032696</v>
      </c>
      <c r="CD506" s="39">
        <f t="shared" si="534"/>
        <v>80.757458293181131</v>
      </c>
      <c r="CE506" s="39">
        <f t="shared" si="535"/>
        <v>78.053076684112867</v>
      </c>
      <c r="CF506" s="39">
        <f t="shared" si="536"/>
        <v>69.36391138593369</v>
      </c>
      <c r="CG506" s="39">
        <f t="shared" si="537"/>
        <v>69.726083963932268</v>
      </c>
      <c r="CH506" s="39">
        <f t="shared" si="538"/>
        <v>56.359959167595967</v>
      </c>
      <c r="CI506" s="39">
        <f t="shared" si="539"/>
        <v>0</v>
      </c>
      <c r="CJ506" s="39">
        <f t="shared" si="540"/>
        <v>0</v>
      </c>
      <c r="CK506" s="39">
        <f t="shared" si="541"/>
        <v>0</v>
      </c>
      <c r="CL506" s="39">
        <f t="shared" si="542"/>
        <v>0</v>
      </c>
      <c r="CM506" s="39">
        <f t="shared" si="543"/>
        <v>0</v>
      </c>
      <c r="CN506" s="39">
        <f t="shared" si="544"/>
        <v>0</v>
      </c>
      <c r="CO506" s="39">
        <f t="shared" si="545"/>
        <v>0</v>
      </c>
      <c r="CP506" s="39">
        <f t="shared" si="546"/>
        <v>0</v>
      </c>
    </row>
    <row r="507" spans="12:94" ht="16" customHeight="1" x14ac:dyDescent="0.2">
      <c r="L507" s="63">
        <v>30819</v>
      </c>
      <c r="M507" s="38">
        <v>0</v>
      </c>
      <c r="N507" s="38">
        <v>2.7</v>
      </c>
      <c r="O507" s="39">
        <v>2.3664000000000001</v>
      </c>
      <c r="P507" s="39">
        <v>1.1000000000000001</v>
      </c>
      <c r="Q507" s="46">
        <f t="shared" si="477"/>
        <v>0.10025214596359612</v>
      </c>
      <c r="R507" s="81">
        <f t="shared" si="478"/>
        <v>0</v>
      </c>
      <c r="S507" s="82">
        <f t="shared" si="479"/>
        <v>0</v>
      </c>
      <c r="T507" s="39">
        <f t="shared" si="480"/>
        <v>0</v>
      </c>
      <c r="U507" s="83">
        <f t="shared" si="481"/>
        <v>2.9700000000000006</v>
      </c>
      <c r="V507" s="84">
        <f t="shared" si="482"/>
        <v>0</v>
      </c>
      <c r="W507" s="52">
        <f t="shared" si="483"/>
        <v>107.18960147363077</v>
      </c>
      <c r="X507" s="52">
        <f t="shared" si="484"/>
        <v>132.5030312015748</v>
      </c>
      <c r="Y507" s="52">
        <f t="shared" si="485"/>
        <v>239.69263267520557</v>
      </c>
      <c r="Z507" s="53">
        <f t="shared" si="486"/>
        <v>0.83741876151274042</v>
      </c>
      <c r="AA507" s="53">
        <f t="shared" si="487"/>
        <v>0.78870851905699291</v>
      </c>
      <c r="AB507" s="53">
        <f t="shared" si="488"/>
        <v>0.80977240768650527</v>
      </c>
      <c r="AC507" s="39" t="str">
        <f t="shared" si="489"/>
        <v>No</v>
      </c>
      <c r="AD507" s="85">
        <f t="shared" si="490"/>
        <v>0</v>
      </c>
      <c r="AE507" s="46">
        <f t="shared" si="491"/>
        <v>0</v>
      </c>
      <c r="AF507" s="46">
        <f t="shared" si="492"/>
        <v>2.1257999999999999</v>
      </c>
      <c r="AG507" s="39">
        <f t="shared" si="547"/>
        <v>54.542274657959247</v>
      </c>
      <c r="AH507" s="39">
        <f t="shared" si="548"/>
        <v>61.264292508457721</v>
      </c>
      <c r="AI507" s="39">
        <f t="shared" si="549"/>
        <v>59.625576014032696</v>
      </c>
      <c r="AJ507" s="39">
        <f t="shared" si="550"/>
        <v>80.757458293181131</v>
      </c>
      <c r="AK507" s="39">
        <f t="shared" si="551"/>
        <v>78.053076684112867</v>
      </c>
      <c r="AL507" s="39">
        <f t="shared" si="552"/>
        <v>69.36391138593369</v>
      </c>
      <c r="AM507" s="39">
        <f t="shared" si="553"/>
        <v>69.726083963932268</v>
      </c>
      <c r="AN507" s="39">
        <f t="shared" si="554"/>
        <v>56.359959167595967</v>
      </c>
      <c r="AO507" s="39">
        <f t="shared" si="493"/>
        <v>2.4542274657959249</v>
      </c>
      <c r="AP507" s="39">
        <f t="shared" si="494"/>
        <v>2.3264292508457722</v>
      </c>
      <c r="AQ507" s="39">
        <f t="shared" si="495"/>
        <v>2.362557601403271</v>
      </c>
      <c r="AR507" s="39">
        <f t="shared" si="496"/>
        <v>3.5757458293181124</v>
      </c>
      <c r="AS507" s="39">
        <f t="shared" si="497"/>
        <v>3.6053076684112875</v>
      </c>
      <c r="AT507" s="39">
        <f t="shared" si="498"/>
        <v>3.6363911385933685</v>
      </c>
      <c r="AU507" s="39">
        <f t="shared" si="499"/>
        <v>3.6726083963932261</v>
      </c>
      <c r="AV507" s="39">
        <f t="shared" si="500"/>
        <v>2.3359959167595963</v>
      </c>
      <c r="AW507" s="39">
        <f t="shared" si="501"/>
        <v>23.96926326752056</v>
      </c>
      <c r="AX507" s="39">
        <f t="shared" si="502"/>
        <v>2.9700000000000006</v>
      </c>
      <c r="AY507" s="39">
        <f t="shared" si="503"/>
        <v>2.9700000000000006</v>
      </c>
      <c r="AZ507" s="39">
        <f t="shared" si="504"/>
        <v>0.30410010904635937</v>
      </c>
      <c r="BA507" s="39">
        <f t="shared" si="505"/>
        <v>0.2882647997101615</v>
      </c>
      <c r="BB507" s="39">
        <f t="shared" si="506"/>
        <v>0.29274141628190103</v>
      </c>
      <c r="BC507" s="39">
        <f t="shared" si="507"/>
        <v>0.44306597973185646</v>
      </c>
      <c r="BD507" s="39">
        <f t="shared" si="508"/>
        <v>0.44672894847339895</v>
      </c>
      <c r="BE507" s="39">
        <f t="shared" si="509"/>
        <v>0.45058046052908546</v>
      </c>
      <c r="BF507" s="39">
        <f t="shared" si="510"/>
        <v>0.4550680934807137</v>
      </c>
      <c r="BG507" s="39">
        <f t="shared" si="511"/>
        <v>0.28945019274652395</v>
      </c>
      <c r="BH507" s="84">
        <f t="shared" si="512"/>
        <v>0</v>
      </c>
      <c r="BI507" s="84">
        <f t="shared" si="513"/>
        <v>0</v>
      </c>
      <c r="BJ507" s="84">
        <f t="shared" si="514"/>
        <v>0</v>
      </c>
      <c r="BK507" s="39">
        <f t="shared" si="515"/>
        <v>54.238174548912887</v>
      </c>
      <c r="BL507" s="39">
        <f t="shared" si="516"/>
        <v>60.976027708747559</v>
      </c>
      <c r="BM507" s="39">
        <f t="shared" si="517"/>
        <v>59.332834597750796</v>
      </c>
      <c r="BN507" s="39">
        <f t="shared" si="518"/>
        <v>80.314392313449275</v>
      </c>
      <c r="BO507" s="39">
        <f t="shared" si="519"/>
        <v>77.606347735639474</v>
      </c>
      <c r="BP507" s="39">
        <f t="shared" si="520"/>
        <v>68.913330925404608</v>
      </c>
      <c r="BQ507" s="39">
        <f t="shared" si="521"/>
        <v>69.271015870451549</v>
      </c>
      <c r="BR507" s="39">
        <f t="shared" si="522"/>
        <v>56.070508974849446</v>
      </c>
      <c r="BS507" s="39">
        <f t="shared" si="523"/>
        <v>0</v>
      </c>
      <c r="BT507" s="39">
        <f t="shared" si="524"/>
        <v>0</v>
      </c>
      <c r="BU507" s="39">
        <f t="shared" si="525"/>
        <v>0</v>
      </c>
      <c r="BV507" s="39">
        <f t="shared" si="526"/>
        <v>0</v>
      </c>
      <c r="BW507" s="39">
        <f t="shared" si="527"/>
        <v>0</v>
      </c>
      <c r="BX507" s="39">
        <f t="shared" si="528"/>
        <v>0</v>
      </c>
      <c r="BY507" s="39">
        <f t="shared" si="529"/>
        <v>0</v>
      </c>
      <c r="BZ507" s="39">
        <f t="shared" si="530"/>
        <v>0</v>
      </c>
      <c r="CA507" s="39">
        <f t="shared" si="531"/>
        <v>54.238174548912887</v>
      </c>
      <c r="CB507" s="39">
        <f t="shared" si="532"/>
        <v>60.976027708747559</v>
      </c>
      <c r="CC507" s="39">
        <f t="shared" si="533"/>
        <v>59.332834597750796</v>
      </c>
      <c r="CD507" s="39">
        <f t="shared" si="534"/>
        <v>80.314392313449275</v>
      </c>
      <c r="CE507" s="39">
        <f t="shared" si="535"/>
        <v>77.606347735639474</v>
      </c>
      <c r="CF507" s="39">
        <f t="shared" si="536"/>
        <v>68.913330925404608</v>
      </c>
      <c r="CG507" s="39">
        <f t="shared" si="537"/>
        <v>69.271015870451549</v>
      </c>
      <c r="CH507" s="39">
        <f t="shared" si="538"/>
        <v>56.070508974849446</v>
      </c>
      <c r="CI507" s="39">
        <f t="shared" si="539"/>
        <v>0</v>
      </c>
      <c r="CJ507" s="39">
        <f t="shared" si="540"/>
        <v>0</v>
      </c>
      <c r="CK507" s="39">
        <f t="shared" si="541"/>
        <v>0</v>
      </c>
      <c r="CL507" s="39">
        <f t="shared" si="542"/>
        <v>0</v>
      </c>
      <c r="CM507" s="39">
        <f t="shared" si="543"/>
        <v>0</v>
      </c>
      <c r="CN507" s="39">
        <f t="shared" si="544"/>
        <v>0</v>
      </c>
      <c r="CO507" s="39">
        <f t="shared" si="545"/>
        <v>0</v>
      </c>
      <c r="CP507" s="39">
        <f t="shared" si="546"/>
        <v>0</v>
      </c>
    </row>
    <row r="508" spans="12:94" ht="16" customHeight="1" x14ac:dyDescent="0.2">
      <c r="L508" s="63">
        <v>30820</v>
      </c>
      <c r="M508" s="38">
        <v>0</v>
      </c>
      <c r="N508" s="38">
        <v>1.9</v>
      </c>
      <c r="O508" s="39">
        <v>2.3664000000000001</v>
      </c>
      <c r="P508" s="39">
        <v>1.1000000000000001</v>
      </c>
      <c r="Q508" s="46">
        <f t="shared" si="477"/>
        <v>0.10086856510355495</v>
      </c>
      <c r="R508" s="81">
        <f t="shared" si="478"/>
        <v>0</v>
      </c>
      <c r="S508" s="82">
        <f t="shared" si="479"/>
        <v>0</v>
      </c>
      <c r="T508" s="39">
        <f t="shared" si="480"/>
        <v>0</v>
      </c>
      <c r="U508" s="83">
        <f t="shared" si="481"/>
        <v>2.09</v>
      </c>
      <c r="V508" s="84">
        <f t="shared" si="482"/>
        <v>0</v>
      </c>
      <c r="W508" s="52">
        <f t="shared" si="483"/>
        <v>105.86142916886052</v>
      </c>
      <c r="X508" s="52">
        <f t="shared" si="484"/>
        <v>130.86120350634508</v>
      </c>
      <c r="Y508" s="52">
        <f t="shared" si="485"/>
        <v>236.7226326752056</v>
      </c>
      <c r="Z508" s="53">
        <f t="shared" si="486"/>
        <v>0.82704241538172285</v>
      </c>
      <c r="AA508" s="53">
        <f t="shared" si="487"/>
        <v>0.77893573515681591</v>
      </c>
      <c r="AB508" s="53">
        <f t="shared" si="488"/>
        <v>0.79973862390272166</v>
      </c>
      <c r="AC508" s="39" t="str">
        <f t="shared" si="489"/>
        <v>No</v>
      </c>
      <c r="AD508" s="85">
        <f t="shared" si="490"/>
        <v>0</v>
      </c>
      <c r="AE508" s="46">
        <f t="shared" si="491"/>
        <v>0</v>
      </c>
      <c r="AF508" s="46">
        <f t="shared" si="492"/>
        <v>2.1257999999999999</v>
      </c>
      <c r="AG508" s="39">
        <f t="shared" si="547"/>
        <v>54.238174548912887</v>
      </c>
      <c r="AH508" s="39">
        <f t="shared" si="548"/>
        <v>60.976027708747559</v>
      </c>
      <c r="AI508" s="39">
        <f t="shared" si="549"/>
        <v>59.332834597750796</v>
      </c>
      <c r="AJ508" s="39">
        <f t="shared" si="550"/>
        <v>80.314392313449275</v>
      </c>
      <c r="AK508" s="39">
        <f t="shared" si="551"/>
        <v>77.606347735639474</v>
      </c>
      <c r="AL508" s="39">
        <f t="shared" si="552"/>
        <v>68.913330925404608</v>
      </c>
      <c r="AM508" s="39">
        <f t="shared" si="553"/>
        <v>69.271015870451549</v>
      </c>
      <c r="AN508" s="39">
        <f t="shared" si="554"/>
        <v>56.070508974849446</v>
      </c>
      <c r="AO508" s="39">
        <f t="shared" si="493"/>
        <v>2.4238174548912887</v>
      </c>
      <c r="AP508" s="39">
        <f t="shared" si="494"/>
        <v>2.297602770874756</v>
      </c>
      <c r="AQ508" s="39">
        <f t="shared" si="495"/>
        <v>2.3332834597750813</v>
      </c>
      <c r="AR508" s="39">
        <f t="shared" si="496"/>
        <v>3.531439231344927</v>
      </c>
      <c r="AS508" s="39">
        <f t="shared" si="497"/>
        <v>3.5606347735639483</v>
      </c>
      <c r="AT508" s="39">
        <f t="shared" si="498"/>
        <v>3.5913330925404603</v>
      </c>
      <c r="AU508" s="39">
        <f t="shared" si="499"/>
        <v>3.6271015870451544</v>
      </c>
      <c r="AV508" s="39">
        <f t="shared" si="500"/>
        <v>2.307050897484944</v>
      </c>
      <c r="AW508" s="39">
        <f t="shared" si="501"/>
        <v>23.67226326752056</v>
      </c>
      <c r="AX508" s="39">
        <f t="shared" si="502"/>
        <v>2.09</v>
      </c>
      <c r="AY508" s="39">
        <f t="shared" si="503"/>
        <v>2.09</v>
      </c>
      <c r="AZ508" s="39">
        <f t="shared" si="504"/>
        <v>0.21399637303262317</v>
      </c>
      <c r="BA508" s="39">
        <f t="shared" si="505"/>
        <v>0.2028530072034469</v>
      </c>
      <c r="BB508" s="39">
        <f t="shared" si="506"/>
        <v>0.20600321886504147</v>
      </c>
      <c r="BC508" s="39">
        <f t="shared" si="507"/>
        <v>0.31178717092241748</v>
      </c>
      <c r="BD508" s="39">
        <f t="shared" si="508"/>
        <v>0.31436481559239182</v>
      </c>
      <c r="BE508" s="39">
        <f t="shared" si="509"/>
        <v>0.31707513889083788</v>
      </c>
      <c r="BF508" s="39">
        <f t="shared" si="510"/>
        <v>0.32023310281976142</v>
      </c>
      <c r="BG508" s="39">
        <f t="shared" si="511"/>
        <v>0.20368717267347977</v>
      </c>
      <c r="BH508" s="84">
        <f t="shared" si="512"/>
        <v>0</v>
      </c>
      <c r="BI508" s="84">
        <f t="shared" si="513"/>
        <v>0</v>
      </c>
      <c r="BJ508" s="84">
        <f t="shared" si="514"/>
        <v>0</v>
      </c>
      <c r="BK508" s="39">
        <f t="shared" si="515"/>
        <v>54.024178175880266</v>
      </c>
      <c r="BL508" s="39">
        <f t="shared" si="516"/>
        <v>60.773174701544114</v>
      </c>
      <c r="BM508" s="39">
        <f t="shared" si="517"/>
        <v>59.126831378885754</v>
      </c>
      <c r="BN508" s="39">
        <f t="shared" si="518"/>
        <v>80.002605142526861</v>
      </c>
      <c r="BO508" s="39">
        <f t="shared" si="519"/>
        <v>77.291982920047076</v>
      </c>
      <c r="BP508" s="39">
        <f t="shared" si="520"/>
        <v>68.596255786513765</v>
      </c>
      <c r="BQ508" s="39">
        <f t="shared" si="521"/>
        <v>68.950782767631793</v>
      </c>
      <c r="BR508" s="39">
        <f t="shared" si="522"/>
        <v>55.866821802175963</v>
      </c>
      <c r="BS508" s="39">
        <f t="shared" si="523"/>
        <v>0</v>
      </c>
      <c r="BT508" s="39">
        <f t="shared" si="524"/>
        <v>0</v>
      </c>
      <c r="BU508" s="39">
        <f t="shared" si="525"/>
        <v>0</v>
      </c>
      <c r="BV508" s="39">
        <f t="shared" si="526"/>
        <v>0</v>
      </c>
      <c r="BW508" s="39">
        <f t="shared" si="527"/>
        <v>0</v>
      </c>
      <c r="BX508" s="39">
        <f t="shared" si="528"/>
        <v>0</v>
      </c>
      <c r="BY508" s="39">
        <f t="shared" si="529"/>
        <v>0</v>
      </c>
      <c r="BZ508" s="39">
        <f t="shared" si="530"/>
        <v>0</v>
      </c>
      <c r="CA508" s="39">
        <f t="shared" si="531"/>
        <v>54.024178175880266</v>
      </c>
      <c r="CB508" s="39">
        <f t="shared" si="532"/>
        <v>60.773174701544114</v>
      </c>
      <c r="CC508" s="39">
        <f t="shared" si="533"/>
        <v>59.126831378885754</v>
      </c>
      <c r="CD508" s="39">
        <f t="shared" si="534"/>
        <v>80.002605142526861</v>
      </c>
      <c r="CE508" s="39">
        <f t="shared" si="535"/>
        <v>77.291982920047076</v>
      </c>
      <c r="CF508" s="39">
        <f t="shared" si="536"/>
        <v>68.596255786513765</v>
      </c>
      <c r="CG508" s="39">
        <f t="shared" si="537"/>
        <v>68.950782767631793</v>
      </c>
      <c r="CH508" s="39">
        <f t="shared" si="538"/>
        <v>55.866821802175963</v>
      </c>
      <c r="CI508" s="39">
        <f t="shared" si="539"/>
        <v>0</v>
      </c>
      <c r="CJ508" s="39">
        <f t="shared" si="540"/>
        <v>0</v>
      </c>
      <c r="CK508" s="39">
        <f t="shared" si="541"/>
        <v>0</v>
      </c>
      <c r="CL508" s="39">
        <f t="shared" si="542"/>
        <v>0</v>
      </c>
      <c r="CM508" s="39">
        <f t="shared" si="543"/>
        <v>0</v>
      </c>
      <c r="CN508" s="39">
        <f t="shared" si="544"/>
        <v>0</v>
      </c>
      <c r="CO508" s="39">
        <f t="shared" si="545"/>
        <v>0</v>
      </c>
      <c r="CP508" s="39">
        <f t="shared" si="546"/>
        <v>0</v>
      </c>
    </row>
    <row r="509" spans="12:94" ht="16" customHeight="1" x14ac:dyDescent="0.2">
      <c r="L509" s="63">
        <v>30821</v>
      </c>
      <c r="M509" s="38">
        <v>0</v>
      </c>
      <c r="N509" s="38">
        <v>1.5</v>
      </c>
      <c r="O509" s="39">
        <v>2.3664000000000001</v>
      </c>
      <c r="P509" s="39">
        <v>1.1000000000000001</v>
      </c>
      <c r="Q509" s="46">
        <f t="shared" si="477"/>
        <v>0.10130234153537783</v>
      </c>
      <c r="R509" s="81">
        <f t="shared" si="478"/>
        <v>0</v>
      </c>
      <c r="S509" s="82">
        <f t="shared" si="479"/>
        <v>0</v>
      </c>
      <c r="T509" s="39">
        <f t="shared" si="480"/>
        <v>0</v>
      </c>
      <c r="U509" s="83">
        <f t="shared" si="481"/>
        <v>1.6500000000000001</v>
      </c>
      <c r="V509" s="84">
        <f t="shared" si="482"/>
        <v>0</v>
      </c>
      <c r="W509" s="52">
        <f t="shared" si="483"/>
        <v>104.926789398837</v>
      </c>
      <c r="X509" s="52">
        <f t="shared" si="484"/>
        <v>129.70584327636857</v>
      </c>
      <c r="Y509" s="52">
        <f t="shared" si="485"/>
        <v>234.63263267520557</v>
      </c>
      <c r="Z509" s="53">
        <f t="shared" si="486"/>
        <v>0.81974054217841408</v>
      </c>
      <c r="AA509" s="53">
        <f t="shared" si="487"/>
        <v>0.77205859093076534</v>
      </c>
      <c r="AB509" s="53">
        <f t="shared" si="488"/>
        <v>0.79267781309191077</v>
      </c>
      <c r="AC509" s="39" t="str">
        <f t="shared" si="489"/>
        <v>No</v>
      </c>
      <c r="AD509" s="85">
        <f t="shared" si="490"/>
        <v>0</v>
      </c>
      <c r="AE509" s="46">
        <f t="shared" si="491"/>
        <v>0</v>
      </c>
      <c r="AF509" s="46">
        <f t="shared" si="492"/>
        <v>2.1257999999999999</v>
      </c>
      <c r="AG509" s="39">
        <f t="shared" si="547"/>
        <v>54.024178175880266</v>
      </c>
      <c r="AH509" s="39">
        <f t="shared" si="548"/>
        <v>60.773174701544114</v>
      </c>
      <c r="AI509" s="39">
        <f t="shared" si="549"/>
        <v>59.126831378885754</v>
      </c>
      <c r="AJ509" s="39">
        <f t="shared" si="550"/>
        <v>80.002605142526861</v>
      </c>
      <c r="AK509" s="39">
        <f t="shared" si="551"/>
        <v>77.291982920047076</v>
      </c>
      <c r="AL509" s="39">
        <f t="shared" si="552"/>
        <v>68.596255786513765</v>
      </c>
      <c r="AM509" s="39">
        <f t="shared" si="553"/>
        <v>68.950782767631793</v>
      </c>
      <c r="AN509" s="39">
        <f t="shared" si="554"/>
        <v>55.866821802175963</v>
      </c>
      <c r="AO509" s="39">
        <f t="shared" si="493"/>
        <v>2.4024178175880269</v>
      </c>
      <c r="AP509" s="39">
        <f t="shared" si="494"/>
        <v>2.2773174701544114</v>
      </c>
      <c r="AQ509" s="39">
        <f t="shared" si="495"/>
        <v>2.3126831378885768</v>
      </c>
      <c r="AR509" s="39">
        <f t="shared" si="496"/>
        <v>3.5002605142526857</v>
      </c>
      <c r="AS509" s="39">
        <f t="shared" si="497"/>
        <v>3.5291982920047085</v>
      </c>
      <c r="AT509" s="39">
        <f t="shared" si="498"/>
        <v>3.5596255786513762</v>
      </c>
      <c r="AU509" s="39">
        <f t="shared" si="499"/>
        <v>3.5950782767631786</v>
      </c>
      <c r="AV509" s="39">
        <f t="shared" si="500"/>
        <v>2.2866821802175958</v>
      </c>
      <c r="AW509" s="39">
        <f t="shared" si="501"/>
        <v>23.463263267520563</v>
      </c>
      <c r="AX509" s="39">
        <f t="shared" si="502"/>
        <v>1.6500000000000001</v>
      </c>
      <c r="AY509" s="39">
        <f t="shared" si="503"/>
        <v>1.6500000000000001</v>
      </c>
      <c r="AZ509" s="39">
        <f t="shared" si="504"/>
        <v>0.16894450502575517</v>
      </c>
      <c r="BA509" s="39">
        <f t="shared" si="505"/>
        <v>0.16014711095008966</v>
      </c>
      <c r="BB509" s="39">
        <f t="shared" si="506"/>
        <v>0.16263412015661166</v>
      </c>
      <c r="BC509" s="39">
        <f t="shared" si="507"/>
        <v>0.24614776651769804</v>
      </c>
      <c r="BD509" s="39">
        <f t="shared" si="508"/>
        <v>0.24818274915188823</v>
      </c>
      <c r="BE509" s="39">
        <f t="shared" si="509"/>
        <v>0.25032247807171409</v>
      </c>
      <c r="BF509" s="39">
        <f t="shared" si="510"/>
        <v>0.25281560748928533</v>
      </c>
      <c r="BG509" s="39">
        <f t="shared" si="511"/>
        <v>0.1608056626369577</v>
      </c>
      <c r="BH509" s="84">
        <f t="shared" si="512"/>
        <v>0</v>
      </c>
      <c r="BI509" s="84">
        <f t="shared" si="513"/>
        <v>0</v>
      </c>
      <c r="BJ509" s="84">
        <f t="shared" si="514"/>
        <v>0</v>
      </c>
      <c r="BK509" s="39">
        <f t="shared" si="515"/>
        <v>53.85523367085451</v>
      </c>
      <c r="BL509" s="39">
        <f t="shared" si="516"/>
        <v>60.613027590594022</v>
      </c>
      <c r="BM509" s="39">
        <f t="shared" si="517"/>
        <v>58.964197258729143</v>
      </c>
      <c r="BN509" s="39">
        <f t="shared" si="518"/>
        <v>79.756457376009166</v>
      </c>
      <c r="BO509" s="39">
        <f t="shared" si="519"/>
        <v>77.043800170895182</v>
      </c>
      <c r="BP509" s="39">
        <f t="shared" si="520"/>
        <v>68.345933308442056</v>
      </c>
      <c r="BQ509" s="39">
        <f t="shared" si="521"/>
        <v>68.697967160142511</v>
      </c>
      <c r="BR509" s="39">
        <f t="shared" si="522"/>
        <v>55.706016139539003</v>
      </c>
      <c r="BS509" s="39">
        <f t="shared" si="523"/>
        <v>0</v>
      </c>
      <c r="BT509" s="39">
        <f t="shared" si="524"/>
        <v>0</v>
      </c>
      <c r="BU509" s="39">
        <f t="shared" si="525"/>
        <v>0</v>
      </c>
      <c r="BV509" s="39">
        <f t="shared" si="526"/>
        <v>0</v>
      </c>
      <c r="BW509" s="39">
        <f t="shared" si="527"/>
        <v>0</v>
      </c>
      <c r="BX509" s="39">
        <f t="shared" si="528"/>
        <v>0</v>
      </c>
      <c r="BY509" s="39">
        <f t="shared" si="529"/>
        <v>0</v>
      </c>
      <c r="BZ509" s="39">
        <f t="shared" si="530"/>
        <v>0</v>
      </c>
      <c r="CA509" s="39">
        <f t="shared" si="531"/>
        <v>53.85523367085451</v>
      </c>
      <c r="CB509" s="39">
        <f t="shared" si="532"/>
        <v>60.613027590594022</v>
      </c>
      <c r="CC509" s="39">
        <f t="shared" si="533"/>
        <v>58.964197258729143</v>
      </c>
      <c r="CD509" s="39">
        <f t="shared" si="534"/>
        <v>79.756457376009166</v>
      </c>
      <c r="CE509" s="39">
        <f t="shared" si="535"/>
        <v>77.043800170895182</v>
      </c>
      <c r="CF509" s="39">
        <f t="shared" si="536"/>
        <v>68.345933308442056</v>
      </c>
      <c r="CG509" s="39">
        <f t="shared" si="537"/>
        <v>68.697967160142511</v>
      </c>
      <c r="CH509" s="39">
        <f t="shared" si="538"/>
        <v>55.706016139539003</v>
      </c>
      <c r="CI509" s="39">
        <f t="shared" si="539"/>
        <v>0</v>
      </c>
      <c r="CJ509" s="39">
        <f t="shared" si="540"/>
        <v>0</v>
      </c>
      <c r="CK509" s="39">
        <f t="shared" si="541"/>
        <v>0</v>
      </c>
      <c r="CL509" s="39">
        <f t="shared" si="542"/>
        <v>0</v>
      </c>
      <c r="CM509" s="39">
        <f t="shared" si="543"/>
        <v>0</v>
      </c>
      <c r="CN509" s="39">
        <f t="shared" si="544"/>
        <v>0</v>
      </c>
      <c r="CO509" s="39">
        <f t="shared" si="545"/>
        <v>0</v>
      </c>
      <c r="CP509" s="39">
        <f t="shared" si="546"/>
        <v>0</v>
      </c>
    </row>
    <row r="510" spans="12:94" ht="16" customHeight="1" x14ac:dyDescent="0.2">
      <c r="L510" s="63">
        <v>30822</v>
      </c>
      <c r="M510" s="38">
        <v>0</v>
      </c>
      <c r="N510" s="38">
        <v>1.3</v>
      </c>
      <c r="O510" s="39">
        <v>2.3664000000000001</v>
      </c>
      <c r="P510" s="39">
        <v>1.1000000000000001</v>
      </c>
      <c r="Q510" s="46">
        <f t="shared" si="477"/>
        <v>0.10164479661313275</v>
      </c>
      <c r="R510" s="81">
        <f t="shared" si="478"/>
        <v>0</v>
      </c>
      <c r="S510" s="82">
        <f t="shared" si="479"/>
        <v>0</v>
      </c>
      <c r="T510" s="39">
        <f t="shared" si="480"/>
        <v>0</v>
      </c>
      <c r="U510" s="83">
        <f t="shared" si="481"/>
        <v>1.4300000000000002</v>
      </c>
      <c r="V510" s="84">
        <f t="shared" si="482"/>
        <v>0</v>
      </c>
      <c r="W510" s="52">
        <f t="shared" si="483"/>
        <v>104.18891589618684</v>
      </c>
      <c r="X510" s="52">
        <f t="shared" si="484"/>
        <v>128.79371677901872</v>
      </c>
      <c r="Y510" s="52">
        <f t="shared" si="485"/>
        <v>232.98263267520556</v>
      </c>
      <c r="Z510" s="53">
        <f t="shared" si="486"/>
        <v>0.8139759054389597</v>
      </c>
      <c r="AA510" s="53">
        <f t="shared" si="487"/>
        <v>0.7666292665417781</v>
      </c>
      <c r="AB510" s="53">
        <f t="shared" si="488"/>
        <v>0.7871034887675864</v>
      </c>
      <c r="AC510" s="39" t="str">
        <f t="shared" si="489"/>
        <v>No</v>
      </c>
      <c r="AD510" s="85">
        <f t="shared" si="490"/>
        <v>0</v>
      </c>
      <c r="AE510" s="46">
        <f t="shared" si="491"/>
        <v>0</v>
      </c>
      <c r="AF510" s="46">
        <f t="shared" si="492"/>
        <v>2.1257999999999999</v>
      </c>
      <c r="AG510" s="39">
        <f t="shared" si="547"/>
        <v>53.85523367085451</v>
      </c>
      <c r="AH510" s="39">
        <f t="shared" si="548"/>
        <v>60.613027590594022</v>
      </c>
      <c r="AI510" s="39">
        <f t="shared" si="549"/>
        <v>58.964197258729143</v>
      </c>
      <c r="AJ510" s="39">
        <f t="shared" si="550"/>
        <v>79.756457376009166</v>
      </c>
      <c r="AK510" s="39">
        <f t="shared" si="551"/>
        <v>77.043800170895182</v>
      </c>
      <c r="AL510" s="39">
        <f t="shared" si="552"/>
        <v>68.345933308442056</v>
      </c>
      <c r="AM510" s="39">
        <f t="shared" si="553"/>
        <v>68.697967160142511</v>
      </c>
      <c r="AN510" s="39">
        <f t="shared" si="554"/>
        <v>55.706016139539003</v>
      </c>
      <c r="AO510" s="39">
        <f t="shared" si="493"/>
        <v>2.385523367085451</v>
      </c>
      <c r="AP510" s="39">
        <f t="shared" si="494"/>
        <v>2.2613027590594021</v>
      </c>
      <c r="AQ510" s="39">
        <f t="shared" si="495"/>
        <v>2.2964197258729158</v>
      </c>
      <c r="AR510" s="39">
        <f t="shared" si="496"/>
        <v>3.475645737600916</v>
      </c>
      <c r="AS510" s="39">
        <f t="shared" si="497"/>
        <v>3.504380017089519</v>
      </c>
      <c r="AT510" s="39">
        <f t="shared" si="498"/>
        <v>3.534593330844205</v>
      </c>
      <c r="AU510" s="39">
        <f t="shared" si="499"/>
        <v>3.5697967160142507</v>
      </c>
      <c r="AV510" s="39">
        <f t="shared" si="500"/>
        <v>2.2706016139538998</v>
      </c>
      <c r="AW510" s="39">
        <f t="shared" si="501"/>
        <v>23.298263267520561</v>
      </c>
      <c r="AX510" s="39">
        <f t="shared" si="502"/>
        <v>1.4300000000000002</v>
      </c>
      <c r="AY510" s="39">
        <f t="shared" si="503"/>
        <v>1.4300000000000002</v>
      </c>
      <c r="AZ510" s="39">
        <f t="shared" si="504"/>
        <v>0.14641857102232114</v>
      </c>
      <c r="BA510" s="39">
        <f t="shared" si="505"/>
        <v>0.13879416282341103</v>
      </c>
      <c r="BB510" s="39">
        <f t="shared" si="506"/>
        <v>0.14094957080239681</v>
      </c>
      <c r="BC510" s="39">
        <f t="shared" si="507"/>
        <v>0.21332806431533829</v>
      </c>
      <c r="BD510" s="39">
        <f t="shared" si="508"/>
        <v>0.21509171593163645</v>
      </c>
      <c r="BE510" s="39">
        <f t="shared" si="509"/>
        <v>0.21694614766215228</v>
      </c>
      <c r="BF510" s="39">
        <f t="shared" si="510"/>
        <v>0.21910685982404735</v>
      </c>
      <c r="BG510" s="39">
        <f t="shared" si="511"/>
        <v>0.13936490761869669</v>
      </c>
      <c r="BH510" s="84">
        <f t="shared" si="512"/>
        <v>0</v>
      </c>
      <c r="BI510" s="84">
        <f t="shared" si="513"/>
        <v>0</v>
      </c>
      <c r="BJ510" s="84">
        <f t="shared" si="514"/>
        <v>0</v>
      </c>
      <c r="BK510" s="39">
        <f t="shared" si="515"/>
        <v>53.708815099832186</v>
      </c>
      <c r="BL510" s="39">
        <f t="shared" si="516"/>
        <v>60.474233427770614</v>
      </c>
      <c r="BM510" s="39">
        <f t="shared" si="517"/>
        <v>58.823247687926745</v>
      </c>
      <c r="BN510" s="39">
        <f t="shared" si="518"/>
        <v>79.543129311693832</v>
      </c>
      <c r="BO510" s="39">
        <f t="shared" si="519"/>
        <v>76.828708454963547</v>
      </c>
      <c r="BP510" s="39">
        <f t="shared" si="520"/>
        <v>68.1289871607799</v>
      </c>
      <c r="BQ510" s="39">
        <f t="shared" si="521"/>
        <v>68.478860300318459</v>
      </c>
      <c r="BR510" s="39">
        <f t="shared" si="522"/>
        <v>55.566651231920304</v>
      </c>
      <c r="BS510" s="39">
        <f t="shared" si="523"/>
        <v>0</v>
      </c>
      <c r="BT510" s="39">
        <f t="shared" si="524"/>
        <v>0</v>
      </c>
      <c r="BU510" s="39">
        <f t="shared" si="525"/>
        <v>0</v>
      </c>
      <c r="BV510" s="39">
        <f t="shared" si="526"/>
        <v>0</v>
      </c>
      <c r="BW510" s="39">
        <f t="shared" si="527"/>
        <v>0</v>
      </c>
      <c r="BX510" s="39">
        <f t="shared" si="528"/>
        <v>0</v>
      </c>
      <c r="BY510" s="39">
        <f t="shared" si="529"/>
        <v>0</v>
      </c>
      <c r="BZ510" s="39">
        <f t="shared" si="530"/>
        <v>0</v>
      </c>
      <c r="CA510" s="39">
        <f t="shared" si="531"/>
        <v>53.708815099832186</v>
      </c>
      <c r="CB510" s="39">
        <f t="shared" si="532"/>
        <v>60.474233427770614</v>
      </c>
      <c r="CC510" s="39">
        <f t="shared" si="533"/>
        <v>58.823247687926745</v>
      </c>
      <c r="CD510" s="39">
        <f t="shared" si="534"/>
        <v>79.543129311693832</v>
      </c>
      <c r="CE510" s="39">
        <f t="shared" si="535"/>
        <v>76.828708454963547</v>
      </c>
      <c r="CF510" s="39">
        <f t="shared" si="536"/>
        <v>68.1289871607799</v>
      </c>
      <c r="CG510" s="39">
        <f t="shared" si="537"/>
        <v>68.478860300318459</v>
      </c>
      <c r="CH510" s="39">
        <f t="shared" si="538"/>
        <v>55.566651231920304</v>
      </c>
      <c r="CI510" s="39">
        <f t="shared" si="539"/>
        <v>0</v>
      </c>
      <c r="CJ510" s="39">
        <f t="shared" si="540"/>
        <v>0</v>
      </c>
      <c r="CK510" s="39">
        <f t="shared" si="541"/>
        <v>0</v>
      </c>
      <c r="CL510" s="39">
        <f t="shared" si="542"/>
        <v>0</v>
      </c>
      <c r="CM510" s="39">
        <f t="shared" si="543"/>
        <v>0</v>
      </c>
      <c r="CN510" s="39">
        <f t="shared" si="544"/>
        <v>0</v>
      </c>
      <c r="CO510" s="39">
        <f t="shared" si="545"/>
        <v>0</v>
      </c>
      <c r="CP510" s="39">
        <f t="shared" si="546"/>
        <v>0</v>
      </c>
    </row>
    <row r="511" spans="12:94" ht="16" customHeight="1" x14ac:dyDescent="0.2">
      <c r="L511" s="63">
        <v>30823</v>
      </c>
      <c r="M511" s="38">
        <v>0</v>
      </c>
      <c r="N511" s="38">
        <v>0.7</v>
      </c>
      <c r="O511" s="39">
        <v>2.3664000000000001</v>
      </c>
      <c r="P511" s="39">
        <v>1.1000000000000001</v>
      </c>
      <c r="Q511" s="46">
        <f t="shared" si="477"/>
        <v>0.10194159101385368</v>
      </c>
      <c r="R511" s="81">
        <f t="shared" si="478"/>
        <v>0</v>
      </c>
      <c r="S511" s="82">
        <f t="shared" si="479"/>
        <v>0</v>
      </c>
      <c r="T511" s="39">
        <f t="shared" si="480"/>
        <v>0</v>
      </c>
      <c r="U511" s="83">
        <f t="shared" si="481"/>
        <v>0.77</v>
      </c>
      <c r="V511" s="84">
        <f t="shared" si="482"/>
        <v>0</v>
      </c>
      <c r="W511" s="52">
        <f t="shared" si="483"/>
        <v>103.54942552722338</v>
      </c>
      <c r="X511" s="52">
        <f t="shared" si="484"/>
        <v>128.00320714798215</v>
      </c>
      <c r="Y511" s="52">
        <f t="shared" si="485"/>
        <v>231.55263267520553</v>
      </c>
      <c r="Z511" s="53">
        <f t="shared" si="486"/>
        <v>0.80897988693143263</v>
      </c>
      <c r="AA511" s="53">
        <f t="shared" si="487"/>
        <v>0.76192385207132229</v>
      </c>
      <c r="AB511" s="53">
        <f t="shared" si="488"/>
        <v>0.78227240768650519</v>
      </c>
      <c r="AC511" s="39" t="str">
        <f t="shared" si="489"/>
        <v>No</v>
      </c>
      <c r="AD511" s="85">
        <f t="shared" si="490"/>
        <v>0</v>
      </c>
      <c r="AE511" s="46">
        <f t="shared" si="491"/>
        <v>0</v>
      </c>
      <c r="AF511" s="46">
        <f t="shared" si="492"/>
        <v>2.1257999999999999</v>
      </c>
      <c r="AG511" s="39">
        <f t="shared" si="547"/>
        <v>53.708815099832186</v>
      </c>
      <c r="AH511" s="39">
        <f t="shared" si="548"/>
        <v>60.474233427770614</v>
      </c>
      <c r="AI511" s="39">
        <f t="shared" si="549"/>
        <v>58.823247687926745</v>
      </c>
      <c r="AJ511" s="39">
        <f t="shared" si="550"/>
        <v>79.543129311693832</v>
      </c>
      <c r="AK511" s="39">
        <f t="shared" si="551"/>
        <v>76.828708454963547</v>
      </c>
      <c r="AL511" s="39">
        <f t="shared" si="552"/>
        <v>68.1289871607799</v>
      </c>
      <c r="AM511" s="39">
        <f t="shared" si="553"/>
        <v>68.478860300318459</v>
      </c>
      <c r="AN511" s="39">
        <f t="shared" si="554"/>
        <v>55.566651231920304</v>
      </c>
      <c r="AO511" s="39">
        <f t="shared" si="493"/>
        <v>2.3708815099832186</v>
      </c>
      <c r="AP511" s="39">
        <f t="shared" si="494"/>
        <v>2.2474233427770614</v>
      </c>
      <c r="AQ511" s="39">
        <f t="shared" si="495"/>
        <v>2.2823247687926762</v>
      </c>
      <c r="AR511" s="39">
        <f t="shared" si="496"/>
        <v>3.4543129311693828</v>
      </c>
      <c r="AS511" s="39">
        <f t="shared" si="497"/>
        <v>3.4828708454963557</v>
      </c>
      <c r="AT511" s="39">
        <f t="shared" si="498"/>
        <v>3.5128987160779896</v>
      </c>
      <c r="AU511" s="39">
        <f t="shared" si="499"/>
        <v>3.5478860300318456</v>
      </c>
      <c r="AV511" s="39">
        <f t="shared" si="500"/>
        <v>2.2566651231920298</v>
      </c>
      <c r="AW511" s="39">
        <f t="shared" si="501"/>
        <v>23.15526326752056</v>
      </c>
      <c r="AX511" s="39">
        <f t="shared" si="502"/>
        <v>0.77</v>
      </c>
      <c r="AY511" s="39">
        <f t="shared" si="503"/>
        <v>0.77</v>
      </c>
      <c r="AZ511" s="39">
        <f t="shared" si="504"/>
        <v>7.8840769012019057E-2</v>
      </c>
      <c r="BA511" s="39">
        <f t="shared" si="505"/>
        <v>7.4735318443375179E-2</v>
      </c>
      <c r="BB511" s="39">
        <f t="shared" si="506"/>
        <v>7.5895922739752125E-2</v>
      </c>
      <c r="BC511" s="39">
        <f t="shared" si="507"/>
        <v>0.1148689577082591</v>
      </c>
      <c r="BD511" s="39">
        <f t="shared" si="508"/>
        <v>0.11581861627088118</v>
      </c>
      <c r="BE511" s="39">
        <f t="shared" si="509"/>
        <v>0.1168171564334666</v>
      </c>
      <c r="BF511" s="39">
        <f t="shared" si="510"/>
        <v>0.11798061682833318</v>
      </c>
      <c r="BG511" s="39">
        <f t="shared" si="511"/>
        <v>7.5042642563913575E-2</v>
      </c>
      <c r="BH511" s="84">
        <f t="shared" si="512"/>
        <v>0</v>
      </c>
      <c r="BI511" s="84">
        <f t="shared" si="513"/>
        <v>0</v>
      </c>
      <c r="BJ511" s="84">
        <f t="shared" si="514"/>
        <v>0</v>
      </c>
      <c r="BK511" s="39">
        <f t="shared" si="515"/>
        <v>53.629974330820168</v>
      </c>
      <c r="BL511" s="39">
        <f t="shared" si="516"/>
        <v>60.39949810932724</v>
      </c>
      <c r="BM511" s="39">
        <f t="shared" si="517"/>
        <v>58.747351765186991</v>
      </c>
      <c r="BN511" s="39">
        <f t="shared" si="518"/>
        <v>79.428260353985578</v>
      </c>
      <c r="BO511" s="39">
        <f t="shared" si="519"/>
        <v>76.712889838692661</v>
      </c>
      <c r="BP511" s="39">
        <f t="shared" si="520"/>
        <v>68.01217000434643</v>
      </c>
      <c r="BQ511" s="39">
        <f t="shared" si="521"/>
        <v>68.360879683490126</v>
      </c>
      <c r="BR511" s="39">
        <f t="shared" si="522"/>
        <v>55.491608589356389</v>
      </c>
      <c r="BS511" s="39">
        <f t="shared" si="523"/>
        <v>0</v>
      </c>
      <c r="BT511" s="39">
        <f t="shared" si="524"/>
        <v>0</v>
      </c>
      <c r="BU511" s="39">
        <f t="shared" si="525"/>
        <v>0</v>
      </c>
      <c r="BV511" s="39">
        <f t="shared" si="526"/>
        <v>0</v>
      </c>
      <c r="BW511" s="39">
        <f t="shared" si="527"/>
        <v>0</v>
      </c>
      <c r="BX511" s="39">
        <f t="shared" si="528"/>
        <v>0</v>
      </c>
      <c r="BY511" s="39">
        <f t="shared" si="529"/>
        <v>0</v>
      </c>
      <c r="BZ511" s="39">
        <f t="shared" si="530"/>
        <v>0</v>
      </c>
      <c r="CA511" s="39">
        <f t="shared" si="531"/>
        <v>53.629974330820168</v>
      </c>
      <c r="CB511" s="39">
        <f t="shared" si="532"/>
        <v>60.39949810932724</v>
      </c>
      <c r="CC511" s="39">
        <f t="shared" si="533"/>
        <v>58.747351765186991</v>
      </c>
      <c r="CD511" s="39">
        <f t="shared" si="534"/>
        <v>79.428260353985578</v>
      </c>
      <c r="CE511" s="39">
        <f t="shared" si="535"/>
        <v>76.712889838692661</v>
      </c>
      <c r="CF511" s="39">
        <f t="shared" si="536"/>
        <v>68.01217000434643</v>
      </c>
      <c r="CG511" s="39">
        <f t="shared" si="537"/>
        <v>68.360879683490126</v>
      </c>
      <c r="CH511" s="39">
        <f t="shared" si="538"/>
        <v>55.491608589356389</v>
      </c>
      <c r="CI511" s="39">
        <f t="shared" si="539"/>
        <v>0</v>
      </c>
      <c r="CJ511" s="39">
        <f t="shared" si="540"/>
        <v>0</v>
      </c>
      <c r="CK511" s="39">
        <f t="shared" si="541"/>
        <v>0</v>
      </c>
      <c r="CL511" s="39">
        <f t="shared" si="542"/>
        <v>0</v>
      </c>
      <c r="CM511" s="39">
        <f t="shared" si="543"/>
        <v>0</v>
      </c>
      <c r="CN511" s="39">
        <f t="shared" si="544"/>
        <v>0</v>
      </c>
      <c r="CO511" s="39">
        <f t="shared" si="545"/>
        <v>0</v>
      </c>
      <c r="CP511" s="39">
        <f t="shared" si="546"/>
        <v>0</v>
      </c>
    </row>
    <row r="512" spans="12:94" ht="16" customHeight="1" x14ac:dyDescent="0.2">
      <c r="L512" s="63">
        <v>30824</v>
      </c>
      <c r="M512" s="38">
        <v>0</v>
      </c>
      <c r="N512" s="38">
        <v>1.2</v>
      </c>
      <c r="O512" s="39">
        <v>2.3664000000000001</v>
      </c>
      <c r="P512" s="39">
        <v>1.1000000000000001</v>
      </c>
      <c r="Q512" s="46">
        <f t="shared" ref="Q512:Q551" si="555">0.15*($D$12-MAX(AG512,$D$10))/($D$12-$D$10)</f>
        <v>0.10210140338347262</v>
      </c>
      <c r="R512" s="81">
        <f t="shared" ref="R512:R575" si="556">MAX(0,M512-Q512*$B$10)^2/(M512+$B$10*(1-Q512))</f>
        <v>0</v>
      </c>
      <c r="S512" s="82">
        <f t="shared" ref="S512:S575" si="557">M512-R512</f>
        <v>0</v>
      </c>
      <c r="T512" s="39">
        <f t="shared" ref="T512:T551" si="558">BZ512+CP512</f>
        <v>0</v>
      </c>
      <c r="U512" s="83">
        <f t="shared" ref="U512:U551" si="559">N512*P512</f>
        <v>1.32</v>
      </c>
      <c r="V512" s="84">
        <f t="shared" ref="V512:V551" si="560">MAX(0,N512*MAX(0,1-P512)*$B$2)</f>
        <v>0</v>
      </c>
      <c r="W512" s="52">
        <f t="shared" ref="W512:W551" si="561">SUM(AG512:AJ512)-SUM(D$10:G$10)</f>
        <v>103.20508455931997</v>
      </c>
      <c r="X512" s="52">
        <f t="shared" ref="X512:X551" si="562">SUM(AK512:AN512)-SUM(H$10:K$10)</f>
        <v>127.57754811588563</v>
      </c>
      <c r="Y512" s="52">
        <f t="shared" ref="Y512:Y575" si="563">X512+W512</f>
        <v>230.7826326752056</v>
      </c>
      <c r="Z512" s="53">
        <f t="shared" ref="Z512:Z551" si="564">W512/(SUM(D$11:G$11)-SUM(D$10:G$10))</f>
        <v>0.80628972311968727</v>
      </c>
      <c r="AA512" s="53">
        <f t="shared" ref="AA512:AA551" si="565">X512/(SUM(H$11:K$11)-SUM(H$10:K$10))</f>
        <v>0.75939016735646214</v>
      </c>
      <c r="AB512" s="53">
        <f t="shared" ref="AB512:AB551" si="566">Y512/(SUM(D$11:K$11)-SUM(D$10:K$10))</f>
        <v>0.7796710563351541</v>
      </c>
      <c r="AC512" s="39" t="str">
        <f t="shared" ref="AC512:AC551" si="567">IF((AJ512-G$10)/(G$11-G$10)&lt;0.3,"Si","No")</f>
        <v>No</v>
      </c>
      <c r="AD512" s="85">
        <f t="shared" ref="AD512:AD551" si="568">IF(O512&gt;0.2,O512-O511,0)</f>
        <v>0</v>
      </c>
      <c r="AE512" s="46">
        <f t="shared" ref="AE512:AE551" si="569">IF(AF511&lt;D$6,1,IF(AF511&lt;E$6,MIN(1,(AH512-E$10)/(0.3*(E$11-E$10))),IF(AF511&lt;F$6,MIN(1,(AI512-F$10)/(0.3*(F$11-F$10))),IF(AF511&lt;G$6,MIN(1,(AJ512-G$10)/(0.3*(G$11-G$10))),IF(AF511&lt;H$6,MIN(1,(AK512-H$10)/(0.3*(H$11-H$10))),IF(AF511&lt;I$6,MIN(1,(AL512-I$10)/(0.3*(I$11-I$10))),IF(AF511&lt;J$6,MIN(1,(AM512-J$10)/(0.3*(J$11-J$10))),IF(AF511&lt;K$6,MIN(1,(AN512-K$10)/(0.3*(K$11-K$10))),0))))))))</f>
        <v>0</v>
      </c>
      <c r="AF512" s="46">
        <f t="shared" ref="AF512:AF575" si="570">IF(O512&lt;0.2,0,IF(O512=0.2,0.2,AF511+AD512*AE512))</f>
        <v>2.1257999999999999</v>
      </c>
      <c r="AG512" s="39">
        <f t="shared" si="547"/>
        <v>53.629974330820168</v>
      </c>
      <c r="AH512" s="39">
        <f t="shared" si="548"/>
        <v>60.39949810932724</v>
      </c>
      <c r="AI512" s="39">
        <f t="shared" si="549"/>
        <v>58.747351765186991</v>
      </c>
      <c r="AJ512" s="39">
        <f t="shared" si="550"/>
        <v>79.428260353985578</v>
      </c>
      <c r="AK512" s="39">
        <f t="shared" si="551"/>
        <v>76.712889838692661</v>
      </c>
      <c r="AL512" s="39">
        <f t="shared" si="552"/>
        <v>68.01217000434643</v>
      </c>
      <c r="AM512" s="39">
        <f t="shared" si="553"/>
        <v>68.360879683490126</v>
      </c>
      <c r="AN512" s="39">
        <f t="shared" si="554"/>
        <v>55.491608589356389</v>
      </c>
      <c r="AO512" s="39">
        <f t="shared" ref="AO512:AO551" si="571">MAX(0,(AG512-D$10)*$B$8*MIN(1,(AG512-D$10)/($B$9*(D$11-D$10))))*MIN(1,$AF512/D$6)</f>
        <v>2.3629974330820169</v>
      </c>
      <c r="AP512" s="39">
        <f t="shared" ref="AP512:AP551" si="572">MAX(0,(AH512-E$10)*$B$8*MIN(1,(AH512-E$10)/($B$9*(E$11-E$10))))*MIN(1,MAX(0,($AF512-D$6))/(E$6-D$6))</f>
        <v>2.2399498109327243</v>
      </c>
      <c r="AQ512" s="39">
        <f t="shared" ref="AQ512:AQ551" si="573">MAX(0,(AI512-F$10)*$B$8*MIN(1,(AI512-F$10)/($B$9*(F$11-F$10))))*MIN(1,MAX(0,($AF512-E$6))/(F$6-E$6))</f>
        <v>2.2747351765187007</v>
      </c>
      <c r="AR512" s="39">
        <f t="shared" ref="AR512:AR551" si="574">MAX(0,(AJ512-G$10)*$B$8*MIN(1,(AJ512-G$10)/($B$9*(G$11-G$10))))*MIN(1,MAX(0,($AF512-F$6))/(G$6-F$6))</f>
        <v>3.4428260353985571</v>
      </c>
      <c r="AS512" s="39">
        <f t="shared" ref="AS512:AS551" si="575">MAX(0,(AK512-H$10)*$B$8*MIN(1,(AK512-H$10)/($B$9*(H$11-H$10))))*MIN(1,MAX(0,($AF512-G$6))/(H$6-G$6))</f>
        <v>3.4712889838692669</v>
      </c>
      <c r="AT512" s="39">
        <f t="shared" ref="AT512:AT551" si="576">MAX(0,(AL512-I$10)*$B$8*MIN(1,(AL512-I$10)/($B$9*(I$11-I$10))))*MIN(1,MAX(0,($AF512-H$6))/(I$6-H$6))</f>
        <v>3.5012170004346426</v>
      </c>
      <c r="AU512" s="39">
        <f t="shared" ref="AU512:AU551" si="577">MAX(0,(AM512-J$10)*$B$8*MIN(1,(AM512-J$10)/($B$9*(J$11-J$10))))*MIN(1,MAX(0,($AF512-I$6))/(J$6-I$6))</f>
        <v>3.5360879683490118</v>
      </c>
      <c r="AV512" s="39">
        <f t="shared" ref="AV512:AV551" si="578">MAX(0,(AN512-K$10)*$B$8*MIN(1,(AN512-K$10)/($B$9*(K$11-K$10))))*MIN(1,MAX(0,($AF512-J$6))/(K$6-J$6))</f>
        <v>2.2491608589356384</v>
      </c>
      <c r="AW512" s="39">
        <f t="shared" ref="AW512:AW575" si="579">SUM(AO512:AV512)</f>
        <v>23.078263267520558</v>
      </c>
      <c r="AX512" s="39">
        <f t="shared" ref="AX512:AX575" si="580">MIN(U512,AW512+S512)</f>
        <v>1.32</v>
      </c>
      <c r="AY512" s="39">
        <f t="shared" ref="AY512:AY575" si="581">MAX(0,AX512-S512)</f>
        <v>1.32</v>
      </c>
      <c r="AZ512" s="39">
        <f t="shared" ref="AZ512:AZ551" si="582">IF($AW512&gt;0,$AY512*(AO512/$AW512),0)</f>
        <v>0.13515560402060414</v>
      </c>
      <c r="BA512" s="39">
        <f t="shared" ref="BA512:BA551" si="583">IF($AW512&gt;0,$AY512*(AP512/$AW512),0)</f>
        <v>0.12811768876007179</v>
      </c>
      <c r="BB512" s="39">
        <f t="shared" ref="BB512:BB551" si="584">IF($AW512&gt;0,$AY512*(AQ512/$AW512),0)</f>
        <v>0.13010729612528935</v>
      </c>
      <c r="BC512" s="39">
        <f t="shared" ref="BC512:BC551" si="585">IF($AW512&gt;0,$AY512*(AR512/$AW512),0)</f>
        <v>0.19691821321415851</v>
      </c>
      <c r="BD512" s="39">
        <f t="shared" ref="BD512:BD551" si="586">IF($AW512&gt;0,$AY512*(AS512/$AW512),0)</f>
        <v>0.19854619932151057</v>
      </c>
      <c r="BE512" s="39">
        <f t="shared" ref="BE512:BE551" si="587">IF($AW512&gt;0,$AY512*(AT512/$AW512),0)</f>
        <v>0.20025798245737128</v>
      </c>
      <c r="BF512" s="39">
        <f t="shared" ref="BF512:BF551" si="588">IF($AW512&gt;0,$AY512*(AU512/$AW512),0)</f>
        <v>0.20225248599142828</v>
      </c>
      <c r="BG512" s="39">
        <f t="shared" ref="BG512:BG551" si="589">IF($AW512&gt;0,$AY512*(AV512/$AW512),0)</f>
        <v>0.12864453010956617</v>
      </c>
      <c r="BH512" s="84">
        <f t="shared" ref="BH512:BH551" si="590">MIN(V512,MAX(0,(AG512-(D$11-$B$5*$B$2)))+MAX(0,S512-AX512))</f>
        <v>0</v>
      </c>
      <c r="BI512" s="84">
        <f t="shared" ref="BI512:BI575" si="591">V512-BH512</f>
        <v>0</v>
      </c>
      <c r="BJ512" s="84">
        <f t="shared" ref="BJ512:BJ575" si="592">BH512+MIN(BI512,BI512*((S512+AG512-AZ512-BH512-D$10*0.5)/(D$11-$B$5*$B$2-D$10*0.5))^4)</f>
        <v>0</v>
      </c>
      <c r="BK512" s="39">
        <f t="shared" ref="BK512:BK575" si="593">AG512-AZ512-BJ512</f>
        <v>53.494818726799565</v>
      </c>
      <c r="BL512" s="39">
        <f t="shared" ref="BL512:BL551" si="594">AH512-BA512</f>
        <v>60.271380420567169</v>
      </c>
      <c r="BM512" s="39">
        <f t="shared" ref="BM512:BM551" si="595">AI512-BB512</f>
        <v>58.617244469061703</v>
      </c>
      <c r="BN512" s="39">
        <f t="shared" ref="BN512:BN551" si="596">AJ512-BC512</f>
        <v>79.231342140771417</v>
      </c>
      <c r="BO512" s="39">
        <f t="shared" ref="BO512:BO551" si="597">AK512-BD512</f>
        <v>76.514343639371148</v>
      </c>
      <c r="BP512" s="39">
        <f t="shared" ref="BP512:BP551" si="598">AL512-BE512</f>
        <v>67.811912021889057</v>
      </c>
      <c r="BQ512" s="39">
        <f t="shared" ref="BQ512:BQ551" si="599">AM512-BF512</f>
        <v>68.158627197498703</v>
      </c>
      <c r="BR512" s="39">
        <f t="shared" ref="BR512:BR551" si="600">AN512-BG512</f>
        <v>55.362964059246821</v>
      </c>
      <c r="BS512" s="39">
        <f t="shared" ref="BS512:BS551" si="601">MAX(0,(BK512-D$11)*$B$6)</f>
        <v>0</v>
      </c>
      <c r="BT512" s="39">
        <f t="shared" ref="BT512:BT551" si="602">MAX(0,(BL512-E$11)*$B$6)</f>
        <v>0</v>
      </c>
      <c r="BU512" s="39">
        <f t="shared" ref="BU512:BU551" si="603">MAX(0,(BM512-F$11)*$B$6)</f>
        <v>0</v>
      </c>
      <c r="BV512" s="39">
        <f t="shared" ref="BV512:BV551" si="604">MAX(0,(BN512-G$11)*$B$6)</f>
        <v>0</v>
      </c>
      <c r="BW512" s="39">
        <f t="shared" ref="BW512:BW551" si="605">MAX(0,(BO512-H$11)*$B$6)</f>
        <v>0</v>
      </c>
      <c r="BX512" s="39">
        <f t="shared" ref="BX512:BX551" si="606">MAX(0,(BP512-I$11)*$B$6)</f>
        <v>0</v>
      </c>
      <c r="BY512" s="39">
        <f t="shared" ref="BY512:BY551" si="607">MAX(0,(BQ512-J$11)*$B$6)</f>
        <v>0</v>
      </c>
      <c r="BZ512" s="39">
        <f t="shared" ref="BZ512:BZ551" si="608">MAX(0,(BR512-K$11)*$B$6)</f>
        <v>0</v>
      </c>
      <c r="CA512" s="39">
        <f t="shared" ref="CA512:CA551" si="609">BK512-BS512+MAX(0,S512-AY512-BJ512)</f>
        <v>53.494818726799565</v>
      </c>
      <c r="CB512" s="39">
        <f t="shared" ref="CB512:CB551" si="610">BL512-BT512+BS512+CI512</f>
        <v>60.271380420567169</v>
      </c>
      <c r="CC512" s="39">
        <f t="shared" ref="CC512:CC551" si="611">BM512-BU512+BT512+CJ512</f>
        <v>58.617244469061703</v>
      </c>
      <c r="CD512" s="39">
        <f t="shared" ref="CD512:CD551" si="612">BN512-BV512+BU512+CK512</f>
        <v>79.231342140771417</v>
      </c>
      <c r="CE512" s="39">
        <f t="shared" ref="CE512:CE551" si="613">BO512-BW512+BV512+CL512</f>
        <v>76.514343639371148</v>
      </c>
      <c r="CF512" s="39">
        <f t="shared" ref="CF512:CF551" si="614">BP512-BX512+BW512+CM512</f>
        <v>67.811912021889057</v>
      </c>
      <c r="CG512" s="39">
        <f t="shared" ref="CG512:CG551" si="615">BQ512-BY512+BX512+CN512</f>
        <v>68.158627197498703</v>
      </c>
      <c r="CH512" s="39">
        <f t="shared" ref="CH512:CH551" si="616">BR512-BZ512+BY512+CO512</f>
        <v>55.362964059246821</v>
      </c>
      <c r="CI512" s="39">
        <f t="shared" ref="CI512:CI551" si="617">MAX(0,CA512-D$12)</f>
        <v>0</v>
      </c>
      <c r="CJ512" s="39">
        <f t="shared" ref="CJ512:CJ551" si="618">MAX(0,CB512-E$12)</f>
        <v>0</v>
      </c>
      <c r="CK512" s="39">
        <f t="shared" ref="CK512:CK551" si="619">MAX(0,CC512-F$12)</f>
        <v>0</v>
      </c>
      <c r="CL512" s="39">
        <f t="shared" ref="CL512:CL551" si="620">MAX(0,CD512-G$12)</f>
        <v>0</v>
      </c>
      <c r="CM512" s="39">
        <f t="shared" ref="CM512:CM551" si="621">MAX(0,CE512-H$12)</f>
        <v>0</v>
      </c>
      <c r="CN512" s="39">
        <f t="shared" ref="CN512:CN551" si="622">MAX(0,CF512-I$12)</f>
        <v>0</v>
      </c>
      <c r="CO512" s="39">
        <f t="shared" ref="CO512:CO551" si="623">MAX(0,CG512-J$12)</f>
        <v>0</v>
      </c>
      <c r="CP512" s="39">
        <f t="shared" ref="CP512:CP551" si="624">MAX(0,CH512-K$12)</f>
        <v>0</v>
      </c>
    </row>
    <row r="513" spans="12:94" ht="16" customHeight="1" x14ac:dyDescent="0.2">
      <c r="L513" s="63">
        <v>30825</v>
      </c>
      <c r="M513" s="38">
        <v>0</v>
      </c>
      <c r="N513" s="38">
        <v>0.3</v>
      </c>
      <c r="O513" s="39">
        <v>2.3664000000000001</v>
      </c>
      <c r="P513" s="39">
        <v>1.1000000000000001</v>
      </c>
      <c r="Q513" s="46">
        <f t="shared" si="555"/>
        <v>0.10237536744567656</v>
      </c>
      <c r="R513" s="81">
        <f t="shared" si="556"/>
        <v>0</v>
      </c>
      <c r="S513" s="82">
        <f t="shared" si="557"/>
        <v>0</v>
      </c>
      <c r="T513" s="39">
        <f t="shared" si="558"/>
        <v>0</v>
      </c>
      <c r="U513" s="83">
        <f t="shared" si="559"/>
        <v>0.33</v>
      </c>
      <c r="V513" s="84">
        <f t="shared" si="560"/>
        <v>0</v>
      </c>
      <c r="W513" s="52">
        <f t="shared" si="561"/>
        <v>102.61478575719985</v>
      </c>
      <c r="X513" s="52">
        <f t="shared" si="562"/>
        <v>126.84784691800576</v>
      </c>
      <c r="Y513" s="52">
        <f t="shared" si="563"/>
        <v>229.46263267520561</v>
      </c>
      <c r="Z513" s="53">
        <f t="shared" si="564"/>
        <v>0.80167801372812386</v>
      </c>
      <c r="AA513" s="53">
        <f t="shared" si="565"/>
        <v>0.75504670784527239</v>
      </c>
      <c r="AB513" s="53">
        <f t="shared" si="566"/>
        <v>0.77521159687569463</v>
      </c>
      <c r="AC513" s="39" t="str">
        <f t="shared" si="567"/>
        <v>No</v>
      </c>
      <c r="AD513" s="85">
        <f t="shared" si="568"/>
        <v>0</v>
      </c>
      <c r="AE513" s="46">
        <f t="shared" si="569"/>
        <v>0</v>
      </c>
      <c r="AF513" s="46">
        <f t="shared" si="570"/>
        <v>2.1257999999999999</v>
      </c>
      <c r="AG513" s="39">
        <f t="shared" ref="AG513:AG551" si="625">MIN(D$12,CA512)</f>
        <v>53.494818726799565</v>
      </c>
      <c r="AH513" s="39">
        <f t="shared" ref="AH513:AH551" si="626">MIN(E$12,CB512)</f>
        <v>60.271380420567169</v>
      </c>
      <c r="AI513" s="39">
        <f t="shared" ref="AI513:AI551" si="627">MIN(F$12,CC512)</f>
        <v>58.617244469061703</v>
      </c>
      <c r="AJ513" s="39">
        <f t="shared" ref="AJ513:AJ551" si="628">MIN(G$12,CD512)</f>
        <v>79.231342140771417</v>
      </c>
      <c r="AK513" s="39">
        <f t="shared" ref="AK513:AK551" si="629">MIN(H$12,CE512)</f>
        <v>76.514343639371148</v>
      </c>
      <c r="AL513" s="39">
        <f t="shared" ref="AL513:AL551" si="630">MIN(I$12,CF512)</f>
        <v>67.811912021889057</v>
      </c>
      <c r="AM513" s="39">
        <f t="shared" ref="AM513:AM551" si="631">MIN(J$12,CG512)</f>
        <v>68.158627197498703</v>
      </c>
      <c r="AN513" s="39">
        <f t="shared" ref="AN513:AN551" si="632">MIN(K$12,CH512)</f>
        <v>55.362964059246821</v>
      </c>
      <c r="AO513" s="39">
        <f t="shared" si="571"/>
        <v>2.3494818726799567</v>
      </c>
      <c r="AP513" s="39">
        <f t="shared" si="572"/>
        <v>2.2271380420567168</v>
      </c>
      <c r="AQ513" s="39">
        <f t="shared" si="573"/>
        <v>2.2617244469061717</v>
      </c>
      <c r="AR513" s="39">
        <f t="shared" si="574"/>
        <v>3.423134214077141</v>
      </c>
      <c r="AS513" s="39">
        <f t="shared" si="575"/>
        <v>3.4514343639371159</v>
      </c>
      <c r="AT513" s="39">
        <f t="shared" si="576"/>
        <v>3.4811912021889051</v>
      </c>
      <c r="AU513" s="39">
        <f t="shared" si="577"/>
        <v>3.5158627197498697</v>
      </c>
      <c r="AV513" s="39">
        <f t="shared" si="578"/>
        <v>2.2362964059246813</v>
      </c>
      <c r="AW513" s="39">
        <f t="shared" si="579"/>
        <v>22.946263267520557</v>
      </c>
      <c r="AX513" s="39">
        <f t="shared" si="580"/>
        <v>0.33</v>
      </c>
      <c r="AY513" s="39">
        <f t="shared" si="581"/>
        <v>0.33</v>
      </c>
      <c r="AZ513" s="39">
        <f t="shared" si="582"/>
        <v>3.3788901005151042E-2</v>
      </c>
      <c r="BA513" s="39">
        <f t="shared" si="583"/>
        <v>3.2029422190017948E-2</v>
      </c>
      <c r="BB513" s="39">
        <f t="shared" si="584"/>
        <v>3.2526824031322336E-2</v>
      </c>
      <c r="BC513" s="39">
        <f t="shared" si="585"/>
        <v>4.9229553303539626E-2</v>
      </c>
      <c r="BD513" s="39">
        <f t="shared" si="586"/>
        <v>4.9636549830377644E-2</v>
      </c>
      <c r="BE513" s="39">
        <f t="shared" si="587"/>
        <v>5.006449561434282E-2</v>
      </c>
      <c r="BF513" s="39">
        <f t="shared" si="588"/>
        <v>5.0563121497857091E-2</v>
      </c>
      <c r="BG513" s="39">
        <f t="shared" si="589"/>
        <v>3.2161132527391528E-2</v>
      </c>
      <c r="BH513" s="84">
        <f t="shared" si="590"/>
        <v>0</v>
      </c>
      <c r="BI513" s="84">
        <f t="shared" si="591"/>
        <v>0</v>
      </c>
      <c r="BJ513" s="84">
        <f t="shared" si="592"/>
        <v>0</v>
      </c>
      <c r="BK513" s="39">
        <f t="shared" si="593"/>
        <v>53.461029825794412</v>
      </c>
      <c r="BL513" s="39">
        <f t="shared" si="594"/>
        <v>60.239350998377148</v>
      </c>
      <c r="BM513" s="39">
        <f t="shared" si="595"/>
        <v>58.584717645030381</v>
      </c>
      <c r="BN513" s="39">
        <f t="shared" si="596"/>
        <v>79.182112587467884</v>
      </c>
      <c r="BO513" s="39">
        <f t="shared" si="597"/>
        <v>76.464707089540767</v>
      </c>
      <c r="BP513" s="39">
        <f t="shared" si="598"/>
        <v>67.761847526274721</v>
      </c>
      <c r="BQ513" s="39">
        <f t="shared" si="599"/>
        <v>68.108064076000844</v>
      </c>
      <c r="BR513" s="39">
        <f t="shared" si="600"/>
        <v>55.330802926719429</v>
      </c>
      <c r="BS513" s="39">
        <f t="shared" si="601"/>
        <v>0</v>
      </c>
      <c r="BT513" s="39">
        <f t="shared" si="602"/>
        <v>0</v>
      </c>
      <c r="BU513" s="39">
        <f t="shared" si="603"/>
        <v>0</v>
      </c>
      <c r="BV513" s="39">
        <f t="shared" si="604"/>
        <v>0</v>
      </c>
      <c r="BW513" s="39">
        <f t="shared" si="605"/>
        <v>0</v>
      </c>
      <c r="BX513" s="39">
        <f t="shared" si="606"/>
        <v>0</v>
      </c>
      <c r="BY513" s="39">
        <f t="shared" si="607"/>
        <v>0</v>
      </c>
      <c r="BZ513" s="39">
        <f t="shared" si="608"/>
        <v>0</v>
      </c>
      <c r="CA513" s="39">
        <f t="shared" si="609"/>
        <v>53.461029825794412</v>
      </c>
      <c r="CB513" s="39">
        <f t="shared" si="610"/>
        <v>60.239350998377148</v>
      </c>
      <c r="CC513" s="39">
        <f t="shared" si="611"/>
        <v>58.584717645030381</v>
      </c>
      <c r="CD513" s="39">
        <f t="shared" si="612"/>
        <v>79.182112587467884</v>
      </c>
      <c r="CE513" s="39">
        <f t="shared" si="613"/>
        <v>76.464707089540767</v>
      </c>
      <c r="CF513" s="39">
        <f t="shared" si="614"/>
        <v>67.761847526274721</v>
      </c>
      <c r="CG513" s="39">
        <f t="shared" si="615"/>
        <v>68.108064076000844</v>
      </c>
      <c r="CH513" s="39">
        <f t="shared" si="616"/>
        <v>55.330802926719429</v>
      </c>
      <c r="CI513" s="39">
        <f t="shared" si="617"/>
        <v>0</v>
      </c>
      <c r="CJ513" s="39">
        <f t="shared" si="618"/>
        <v>0</v>
      </c>
      <c r="CK513" s="39">
        <f t="shared" si="619"/>
        <v>0</v>
      </c>
      <c r="CL513" s="39">
        <f t="shared" si="620"/>
        <v>0</v>
      </c>
      <c r="CM513" s="39">
        <f t="shared" si="621"/>
        <v>0</v>
      </c>
      <c r="CN513" s="39">
        <f t="shared" si="622"/>
        <v>0</v>
      </c>
      <c r="CO513" s="39">
        <f t="shared" si="623"/>
        <v>0</v>
      </c>
      <c r="CP513" s="39">
        <f t="shared" si="624"/>
        <v>0</v>
      </c>
    </row>
    <row r="514" spans="12:94" ht="16" customHeight="1" x14ac:dyDescent="0.2">
      <c r="L514" s="63">
        <v>30826</v>
      </c>
      <c r="M514" s="38">
        <v>0</v>
      </c>
      <c r="N514" s="38">
        <v>0.3</v>
      </c>
      <c r="O514" s="39">
        <v>2.3664000000000001</v>
      </c>
      <c r="P514" s="39">
        <v>1.1000000000000001</v>
      </c>
      <c r="Q514" s="46">
        <f t="shared" si="555"/>
        <v>0.10244385846122754</v>
      </c>
      <c r="R514" s="81">
        <f t="shared" si="556"/>
        <v>0</v>
      </c>
      <c r="S514" s="82">
        <f t="shared" si="557"/>
        <v>0</v>
      </c>
      <c r="T514" s="39">
        <f t="shared" si="558"/>
        <v>0</v>
      </c>
      <c r="U514" s="83">
        <f t="shared" si="559"/>
        <v>0.33</v>
      </c>
      <c r="V514" s="84">
        <f t="shared" si="560"/>
        <v>0</v>
      </c>
      <c r="W514" s="52">
        <f t="shared" si="561"/>
        <v>102.46721105666984</v>
      </c>
      <c r="X514" s="52">
        <f t="shared" si="562"/>
        <v>126.66542161853579</v>
      </c>
      <c r="Y514" s="52">
        <f t="shared" si="563"/>
        <v>229.13263267520563</v>
      </c>
      <c r="Z514" s="53">
        <f t="shared" si="564"/>
        <v>0.80052508638023312</v>
      </c>
      <c r="AA514" s="53">
        <f t="shared" si="565"/>
        <v>0.7539608429674749</v>
      </c>
      <c r="AB514" s="53">
        <f t="shared" si="566"/>
        <v>0.77409673201082985</v>
      </c>
      <c r="AC514" s="39" t="str">
        <f t="shared" si="567"/>
        <v>No</v>
      </c>
      <c r="AD514" s="85">
        <f t="shared" si="568"/>
        <v>0</v>
      </c>
      <c r="AE514" s="46">
        <f t="shared" si="569"/>
        <v>0</v>
      </c>
      <c r="AF514" s="46">
        <f t="shared" si="570"/>
        <v>2.1257999999999999</v>
      </c>
      <c r="AG514" s="39">
        <f t="shared" si="625"/>
        <v>53.461029825794412</v>
      </c>
      <c r="AH514" s="39">
        <f t="shared" si="626"/>
        <v>60.239350998377148</v>
      </c>
      <c r="AI514" s="39">
        <f t="shared" si="627"/>
        <v>58.584717645030381</v>
      </c>
      <c r="AJ514" s="39">
        <f t="shared" si="628"/>
        <v>79.182112587467884</v>
      </c>
      <c r="AK514" s="39">
        <f t="shared" si="629"/>
        <v>76.464707089540767</v>
      </c>
      <c r="AL514" s="39">
        <f t="shared" si="630"/>
        <v>67.761847526274721</v>
      </c>
      <c r="AM514" s="39">
        <f t="shared" si="631"/>
        <v>68.108064076000844</v>
      </c>
      <c r="AN514" s="39">
        <f t="shared" si="632"/>
        <v>55.330802926719429</v>
      </c>
      <c r="AO514" s="39">
        <f t="shared" si="571"/>
        <v>2.3461029825794415</v>
      </c>
      <c r="AP514" s="39">
        <f t="shared" si="572"/>
        <v>2.223935099837715</v>
      </c>
      <c r="AQ514" s="39">
        <f t="shared" si="573"/>
        <v>2.2584717645030397</v>
      </c>
      <c r="AR514" s="39">
        <f t="shared" si="574"/>
        <v>3.4182112587467879</v>
      </c>
      <c r="AS514" s="39">
        <f t="shared" si="575"/>
        <v>3.4464707089540774</v>
      </c>
      <c r="AT514" s="39">
        <f t="shared" si="576"/>
        <v>3.4761847526274714</v>
      </c>
      <c r="AU514" s="39">
        <f t="shared" si="577"/>
        <v>3.510806407600084</v>
      </c>
      <c r="AV514" s="39">
        <f t="shared" si="578"/>
        <v>2.2330802926719424</v>
      </c>
      <c r="AW514" s="39">
        <f t="shared" si="579"/>
        <v>22.913263267520563</v>
      </c>
      <c r="AX514" s="39">
        <f t="shared" si="580"/>
        <v>0.33</v>
      </c>
      <c r="AY514" s="39">
        <f t="shared" si="581"/>
        <v>0.33</v>
      </c>
      <c r="AZ514" s="39">
        <f t="shared" si="582"/>
        <v>3.3788901005151029E-2</v>
      </c>
      <c r="BA514" s="39">
        <f t="shared" si="583"/>
        <v>3.2029422190017934E-2</v>
      </c>
      <c r="BB514" s="39">
        <f t="shared" si="584"/>
        <v>3.2526824031322336E-2</v>
      </c>
      <c r="BC514" s="39">
        <f t="shared" si="585"/>
        <v>4.9229553303539626E-2</v>
      </c>
      <c r="BD514" s="39">
        <f t="shared" si="586"/>
        <v>4.9636549830377623E-2</v>
      </c>
      <c r="BE514" s="39">
        <f t="shared" si="587"/>
        <v>5.006449561434282E-2</v>
      </c>
      <c r="BF514" s="39">
        <f t="shared" si="588"/>
        <v>5.0563121497857071E-2</v>
      </c>
      <c r="BG514" s="39">
        <f t="shared" si="589"/>
        <v>3.2161132527391528E-2</v>
      </c>
      <c r="BH514" s="84">
        <f t="shared" si="590"/>
        <v>0</v>
      </c>
      <c r="BI514" s="84">
        <f t="shared" si="591"/>
        <v>0</v>
      </c>
      <c r="BJ514" s="84">
        <f t="shared" si="592"/>
        <v>0</v>
      </c>
      <c r="BK514" s="39">
        <f t="shared" si="593"/>
        <v>53.42724092478926</v>
      </c>
      <c r="BL514" s="39">
        <f t="shared" si="594"/>
        <v>60.207321576187127</v>
      </c>
      <c r="BM514" s="39">
        <f t="shared" si="595"/>
        <v>58.552190820999058</v>
      </c>
      <c r="BN514" s="39">
        <f t="shared" si="596"/>
        <v>79.132883034164351</v>
      </c>
      <c r="BO514" s="39">
        <f t="shared" si="597"/>
        <v>76.415070539710385</v>
      </c>
      <c r="BP514" s="39">
        <f t="shared" si="598"/>
        <v>67.711783030660385</v>
      </c>
      <c r="BQ514" s="39">
        <f t="shared" si="599"/>
        <v>68.057500954502984</v>
      </c>
      <c r="BR514" s="39">
        <f t="shared" si="600"/>
        <v>55.298641794192037</v>
      </c>
      <c r="BS514" s="39">
        <f t="shared" si="601"/>
        <v>0</v>
      </c>
      <c r="BT514" s="39">
        <f t="shared" si="602"/>
        <v>0</v>
      </c>
      <c r="BU514" s="39">
        <f t="shared" si="603"/>
        <v>0</v>
      </c>
      <c r="BV514" s="39">
        <f t="shared" si="604"/>
        <v>0</v>
      </c>
      <c r="BW514" s="39">
        <f t="shared" si="605"/>
        <v>0</v>
      </c>
      <c r="BX514" s="39">
        <f t="shared" si="606"/>
        <v>0</v>
      </c>
      <c r="BY514" s="39">
        <f t="shared" si="607"/>
        <v>0</v>
      </c>
      <c r="BZ514" s="39">
        <f t="shared" si="608"/>
        <v>0</v>
      </c>
      <c r="CA514" s="39">
        <f t="shared" si="609"/>
        <v>53.42724092478926</v>
      </c>
      <c r="CB514" s="39">
        <f t="shared" si="610"/>
        <v>60.207321576187127</v>
      </c>
      <c r="CC514" s="39">
        <f t="shared" si="611"/>
        <v>58.552190820999058</v>
      </c>
      <c r="CD514" s="39">
        <f t="shared" si="612"/>
        <v>79.132883034164351</v>
      </c>
      <c r="CE514" s="39">
        <f t="shared" si="613"/>
        <v>76.415070539710385</v>
      </c>
      <c r="CF514" s="39">
        <f t="shared" si="614"/>
        <v>67.711783030660385</v>
      </c>
      <c r="CG514" s="39">
        <f t="shared" si="615"/>
        <v>68.057500954502984</v>
      </c>
      <c r="CH514" s="39">
        <f t="shared" si="616"/>
        <v>55.298641794192037</v>
      </c>
      <c r="CI514" s="39">
        <f t="shared" si="617"/>
        <v>0</v>
      </c>
      <c r="CJ514" s="39">
        <f t="shared" si="618"/>
        <v>0</v>
      </c>
      <c r="CK514" s="39">
        <f t="shared" si="619"/>
        <v>0</v>
      </c>
      <c r="CL514" s="39">
        <f t="shared" si="620"/>
        <v>0</v>
      </c>
      <c r="CM514" s="39">
        <f t="shared" si="621"/>
        <v>0</v>
      </c>
      <c r="CN514" s="39">
        <f t="shared" si="622"/>
        <v>0</v>
      </c>
      <c r="CO514" s="39">
        <f t="shared" si="623"/>
        <v>0</v>
      </c>
      <c r="CP514" s="39">
        <f t="shared" si="624"/>
        <v>0</v>
      </c>
    </row>
    <row r="515" spans="12:94" ht="16" customHeight="1" x14ac:dyDescent="0.2">
      <c r="L515" s="63">
        <v>30827</v>
      </c>
      <c r="M515" s="38">
        <v>0.8</v>
      </c>
      <c r="N515" s="38">
        <v>0.5</v>
      </c>
      <c r="O515" s="39">
        <v>2.3664000000000001</v>
      </c>
      <c r="P515" s="39">
        <v>1.1000000000000001</v>
      </c>
      <c r="Q515" s="46">
        <f t="shared" si="555"/>
        <v>0.10251234947677852</v>
      </c>
      <c r="R515" s="81">
        <f t="shared" si="556"/>
        <v>0</v>
      </c>
      <c r="S515" s="82">
        <f t="shared" si="557"/>
        <v>0.8</v>
      </c>
      <c r="T515" s="39">
        <f t="shared" si="558"/>
        <v>0</v>
      </c>
      <c r="U515" s="83">
        <f t="shared" si="559"/>
        <v>0.55000000000000004</v>
      </c>
      <c r="V515" s="84">
        <f t="shared" si="560"/>
        <v>0</v>
      </c>
      <c r="W515" s="52">
        <f t="shared" si="561"/>
        <v>102.31963635613982</v>
      </c>
      <c r="X515" s="52">
        <f t="shared" si="562"/>
        <v>126.48299631906582</v>
      </c>
      <c r="Y515" s="52">
        <f t="shared" si="563"/>
        <v>228.80263267520564</v>
      </c>
      <c r="Z515" s="53">
        <f t="shared" si="564"/>
        <v>0.79937215903234238</v>
      </c>
      <c r="AA515" s="53">
        <f t="shared" si="565"/>
        <v>0.75287497808967752</v>
      </c>
      <c r="AB515" s="53">
        <f t="shared" si="566"/>
        <v>0.77298186714596506</v>
      </c>
      <c r="AC515" s="39" t="str">
        <f t="shared" si="567"/>
        <v>No</v>
      </c>
      <c r="AD515" s="85">
        <f t="shared" si="568"/>
        <v>0</v>
      </c>
      <c r="AE515" s="46">
        <f t="shared" si="569"/>
        <v>0</v>
      </c>
      <c r="AF515" s="46">
        <f t="shared" si="570"/>
        <v>2.1257999999999999</v>
      </c>
      <c r="AG515" s="39">
        <f t="shared" si="625"/>
        <v>53.42724092478926</v>
      </c>
      <c r="AH515" s="39">
        <f t="shared" si="626"/>
        <v>60.207321576187127</v>
      </c>
      <c r="AI515" s="39">
        <f t="shared" si="627"/>
        <v>58.552190820999058</v>
      </c>
      <c r="AJ515" s="39">
        <f t="shared" si="628"/>
        <v>79.132883034164351</v>
      </c>
      <c r="AK515" s="39">
        <f t="shared" si="629"/>
        <v>76.415070539710385</v>
      </c>
      <c r="AL515" s="39">
        <f t="shared" si="630"/>
        <v>67.711783030660385</v>
      </c>
      <c r="AM515" s="39">
        <f t="shared" si="631"/>
        <v>68.057500954502984</v>
      </c>
      <c r="AN515" s="39">
        <f t="shared" si="632"/>
        <v>55.298641794192037</v>
      </c>
      <c r="AO515" s="39">
        <f t="shared" si="571"/>
        <v>2.3427240924789259</v>
      </c>
      <c r="AP515" s="39">
        <f t="shared" si="572"/>
        <v>2.2207321576187127</v>
      </c>
      <c r="AQ515" s="39">
        <f t="shared" si="573"/>
        <v>2.2552190820999072</v>
      </c>
      <c r="AR515" s="39">
        <f t="shared" si="574"/>
        <v>3.4132883034164347</v>
      </c>
      <c r="AS515" s="39">
        <f t="shared" si="575"/>
        <v>3.4415070539710393</v>
      </c>
      <c r="AT515" s="39">
        <f t="shared" si="576"/>
        <v>3.4711783030660381</v>
      </c>
      <c r="AU515" s="39">
        <f t="shared" si="577"/>
        <v>3.5057500954502978</v>
      </c>
      <c r="AV515" s="39">
        <f t="shared" si="578"/>
        <v>2.2298641794192031</v>
      </c>
      <c r="AW515" s="39">
        <f t="shared" si="579"/>
        <v>22.880263267520558</v>
      </c>
      <c r="AX515" s="39">
        <f t="shared" si="580"/>
        <v>0.55000000000000004</v>
      </c>
      <c r="AY515" s="39">
        <f t="shared" si="581"/>
        <v>0</v>
      </c>
      <c r="AZ515" s="39">
        <f t="shared" si="582"/>
        <v>0</v>
      </c>
      <c r="BA515" s="39">
        <f t="shared" si="583"/>
        <v>0</v>
      </c>
      <c r="BB515" s="39">
        <f t="shared" si="584"/>
        <v>0</v>
      </c>
      <c r="BC515" s="39">
        <f t="shared" si="585"/>
        <v>0</v>
      </c>
      <c r="BD515" s="39">
        <f t="shared" si="586"/>
        <v>0</v>
      </c>
      <c r="BE515" s="39">
        <f t="shared" si="587"/>
        <v>0</v>
      </c>
      <c r="BF515" s="39">
        <f t="shared" si="588"/>
        <v>0</v>
      </c>
      <c r="BG515" s="39">
        <f t="shared" si="589"/>
        <v>0</v>
      </c>
      <c r="BH515" s="84">
        <f t="shared" si="590"/>
        <v>0</v>
      </c>
      <c r="BI515" s="84">
        <f t="shared" si="591"/>
        <v>0</v>
      </c>
      <c r="BJ515" s="84">
        <f t="shared" si="592"/>
        <v>0</v>
      </c>
      <c r="BK515" s="39">
        <f t="shared" si="593"/>
        <v>53.42724092478926</v>
      </c>
      <c r="BL515" s="39">
        <f t="shared" si="594"/>
        <v>60.207321576187127</v>
      </c>
      <c r="BM515" s="39">
        <f t="shared" si="595"/>
        <v>58.552190820999058</v>
      </c>
      <c r="BN515" s="39">
        <f t="shared" si="596"/>
        <v>79.132883034164351</v>
      </c>
      <c r="BO515" s="39">
        <f t="shared" si="597"/>
        <v>76.415070539710385</v>
      </c>
      <c r="BP515" s="39">
        <f t="shared" si="598"/>
        <v>67.711783030660385</v>
      </c>
      <c r="BQ515" s="39">
        <f t="shared" si="599"/>
        <v>68.057500954502984</v>
      </c>
      <c r="BR515" s="39">
        <f t="shared" si="600"/>
        <v>55.298641794192037</v>
      </c>
      <c r="BS515" s="39">
        <f t="shared" si="601"/>
        <v>0</v>
      </c>
      <c r="BT515" s="39">
        <f t="shared" si="602"/>
        <v>0</v>
      </c>
      <c r="BU515" s="39">
        <f t="shared" si="603"/>
        <v>0</v>
      </c>
      <c r="BV515" s="39">
        <f t="shared" si="604"/>
        <v>0</v>
      </c>
      <c r="BW515" s="39">
        <f t="shared" si="605"/>
        <v>0</v>
      </c>
      <c r="BX515" s="39">
        <f t="shared" si="606"/>
        <v>0</v>
      </c>
      <c r="BY515" s="39">
        <f t="shared" si="607"/>
        <v>0</v>
      </c>
      <c r="BZ515" s="39">
        <f t="shared" si="608"/>
        <v>0</v>
      </c>
      <c r="CA515" s="39">
        <f t="shared" si="609"/>
        <v>54.227240924789257</v>
      </c>
      <c r="CB515" s="39">
        <f t="shared" si="610"/>
        <v>60.207321576187127</v>
      </c>
      <c r="CC515" s="39">
        <f t="shared" si="611"/>
        <v>58.552190820999058</v>
      </c>
      <c r="CD515" s="39">
        <f t="shared" si="612"/>
        <v>79.132883034164351</v>
      </c>
      <c r="CE515" s="39">
        <f t="shared" si="613"/>
        <v>76.415070539710385</v>
      </c>
      <c r="CF515" s="39">
        <f t="shared" si="614"/>
        <v>67.711783030660385</v>
      </c>
      <c r="CG515" s="39">
        <f t="shared" si="615"/>
        <v>68.057500954502984</v>
      </c>
      <c r="CH515" s="39">
        <f t="shared" si="616"/>
        <v>55.298641794192037</v>
      </c>
      <c r="CI515" s="39">
        <f t="shared" si="617"/>
        <v>0</v>
      </c>
      <c r="CJ515" s="39">
        <f t="shared" si="618"/>
        <v>0</v>
      </c>
      <c r="CK515" s="39">
        <f t="shared" si="619"/>
        <v>0</v>
      </c>
      <c r="CL515" s="39">
        <f t="shared" si="620"/>
        <v>0</v>
      </c>
      <c r="CM515" s="39">
        <f t="shared" si="621"/>
        <v>0</v>
      </c>
      <c r="CN515" s="39">
        <f t="shared" si="622"/>
        <v>0</v>
      </c>
      <c r="CO515" s="39">
        <f t="shared" si="623"/>
        <v>0</v>
      </c>
      <c r="CP515" s="39">
        <f t="shared" si="624"/>
        <v>0</v>
      </c>
    </row>
    <row r="516" spans="12:94" ht="16" customHeight="1" x14ac:dyDescent="0.2">
      <c r="L516" s="63">
        <v>30828</v>
      </c>
      <c r="M516" s="38">
        <v>6</v>
      </c>
      <c r="N516" s="38">
        <v>0.5</v>
      </c>
      <c r="O516" s="39">
        <v>2.3664000000000001</v>
      </c>
      <c r="P516" s="39">
        <v>1.1000000000000001</v>
      </c>
      <c r="Q516" s="46">
        <f t="shared" si="555"/>
        <v>0.1008907278551569</v>
      </c>
      <c r="R516" s="81">
        <f t="shared" si="556"/>
        <v>0</v>
      </c>
      <c r="S516" s="82">
        <f t="shared" si="557"/>
        <v>6</v>
      </c>
      <c r="T516" s="39">
        <f t="shared" si="558"/>
        <v>0</v>
      </c>
      <c r="U516" s="83">
        <f t="shared" si="559"/>
        <v>0.55000000000000004</v>
      </c>
      <c r="V516" s="84">
        <f t="shared" si="560"/>
        <v>0</v>
      </c>
      <c r="W516" s="52">
        <f t="shared" si="561"/>
        <v>103.11963635613978</v>
      </c>
      <c r="X516" s="52">
        <f t="shared" si="562"/>
        <v>126.48299631906582</v>
      </c>
      <c r="Y516" s="52">
        <f t="shared" si="563"/>
        <v>229.6026326752056</v>
      </c>
      <c r="Z516" s="53">
        <f t="shared" si="564"/>
        <v>0.80562215903234202</v>
      </c>
      <c r="AA516" s="53">
        <f t="shared" si="565"/>
        <v>0.75287497808967752</v>
      </c>
      <c r="AB516" s="53">
        <f t="shared" si="566"/>
        <v>0.77568456984866752</v>
      </c>
      <c r="AC516" s="39" t="str">
        <f t="shared" si="567"/>
        <v>No</v>
      </c>
      <c r="AD516" s="85">
        <f t="shared" si="568"/>
        <v>0</v>
      </c>
      <c r="AE516" s="46">
        <f t="shared" si="569"/>
        <v>0</v>
      </c>
      <c r="AF516" s="46">
        <f t="shared" si="570"/>
        <v>2.1257999999999999</v>
      </c>
      <c r="AG516" s="39">
        <f t="shared" si="625"/>
        <v>54.227240924789257</v>
      </c>
      <c r="AH516" s="39">
        <f t="shared" si="626"/>
        <v>60.207321576187127</v>
      </c>
      <c r="AI516" s="39">
        <f t="shared" si="627"/>
        <v>58.552190820999058</v>
      </c>
      <c r="AJ516" s="39">
        <f t="shared" si="628"/>
        <v>79.132883034164351</v>
      </c>
      <c r="AK516" s="39">
        <f t="shared" si="629"/>
        <v>76.415070539710385</v>
      </c>
      <c r="AL516" s="39">
        <f t="shared" si="630"/>
        <v>67.711783030660385</v>
      </c>
      <c r="AM516" s="39">
        <f t="shared" si="631"/>
        <v>68.057500954502984</v>
      </c>
      <c r="AN516" s="39">
        <f t="shared" si="632"/>
        <v>55.298641794192037</v>
      </c>
      <c r="AO516" s="39">
        <f t="shared" si="571"/>
        <v>2.422724092478926</v>
      </c>
      <c r="AP516" s="39">
        <f t="shared" si="572"/>
        <v>2.2207321576187127</v>
      </c>
      <c r="AQ516" s="39">
        <f t="shared" si="573"/>
        <v>2.2552190820999072</v>
      </c>
      <c r="AR516" s="39">
        <f t="shared" si="574"/>
        <v>3.4132883034164347</v>
      </c>
      <c r="AS516" s="39">
        <f t="shared" si="575"/>
        <v>3.4415070539710393</v>
      </c>
      <c r="AT516" s="39">
        <f t="shared" si="576"/>
        <v>3.4711783030660381</v>
      </c>
      <c r="AU516" s="39">
        <f t="shared" si="577"/>
        <v>3.5057500954502978</v>
      </c>
      <c r="AV516" s="39">
        <f t="shared" si="578"/>
        <v>2.2298641794192031</v>
      </c>
      <c r="AW516" s="39">
        <f t="shared" si="579"/>
        <v>22.96026326752056</v>
      </c>
      <c r="AX516" s="39">
        <f t="shared" si="580"/>
        <v>0.55000000000000004</v>
      </c>
      <c r="AY516" s="39">
        <f t="shared" si="581"/>
        <v>0</v>
      </c>
      <c r="AZ516" s="39">
        <f t="shared" si="582"/>
        <v>0</v>
      </c>
      <c r="BA516" s="39">
        <f t="shared" si="583"/>
        <v>0</v>
      </c>
      <c r="BB516" s="39">
        <f t="shared" si="584"/>
        <v>0</v>
      </c>
      <c r="BC516" s="39">
        <f t="shared" si="585"/>
        <v>0</v>
      </c>
      <c r="BD516" s="39">
        <f t="shared" si="586"/>
        <v>0</v>
      </c>
      <c r="BE516" s="39">
        <f t="shared" si="587"/>
        <v>0</v>
      </c>
      <c r="BF516" s="39">
        <f t="shared" si="588"/>
        <v>0</v>
      </c>
      <c r="BG516" s="39">
        <f t="shared" si="589"/>
        <v>0</v>
      </c>
      <c r="BH516" s="84">
        <f t="shared" si="590"/>
        <v>0</v>
      </c>
      <c r="BI516" s="84">
        <f t="shared" si="591"/>
        <v>0</v>
      </c>
      <c r="BJ516" s="84">
        <f t="shared" si="592"/>
        <v>0</v>
      </c>
      <c r="BK516" s="39">
        <f t="shared" si="593"/>
        <v>54.227240924789257</v>
      </c>
      <c r="BL516" s="39">
        <f t="shared" si="594"/>
        <v>60.207321576187127</v>
      </c>
      <c r="BM516" s="39">
        <f t="shared" si="595"/>
        <v>58.552190820999058</v>
      </c>
      <c r="BN516" s="39">
        <f t="shared" si="596"/>
        <v>79.132883034164351</v>
      </c>
      <c r="BO516" s="39">
        <f t="shared" si="597"/>
        <v>76.415070539710385</v>
      </c>
      <c r="BP516" s="39">
        <f t="shared" si="598"/>
        <v>67.711783030660385</v>
      </c>
      <c r="BQ516" s="39">
        <f t="shared" si="599"/>
        <v>68.057500954502984</v>
      </c>
      <c r="BR516" s="39">
        <f t="shared" si="600"/>
        <v>55.298641794192037</v>
      </c>
      <c r="BS516" s="39">
        <f t="shared" si="601"/>
        <v>0</v>
      </c>
      <c r="BT516" s="39">
        <f t="shared" si="602"/>
        <v>0</v>
      </c>
      <c r="BU516" s="39">
        <f t="shared" si="603"/>
        <v>0</v>
      </c>
      <c r="BV516" s="39">
        <f t="shared" si="604"/>
        <v>0</v>
      </c>
      <c r="BW516" s="39">
        <f t="shared" si="605"/>
        <v>0</v>
      </c>
      <c r="BX516" s="39">
        <f t="shared" si="606"/>
        <v>0</v>
      </c>
      <c r="BY516" s="39">
        <f t="shared" si="607"/>
        <v>0</v>
      </c>
      <c r="BZ516" s="39">
        <f t="shared" si="608"/>
        <v>0</v>
      </c>
      <c r="CA516" s="39">
        <f t="shared" si="609"/>
        <v>60.227240924789257</v>
      </c>
      <c r="CB516" s="39">
        <f t="shared" si="610"/>
        <v>60.207321576187127</v>
      </c>
      <c r="CC516" s="39">
        <f t="shared" si="611"/>
        <v>58.552190820999058</v>
      </c>
      <c r="CD516" s="39">
        <f t="shared" si="612"/>
        <v>79.132883034164351</v>
      </c>
      <c r="CE516" s="39">
        <f t="shared" si="613"/>
        <v>76.415070539710385</v>
      </c>
      <c r="CF516" s="39">
        <f t="shared" si="614"/>
        <v>67.711783030660385</v>
      </c>
      <c r="CG516" s="39">
        <f t="shared" si="615"/>
        <v>68.057500954502984</v>
      </c>
      <c r="CH516" s="39">
        <f t="shared" si="616"/>
        <v>55.298641794192037</v>
      </c>
      <c r="CI516" s="39">
        <f t="shared" si="617"/>
        <v>0</v>
      </c>
      <c r="CJ516" s="39">
        <f t="shared" si="618"/>
        <v>0</v>
      </c>
      <c r="CK516" s="39">
        <f t="shared" si="619"/>
        <v>0</v>
      </c>
      <c r="CL516" s="39">
        <f t="shared" si="620"/>
        <v>0</v>
      </c>
      <c r="CM516" s="39">
        <f t="shared" si="621"/>
        <v>0</v>
      </c>
      <c r="CN516" s="39">
        <f t="shared" si="622"/>
        <v>0</v>
      </c>
      <c r="CO516" s="39">
        <f t="shared" si="623"/>
        <v>0</v>
      </c>
      <c r="CP516" s="39">
        <f t="shared" si="624"/>
        <v>0</v>
      </c>
    </row>
    <row r="517" spans="12:94" ht="16" customHeight="1" x14ac:dyDescent="0.2">
      <c r="L517" s="63">
        <v>30829</v>
      </c>
      <c r="M517" s="38">
        <v>40</v>
      </c>
      <c r="N517" s="38">
        <v>0.4</v>
      </c>
      <c r="O517" s="39">
        <v>2.3664000000000001</v>
      </c>
      <c r="P517" s="39">
        <v>1.1000000000000001</v>
      </c>
      <c r="Q517" s="46">
        <f t="shared" si="555"/>
        <v>8.8728565692994754E-2</v>
      </c>
      <c r="R517" s="81">
        <f t="shared" si="556"/>
        <v>10.140987467261601</v>
      </c>
      <c r="S517" s="82">
        <f t="shared" si="557"/>
        <v>29.859012532738397</v>
      </c>
      <c r="T517" s="39">
        <f t="shared" si="558"/>
        <v>0</v>
      </c>
      <c r="U517" s="83">
        <f t="shared" si="559"/>
        <v>0.44000000000000006</v>
      </c>
      <c r="V517" s="84">
        <f t="shared" si="560"/>
        <v>0</v>
      </c>
      <c r="W517" s="52">
        <f t="shared" si="561"/>
        <v>109.11963635613978</v>
      </c>
      <c r="X517" s="52">
        <f t="shared" si="562"/>
        <v>126.48299631906582</v>
      </c>
      <c r="Y517" s="52">
        <f t="shared" si="563"/>
        <v>235.6026326752056</v>
      </c>
      <c r="Z517" s="53">
        <f t="shared" si="564"/>
        <v>0.85249715903234202</v>
      </c>
      <c r="AA517" s="53">
        <f t="shared" si="565"/>
        <v>0.75287497808967752</v>
      </c>
      <c r="AB517" s="53">
        <f t="shared" si="566"/>
        <v>0.7959548401189378</v>
      </c>
      <c r="AC517" s="39" t="str">
        <f t="shared" si="567"/>
        <v>No</v>
      </c>
      <c r="AD517" s="85">
        <f t="shared" si="568"/>
        <v>0</v>
      </c>
      <c r="AE517" s="46">
        <f t="shared" si="569"/>
        <v>0</v>
      </c>
      <c r="AF517" s="46">
        <f t="shared" si="570"/>
        <v>2.1257999999999999</v>
      </c>
      <c r="AG517" s="39">
        <f t="shared" si="625"/>
        <v>60.227240924789257</v>
      </c>
      <c r="AH517" s="39">
        <f t="shared" si="626"/>
        <v>60.207321576187127</v>
      </c>
      <c r="AI517" s="39">
        <f t="shared" si="627"/>
        <v>58.552190820999058</v>
      </c>
      <c r="AJ517" s="39">
        <f t="shared" si="628"/>
        <v>79.132883034164351</v>
      </c>
      <c r="AK517" s="39">
        <f t="shared" si="629"/>
        <v>76.415070539710385</v>
      </c>
      <c r="AL517" s="39">
        <f t="shared" si="630"/>
        <v>67.711783030660385</v>
      </c>
      <c r="AM517" s="39">
        <f t="shared" si="631"/>
        <v>68.057500954502984</v>
      </c>
      <c r="AN517" s="39">
        <f t="shared" si="632"/>
        <v>55.298641794192037</v>
      </c>
      <c r="AO517" s="39">
        <f t="shared" si="571"/>
        <v>3.022724092478926</v>
      </c>
      <c r="AP517" s="39">
        <f t="shared" si="572"/>
        <v>2.2207321576187127</v>
      </c>
      <c r="AQ517" s="39">
        <f t="shared" si="573"/>
        <v>2.2552190820999072</v>
      </c>
      <c r="AR517" s="39">
        <f t="shared" si="574"/>
        <v>3.4132883034164347</v>
      </c>
      <c r="AS517" s="39">
        <f t="shared" si="575"/>
        <v>3.4415070539710393</v>
      </c>
      <c r="AT517" s="39">
        <f t="shared" si="576"/>
        <v>3.4711783030660381</v>
      </c>
      <c r="AU517" s="39">
        <f t="shared" si="577"/>
        <v>3.5057500954502978</v>
      </c>
      <c r="AV517" s="39">
        <f t="shared" si="578"/>
        <v>2.2298641794192031</v>
      </c>
      <c r="AW517" s="39">
        <f t="shared" si="579"/>
        <v>23.560263267520558</v>
      </c>
      <c r="AX517" s="39">
        <f t="shared" si="580"/>
        <v>0.44000000000000006</v>
      </c>
      <c r="AY517" s="39">
        <f t="shared" si="581"/>
        <v>0</v>
      </c>
      <c r="AZ517" s="39">
        <f t="shared" si="582"/>
        <v>0</v>
      </c>
      <c r="BA517" s="39">
        <f t="shared" si="583"/>
        <v>0</v>
      </c>
      <c r="BB517" s="39">
        <f t="shared" si="584"/>
        <v>0</v>
      </c>
      <c r="BC517" s="39">
        <f t="shared" si="585"/>
        <v>0</v>
      </c>
      <c r="BD517" s="39">
        <f t="shared" si="586"/>
        <v>0</v>
      </c>
      <c r="BE517" s="39">
        <f t="shared" si="587"/>
        <v>0</v>
      </c>
      <c r="BF517" s="39">
        <f t="shared" si="588"/>
        <v>0</v>
      </c>
      <c r="BG517" s="39">
        <f t="shared" si="589"/>
        <v>0</v>
      </c>
      <c r="BH517" s="84">
        <f t="shared" si="590"/>
        <v>0</v>
      </c>
      <c r="BI517" s="84">
        <f t="shared" si="591"/>
        <v>0</v>
      </c>
      <c r="BJ517" s="84">
        <f t="shared" si="592"/>
        <v>0</v>
      </c>
      <c r="BK517" s="39">
        <f t="shared" si="593"/>
        <v>60.227240924789257</v>
      </c>
      <c r="BL517" s="39">
        <f t="shared" si="594"/>
        <v>60.207321576187127</v>
      </c>
      <c r="BM517" s="39">
        <f t="shared" si="595"/>
        <v>58.552190820999058</v>
      </c>
      <c r="BN517" s="39">
        <f t="shared" si="596"/>
        <v>79.132883034164351</v>
      </c>
      <c r="BO517" s="39">
        <f t="shared" si="597"/>
        <v>76.415070539710385</v>
      </c>
      <c r="BP517" s="39">
        <f t="shared" si="598"/>
        <v>67.711783030660385</v>
      </c>
      <c r="BQ517" s="39">
        <f t="shared" si="599"/>
        <v>68.057500954502984</v>
      </c>
      <c r="BR517" s="39">
        <f t="shared" si="600"/>
        <v>55.298641794192037</v>
      </c>
      <c r="BS517" s="39">
        <f t="shared" si="601"/>
        <v>0.1363445548735541</v>
      </c>
      <c r="BT517" s="39">
        <f t="shared" si="602"/>
        <v>0</v>
      </c>
      <c r="BU517" s="39">
        <f t="shared" si="603"/>
        <v>0</v>
      </c>
      <c r="BV517" s="39">
        <f t="shared" si="604"/>
        <v>0</v>
      </c>
      <c r="BW517" s="39">
        <f t="shared" si="605"/>
        <v>0</v>
      </c>
      <c r="BX517" s="39">
        <f t="shared" si="606"/>
        <v>0</v>
      </c>
      <c r="BY517" s="39">
        <f t="shared" si="607"/>
        <v>0</v>
      </c>
      <c r="BZ517" s="39">
        <f t="shared" si="608"/>
        <v>0</v>
      </c>
      <c r="CA517" s="39">
        <f t="shared" si="609"/>
        <v>89.949908902654101</v>
      </c>
      <c r="CB517" s="39">
        <f t="shared" si="610"/>
        <v>60.343666131060679</v>
      </c>
      <c r="CC517" s="39">
        <f t="shared" si="611"/>
        <v>58.552190820999058</v>
      </c>
      <c r="CD517" s="39">
        <f t="shared" si="612"/>
        <v>79.132883034164351</v>
      </c>
      <c r="CE517" s="39">
        <f t="shared" si="613"/>
        <v>76.415070539710385</v>
      </c>
      <c r="CF517" s="39">
        <f t="shared" si="614"/>
        <v>67.711783030660385</v>
      </c>
      <c r="CG517" s="39">
        <f t="shared" si="615"/>
        <v>68.057500954502984</v>
      </c>
      <c r="CH517" s="39">
        <f t="shared" si="616"/>
        <v>55.298641794192037</v>
      </c>
      <c r="CI517" s="39">
        <f t="shared" si="617"/>
        <v>0</v>
      </c>
      <c r="CJ517" s="39">
        <f t="shared" si="618"/>
        <v>0</v>
      </c>
      <c r="CK517" s="39">
        <f t="shared" si="619"/>
        <v>0</v>
      </c>
      <c r="CL517" s="39">
        <f t="shared" si="620"/>
        <v>0</v>
      </c>
      <c r="CM517" s="39">
        <f t="shared" si="621"/>
        <v>0</v>
      </c>
      <c r="CN517" s="39">
        <f t="shared" si="622"/>
        <v>0</v>
      </c>
      <c r="CO517" s="39">
        <f t="shared" si="623"/>
        <v>0</v>
      </c>
      <c r="CP517" s="39">
        <f t="shared" si="624"/>
        <v>0</v>
      </c>
    </row>
    <row r="518" spans="12:94" ht="16" customHeight="1" x14ac:dyDescent="0.2">
      <c r="L518" s="63">
        <v>30830</v>
      </c>
      <c r="M518" s="38">
        <v>4.2</v>
      </c>
      <c r="N518" s="38">
        <v>3</v>
      </c>
      <c r="O518" s="39">
        <v>2.3664000000000001</v>
      </c>
      <c r="P518" s="39">
        <v>1.1000000000000001</v>
      </c>
      <c r="Q518" s="46">
        <f t="shared" si="555"/>
        <v>2.8479914386511953E-2</v>
      </c>
      <c r="R518" s="81">
        <f t="shared" si="556"/>
        <v>5.3375353957330979E-2</v>
      </c>
      <c r="S518" s="82">
        <f t="shared" si="557"/>
        <v>4.1466246460426692</v>
      </c>
      <c r="T518" s="39">
        <f t="shared" si="558"/>
        <v>0</v>
      </c>
      <c r="U518" s="83">
        <f t="shared" si="559"/>
        <v>3.3000000000000003</v>
      </c>
      <c r="V518" s="84">
        <f t="shared" si="560"/>
        <v>0</v>
      </c>
      <c r="W518" s="52">
        <f t="shared" si="561"/>
        <v>138.97864888887818</v>
      </c>
      <c r="X518" s="52">
        <f t="shared" si="562"/>
        <v>126.48299631906582</v>
      </c>
      <c r="Y518" s="52">
        <f t="shared" si="563"/>
        <v>265.461645207944</v>
      </c>
      <c r="Z518" s="53">
        <f t="shared" si="564"/>
        <v>1.0857706944443608</v>
      </c>
      <c r="AA518" s="53">
        <f t="shared" si="565"/>
        <v>0.75287497808967752</v>
      </c>
      <c r="AB518" s="53">
        <f t="shared" si="566"/>
        <v>0.89682988245927031</v>
      </c>
      <c r="AC518" s="39" t="str">
        <f t="shared" si="567"/>
        <v>No</v>
      </c>
      <c r="AD518" s="85">
        <f t="shared" si="568"/>
        <v>0</v>
      </c>
      <c r="AE518" s="46">
        <f t="shared" si="569"/>
        <v>0</v>
      </c>
      <c r="AF518" s="46">
        <f t="shared" si="570"/>
        <v>2.1257999999999999</v>
      </c>
      <c r="AG518" s="39">
        <f t="shared" si="625"/>
        <v>89.949908902654101</v>
      </c>
      <c r="AH518" s="39">
        <f t="shared" si="626"/>
        <v>60.343666131060679</v>
      </c>
      <c r="AI518" s="39">
        <f t="shared" si="627"/>
        <v>58.552190820999058</v>
      </c>
      <c r="AJ518" s="39">
        <f t="shared" si="628"/>
        <v>79.132883034164351</v>
      </c>
      <c r="AK518" s="39">
        <f t="shared" si="629"/>
        <v>76.415070539710385</v>
      </c>
      <c r="AL518" s="39">
        <f t="shared" si="630"/>
        <v>67.711783030660385</v>
      </c>
      <c r="AM518" s="39">
        <f t="shared" si="631"/>
        <v>68.057500954502984</v>
      </c>
      <c r="AN518" s="39">
        <f t="shared" si="632"/>
        <v>55.298641794192037</v>
      </c>
      <c r="AO518" s="39">
        <f t="shared" si="571"/>
        <v>5.9949908902654103</v>
      </c>
      <c r="AP518" s="39">
        <f t="shared" si="572"/>
        <v>2.2343666131060682</v>
      </c>
      <c r="AQ518" s="39">
        <f t="shared" si="573"/>
        <v>2.2552190820999072</v>
      </c>
      <c r="AR518" s="39">
        <f t="shared" si="574"/>
        <v>3.4132883034164347</v>
      </c>
      <c r="AS518" s="39">
        <f t="shared" si="575"/>
        <v>3.4415070539710393</v>
      </c>
      <c r="AT518" s="39">
        <f t="shared" si="576"/>
        <v>3.4711783030660381</v>
      </c>
      <c r="AU518" s="39">
        <f t="shared" si="577"/>
        <v>3.5057500954502978</v>
      </c>
      <c r="AV518" s="39">
        <f t="shared" si="578"/>
        <v>2.2298641794192031</v>
      </c>
      <c r="AW518" s="39">
        <f t="shared" si="579"/>
        <v>26.546164520794402</v>
      </c>
      <c r="AX518" s="39">
        <f t="shared" si="580"/>
        <v>3.3000000000000003</v>
      </c>
      <c r="AY518" s="39">
        <f t="shared" si="581"/>
        <v>0</v>
      </c>
      <c r="AZ518" s="39">
        <f t="shared" si="582"/>
        <v>0</v>
      </c>
      <c r="BA518" s="39">
        <f t="shared" si="583"/>
        <v>0</v>
      </c>
      <c r="BB518" s="39">
        <f t="shared" si="584"/>
        <v>0</v>
      </c>
      <c r="BC518" s="39">
        <f t="shared" si="585"/>
        <v>0</v>
      </c>
      <c r="BD518" s="39">
        <f t="shared" si="586"/>
        <v>0</v>
      </c>
      <c r="BE518" s="39">
        <f t="shared" si="587"/>
        <v>0</v>
      </c>
      <c r="BF518" s="39">
        <f t="shared" si="588"/>
        <v>0</v>
      </c>
      <c r="BG518" s="39">
        <f t="shared" si="589"/>
        <v>0</v>
      </c>
      <c r="BH518" s="84">
        <f t="shared" si="590"/>
        <v>0</v>
      </c>
      <c r="BI518" s="84">
        <f t="shared" si="591"/>
        <v>0</v>
      </c>
      <c r="BJ518" s="84">
        <f t="shared" si="592"/>
        <v>0</v>
      </c>
      <c r="BK518" s="39">
        <f t="shared" si="593"/>
        <v>89.949908902654101</v>
      </c>
      <c r="BL518" s="39">
        <f t="shared" si="594"/>
        <v>60.343666131060679</v>
      </c>
      <c r="BM518" s="39">
        <f t="shared" si="595"/>
        <v>58.552190820999058</v>
      </c>
      <c r="BN518" s="39">
        <f t="shared" si="596"/>
        <v>79.132883034164351</v>
      </c>
      <c r="BO518" s="39">
        <f t="shared" si="597"/>
        <v>76.415070539710385</v>
      </c>
      <c r="BP518" s="39">
        <f t="shared" si="598"/>
        <v>67.711783030660385</v>
      </c>
      <c r="BQ518" s="39">
        <f t="shared" si="599"/>
        <v>68.057500954502984</v>
      </c>
      <c r="BR518" s="39">
        <f t="shared" si="600"/>
        <v>55.298641794192037</v>
      </c>
      <c r="BS518" s="39">
        <f t="shared" si="601"/>
        <v>17.96994534159246</v>
      </c>
      <c r="BT518" s="39">
        <f t="shared" si="602"/>
        <v>0</v>
      </c>
      <c r="BU518" s="39">
        <f t="shared" si="603"/>
        <v>0</v>
      </c>
      <c r="BV518" s="39">
        <f t="shared" si="604"/>
        <v>0</v>
      </c>
      <c r="BW518" s="39">
        <f t="shared" si="605"/>
        <v>0</v>
      </c>
      <c r="BX518" s="39">
        <f t="shared" si="606"/>
        <v>0</v>
      </c>
      <c r="BY518" s="39">
        <f t="shared" si="607"/>
        <v>0</v>
      </c>
      <c r="BZ518" s="39">
        <f t="shared" si="608"/>
        <v>0</v>
      </c>
      <c r="CA518" s="39">
        <f t="shared" si="609"/>
        <v>76.126588207104305</v>
      </c>
      <c r="CB518" s="39">
        <f t="shared" si="610"/>
        <v>78.313611472653136</v>
      </c>
      <c r="CC518" s="39">
        <f t="shared" si="611"/>
        <v>58.552190820999058</v>
      </c>
      <c r="CD518" s="39">
        <f t="shared" si="612"/>
        <v>79.132883034164351</v>
      </c>
      <c r="CE518" s="39">
        <f t="shared" si="613"/>
        <v>76.415070539710385</v>
      </c>
      <c r="CF518" s="39">
        <f t="shared" si="614"/>
        <v>67.711783030660385</v>
      </c>
      <c r="CG518" s="39">
        <f t="shared" si="615"/>
        <v>68.057500954502984</v>
      </c>
      <c r="CH518" s="39">
        <f t="shared" si="616"/>
        <v>55.298641794192037</v>
      </c>
      <c r="CI518" s="39">
        <f t="shared" si="617"/>
        <v>0</v>
      </c>
      <c r="CJ518" s="39">
        <f t="shared" si="618"/>
        <v>0</v>
      </c>
      <c r="CK518" s="39">
        <f t="shared" si="619"/>
        <v>0</v>
      </c>
      <c r="CL518" s="39">
        <f t="shared" si="620"/>
        <v>0</v>
      </c>
      <c r="CM518" s="39">
        <f t="shared" si="621"/>
        <v>0</v>
      </c>
      <c r="CN518" s="39">
        <f t="shared" si="622"/>
        <v>0</v>
      </c>
      <c r="CO518" s="39">
        <f t="shared" si="623"/>
        <v>0</v>
      </c>
      <c r="CP518" s="39">
        <f t="shared" si="624"/>
        <v>0</v>
      </c>
    </row>
    <row r="519" spans="12:94" ht="16" customHeight="1" x14ac:dyDescent="0.2">
      <c r="L519" s="63">
        <v>30831</v>
      </c>
      <c r="M519" s="38">
        <v>0</v>
      </c>
      <c r="N519" s="38">
        <v>3</v>
      </c>
      <c r="O519" s="39">
        <v>2.3664000000000001</v>
      </c>
      <c r="P519" s="39">
        <v>1.1000000000000001</v>
      </c>
      <c r="Q519" s="46">
        <f t="shared" si="555"/>
        <v>5.6500159039653435E-2</v>
      </c>
      <c r="R519" s="81">
        <f t="shared" si="556"/>
        <v>0</v>
      </c>
      <c r="S519" s="82">
        <f t="shared" si="557"/>
        <v>0</v>
      </c>
      <c r="T519" s="39">
        <f t="shared" si="558"/>
        <v>0</v>
      </c>
      <c r="U519" s="83">
        <f t="shared" si="559"/>
        <v>3.3000000000000003</v>
      </c>
      <c r="V519" s="84">
        <f t="shared" si="560"/>
        <v>0</v>
      </c>
      <c r="W519" s="52">
        <f t="shared" si="561"/>
        <v>143.12527353492084</v>
      </c>
      <c r="X519" s="52">
        <f t="shared" si="562"/>
        <v>126.48299631906582</v>
      </c>
      <c r="Y519" s="52">
        <f t="shared" si="563"/>
        <v>269.60826985398666</v>
      </c>
      <c r="Z519" s="53">
        <f t="shared" si="564"/>
        <v>1.118166199491569</v>
      </c>
      <c r="AA519" s="53">
        <f t="shared" si="565"/>
        <v>0.75287497808967752</v>
      </c>
      <c r="AB519" s="53">
        <f t="shared" si="566"/>
        <v>0.91083874950671162</v>
      </c>
      <c r="AC519" s="39" t="str">
        <f t="shared" si="567"/>
        <v>No</v>
      </c>
      <c r="AD519" s="85">
        <f t="shared" si="568"/>
        <v>0</v>
      </c>
      <c r="AE519" s="46">
        <f t="shared" si="569"/>
        <v>0</v>
      </c>
      <c r="AF519" s="46">
        <f t="shared" si="570"/>
        <v>2.1257999999999999</v>
      </c>
      <c r="AG519" s="39">
        <f t="shared" si="625"/>
        <v>76.126588207104305</v>
      </c>
      <c r="AH519" s="39">
        <f t="shared" si="626"/>
        <v>78.313611472653136</v>
      </c>
      <c r="AI519" s="39">
        <f t="shared" si="627"/>
        <v>58.552190820999058</v>
      </c>
      <c r="AJ519" s="39">
        <f t="shared" si="628"/>
        <v>79.132883034164351</v>
      </c>
      <c r="AK519" s="39">
        <f t="shared" si="629"/>
        <v>76.415070539710385</v>
      </c>
      <c r="AL519" s="39">
        <f t="shared" si="630"/>
        <v>67.711783030660385</v>
      </c>
      <c r="AM519" s="39">
        <f t="shared" si="631"/>
        <v>68.057500954502984</v>
      </c>
      <c r="AN519" s="39">
        <f t="shared" si="632"/>
        <v>55.298641794192037</v>
      </c>
      <c r="AO519" s="39">
        <f t="shared" si="571"/>
        <v>4.6126588207104309</v>
      </c>
      <c r="AP519" s="39">
        <f t="shared" si="572"/>
        <v>4.0313611472653141</v>
      </c>
      <c r="AQ519" s="39">
        <f t="shared" si="573"/>
        <v>2.2552190820999072</v>
      </c>
      <c r="AR519" s="39">
        <f t="shared" si="574"/>
        <v>3.4132883034164347</v>
      </c>
      <c r="AS519" s="39">
        <f t="shared" si="575"/>
        <v>3.4415070539710393</v>
      </c>
      <c r="AT519" s="39">
        <f t="shared" si="576"/>
        <v>3.4711783030660381</v>
      </c>
      <c r="AU519" s="39">
        <f t="shared" si="577"/>
        <v>3.5057500954502978</v>
      </c>
      <c r="AV519" s="39">
        <f t="shared" si="578"/>
        <v>2.2298641794192031</v>
      </c>
      <c r="AW519" s="39">
        <f t="shared" si="579"/>
        <v>26.960826985398665</v>
      </c>
      <c r="AX519" s="39">
        <f t="shared" si="580"/>
        <v>3.3000000000000003</v>
      </c>
      <c r="AY519" s="39">
        <f t="shared" si="581"/>
        <v>3.3000000000000003</v>
      </c>
      <c r="AZ519" s="39">
        <f t="shared" si="582"/>
        <v>0.56458854606307773</v>
      </c>
      <c r="BA519" s="39">
        <f t="shared" si="583"/>
        <v>0.49343782344586051</v>
      </c>
      <c r="BB519" s="39">
        <f t="shared" si="584"/>
        <v>0.27603837875448789</v>
      </c>
      <c r="BC519" s="39">
        <f t="shared" si="585"/>
        <v>0.41778582709552886</v>
      </c>
      <c r="BD519" s="39">
        <f t="shared" si="586"/>
        <v>0.42123979669670719</v>
      </c>
      <c r="BE519" s="39">
        <f t="shared" si="587"/>
        <v>0.42487155183784303</v>
      </c>
      <c r="BF519" s="39">
        <f t="shared" si="588"/>
        <v>0.42910313252822185</v>
      </c>
      <c r="BG519" s="39">
        <f t="shared" si="589"/>
        <v>0.27293494357827325</v>
      </c>
      <c r="BH519" s="84">
        <f t="shared" si="590"/>
        <v>0</v>
      </c>
      <c r="BI519" s="84">
        <f t="shared" si="591"/>
        <v>0</v>
      </c>
      <c r="BJ519" s="84">
        <f t="shared" si="592"/>
        <v>0</v>
      </c>
      <c r="BK519" s="39">
        <f t="shared" si="593"/>
        <v>75.561999661041227</v>
      </c>
      <c r="BL519" s="39">
        <f t="shared" si="594"/>
        <v>77.820173649207277</v>
      </c>
      <c r="BM519" s="39">
        <f t="shared" si="595"/>
        <v>58.276152442244573</v>
      </c>
      <c r="BN519" s="39">
        <f t="shared" si="596"/>
        <v>78.715097207068823</v>
      </c>
      <c r="BO519" s="39">
        <f t="shared" si="597"/>
        <v>75.993830743013675</v>
      </c>
      <c r="BP519" s="39">
        <f t="shared" si="598"/>
        <v>67.286911478822546</v>
      </c>
      <c r="BQ519" s="39">
        <f t="shared" si="599"/>
        <v>67.628397821974758</v>
      </c>
      <c r="BR519" s="39">
        <f t="shared" si="600"/>
        <v>55.025706850613766</v>
      </c>
      <c r="BS519" s="39">
        <f t="shared" si="601"/>
        <v>9.337199796624736</v>
      </c>
      <c r="BT519" s="39">
        <f t="shared" si="602"/>
        <v>7.0921041895243659</v>
      </c>
      <c r="BU519" s="39">
        <f t="shared" si="603"/>
        <v>0</v>
      </c>
      <c r="BV519" s="39">
        <f t="shared" si="604"/>
        <v>0</v>
      </c>
      <c r="BW519" s="39">
        <f t="shared" si="605"/>
        <v>0</v>
      </c>
      <c r="BX519" s="39">
        <f t="shared" si="606"/>
        <v>0</v>
      </c>
      <c r="BY519" s="39">
        <f t="shared" si="607"/>
        <v>0</v>
      </c>
      <c r="BZ519" s="39">
        <f t="shared" si="608"/>
        <v>0</v>
      </c>
      <c r="CA519" s="39">
        <f t="shared" si="609"/>
        <v>66.224799864416497</v>
      </c>
      <c r="CB519" s="39">
        <f t="shared" si="610"/>
        <v>80.065269256307644</v>
      </c>
      <c r="CC519" s="39">
        <f t="shared" si="611"/>
        <v>65.368256631768944</v>
      </c>
      <c r="CD519" s="39">
        <f t="shared" si="612"/>
        <v>78.715097207068823</v>
      </c>
      <c r="CE519" s="39">
        <f t="shared" si="613"/>
        <v>75.993830743013675</v>
      </c>
      <c r="CF519" s="39">
        <f t="shared" si="614"/>
        <v>67.286911478822546</v>
      </c>
      <c r="CG519" s="39">
        <f t="shared" si="615"/>
        <v>67.628397821974758</v>
      </c>
      <c r="CH519" s="39">
        <f t="shared" si="616"/>
        <v>55.025706850613766</v>
      </c>
      <c r="CI519" s="39">
        <f t="shared" si="617"/>
        <v>0</v>
      </c>
      <c r="CJ519" s="39">
        <f t="shared" si="618"/>
        <v>0</v>
      </c>
      <c r="CK519" s="39">
        <f t="shared" si="619"/>
        <v>0</v>
      </c>
      <c r="CL519" s="39">
        <f t="shared" si="620"/>
        <v>0</v>
      </c>
      <c r="CM519" s="39">
        <f t="shared" si="621"/>
        <v>0</v>
      </c>
      <c r="CN519" s="39">
        <f t="shared" si="622"/>
        <v>0</v>
      </c>
      <c r="CO519" s="39">
        <f t="shared" si="623"/>
        <v>0</v>
      </c>
      <c r="CP519" s="39">
        <f t="shared" si="624"/>
        <v>0</v>
      </c>
    </row>
    <row r="520" spans="12:94" ht="16" customHeight="1" x14ac:dyDescent="0.2">
      <c r="L520" s="63">
        <v>30832</v>
      </c>
      <c r="M520" s="38">
        <v>0</v>
      </c>
      <c r="N520" s="38">
        <v>1</v>
      </c>
      <c r="O520" s="39">
        <v>2.3664000000000001</v>
      </c>
      <c r="P520" s="39">
        <v>1.1000000000000001</v>
      </c>
      <c r="Q520" s="46">
        <f t="shared" si="555"/>
        <v>7.6571351626182768E-2</v>
      </c>
      <c r="R520" s="81">
        <f t="shared" si="556"/>
        <v>0</v>
      </c>
      <c r="S520" s="82">
        <f t="shared" si="557"/>
        <v>0</v>
      </c>
      <c r="T520" s="39">
        <f t="shared" si="558"/>
        <v>0</v>
      </c>
      <c r="U520" s="83">
        <f t="shared" si="559"/>
        <v>1.1000000000000001</v>
      </c>
      <c r="V520" s="84">
        <f t="shared" si="560"/>
        <v>0</v>
      </c>
      <c r="W520" s="52">
        <f t="shared" si="561"/>
        <v>141.37342295956188</v>
      </c>
      <c r="X520" s="52">
        <f t="shared" si="562"/>
        <v>124.93484689442471</v>
      </c>
      <c r="Y520" s="52">
        <f t="shared" si="563"/>
        <v>266.30826985398659</v>
      </c>
      <c r="Z520" s="53">
        <f t="shared" si="564"/>
        <v>1.1044798668715772</v>
      </c>
      <c r="AA520" s="53">
        <f t="shared" si="565"/>
        <v>0.74365980294300427</v>
      </c>
      <c r="AB520" s="53">
        <f t="shared" si="566"/>
        <v>0.89969010085806278</v>
      </c>
      <c r="AC520" s="39" t="str">
        <f t="shared" si="567"/>
        <v>No</v>
      </c>
      <c r="AD520" s="85">
        <f t="shared" si="568"/>
        <v>0</v>
      </c>
      <c r="AE520" s="46">
        <f t="shared" si="569"/>
        <v>0</v>
      </c>
      <c r="AF520" s="46">
        <f t="shared" si="570"/>
        <v>2.1257999999999999</v>
      </c>
      <c r="AG520" s="39">
        <f t="shared" si="625"/>
        <v>66.224799864416497</v>
      </c>
      <c r="AH520" s="39">
        <f t="shared" si="626"/>
        <v>80.065269256307644</v>
      </c>
      <c r="AI520" s="39">
        <f t="shared" si="627"/>
        <v>65.368256631768944</v>
      </c>
      <c r="AJ520" s="39">
        <f t="shared" si="628"/>
        <v>78.715097207068823</v>
      </c>
      <c r="AK520" s="39">
        <f t="shared" si="629"/>
        <v>75.993830743013675</v>
      </c>
      <c r="AL520" s="39">
        <f t="shared" si="630"/>
        <v>67.286911478822546</v>
      </c>
      <c r="AM520" s="39">
        <f t="shared" si="631"/>
        <v>67.628397821974758</v>
      </c>
      <c r="AN520" s="39">
        <f t="shared" si="632"/>
        <v>55.025706850613766</v>
      </c>
      <c r="AO520" s="39">
        <f t="shared" si="571"/>
        <v>3.6224799864416499</v>
      </c>
      <c r="AP520" s="39">
        <f t="shared" si="572"/>
        <v>4.2065269256307642</v>
      </c>
      <c r="AQ520" s="39">
        <f t="shared" si="573"/>
        <v>2.9368256631768959</v>
      </c>
      <c r="AR520" s="39">
        <f t="shared" si="574"/>
        <v>3.3715097207068818</v>
      </c>
      <c r="AS520" s="39">
        <f t="shared" si="575"/>
        <v>3.3993830743013684</v>
      </c>
      <c r="AT520" s="39">
        <f t="shared" si="576"/>
        <v>3.4286911478822542</v>
      </c>
      <c r="AU520" s="39">
        <f t="shared" si="577"/>
        <v>3.4628397821974755</v>
      </c>
      <c r="AV520" s="39">
        <f t="shared" si="578"/>
        <v>2.2025706850613758</v>
      </c>
      <c r="AW520" s="39">
        <f t="shared" si="579"/>
        <v>26.630826985398663</v>
      </c>
      <c r="AX520" s="39">
        <f t="shared" si="580"/>
        <v>1.1000000000000001</v>
      </c>
      <c r="AY520" s="39">
        <f t="shared" si="581"/>
        <v>1.1000000000000001</v>
      </c>
      <c r="AZ520" s="39">
        <f t="shared" si="582"/>
        <v>0.14962839821949914</v>
      </c>
      <c r="BA520" s="39">
        <f t="shared" si="583"/>
        <v>0.17375275731132434</v>
      </c>
      <c r="BB520" s="39">
        <f t="shared" si="584"/>
        <v>0.12130709389031859</v>
      </c>
      <c r="BC520" s="39">
        <f t="shared" si="585"/>
        <v>0.13926194236517631</v>
      </c>
      <c r="BD520" s="39">
        <f t="shared" si="586"/>
        <v>0.14041326556556907</v>
      </c>
      <c r="BE520" s="39">
        <f t="shared" si="587"/>
        <v>0.14162385061261437</v>
      </c>
      <c r="BF520" s="39">
        <f t="shared" si="588"/>
        <v>0.14303437750940728</v>
      </c>
      <c r="BG520" s="39">
        <f t="shared" si="589"/>
        <v>9.0978314526091078E-2</v>
      </c>
      <c r="BH520" s="84">
        <f t="shared" si="590"/>
        <v>0</v>
      </c>
      <c r="BI520" s="84">
        <f t="shared" si="591"/>
        <v>0</v>
      </c>
      <c r="BJ520" s="84">
        <f t="shared" si="592"/>
        <v>0</v>
      </c>
      <c r="BK520" s="39">
        <f t="shared" si="593"/>
        <v>66.075171466196991</v>
      </c>
      <c r="BL520" s="39">
        <f t="shared" si="594"/>
        <v>79.891516498996324</v>
      </c>
      <c r="BM520" s="39">
        <f t="shared" si="595"/>
        <v>65.246949537878621</v>
      </c>
      <c r="BN520" s="39">
        <f t="shared" si="596"/>
        <v>78.575835264703642</v>
      </c>
      <c r="BO520" s="39">
        <f t="shared" si="597"/>
        <v>75.853417477448104</v>
      </c>
      <c r="BP520" s="39">
        <f t="shared" si="598"/>
        <v>67.145287628209928</v>
      </c>
      <c r="BQ520" s="39">
        <f t="shared" si="599"/>
        <v>67.485363444465349</v>
      </c>
      <c r="BR520" s="39">
        <f t="shared" si="600"/>
        <v>54.934728536087675</v>
      </c>
      <c r="BS520" s="39">
        <f t="shared" si="601"/>
        <v>3.6451028797181948</v>
      </c>
      <c r="BT520" s="39">
        <f t="shared" si="602"/>
        <v>8.334909899397795</v>
      </c>
      <c r="BU520" s="39">
        <f t="shared" si="603"/>
        <v>0.74816972272718085</v>
      </c>
      <c r="BV520" s="39">
        <f t="shared" si="604"/>
        <v>0</v>
      </c>
      <c r="BW520" s="39">
        <f t="shared" si="605"/>
        <v>0</v>
      </c>
      <c r="BX520" s="39">
        <f t="shared" si="606"/>
        <v>0</v>
      </c>
      <c r="BY520" s="39">
        <f t="shared" si="607"/>
        <v>0</v>
      </c>
      <c r="BZ520" s="39">
        <f t="shared" si="608"/>
        <v>0</v>
      </c>
      <c r="CA520" s="39">
        <f t="shared" si="609"/>
        <v>62.430068586478797</v>
      </c>
      <c r="CB520" s="39">
        <f t="shared" si="610"/>
        <v>75.201709479316719</v>
      </c>
      <c r="CC520" s="39">
        <f t="shared" si="611"/>
        <v>72.833689714549237</v>
      </c>
      <c r="CD520" s="39">
        <f t="shared" si="612"/>
        <v>79.324004987430826</v>
      </c>
      <c r="CE520" s="39">
        <f t="shared" si="613"/>
        <v>75.853417477448104</v>
      </c>
      <c r="CF520" s="39">
        <f t="shared" si="614"/>
        <v>67.145287628209928</v>
      </c>
      <c r="CG520" s="39">
        <f t="shared" si="615"/>
        <v>67.485363444465349</v>
      </c>
      <c r="CH520" s="39">
        <f t="shared" si="616"/>
        <v>54.934728536087675</v>
      </c>
      <c r="CI520" s="39">
        <f t="shared" si="617"/>
        <v>0</v>
      </c>
      <c r="CJ520" s="39">
        <f t="shared" si="618"/>
        <v>0</v>
      </c>
      <c r="CK520" s="39">
        <f t="shared" si="619"/>
        <v>0</v>
      </c>
      <c r="CL520" s="39">
        <f t="shared" si="620"/>
        <v>0</v>
      </c>
      <c r="CM520" s="39">
        <f t="shared" si="621"/>
        <v>0</v>
      </c>
      <c r="CN520" s="39">
        <f t="shared" si="622"/>
        <v>0</v>
      </c>
      <c r="CO520" s="39">
        <f t="shared" si="623"/>
        <v>0</v>
      </c>
      <c r="CP520" s="39">
        <f t="shared" si="624"/>
        <v>0</v>
      </c>
    </row>
    <row r="521" spans="12:94" ht="16" customHeight="1" x14ac:dyDescent="0.2">
      <c r="L521" s="63">
        <v>30833</v>
      </c>
      <c r="M521" s="38">
        <v>0</v>
      </c>
      <c r="N521" s="38">
        <v>1.5</v>
      </c>
      <c r="O521" s="39">
        <v>2.3664000000000001</v>
      </c>
      <c r="P521" s="39">
        <v>1.1000000000000001</v>
      </c>
      <c r="Q521" s="46">
        <f t="shared" si="555"/>
        <v>8.4263374486867312E-2</v>
      </c>
      <c r="R521" s="81">
        <f t="shared" si="556"/>
        <v>0</v>
      </c>
      <c r="S521" s="82">
        <f t="shared" si="557"/>
        <v>0</v>
      </c>
      <c r="T521" s="39">
        <f t="shared" si="558"/>
        <v>0</v>
      </c>
      <c r="U521" s="83">
        <f t="shared" si="559"/>
        <v>1.6500000000000001</v>
      </c>
      <c r="V521" s="84">
        <f t="shared" si="560"/>
        <v>0</v>
      </c>
      <c r="W521" s="52">
        <f t="shared" si="561"/>
        <v>140.78947276777558</v>
      </c>
      <c r="X521" s="52">
        <f t="shared" si="562"/>
        <v>124.41879708621104</v>
      </c>
      <c r="Y521" s="52">
        <f t="shared" si="563"/>
        <v>265.20826985398662</v>
      </c>
      <c r="Z521" s="53">
        <f t="shared" si="564"/>
        <v>1.0999177559982467</v>
      </c>
      <c r="AA521" s="53">
        <f t="shared" si="565"/>
        <v>0.74058807789411341</v>
      </c>
      <c r="AB521" s="53">
        <f t="shared" si="566"/>
        <v>0.89597388464184669</v>
      </c>
      <c r="AC521" s="39" t="str">
        <f t="shared" si="567"/>
        <v>No</v>
      </c>
      <c r="AD521" s="85">
        <f t="shared" si="568"/>
        <v>0</v>
      </c>
      <c r="AE521" s="46">
        <f t="shared" si="569"/>
        <v>0</v>
      </c>
      <c r="AF521" s="46">
        <f t="shared" si="570"/>
        <v>2.1257999999999999</v>
      </c>
      <c r="AG521" s="39">
        <f t="shared" si="625"/>
        <v>62.430068586478797</v>
      </c>
      <c r="AH521" s="39">
        <f t="shared" si="626"/>
        <v>75.201709479316719</v>
      </c>
      <c r="AI521" s="39">
        <f t="shared" si="627"/>
        <v>72.833689714549237</v>
      </c>
      <c r="AJ521" s="39">
        <f t="shared" si="628"/>
        <v>79.324004987430826</v>
      </c>
      <c r="AK521" s="39">
        <f t="shared" si="629"/>
        <v>75.853417477448104</v>
      </c>
      <c r="AL521" s="39">
        <f t="shared" si="630"/>
        <v>67.145287628209928</v>
      </c>
      <c r="AM521" s="39">
        <f t="shared" si="631"/>
        <v>67.485363444465349</v>
      </c>
      <c r="AN521" s="39">
        <f t="shared" si="632"/>
        <v>54.934728536087675</v>
      </c>
      <c r="AO521" s="39">
        <f t="shared" si="571"/>
        <v>3.2430068586478797</v>
      </c>
      <c r="AP521" s="39">
        <f t="shared" si="572"/>
        <v>3.7201709479316722</v>
      </c>
      <c r="AQ521" s="39">
        <f t="shared" si="573"/>
        <v>3.6833689714549251</v>
      </c>
      <c r="AR521" s="39">
        <f t="shared" si="574"/>
        <v>3.4324004987430818</v>
      </c>
      <c r="AS521" s="39">
        <f t="shared" si="575"/>
        <v>3.3853417477448113</v>
      </c>
      <c r="AT521" s="39">
        <f t="shared" si="576"/>
        <v>3.4145287628209924</v>
      </c>
      <c r="AU521" s="39">
        <f t="shared" si="577"/>
        <v>3.4485363444465342</v>
      </c>
      <c r="AV521" s="39">
        <f t="shared" si="578"/>
        <v>2.1934728536087671</v>
      </c>
      <c r="AW521" s="39">
        <f t="shared" si="579"/>
        <v>26.520826985398664</v>
      </c>
      <c r="AX521" s="39">
        <f t="shared" si="580"/>
        <v>1.6500000000000001</v>
      </c>
      <c r="AY521" s="39">
        <f t="shared" si="581"/>
        <v>1.6500000000000001</v>
      </c>
      <c r="AZ521" s="39">
        <f t="shared" si="582"/>
        <v>0.20176449700135798</v>
      </c>
      <c r="BA521" s="39">
        <f t="shared" si="583"/>
        <v>0.23145138224636658</v>
      </c>
      <c r="BB521" s="39">
        <f t="shared" si="584"/>
        <v>0.22916173791438307</v>
      </c>
      <c r="BC521" s="39">
        <f t="shared" si="585"/>
        <v>0.21354767051736989</v>
      </c>
      <c r="BD521" s="39">
        <f t="shared" si="586"/>
        <v>0.2106198983483536</v>
      </c>
      <c r="BE521" s="39">
        <f t="shared" si="587"/>
        <v>0.21243577591892154</v>
      </c>
      <c r="BF521" s="39">
        <f t="shared" si="588"/>
        <v>0.2145515662641109</v>
      </c>
      <c r="BG521" s="39">
        <f t="shared" si="589"/>
        <v>0.13646747178913665</v>
      </c>
      <c r="BH521" s="84">
        <f t="shared" si="590"/>
        <v>0</v>
      </c>
      <c r="BI521" s="84">
        <f t="shared" si="591"/>
        <v>0</v>
      </c>
      <c r="BJ521" s="84">
        <f t="shared" si="592"/>
        <v>0</v>
      </c>
      <c r="BK521" s="39">
        <f t="shared" si="593"/>
        <v>62.22830408947744</v>
      </c>
      <c r="BL521" s="39">
        <f t="shared" si="594"/>
        <v>74.970258097070356</v>
      </c>
      <c r="BM521" s="39">
        <f t="shared" si="595"/>
        <v>72.604527976634856</v>
      </c>
      <c r="BN521" s="39">
        <f t="shared" si="596"/>
        <v>79.110457316913454</v>
      </c>
      <c r="BO521" s="39">
        <f t="shared" si="597"/>
        <v>75.642797579099749</v>
      </c>
      <c r="BP521" s="39">
        <f t="shared" si="598"/>
        <v>66.932851852291009</v>
      </c>
      <c r="BQ521" s="39">
        <f t="shared" si="599"/>
        <v>67.270811878201243</v>
      </c>
      <c r="BR521" s="39">
        <f t="shared" si="600"/>
        <v>54.798261064298536</v>
      </c>
      <c r="BS521" s="39">
        <f t="shared" si="601"/>
        <v>1.3369824536864641</v>
      </c>
      <c r="BT521" s="39">
        <f t="shared" si="602"/>
        <v>5.3821548582422141</v>
      </c>
      <c r="BU521" s="39">
        <f t="shared" si="603"/>
        <v>5.1627167859809218</v>
      </c>
      <c r="BV521" s="39">
        <f t="shared" si="604"/>
        <v>0</v>
      </c>
      <c r="BW521" s="39">
        <f t="shared" si="605"/>
        <v>0</v>
      </c>
      <c r="BX521" s="39">
        <f t="shared" si="606"/>
        <v>0</v>
      </c>
      <c r="BY521" s="39">
        <f t="shared" si="607"/>
        <v>0</v>
      </c>
      <c r="BZ521" s="39">
        <f t="shared" si="608"/>
        <v>0</v>
      </c>
      <c r="CA521" s="39">
        <f t="shared" si="609"/>
        <v>60.891321635790973</v>
      </c>
      <c r="CB521" s="39">
        <f t="shared" si="610"/>
        <v>70.9250856925146</v>
      </c>
      <c r="CC521" s="39">
        <f t="shared" si="611"/>
        <v>72.823966048896153</v>
      </c>
      <c r="CD521" s="39">
        <f t="shared" si="612"/>
        <v>84.273174102894373</v>
      </c>
      <c r="CE521" s="39">
        <f t="shared" si="613"/>
        <v>75.642797579099749</v>
      </c>
      <c r="CF521" s="39">
        <f t="shared" si="614"/>
        <v>66.932851852291009</v>
      </c>
      <c r="CG521" s="39">
        <f t="shared" si="615"/>
        <v>67.270811878201243</v>
      </c>
      <c r="CH521" s="39">
        <f t="shared" si="616"/>
        <v>54.798261064298536</v>
      </c>
      <c r="CI521" s="39">
        <f t="shared" si="617"/>
        <v>0</v>
      </c>
      <c r="CJ521" s="39">
        <f t="shared" si="618"/>
        <v>0</v>
      </c>
      <c r="CK521" s="39">
        <f t="shared" si="619"/>
        <v>0</v>
      </c>
      <c r="CL521" s="39">
        <f t="shared" si="620"/>
        <v>0</v>
      </c>
      <c r="CM521" s="39">
        <f t="shared" si="621"/>
        <v>0</v>
      </c>
      <c r="CN521" s="39">
        <f t="shared" si="622"/>
        <v>0</v>
      </c>
      <c r="CO521" s="39">
        <f t="shared" si="623"/>
        <v>0</v>
      </c>
      <c r="CP521" s="39">
        <f t="shared" si="624"/>
        <v>0</v>
      </c>
    </row>
    <row r="522" spans="12:94" ht="16" customHeight="1" x14ac:dyDescent="0.2">
      <c r="L522" s="63">
        <v>30834</v>
      </c>
      <c r="M522" s="38">
        <v>0</v>
      </c>
      <c r="N522" s="38">
        <v>3.5</v>
      </c>
      <c r="O522" s="39">
        <v>2.3664000000000001</v>
      </c>
      <c r="P522" s="39">
        <v>1.1000000000000001</v>
      </c>
      <c r="Q522" s="46">
        <f t="shared" si="555"/>
        <v>8.7382456143666937E-2</v>
      </c>
      <c r="R522" s="81">
        <f t="shared" si="556"/>
        <v>0</v>
      </c>
      <c r="S522" s="82">
        <f t="shared" si="557"/>
        <v>0</v>
      </c>
      <c r="T522" s="39">
        <f t="shared" si="558"/>
        <v>0</v>
      </c>
      <c r="U522" s="83">
        <f t="shared" si="559"/>
        <v>3.8500000000000005</v>
      </c>
      <c r="V522" s="84">
        <f t="shared" si="560"/>
        <v>0</v>
      </c>
      <c r="W522" s="52">
        <f t="shared" si="561"/>
        <v>139.9135474800961</v>
      </c>
      <c r="X522" s="52">
        <f t="shared" si="562"/>
        <v>123.64472237389054</v>
      </c>
      <c r="Y522" s="52">
        <f t="shared" si="563"/>
        <v>263.55826985398664</v>
      </c>
      <c r="Z522" s="53">
        <f t="shared" si="564"/>
        <v>1.0930745896882508</v>
      </c>
      <c r="AA522" s="53">
        <f t="shared" si="565"/>
        <v>0.73598049032077706</v>
      </c>
      <c r="AB522" s="53">
        <f t="shared" si="566"/>
        <v>0.89039956031752243</v>
      </c>
      <c r="AC522" s="39" t="str">
        <f t="shared" si="567"/>
        <v>No</v>
      </c>
      <c r="AD522" s="85">
        <f t="shared" si="568"/>
        <v>0</v>
      </c>
      <c r="AE522" s="46">
        <f t="shared" si="569"/>
        <v>0</v>
      </c>
      <c r="AF522" s="46">
        <f t="shared" si="570"/>
        <v>2.1257999999999999</v>
      </c>
      <c r="AG522" s="39">
        <f t="shared" si="625"/>
        <v>60.891321635790973</v>
      </c>
      <c r="AH522" s="39">
        <f t="shared" si="626"/>
        <v>70.9250856925146</v>
      </c>
      <c r="AI522" s="39">
        <f t="shared" si="627"/>
        <v>72.823966048896153</v>
      </c>
      <c r="AJ522" s="39">
        <f t="shared" si="628"/>
        <v>84.273174102894373</v>
      </c>
      <c r="AK522" s="39">
        <f t="shared" si="629"/>
        <v>75.642797579099749</v>
      </c>
      <c r="AL522" s="39">
        <f t="shared" si="630"/>
        <v>66.932851852291009</v>
      </c>
      <c r="AM522" s="39">
        <f t="shared" si="631"/>
        <v>67.270811878201243</v>
      </c>
      <c r="AN522" s="39">
        <f t="shared" si="632"/>
        <v>54.798261064298536</v>
      </c>
      <c r="AO522" s="39">
        <f t="shared" si="571"/>
        <v>3.0891321635790976</v>
      </c>
      <c r="AP522" s="39">
        <f t="shared" si="572"/>
        <v>3.29250856925146</v>
      </c>
      <c r="AQ522" s="39">
        <f t="shared" si="573"/>
        <v>3.6823966048896168</v>
      </c>
      <c r="AR522" s="39">
        <f t="shared" si="574"/>
        <v>3.9273174102894366</v>
      </c>
      <c r="AS522" s="39">
        <f t="shared" si="575"/>
        <v>3.3642797579099759</v>
      </c>
      <c r="AT522" s="39">
        <f t="shared" si="576"/>
        <v>3.3932851852291002</v>
      </c>
      <c r="AU522" s="39">
        <f t="shared" si="577"/>
        <v>3.4270811878201237</v>
      </c>
      <c r="AV522" s="39">
        <f t="shared" si="578"/>
        <v>2.1798261064298532</v>
      </c>
      <c r="AW522" s="39">
        <f t="shared" si="579"/>
        <v>26.355826985398664</v>
      </c>
      <c r="AX522" s="39">
        <f t="shared" si="580"/>
        <v>3.8500000000000005</v>
      </c>
      <c r="AY522" s="39">
        <f t="shared" si="581"/>
        <v>3.8500000000000005</v>
      </c>
      <c r="AZ522" s="39">
        <f t="shared" si="582"/>
        <v>0.45125348699429657</v>
      </c>
      <c r="BA522" s="39">
        <f t="shared" si="583"/>
        <v>0.48096225546786348</v>
      </c>
      <c r="BB522" s="39">
        <f t="shared" si="584"/>
        <v>0.53791622386500415</v>
      </c>
      <c r="BC522" s="39">
        <f t="shared" si="585"/>
        <v>0.57369370492494987</v>
      </c>
      <c r="BD522" s="39">
        <f t="shared" si="586"/>
        <v>0.49144642947949169</v>
      </c>
      <c r="BE522" s="39">
        <f t="shared" si="587"/>
        <v>0.49568347714415023</v>
      </c>
      <c r="BF522" s="39">
        <f t="shared" si="588"/>
        <v>0.50062032128292555</v>
      </c>
      <c r="BG522" s="39">
        <f t="shared" si="589"/>
        <v>0.31842410084131878</v>
      </c>
      <c r="BH522" s="84">
        <f t="shared" si="590"/>
        <v>0</v>
      </c>
      <c r="BI522" s="84">
        <f t="shared" si="591"/>
        <v>0</v>
      </c>
      <c r="BJ522" s="84">
        <f t="shared" si="592"/>
        <v>0</v>
      </c>
      <c r="BK522" s="39">
        <f t="shared" si="593"/>
        <v>60.440068148796676</v>
      </c>
      <c r="BL522" s="39">
        <f t="shared" si="594"/>
        <v>70.444123437046741</v>
      </c>
      <c r="BM522" s="39">
        <f t="shared" si="595"/>
        <v>72.286049825031142</v>
      </c>
      <c r="BN522" s="39">
        <f t="shared" si="596"/>
        <v>83.699480397969424</v>
      </c>
      <c r="BO522" s="39">
        <f t="shared" si="597"/>
        <v>75.151351149620254</v>
      </c>
      <c r="BP522" s="39">
        <f t="shared" si="598"/>
        <v>66.437168375146854</v>
      </c>
      <c r="BQ522" s="39">
        <f t="shared" si="599"/>
        <v>66.77019155691832</v>
      </c>
      <c r="BR522" s="39">
        <f t="shared" si="600"/>
        <v>54.479836963457217</v>
      </c>
      <c r="BS522" s="39">
        <f t="shared" si="601"/>
        <v>0.26404088927800584</v>
      </c>
      <c r="BT522" s="39">
        <f t="shared" si="602"/>
        <v>2.6664740622280445</v>
      </c>
      <c r="BU522" s="39">
        <f t="shared" si="603"/>
        <v>4.9716298950186939</v>
      </c>
      <c r="BV522" s="39">
        <f t="shared" si="604"/>
        <v>0</v>
      </c>
      <c r="BW522" s="39">
        <f t="shared" si="605"/>
        <v>0</v>
      </c>
      <c r="BX522" s="39">
        <f t="shared" si="606"/>
        <v>0</v>
      </c>
      <c r="BY522" s="39">
        <f t="shared" si="607"/>
        <v>0</v>
      </c>
      <c r="BZ522" s="39">
        <f t="shared" si="608"/>
        <v>0</v>
      </c>
      <c r="CA522" s="39">
        <f t="shared" si="609"/>
        <v>60.176027259518669</v>
      </c>
      <c r="CB522" s="39">
        <f t="shared" si="610"/>
        <v>68.041690264096701</v>
      </c>
      <c r="CC522" s="39">
        <f t="shared" si="611"/>
        <v>69.980893992240496</v>
      </c>
      <c r="CD522" s="39">
        <f t="shared" si="612"/>
        <v>88.671110292988118</v>
      </c>
      <c r="CE522" s="39">
        <f t="shared" si="613"/>
        <v>75.151351149620254</v>
      </c>
      <c r="CF522" s="39">
        <f t="shared" si="614"/>
        <v>66.437168375146854</v>
      </c>
      <c r="CG522" s="39">
        <f t="shared" si="615"/>
        <v>66.77019155691832</v>
      </c>
      <c r="CH522" s="39">
        <f t="shared" si="616"/>
        <v>54.479836963457217</v>
      </c>
      <c r="CI522" s="39">
        <f t="shared" si="617"/>
        <v>0</v>
      </c>
      <c r="CJ522" s="39">
        <f t="shared" si="618"/>
        <v>0</v>
      </c>
      <c r="CK522" s="39">
        <f t="shared" si="619"/>
        <v>0</v>
      </c>
      <c r="CL522" s="39">
        <f t="shared" si="620"/>
        <v>0</v>
      </c>
      <c r="CM522" s="39">
        <f t="shared" si="621"/>
        <v>0</v>
      </c>
      <c r="CN522" s="39">
        <f t="shared" si="622"/>
        <v>0</v>
      </c>
      <c r="CO522" s="39">
        <f t="shared" si="623"/>
        <v>0</v>
      </c>
      <c r="CP522" s="39">
        <f t="shared" si="624"/>
        <v>0</v>
      </c>
    </row>
    <row r="523" spans="12:94" ht="16" customHeight="1" x14ac:dyDescent="0.2">
      <c r="L523" s="63">
        <v>30835</v>
      </c>
      <c r="M523" s="38">
        <v>0</v>
      </c>
      <c r="N523" s="38">
        <v>2</v>
      </c>
      <c r="O523" s="39">
        <v>2.3664000000000001</v>
      </c>
      <c r="P523" s="39">
        <v>1.1000000000000001</v>
      </c>
      <c r="Q523" s="46">
        <f t="shared" si="555"/>
        <v>8.8832377176651336E-2</v>
      </c>
      <c r="R523" s="81">
        <f t="shared" si="556"/>
        <v>0</v>
      </c>
      <c r="S523" s="82">
        <f t="shared" si="557"/>
        <v>0</v>
      </c>
      <c r="T523" s="39">
        <f t="shared" si="558"/>
        <v>0</v>
      </c>
      <c r="U523" s="83">
        <f t="shared" si="559"/>
        <v>2.2000000000000002</v>
      </c>
      <c r="V523" s="84">
        <f t="shared" si="560"/>
        <v>0</v>
      </c>
      <c r="W523" s="52">
        <f t="shared" si="561"/>
        <v>137.86972180884402</v>
      </c>
      <c r="X523" s="52">
        <f t="shared" si="562"/>
        <v>121.8385480451426</v>
      </c>
      <c r="Y523" s="52">
        <f t="shared" si="563"/>
        <v>259.70826985398662</v>
      </c>
      <c r="Z523" s="53">
        <f t="shared" si="564"/>
        <v>1.0771072016315939</v>
      </c>
      <c r="AA523" s="53">
        <f t="shared" si="565"/>
        <v>0.72522945264965832</v>
      </c>
      <c r="AB523" s="53">
        <f t="shared" si="566"/>
        <v>0.87739280356076566</v>
      </c>
      <c r="AC523" s="39" t="str">
        <f t="shared" si="567"/>
        <v>No</v>
      </c>
      <c r="AD523" s="85">
        <f t="shared" si="568"/>
        <v>0</v>
      </c>
      <c r="AE523" s="46">
        <f t="shared" si="569"/>
        <v>0</v>
      </c>
      <c r="AF523" s="46">
        <f t="shared" si="570"/>
        <v>2.1257999999999999</v>
      </c>
      <c r="AG523" s="39">
        <f t="shared" si="625"/>
        <v>60.176027259518669</v>
      </c>
      <c r="AH523" s="39">
        <f t="shared" si="626"/>
        <v>68.041690264096701</v>
      </c>
      <c r="AI523" s="39">
        <f t="shared" si="627"/>
        <v>69.980893992240496</v>
      </c>
      <c r="AJ523" s="39">
        <f t="shared" si="628"/>
        <v>88.671110292988118</v>
      </c>
      <c r="AK523" s="39">
        <f t="shared" si="629"/>
        <v>75.151351149620254</v>
      </c>
      <c r="AL523" s="39">
        <f t="shared" si="630"/>
        <v>66.437168375146854</v>
      </c>
      <c r="AM523" s="39">
        <f t="shared" si="631"/>
        <v>66.77019155691832</v>
      </c>
      <c r="AN523" s="39">
        <f t="shared" si="632"/>
        <v>54.479836963457217</v>
      </c>
      <c r="AO523" s="39">
        <f t="shared" si="571"/>
        <v>3.0176027259518672</v>
      </c>
      <c r="AP523" s="39">
        <f t="shared" si="572"/>
        <v>3.0041690264096701</v>
      </c>
      <c r="AQ523" s="39">
        <f t="shared" si="573"/>
        <v>3.3980893992240513</v>
      </c>
      <c r="AR523" s="39">
        <f t="shared" si="574"/>
        <v>4.3671110292988109</v>
      </c>
      <c r="AS523" s="39">
        <f t="shared" si="575"/>
        <v>3.3151351149620263</v>
      </c>
      <c r="AT523" s="39">
        <f t="shared" si="576"/>
        <v>3.3437168375146848</v>
      </c>
      <c r="AU523" s="39">
        <f t="shared" si="577"/>
        <v>3.3770191556918316</v>
      </c>
      <c r="AV523" s="39">
        <f t="shared" si="578"/>
        <v>2.1479836963457211</v>
      </c>
      <c r="AW523" s="39">
        <f t="shared" si="579"/>
        <v>25.970826985398663</v>
      </c>
      <c r="AX523" s="39">
        <f t="shared" si="580"/>
        <v>2.2000000000000002</v>
      </c>
      <c r="AY523" s="39">
        <f t="shared" si="581"/>
        <v>2.2000000000000002</v>
      </c>
      <c r="AZ523" s="39">
        <f t="shared" si="582"/>
        <v>0.25562243361855735</v>
      </c>
      <c r="BA523" s="39">
        <f t="shared" si="583"/>
        <v>0.25448445911318451</v>
      </c>
      <c r="BB523" s="39">
        <f t="shared" si="584"/>
        <v>0.28785362447241131</v>
      </c>
      <c r="BC523" s="39">
        <f t="shared" si="585"/>
        <v>0.36993986636848342</v>
      </c>
      <c r="BD523" s="39">
        <f t="shared" si="586"/>
        <v>0.28082653113113809</v>
      </c>
      <c r="BE523" s="39">
        <f t="shared" si="587"/>
        <v>0.28324770122522869</v>
      </c>
      <c r="BF523" s="39">
        <f t="shared" si="588"/>
        <v>0.28606875501881462</v>
      </c>
      <c r="BG523" s="39">
        <f t="shared" si="589"/>
        <v>0.18195662905218216</v>
      </c>
      <c r="BH523" s="84">
        <f t="shared" si="590"/>
        <v>0</v>
      </c>
      <c r="BI523" s="84">
        <f t="shared" si="591"/>
        <v>0</v>
      </c>
      <c r="BJ523" s="84">
        <f t="shared" si="592"/>
        <v>0</v>
      </c>
      <c r="BK523" s="39">
        <f t="shared" si="593"/>
        <v>59.920404825900114</v>
      </c>
      <c r="BL523" s="39">
        <f t="shared" si="594"/>
        <v>67.787205804983515</v>
      </c>
      <c r="BM523" s="39">
        <f t="shared" si="595"/>
        <v>69.693040367768091</v>
      </c>
      <c r="BN523" s="39">
        <f t="shared" si="596"/>
        <v>88.301170426619635</v>
      </c>
      <c r="BO523" s="39">
        <f t="shared" si="597"/>
        <v>74.870524618489114</v>
      </c>
      <c r="BP523" s="39">
        <f t="shared" si="598"/>
        <v>66.153920673921618</v>
      </c>
      <c r="BQ523" s="39">
        <f t="shared" si="599"/>
        <v>66.484122801899503</v>
      </c>
      <c r="BR523" s="39">
        <f t="shared" si="600"/>
        <v>54.297880334405036</v>
      </c>
      <c r="BS523" s="39">
        <f t="shared" si="601"/>
        <v>0</v>
      </c>
      <c r="BT523" s="39">
        <f t="shared" si="602"/>
        <v>1.0723234829901087</v>
      </c>
      <c r="BU523" s="39">
        <f t="shared" si="603"/>
        <v>3.4158242206608631</v>
      </c>
      <c r="BV523" s="39">
        <f t="shared" si="604"/>
        <v>0.78070225597177223</v>
      </c>
      <c r="BW523" s="39">
        <f t="shared" si="605"/>
        <v>0</v>
      </c>
      <c r="BX523" s="39">
        <f t="shared" si="606"/>
        <v>0</v>
      </c>
      <c r="BY523" s="39">
        <f t="shared" si="607"/>
        <v>0</v>
      </c>
      <c r="BZ523" s="39">
        <f t="shared" si="608"/>
        <v>0</v>
      </c>
      <c r="CA523" s="39">
        <f t="shared" si="609"/>
        <v>59.920404825900114</v>
      </c>
      <c r="CB523" s="39">
        <f t="shared" si="610"/>
        <v>66.7148823219934</v>
      </c>
      <c r="CC523" s="39">
        <f t="shared" si="611"/>
        <v>67.34953963009734</v>
      </c>
      <c r="CD523" s="39">
        <f t="shared" si="612"/>
        <v>90.936292391308726</v>
      </c>
      <c r="CE523" s="39">
        <f t="shared" si="613"/>
        <v>75.651226874460889</v>
      </c>
      <c r="CF523" s="39">
        <f t="shared" si="614"/>
        <v>66.153920673921618</v>
      </c>
      <c r="CG523" s="39">
        <f t="shared" si="615"/>
        <v>66.484122801899503</v>
      </c>
      <c r="CH523" s="39">
        <f t="shared" si="616"/>
        <v>54.297880334405036</v>
      </c>
      <c r="CI523" s="39">
        <f t="shared" si="617"/>
        <v>0</v>
      </c>
      <c r="CJ523" s="39">
        <f t="shared" si="618"/>
        <v>0</v>
      </c>
      <c r="CK523" s="39">
        <f t="shared" si="619"/>
        <v>0</v>
      </c>
      <c r="CL523" s="39">
        <f t="shared" si="620"/>
        <v>0</v>
      </c>
      <c r="CM523" s="39">
        <f t="shared" si="621"/>
        <v>0</v>
      </c>
      <c r="CN523" s="39">
        <f t="shared" si="622"/>
        <v>0</v>
      </c>
      <c r="CO523" s="39">
        <f t="shared" si="623"/>
        <v>0</v>
      </c>
      <c r="CP523" s="39">
        <f t="shared" si="624"/>
        <v>0</v>
      </c>
    </row>
    <row r="524" spans="12:94" ht="16" customHeight="1" x14ac:dyDescent="0.2">
      <c r="L524" s="63">
        <v>30836</v>
      </c>
      <c r="M524" s="38">
        <v>0</v>
      </c>
      <c r="N524" s="38">
        <v>5.7</v>
      </c>
      <c r="O524" s="39">
        <v>2.3664000000000001</v>
      </c>
      <c r="P524" s="39">
        <v>1.1000000000000001</v>
      </c>
      <c r="Q524" s="46">
        <f t="shared" si="555"/>
        <v>8.9350530758310578E-2</v>
      </c>
      <c r="R524" s="81">
        <f t="shared" si="556"/>
        <v>0</v>
      </c>
      <c r="S524" s="82">
        <f t="shared" si="557"/>
        <v>0</v>
      </c>
      <c r="T524" s="39">
        <f t="shared" si="558"/>
        <v>0</v>
      </c>
      <c r="U524" s="83">
        <f t="shared" si="559"/>
        <v>6.2700000000000005</v>
      </c>
      <c r="V524" s="84">
        <f t="shared" si="560"/>
        <v>0</v>
      </c>
      <c r="W524" s="52">
        <f t="shared" si="561"/>
        <v>135.92111916929957</v>
      </c>
      <c r="X524" s="52">
        <f t="shared" si="562"/>
        <v>121.58715068468706</v>
      </c>
      <c r="Y524" s="52">
        <f t="shared" si="563"/>
        <v>257.50826985398663</v>
      </c>
      <c r="Z524" s="53">
        <f t="shared" si="564"/>
        <v>1.0618837435101529</v>
      </c>
      <c r="AA524" s="53">
        <f t="shared" si="565"/>
        <v>0.72373303978980397</v>
      </c>
      <c r="AB524" s="53">
        <f t="shared" si="566"/>
        <v>0.86996037112833324</v>
      </c>
      <c r="AC524" s="39" t="str">
        <f t="shared" si="567"/>
        <v>No</v>
      </c>
      <c r="AD524" s="85">
        <f t="shared" si="568"/>
        <v>0</v>
      </c>
      <c r="AE524" s="46">
        <f t="shared" si="569"/>
        <v>0</v>
      </c>
      <c r="AF524" s="46">
        <f t="shared" si="570"/>
        <v>2.1257999999999999</v>
      </c>
      <c r="AG524" s="39">
        <f t="shared" si="625"/>
        <v>59.920404825900114</v>
      </c>
      <c r="AH524" s="39">
        <f t="shared" si="626"/>
        <v>66.7148823219934</v>
      </c>
      <c r="AI524" s="39">
        <f t="shared" si="627"/>
        <v>67.34953963009734</v>
      </c>
      <c r="AJ524" s="39">
        <f t="shared" si="628"/>
        <v>90.936292391308726</v>
      </c>
      <c r="AK524" s="39">
        <f t="shared" si="629"/>
        <v>75.651226874460889</v>
      </c>
      <c r="AL524" s="39">
        <f t="shared" si="630"/>
        <v>66.153920673921618</v>
      </c>
      <c r="AM524" s="39">
        <f t="shared" si="631"/>
        <v>66.484122801899503</v>
      </c>
      <c r="AN524" s="39">
        <f t="shared" si="632"/>
        <v>54.297880334405036</v>
      </c>
      <c r="AO524" s="39">
        <f t="shared" si="571"/>
        <v>2.9920404825900118</v>
      </c>
      <c r="AP524" s="39">
        <f t="shared" si="572"/>
        <v>2.87148823219934</v>
      </c>
      <c r="AQ524" s="39">
        <f t="shared" si="573"/>
        <v>3.1349539630097354</v>
      </c>
      <c r="AR524" s="39">
        <f t="shared" si="574"/>
        <v>4.5936292391308724</v>
      </c>
      <c r="AS524" s="39">
        <f t="shared" si="575"/>
        <v>3.3651226874460898</v>
      </c>
      <c r="AT524" s="39">
        <f t="shared" si="576"/>
        <v>3.3153920673921613</v>
      </c>
      <c r="AU524" s="39">
        <f t="shared" si="577"/>
        <v>3.3484122801899496</v>
      </c>
      <c r="AV524" s="39">
        <f t="shared" si="578"/>
        <v>2.1297880334405028</v>
      </c>
      <c r="AW524" s="39">
        <f t="shared" si="579"/>
        <v>25.75082698539866</v>
      </c>
      <c r="AX524" s="39">
        <f t="shared" si="580"/>
        <v>6.2700000000000005</v>
      </c>
      <c r="AY524" s="39">
        <f t="shared" si="581"/>
        <v>6.2700000000000005</v>
      </c>
      <c r="AZ524" s="39">
        <f t="shared" si="582"/>
        <v>0.72852393581288866</v>
      </c>
      <c r="BA524" s="39">
        <f t="shared" si="583"/>
        <v>0.69917099074521749</v>
      </c>
      <c r="BB524" s="39">
        <f t="shared" si="584"/>
        <v>0.76332155698209458</v>
      </c>
      <c r="BC524" s="39">
        <f t="shared" si="585"/>
        <v>1.1184904991859885</v>
      </c>
      <c r="BD524" s="39">
        <f t="shared" si="586"/>
        <v>0.81936472417956929</v>
      </c>
      <c r="BE524" s="39">
        <f t="shared" si="587"/>
        <v>0.80725594849190174</v>
      </c>
      <c r="BF524" s="39">
        <f t="shared" si="588"/>
        <v>0.81529595180362158</v>
      </c>
      <c r="BG524" s="39">
        <f t="shared" si="589"/>
        <v>0.51857639279871914</v>
      </c>
      <c r="BH524" s="84">
        <f t="shared" si="590"/>
        <v>0</v>
      </c>
      <c r="BI524" s="84">
        <f t="shared" si="591"/>
        <v>0</v>
      </c>
      <c r="BJ524" s="84">
        <f t="shared" si="592"/>
        <v>0</v>
      </c>
      <c r="BK524" s="39">
        <f t="shared" si="593"/>
        <v>59.191880890087226</v>
      </c>
      <c r="BL524" s="39">
        <f t="shared" si="594"/>
        <v>66.015711331248184</v>
      </c>
      <c r="BM524" s="39">
        <f t="shared" si="595"/>
        <v>66.586218073115248</v>
      </c>
      <c r="BN524" s="39">
        <f t="shared" si="596"/>
        <v>89.817801892122731</v>
      </c>
      <c r="BO524" s="39">
        <f t="shared" si="597"/>
        <v>74.831862150281324</v>
      </c>
      <c r="BP524" s="39">
        <f t="shared" si="598"/>
        <v>65.346664725429719</v>
      </c>
      <c r="BQ524" s="39">
        <f t="shared" si="599"/>
        <v>65.668826850095883</v>
      </c>
      <c r="BR524" s="39">
        <f t="shared" si="600"/>
        <v>53.779303941606315</v>
      </c>
      <c r="BS524" s="39">
        <f t="shared" si="601"/>
        <v>0</v>
      </c>
      <c r="BT524" s="39">
        <f t="shared" si="602"/>
        <v>9.4267987489104147E-3</v>
      </c>
      <c r="BU524" s="39">
        <f t="shared" si="603"/>
        <v>1.5517308438691571</v>
      </c>
      <c r="BV524" s="39">
        <f t="shared" si="604"/>
        <v>1.6906811352736297</v>
      </c>
      <c r="BW524" s="39">
        <f t="shared" si="605"/>
        <v>0</v>
      </c>
      <c r="BX524" s="39">
        <f t="shared" si="606"/>
        <v>0</v>
      </c>
      <c r="BY524" s="39">
        <f t="shared" si="607"/>
        <v>0</v>
      </c>
      <c r="BZ524" s="39">
        <f t="shared" si="608"/>
        <v>0</v>
      </c>
      <c r="CA524" s="39">
        <f t="shared" si="609"/>
        <v>59.191880890087226</v>
      </c>
      <c r="CB524" s="39">
        <f t="shared" si="610"/>
        <v>66.006284532499279</v>
      </c>
      <c r="CC524" s="39">
        <f t="shared" si="611"/>
        <v>65.043914027995001</v>
      </c>
      <c r="CD524" s="39">
        <f t="shared" si="612"/>
        <v>89.678851600718247</v>
      </c>
      <c r="CE524" s="39">
        <f t="shared" si="613"/>
        <v>76.52254328555496</v>
      </c>
      <c r="CF524" s="39">
        <f t="shared" si="614"/>
        <v>65.346664725429719</v>
      </c>
      <c r="CG524" s="39">
        <f t="shared" si="615"/>
        <v>65.668826850095883</v>
      </c>
      <c r="CH524" s="39">
        <f t="shared" si="616"/>
        <v>53.779303941606315</v>
      </c>
      <c r="CI524" s="39">
        <f t="shared" si="617"/>
        <v>0</v>
      </c>
      <c r="CJ524" s="39">
        <f t="shared" si="618"/>
        <v>0</v>
      </c>
      <c r="CK524" s="39">
        <f t="shared" si="619"/>
        <v>0</v>
      </c>
      <c r="CL524" s="39">
        <f t="shared" si="620"/>
        <v>0</v>
      </c>
      <c r="CM524" s="39">
        <f t="shared" si="621"/>
        <v>0</v>
      </c>
      <c r="CN524" s="39">
        <f t="shared" si="622"/>
        <v>0</v>
      </c>
      <c r="CO524" s="39">
        <f t="shared" si="623"/>
        <v>0</v>
      </c>
      <c r="CP524" s="39">
        <f t="shared" si="624"/>
        <v>0</v>
      </c>
    </row>
    <row r="525" spans="12:94" ht="16" customHeight="1" x14ac:dyDescent="0.2">
      <c r="L525" s="63">
        <v>30837</v>
      </c>
      <c r="M525" s="38">
        <v>0</v>
      </c>
      <c r="N525" s="38">
        <v>5.8</v>
      </c>
      <c r="O525" s="39">
        <v>2.3664000000000001</v>
      </c>
      <c r="P525" s="39">
        <v>1.1000000000000001</v>
      </c>
      <c r="Q525" s="46">
        <f t="shared" si="555"/>
        <v>9.0827268466039404E-2</v>
      </c>
      <c r="R525" s="81">
        <f t="shared" si="556"/>
        <v>0</v>
      </c>
      <c r="S525" s="82">
        <f t="shared" si="557"/>
        <v>0</v>
      </c>
      <c r="T525" s="39">
        <f t="shared" si="558"/>
        <v>0</v>
      </c>
      <c r="U525" s="83">
        <f t="shared" si="559"/>
        <v>6.38</v>
      </c>
      <c r="V525" s="84">
        <f t="shared" si="560"/>
        <v>0</v>
      </c>
      <c r="W525" s="52">
        <f t="shared" si="561"/>
        <v>130.92093105129976</v>
      </c>
      <c r="X525" s="52">
        <f t="shared" si="562"/>
        <v>120.31733880268689</v>
      </c>
      <c r="Y525" s="52">
        <f t="shared" si="563"/>
        <v>251.23826985398665</v>
      </c>
      <c r="Z525" s="53">
        <f t="shared" si="564"/>
        <v>1.0228197738382794</v>
      </c>
      <c r="AA525" s="53">
        <f t="shared" si="565"/>
        <v>0.71617463573027906</v>
      </c>
      <c r="AB525" s="53">
        <f t="shared" si="566"/>
        <v>0.8487779386959009</v>
      </c>
      <c r="AC525" s="39" t="str">
        <f t="shared" si="567"/>
        <v>No</v>
      </c>
      <c r="AD525" s="85">
        <f t="shared" si="568"/>
        <v>0</v>
      </c>
      <c r="AE525" s="46">
        <f t="shared" si="569"/>
        <v>0</v>
      </c>
      <c r="AF525" s="46">
        <f t="shared" si="570"/>
        <v>2.1257999999999999</v>
      </c>
      <c r="AG525" s="39">
        <f t="shared" si="625"/>
        <v>59.191880890087226</v>
      </c>
      <c r="AH525" s="39">
        <f t="shared" si="626"/>
        <v>66.006284532499279</v>
      </c>
      <c r="AI525" s="39">
        <f t="shared" si="627"/>
        <v>65.043914027995001</v>
      </c>
      <c r="AJ525" s="39">
        <f t="shared" si="628"/>
        <v>89.678851600718247</v>
      </c>
      <c r="AK525" s="39">
        <f t="shared" si="629"/>
        <v>76.52254328555496</v>
      </c>
      <c r="AL525" s="39">
        <f t="shared" si="630"/>
        <v>65.346664725429719</v>
      </c>
      <c r="AM525" s="39">
        <f t="shared" si="631"/>
        <v>65.668826850095883</v>
      </c>
      <c r="AN525" s="39">
        <f t="shared" si="632"/>
        <v>53.779303941606315</v>
      </c>
      <c r="AO525" s="39">
        <f t="shared" si="571"/>
        <v>2.9191880890087227</v>
      </c>
      <c r="AP525" s="39">
        <f t="shared" si="572"/>
        <v>2.8006284532499279</v>
      </c>
      <c r="AQ525" s="39">
        <f t="shared" si="573"/>
        <v>2.9043914027995017</v>
      </c>
      <c r="AR525" s="39">
        <f t="shared" si="574"/>
        <v>4.4678851600718241</v>
      </c>
      <c r="AS525" s="39">
        <f t="shared" si="575"/>
        <v>3.452254328555497</v>
      </c>
      <c r="AT525" s="39">
        <f t="shared" si="576"/>
        <v>3.2346664725429712</v>
      </c>
      <c r="AU525" s="39">
        <f t="shared" si="577"/>
        <v>3.2668826850095876</v>
      </c>
      <c r="AV525" s="39">
        <f t="shared" si="578"/>
        <v>2.0560927252269305</v>
      </c>
      <c r="AW525" s="39">
        <f t="shared" si="579"/>
        <v>25.101989316464966</v>
      </c>
      <c r="AX525" s="39">
        <f t="shared" si="580"/>
        <v>6.38</v>
      </c>
      <c r="AY525" s="39">
        <f t="shared" si="581"/>
        <v>6.38</v>
      </c>
      <c r="AZ525" s="39">
        <f t="shared" si="582"/>
        <v>0.74194996153788773</v>
      </c>
      <c r="BA525" s="39">
        <f t="shared" si="583"/>
        <v>0.71181647424311933</v>
      </c>
      <c r="BB525" s="39">
        <f t="shared" si="584"/>
        <v>0.73818918955983137</v>
      </c>
      <c r="BC525" s="39">
        <f t="shared" si="585"/>
        <v>1.1355716458121943</v>
      </c>
      <c r="BD525" s="39">
        <f t="shared" si="586"/>
        <v>0.87743574178549744</v>
      </c>
      <c r="BE525" s="39">
        <f t="shared" si="587"/>
        <v>0.8221329327587501</v>
      </c>
      <c r="BF525" s="39">
        <f t="shared" si="588"/>
        <v>0.83032110593282582</v>
      </c>
      <c r="BG525" s="39">
        <f t="shared" si="589"/>
        <v>0.52258294836989294</v>
      </c>
      <c r="BH525" s="84">
        <f t="shared" si="590"/>
        <v>0</v>
      </c>
      <c r="BI525" s="84">
        <f t="shared" si="591"/>
        <v>0</v>
      </c>
      <c r="BJ525" s="84">
        <f t="shared" si="592"/>
        <v>0</v>
      </c>
      <c r="BK525" s="39">
        <f t="shared" si="593"/>
        <v>58.449930928549335</v>
      </c>
      <c r="BL525" s="39">
        <f t="shared" si="594"/>
        <v>65.294468058256157</v>
      </c>
      <c r="BM525" s="39">
        <f t="shared" si="595"/>
        <v>64.305724838435168</v>
      </c>
      <c r="BN525" s="39">
        <f t="shared" si="596"/>
        <v>88.543279954906055</v>
      </c>
      <c r="BO525" s="39">
        <f t="shared" si="597"/>
        <v>75.645107543769456</v>
      </c>
      <c r="BP525" s="39">
        <f t="shared" si="598"/>
        <v>64.52453179267097</v>
      </c>
      <c r="BQ525" s="39">
        <f t="shared" si="599"/>
        <v>64.838505744163058</v>
      </c>
      <c r="BR525" s="39">
        <f t="shared" si="600"/>
        <v>53.256720993236421</v>
      </c>
      <c r="BS525" s="39">
        <f t="shared" si="601"/>
        <v>0</v>
      </c>
      <c r="BT525" s="39">
        <f t="shared" si="602"/>
        <v>0</v>
      </c>
      <c r="BU525" s="39">
        <f t="shared" si="603"/>
        <v>0.18343490306110935</v>
      </c>
      <c r="BV525" s="39">
        <f t="shared" si="604"/>
        <v>0.92596797294362432</v>
      </c>
      <c r="BW525" s="39">
        <f t="shared" si="605"/>
        <v>0</v>
      </c>
      <c r="BX525" s="39">
        <f t="shared" si="606"/>
        <v>0</v>
      </c>
      <c r="BY525" s="39">
        <f t="shared" si="607"/>
        <v>0</v>
      </c>
      <c r="BZ525" s="39">
        <f t="shared" si="608"/>
        <v>0</v>
      </c>
      <c r="CA525" s="39">
        <f t="shared" si="609"/>
        <v>58.449930928549335</v>
      </c>
      <c r="CB525" s="39">
        <f t="shared" si="610"/>
        <v>65.294468058256157</v>
      </c>
      <c r="CC525" s="39">
        <f t="shared" si="611"/>
        <v>64.122289935374056</v>
      </c>
      <c r="CD525" s="39">
        <f t="shared" si="612"/>
        <v>87.800746885023543</v>
      </c>
      <c r="CE525" s="39">
        <f t="shared" si="613"/>
        <v>76.57107551671308</v>
      </c>
      <c r="CF525" s="39">
        <f t="shared" si="614"/>
        <v>64.52453179267097</v>
      </c>
      <c r="CG525" s="39">
        <f t="shared" si="615"/>
        <v>64.838505744163058</v>
      </c>
      <c r="CH525" s="39">
        <f t="shared" si="616"/>
        <v>53.256720993236421</v>
      </c>
      <c r="CI525" s="39">
        <f t="shared" si="617"/>
        <v>0</v>
      </c>
      <c r="CJ525" s="39">
        <f t="shared" si="618"/>
        <v>0</v>
      </c>
      <c r="CK525" s="39">
        <f t="shared" si="619"/>
        <v>0</v>
      </c>
      <c r="CL525" s="39">
        <f t="shared" si="620"/>
        <v>0</v>
      </c>
      <c r="CM525" s="39">
        <f t="shared" si="621"/>
        <v>0</v>
      </c>
      <c r="CN525" s="39">
        <f t="shared" si="622"/>
        <v>0</v>
      </c>
      <c r="CO525" s="39">
        <f t="shared" si="623"/>
        <v>0</v>
      </c>
      <c r="CP525" s="39">
        <f t="shared" si="624"/>
        <v>0</v>
      </c>
    </row>
    <row r="526" spans="12:94" ht="16" customHeight="1" x14ac:dyDescent="0.2">
      <c r="L526" s="63">
        <v>30838</v>
      </c>
      <c r="M526" s="38">
        <v>4.7</v>
      </c>
      <c r="N526" s="38">
        <v>5.8</v>
      </c>
      <c r="O526" s="39">
        <v>2.3664000000000001</v>
      </c>
      <c r="P526" s="39">
        <v>1.1000000000000001</v>
      </c>
      <c r="Q526" s="46">
        <f t="shared" si="555"/>
        <v>9.2331221090778376E-2</v>
      </c>
      <c r="R526" s="81">
        <f t="shared" si="556"/>
        <v>0</v>
      </c>
      <c r="S526" s="82">
        <f t="shared" si="557"/>
        <v>4.7</v>
      </c>
      <c r="T526" s="39">
        <f t="shared" si="558"/>
        <v>0</v>
      </c>
      <c r="U526" s="83">
        <f t="shared" si="559"/>
        <v>6.38</v>
      </c>
      <c r="V526" s="84">
        <f t="shared" si="560"/>
        <v>0</v>
      </c>
      <c r="W526" s="52">
        <f t="shared" si="561"/>
        <v>126.66743580720311</v>
      </c>
      <c r="X526" s="52">
        <f t="shared" si="562"/>
        <v>118.19083404678349</v>
      </c>
      <c r="Y526" s="52">
        <f t="shared" si="563"/>
        <v>244.8582698539866</v>
      </c>
      <c r="Z526" s="53">
        <f t="shared" si="564"/>
        <v>0.98958934224377426</v>
      </c>
      <c r="AA526" s="53">
        <f t="shared" si="565"/>
        <v>0.70351686932609225</v>
      </c>
      <c r="AB526" s="53">
        <f t="shared" si="566"/>
        <v>0.8272238846418466</v>
      </c>
      <c r="AC526" s="39" t="str">
        <f t="shared" si="567"/>
        <v>No</v>
      </c>
      <c r="AD526" s="85">
        <f t="shared" si="568"/>
        <v>0</v>
      </c>
      <c r="AE526" s="46">
        <f t="shared" si="569"/>
        <v>0</v>
      </c>
      <c r="AF526" s="46">
        <f t="shared" si="570"/>
        <v>2.1257999999999999</v>
      </c>
      <c r="AG526" s="39">
        <f t="shared" si="625"/>
        <v>58.449930928549335</v>
      </c>
      <c r="AH526" s="39">
        <f t="shared" si="626"/>
        <v>65.294468058256157</v>
      </c>
      <c r="AI526" s="39">
        <f t="shared" si="627"/>
        <v>64.122289935374056</v>
      </c>
      <c r="AJ526" s="39">
        <f t="shared" si="628"/>
        <v>87.800746885023543</v>
      </c>
      <c r="AK526" s="39">
        <f t="shared" si="629"/>
        <v>76.57107551671308</v>
      </c>
      <c r="AL526" s="39">
        <f t="shared" si="630"/>
        <v>64.52453179267097</v>
      </c>
      <c r="AM526" s="39">
        <f t="shared" si="631"/>
        <v>64.838505744163058</v>
      </c>
      <c r="AN526" s="39">
        <f t="shared" si="632"/>
        <v>53.256720993236421</v>
      </c>
      <c r="AO526" s="39">
        <f t="shared" si="571"/>
        <v>2.8449930928549336</v>
      </c>
      <c r="AP526" s="39">
        <f t="shared" si="572"/>
        <v>2.7294468058256158</v>
      </c>
      <c r="AQ526" s="39">
        <f t="shared" si="573"/>
        <v>2.8122289935374072</v>
      </c>
      <c r="AR526" s="39">
        <f t="shared" si="574"/>
        <v>4.2800746885023537</v>
      </c>
      <c r="AS526" s="39">
        <f t="shared" si="575"/>
        <v>3.4571075516713088</v>
      </c>
      <c r="AT526" s="39">
        <f t="shared" si="576"/>
        <v>3.1524531792670967</v>
      </c>
      <c r="AU526" s="39">
        <f t="shared" si="577"/>
        <v>3.1838505744163053</v>
      </c>
      <c r="AV526" s="39">
        <f t="shared" si="578"/>
        <v>1.9539749780848799</v>
      </c>
      <c r="AW526" s="39">
        <f t="shared" si="579"/>
        <v>24.414129864159904</v>
      </c>
      <c r="AX526" s="39">
        <f t="shared" si="580"/>
        <v>6.38</v>
      </c>
      <c r="AY526" s="39">
        <f t="shared" si="581"/>
        <v>1.6799999999999997</v>
      </c>
      <c r="AZ526" s="39">
        <f t="shared" si="582"/>
        <v>0.19577140052051389</v>
      </c>
      <c r="BA526" s="39">
        <f t="shared" si="583"/>
        <v>0.18782035891922297</v>
      </c>
      <c r="BB526" s="39">
        <f t="shared" si="584"/>
        <v>0.19351681732792389</v>
      </c>
      <c r="BC526" s="39">
        <f t="shared" si="585"/>
        <v>0.29452311086620742</v>
      </c>
      <c r="BD526" s="39">
        <f t="shared" si="586"/>
        <v>0.23789259412984001</v>
      </c>
      <c r="BE526" s="39">
        <f t="shared" si="587"/>
        <v>0.21692853157725933</v>
      </c>
      <c r="BF526" s="39">
        <f t="shared" si="588"/>
        <v>0.21908906828875213</v>
      </c>
      <c r="BG526" s="39">
        <f t="shared" si="589"/>
        <v>0.13445811837027988</v>
      </c>
      <c r="BH526" s="84">
        <f t="shared" si="590"/>
        <v>0</v>
      </c>
      <c r="BI526" s="84">
        <f t="shared" si="591"/>
        <v>0</v>
      </c>
      <c r="BJ526" s="84">
        <f t="shared" si="592"/>
        <v>0</v>
      </c>
      <c r="BK526" s="39">
        <f t="shared" si="593"/>
        <v>58.254159528028822</v>
      </c>
      <c r="BL526" s="39">
        <f t="shared" si="594"/>
        <v>65.106647699336932</v>
      </c>
      <c r="BM526" s="39">
        <f t="shared" si="595"/>
        <v>63.928773118046131</v>
      </c>
      <c r="BN526" s="39">
        <f t="shared" si="596"/>
        <v>87.506223774157334</v>
      </c>
      <c r="BO526" s="39">
        <f t="shared" si="597"/>
        <v>76.333182922583234</v>
      </c>
      <c r="BP526" s="39">
        <f t="shared" si="598"/>
        <v>64.307603261093718</v>
      </c>
      <c r="BQ526" s="39">
        <f t="shared" si="599"/>
        <v>64.619416675874305</v>
      </c>
      <c r="BR526" s="39">
        <f t="shared" si="600"/>
        <v>53.122262874866138</v>
      </c>
      <c r="BS526" s="39">
        <f t="shared" si="601"/>
        <v>0</v>
      </c>
      <c r="BT526" s="39">
        <f t="shared" si="602"/>
        <v>0</v>
      </c>
      <c r="BU526" s="39">
        <f t="shared" si="603"/>
        <v>0</v>
      </c>
      <c r="BV526" s="39">
        <f t="shared" si="604"/>
        <v>0.30373426449439195</v>
      </c>
      <c r="BW526" s="39">
        <f t="shared" si="605"/>
        <v>0</v>
      </c>
      <c r="BX526" s="39">
        <f t="shared" si="606"/>
        <v>0</v>
      </c>
      <c r="BY526" s="39">
        <f t="shared" si="607"/>
        <v>0</v>
      </c>
      <c r="BZ526" s="39">
        <f t="shared" si="608"/>
        <v>0</v>
      </c>
      <c r="CA526" s="39">
        <f t="shared" si="609"/>
        <v>61.274159528028825</v>
      </c>
      <c r="CB526" s="39">
        <f t="shared" si="610"/>
        <v>65.106647699336932</v>
      </c>
      <c r="CC526" s="39">
        <f t="shared" si="611"/>
        <v>63.928773118046131</v>
      </c>
      <c r="CD526" s="39">
        <f t="shared" si="612"/>
        <v>87.202489509662939</v>
      </c>
      <c r="CE526" s="39">
        <f t="shared" si="613"/>
        <v>76.636917187077628</v>
      </c>
      <c r="CF526" s="39">
        <f t="shared" si="614"/>
        <v>64.307603261093718</v>
      </c>
      <c r="CG526" s="39">
        <f t="shared" si="615"/>
        <v>64.619416675874305</v>
      </c>
      <c r="CH526" s="39">
        <f t="shared" si="616"/>
        <v>53.122262874866138</v>
      </c>
      <c r="CI526" s="39">
        <f t="shared" si="617"/>
        <v>0</v>
      </c>
      <c r="CJ526" s="39">
        <f t="shared" si="618"/>
        <v>0</v>
      </c>
      <c r="CK526" s="39">
        <f t="shared" si="619"/>
        <v>0</v>
      </c>
      <c r="CL526" s="39">
        <f t="shared" si="620"/>
        <v>0</v>
      </c>
      <c r="CM526" s="39">
        <f t="shared" si="621"/>
        <v>0</v>
      </c>
      <c r="CN526" s="39">
        <f t="shared" si="622"/>
        <v>0</v>
      </c>
      <c r="CO526" s="39">
        <f t="shared" si="623"/>
        <v>0</v>
      </c>
      <c r="CP526" s="39">
        <f t="shared" si="624"/>
        <v>0</v>
      </c>
    </row>
    <row r="527" spans="12:94" ht="16" customHeight="1" x14ac:dyDescent="0.2">
      <c r="L527" s="63">
        <v>30839</v>
      </c>
      <c r="M527" s="38">
        <v>2.8</v>
      </c>
      <c r="N527" s="38">
        <v>6.4</v>
      </c>
      <c r="O527" s="39">
        <v>2.3664000000000001</v>
      </c>
      <c r="P527" s="39">
        <v>1.1000000000000001</v>
      </c>
      <c r="Q527" s="46">
        <f t="shared" si="555"/>
        <v>8.6606433389130766E-2</v>
      </c>
      <c r="R527" s="81">
        <f t="shared" si="556"/>
        <v>0</v>
      </c>
      <c r="S527" s="82">
        <f t="shared" si="557"/>
        <v>2.8</v>
      </c>
      <c r="T527" s="39">
        <f t="shared" si="558"/>
        <v>0</v>
      </c>
      <c r="U527" s="83">
        <f t="shared" si="559"/>
        <v>7.0400000000000009</v>
      </c>
      <c r="V527" s="84">
        <f t="shared" si="560"/>
        <v>0</v>
      </c>
      <c r="W527" s="52">
        <f t="shared" si="561"/>
        <v>128.51206985507486</v>
      </c>
      <c r="X527" s="52">
        <f t="shared" si="562"/>
        <v>117.68619999891177</v>
      </c>
      <c r="Y527" s="52">
        <f t="shared" si="563"/>
        <v>246.19826985398663</v>
      </c>
      <c r="Z527" s="53">
        <f t="shared" si="564"/>
        <v>1.0040005457427723</v>
      </c>
      <c r="AA527" s="53">
        <f t="shared" si="565"/>
        <v>0.70051309523161776</v>
      </c>
      <c r="AB527" s="53">
        <f t="shared" si="566"/>
        <v>0.83175091166887372</v>
      </c>
      <c r="AC527" s="39" t="str">
        <f t="shared" si="567"/>
        <v>No</v>
      </c>
      <c r="AD527" s="85">
        <f t="shared" si="568"/>
        <v>0</v>
      </c>
      <c r="AE527" s="46">
        <f t="shared" si="569"/>
        <v>0</v>
      </c>
      <c r="AF527" s="46">
        <f t="shared" si="570"/>
        <v>2.1257999999999999</v>
      </c>
      <c r="AG527" s="39">
        <f t="shared" si="625"/>
        <v>61.274159528028825</v>
      </c>
      <c r="AH527" s="39">
        <f t="shared" si="626"/>
        <v>65.106647699336932</v>
      </c>
      <c r="AI527" s="39">
        <f t="shared" si="627"/>
        <v>63.928773118046131</v>
      </c>
      <c r="AJ527" s="39">
        <f t="shared" si="628"/>
        <v>87.202489509662939</v>
      </c>
      <c r="AK527" s="39">
        <f t="shared" si="629"/>
        <v>76.636917187077628</v>
      </c>
      <c r="AL527" s="39">
        <f t="shared" si="630"/>
        <v>64.307603261093718</v>
      </c>
      <c r="AM527" s="39">
        <f t="shared" si="631"/>
        <v>64.619416675874305</v>
      </c>
      <c r="AN527" s="39">
        <f t="shared" si="632"/>
        <v>53.122262874866138</v>
      </c>
      <c r="AO527" s="39">
        <f t="shared" si="571"/>
        <v>3.1274159528028829</v>
      </c>
      <c r="AP527" s="39">
        <f t="shared" si="572"/>
        <v>2.7106647699336932</v>
      </c>
      <c r="AQ527" s="39">
        <f t="shared" si="573"/>
        <v>2.7928773118046148</v>
      </c>
      <c r="AR527" s="39">
        <f t="shared" si="574"/>
        <v>4.220248950966293</v>
      </c>
      <c r="AS527" s="39">
        <f t="shared" si="575"/>
        <v>3.4636917187077638</v>
      </c>
      <c r="AT527" s="39">
        <f t="shared" si="576"/>
        <v>3.1307603261093711</v>
      </c>
      <c r="AU527" s="39">
        <f t="shared" si="577"/>
        <v>3.1619416675874299</v>
      </c>
      <c r="AV527" s="39">
        <f t="shared" si="578"/>
        <v>1.9281212533581702</v>
      </c>
      <c r="AW527" s="39">
        <f t="shared" si="579"/>
        <v>24.535721951270222</v>
      </c>
      <c r="AX527" s="39">
        <f t="shared" si="580"/>
        <v>7.0400000000000009</v>
      </c>
      <c r="AY527" s="39">
        <f t="shared" si="581"/>
        <v>4.2400000000000011</v>
      </c>
      <c r="AZ527" s="39">
        <f t="shared" si="582"/>
        <v>0.54044644238388673</v>
      </c>
      <c r="BA527" s="39">
        <f t="shared" si="583"/>
        <v>0.46842797808620645</v>
      </c>
      <c r="BB527" s="39">
        <f t="shared" si="584"/>
        <v>0.48263506676389101</v>
      </c>
      <c r="BC527" s="39">
        <f t="shared" si="585"/>
        <v>0.72929810615051893</v>
      </c>
      <c r="BD527" s="39">
        <f t="shared" si="586"/>
        <v>0.59855800927678104</v>
      </c>
      <c r="BE527" s="39">
        <f t="shared" si="587"/>
        <v>0.54102438106641959</v>
      </c>
      <c r="BF527" s="39">
        <f t="shared" si="588"/>
        <v>0.54641280567155437</v>
      </c>
      <c r="BG527" s="39">
        <f t="shared" si="589"/>
        <v>0.33319721060074242</v>
      </c>
      <c r="BH527" s="84">
        <f t="shared" si="590"/>
        <v>0</v>
      </c>
      <c r="BI527" s="84">
        <f t="shared" si="591"/>
        <v>0</v>
      </c>
      <c r="BJ527" s="84">
        <f t="shared" si="592"/>
        <v>0</v>
      </c>
      <c r="BK527" s="39">
        <f t="shared" si="593"/>
        <v>60.733713085644936</v>
      </c>
      <c r="BL527" s="39">
        <f t="shared" si="594"/>
        <v>64.638219721250721</v>
      </c>
      <c r="BM527" s="39">
        <f t="shared" si="595"/>
        <v>63.44613805128224</v>
      </c>
      <c r="BN527" s="39">
        <f t="shared" si="596"/>
        <v>86.473191403512416</v>
      </c>
      <c r="BO527" s="39">
        <f t="shared" si="597"/>
        <v>76.038359177800842</v>
      </c>
      <c r="BP527" s="39">
        <f t="shared" si="598"/>
        <v>63.766578880027296</v>
      </c>
      <c r="BQ527" s="39">
        <f t="shared" si="599"/>
        <v>64.073003870202754</v>
      </c>
      <c r="BR527" s="39">
        <f t="shared" si="600"/>
        <v>52.789065664265394</v>
      </c>
      <c r="BS527" s="39">
        <f t="shared" si="601"/>
        <v>0.4402278513869618</v>
      </c>
      <c r="BT527" s="39">
        <f t="shared" si="602"/>
        <v>0</v>
      </c>
      <c r="BU527" s="39">
        <f t="shared" si="603"/>
        <v>0</v>
      </c>
      <c r="BV527" s="39">
        <f t="shared" si="604"/>
        <v>0</v>
      </c>
      <c r="BW527" s="39">
        <f t="shared" si="605"/>
        <v>0</v>
      </c>
      <c r="BX527" s="39">
        <f t="shared" si="606"/>
        <v>0</v>
      </c>
      <c r="BY527" s="39">
        <f t="shared" si="607"/>
        <v>0</v>
      </c>
      <c r="BZ527" s="39">
        <f t="shared" si="608"/>
        <v>0</v>
      </c>
      <c r="CA527" s="39">
        <f t="shared" si="609"/>
        <v>60.293485234257972</v>
      </c>
      <c r="CB527" s="39">
        <f t="shared" si="610"/>
        <v>65.078447572637685</v>
      </c>
      <c r="CC527" s="39">
        <f t="shared" si="611"/>
        <v>63.44613805128224</v>
      </c>
      <c r="CD527" s="39">
        <f t="shared" si="612"/>
        <v>86.473191403512416</v>
      </c>
      <c r="CE527" s="39">
        <f t="shared" si="613"/>
        <v>76.038359177800842</v>
      </c>
      <c r="CF527" s="39">
        <f t="shared" si="614"/>
        <v>63.766578880027296</v>
      </c>
      <c r="CG527" s="39">
        <f t="shared" si="615"/>
        <v>64.073003870202754</v>
      </c>
      <c r="CH527" s="39">
        <f t="shared" si="616"/>
        <v>52.789065664265394</v>
      </c>
      <c r="CI527" s="39">
        <f t="shared" si="617"/>
        <v>0</v>
      </c>
      <c r="CJ527" s="39">
        <f t="shared" si="618"/>
        <v>0</v>
      </c>
      <c r="CK527" s="39">
        <f t="shared" si="619"/>
        <v>0</v>
      </c>
      <c r="CL527" s="39">
        <f t="shared" si="620"/>
        <v>0</v>
      </c>
      <c r="CM527" s="39">
        <f t="shared" si="621"/>
        <v>0</v>
      </c>
      <c r="CN527" s="39">
        <f t="shared" si="622"/>
        <v>0</v>
      </c>
      <c r="CO527" s="39">
        <f t="shared" si="623"/>
        <v>0</v>
      </c>
      <c r="CP527" s="39">
        <f t="shared" si="624"/>
        <v>0</v>
      </c>
    </row>
    <row r="528" spans="12:94" ht="16" customHeight="1" x14ac:dyDescent="0.2">
      <c r="L528" s="63">
        <v>30840</v>
      </c>
      <c r="M528" s="38">
        <v>0</v>
      </c>
      <c r="N528" s="38">
        <v>3.8</v>
      </c>
      <c r="O528" s="39">
        <v>2.3664000000000001</v>
      </c>
      <c r="P528" s="39">
        <v>1.1000000000000001</v>
      </c>
      <c r="Q528" s="46">
        <f t="shared" si="555"/>
        <v>8.8594286687314922E-2</v>
      </c>
      <c r="R528" s="81">
        <f t="shared" si="556"/>
        <v>0</v>
      </c>
      <c r="S528" s="82">
        <f t="shared" si="557"/>
        <v>0</v>
      </c>
      <c r="T528" s="39">
        <f t="shared" si="558"/>
        <v>0</v>
      </c>
      <c r="U528" s="83">
        <f t="shared" si="559"/>
        <v>4.18</v>
      </c>
      <c r="V528" s="84">
        <f t="shared" si="560"/>
        <v>0</v>
      </c>
      <c r="W528" s="52">
        <f t="shared" si="561"/>
        <v>126.29126226169029</v>
      </c>
      <c r="X528" s="52">
        <f t="shared" si="562"/>
        <v>115.66700759229627</v>
      </c>
      <c r="Y528" s="52">
        <f t="shared" si="563"/>
        <v>241.95826985398656</v>
      </c>
      <c r="Z528" s="53">
        <f t="shared" si="564"/>
        <v>0.98665048641945541</v>
      </c>
      <c r="AA528" s="53">
        <f t="shared" si="565"/>
        <v>0.68849409281128737</v>
      </c>
      <c r="AB528" s="53">
        <f t="shared" si="566"/>
        <v>0.8174265873445492</v>
      </c>
      <c r="AC528" s="39" t="str">
        <f t="shared" si="567"/>
        <v>No</v>
      </c>
      <c r="AD528" s="85">
        <f t="shared" si="568"/>
        <v>0</v>
      </c>
      <c r="AE528" s="46">
        <f t="shared" si="569"/>
        <v>0</v>
      </c>
      <c r="AF528" s="46">
        <f t="shared" si="570"/>
        <v>2.1257999999999999</v>
      </c>
      <c r="AG528" s="39">
        <f t="shared" si="625"/>
        <v>60.293485234257972</v>
      </c>
      <c r="AH528" s="39">
        <f t="shared" si="626"/>
        <v>65.078447572637685</v>
      </c>
      <c r="AI528" s="39">
        <f t="shared" si="627"/>
        <v>63.44613805128224</v>
      </c>
      <c r="AJ528" s="39">
        <f t="shared" si="628"/>
        <v>86.473191403512416</v>
      </c>
      <c r="AK528" s="39">
        <f t="shared" si="629"/>
        <v>76.038359177800842</v>
      </c>
      <c r="AL528" s="39">
        <f t="shared" si="630"/>
        <v>63.766578880027296</v>
      </c>
      <c r="AM528" s="39">
        <f t="shared" si="631"/>
        <v>64.073003870202754</v>
      </c>
      <c r="AN528" s="39">
        <f t="shared" si="632"/>
        <v>52.789065664265394</v>
      </c>
      <c r="AO528" s="39">
        <f t="shared" si="571"/>
        <v>3.0293485234257975</v>
      </c>
      <c r="AP528" s="39">
        <f t="shared" si="572"/>
        <v>2.7078447572637687</v>
      </c>
      <c r="AQ528" s="39">
        <f t="shared" si="573"/>
        <v>2.7446138051282256</v>
      </c>
      <c r="AR528" s="39">
        <f t="shared" si="574"/>
        <v>4.1473191403512413</v>
      </c>
      <c r="AS528" s="39">
        <f t="shared" si="575"/>
        <v>3.4038359177800852</v>
      </c>
      <c r="AT528" s="39">
        <f t="shared" si="576"/>
        <v>3.0766578880027291</v>
      </c>
      <c r="AU528" s="39">
        <f t="shared" si="577"/>
        <v>3.1073003870202749</v>
      </c>
      <c r="AV528" s="39">
        <f t="shared" si="578"/>
        <v>1.8647958088790819</v>
      </c>
      <c r="AW528" s="39">
        <f t="shared" si="579"/>
        <v>24.081716227851203</v>
      </c>
      <c r="AX528" s="39">
        <f t="shared" si="580"/>
        <v>4.18</v>
      </c>
      <c r="AY528" s="39">
        <f t="shared" si="581"/>
        <v>4.18</v>
      </c>
      <c r="AZ528" s="39">
        <f t="shared" si="582"/>
        <v>0.52582119596920918</v>
      </c>
      <c r="BA528" s="39">
        <f t="shared" si="583"/>
        <v>0.47001596473726581</v>
      </c>
      <c r="BB528" s="39">
        <f t="shared" si="584"/>
        <v>0.47639817681132374</v>
      </c>
      <c r="BC528" s="39">
        <f t="shared" si="585"/>
        <v>0.71987369349609887</v>
      </c>
      <c r="BD528" s="39">
        <f t="shared" si="586"/>
        <v>0.59082309589985205</v>
      </c>
      <c r="BE528" s="39">
        <f t="shared" si="587"/>
        <v>0.53403295056595457</v>
      </c>
      <c r="BF528" s="39">
        <f t="shared" si="588"/>
        <v>0.53935174282649978</v>
      </c>
      <c r="BG528" s="39">
        <f t="shared" si="589"/>
        <v>0.32368317969379595</v>
      </c>
      <c r="BH528" s="84">
        <f t="shared" si="590"/>
        <v>0</v>
      </c>
      <c r="BI528" s="84">
        <f t="shared" si="591"/>
        <v>0</v>
      </c>
      <c r="BJ528" s="84">
        <f t="shared" si="592"/>
        <v>0</v>
      </c>
      <c r="BK528" s="39">
        <f t="shared" si="593"/>
        <v>59.767664038288764</v>
      </c>
      <c r="BL528" s="39">
        <f t="shared" si="594"/>
        <v>64.608431607900414</v>
      </c>
      <c r="BM528" s="39">
        <f t="shared" si="595"/>
        <v>62.969739874470918</v>
      </c>
      <c r="BN528" s="39">
        <f t="shared" si="596"/>
        <v>85.753317710016319</v>
      </c>
      <c r="BO528" s="39">
        <f t="shared" si="597"/>
        <v>75.447536081900992</v>
      </c>
      <c r="BP528" s="39">
        <f t="shared" si="598"/>
        <v>63.232545929461345</v>
      </c>
      <c r="BQ528" s="39">
        <f t="shared" si="599"/>
        <v>63.533652127376257</v>
      </c>
      <c r="BR528" s="39">
        <f t="shared" si="600"/>
        <v>52.465382484571599</v>
      </c>
      <c r="BS528" s="39">
        <f t="shared" si="601"/>
        <v>0</v>
      </c>
      <c r="BT528" s="39">
        <f t="shared" si="602"/>
        <v>0</v>
      </c>
      <c r="BU528" s="39">
        <f t="shared" si="603"/>
        <v>0</v>
      </c>
      <c r="BV528" s="39">
        <f t="shared" si="604"/>
        <v>0</v>
      </c>
      <c r="BW528" s="39">
        <f t="shared" si="605"/>
        <v>0</v>
      </c>
      <c r="BX528" s="39">
        <f t="shared" si="606"/>
        <v>0</v>
      </c>
      <c r="BY528" s="39">
        <f t="shared" si="607"/>
        <v>0</v>
      </c>
      <c r="BZ528" s="39">
        <f t="shared" si="608"/>
        <v>0</v>
      </c>
      <c r="CA528" s="39">
        <f t="shared" si="609"/>
        <v>59.767664038288764</v>
      </c>
      <c r="CB528" s="39">
        <f t="shared" si="610"/>
        <v>64.608431607900414</v>
      </c>
      <c r="CC528" s="39">
        <f t="shared" si="611"/>
        <v>62.969739874470918</v>
      </c>
      <c r="CD528" s="39">
        <f t="shared" si="612"/>
        <v>85.753317710016319</v>
      </c>
      <c r="CE528" s="39">
        <f t="shared" si="613"/>
        <v>75.447536081900992</v>
      </c>
      <c r="CF528" s="39">
        <f t="shared" si="614"/>
        <v>63.232545929461345</v>
      </c>
      <c r="CG528" s="39">
        <f t="shared" si="615"/>
        <v>63.533652127376257</v>
      </c>
      <c r="CH528" s="39">
        <f t="shared" si="616"/>
        <v>52.465382484571599</v>
      </c>
      <c r="CI528" s="39">
        <f t="shared" si="617"/>
        <v>0</v>
      </c>
      <c r="CJ528" s="39">
        <f t="shared" si="618"/>
        <v>0</v>
      </c>
      <c r="CK528" s="39">
        <f t="shared" si="619"/>
        <v>0</v>
      </c>
      <c r="CL528" s="39">
        <f t="shared" si="620"/>
        <v>0</v>
      </c>
      <c r="CM528" s="39">
        <f t="shared" si="621"/>
        <v>0</v>
      </c>
      <c r="CN528" s="39">
        <f t="shared" si="622"/>
        <v>0</v>
      </c>
      <c r="CO528" s="39">
        <f t="shared" si="623"/>
        <v>0</v>
      </c>
      <c r="CP528" s="39">
        <f t="shared" si="624"/>
        <v>0</v>
      </c>
    </row>
    <row r="529" spans="12:94" ht="16" customHeight="1" x14ac:dyDescent="0.2">
      <c r="L529" s="63">
        <v>30841</v>
      </c>
      <c r="M529" s="38">
        <v>2</v>
      </c>
      <c r="N529" s="38">
        <v>2.1</v>
      </c>
      <c r="O529" s="39">
        <v>2.3664000000000001</v>
      </c>
      <c r="P529" s="39">
        <v>1.1000000000000001</v>
      </c>
      <c r="Q529" s="46">
        <f t="shared" si="555"/>
        <v>8.9660140462928181E-2</v>
      </c>
      <c r="R529" s="81">
        <f t="shared" si="556"/>
        <v>0</v>
      </c>
      <c r="S529" s="82">
        <f t="shared" si="557"/>
        <v>2</v>
      </c>
      <c r="T529" s="39">
        <f t="shared" si="558"/>
        <v>0</v>
      </c>
      <c r="U529" s="83">
        <f t="shared" si="559"/>
        <v>2.3100000000000005</v>
      </c>
      <c r="V529" s="84">
        <f t="shared" si="560"/>
        <v>0</v>
      </c>
      <c r="W529" s="52">
        <f t="shared" si="561"/>
        <v>124.09915323067639</v>
      </c>
      <c r="X529" s="52">
        <f t="shared" si="562"/>
        <v>113.67911662331019</v>
      </c>
      <c r="Y529" s="52">
        <f t="shared" si="563"/>
        <v>237.77826985398659</v>
      </c>
      <c r="Z529" s="53">
        <f t="shared" si="564"/>
        <v>0.96952463461465932</v>
      </c>
      <c r="AA529" s="53">
        <f t="shared" si="565"/>
        <v>0.67666140847208445</v>
      </c>
      <c r="AB529" s="53">
        <f t="shared" si="566"/>
        <v>0.80330496572292764</v>
      </c>
      <c r="AC529" s="39" t="str">
        <f t="shared" si="567"/>
        <v>No</v>
      </c>
      <c r="AD529" s="85">
        <f t="shared" si="568"/>
        <v>0</v>
      </c>
      <c r="AE529" s="46">
        <f t="shared" si="569"/>
        <v>0</v>
      </c>
      <c r="AF529" s="46">
        <f t="shared" si="570"/>
        <v>2.1257999999999999</v>
      </c>
      <c r="AG529" s="39">
        <f t="shared" si="625"/>
        <v>59.767664038288764</v>
      </c>
      <c r="AH529" s="39">
        <f t="shared" si="626"/>
        <v>64.608431607900414</v>
      </c>
      <c r="AI529" s="39">
        <f t="shared" si="627"/>
        <v>62.969739874470918</v>
      </c>
      <c r="AJ529" s="39">
        <f t="shared" si="628"/>
        <v>85.753317710016319</v>
      </c>
      <c r="AK529" s="39">
        <f t="shared" si="629"/>
        <v>75.447536081900992</v>
      </c>
      <c r="AL529" s="39">
        <f t="shared" si="630"/>
        <v>63.232545929461345</v>
      </c>
      <c r="AM529" s="39">
        <f t="shared" si="631"/>
        <v>63.533652127376257</v>
      </c>
      <c r="AN529" s="39">
        <f t="shared" si="632"/>
        <v>52.465382484571599</v>
      </c>
      <c r="AO529" s="39">
        <f t="shared" si="571"/>
        <v>2.9767664038288766</v>
      </c>
      <c r="AP529" s="39">
        <f t="shared" si="572"/>
        <v>2.6608431607900416</v>
      </c>
      <c r="AQ529" s="39">
        <f t="shared" si="573"/>
        <v>2.6969739874470933</v>
      </c>
      <c r="AR529" s="39">
        <f t="shared" si="574"/>
        <v>4.0753317710016317</v>
      </c>
      <c r="AS529" s="39">
        <f t="shared" si="575"/>
        <v>3.3447536081900999</v>
      </c>
      <c r="AT529" s="39">
        <f t="shared" si="576"/>
        <v>3.0232545929461341</v>
      </c>
      <c r="AU529" s="39">
        <f t="shared" si="577"/>
        <v>3.0533652127376252</v>
      </c>
      <c r="AV529" s="39">
        <f t="shared" si="578"/>
        <v>1.8042910250984117</v>
      </c>
      <c r="AW529" s="39">
        <f t="shared" si="579"/>
        <v>23.635579762039914</v>
      </c>
      <c r="AX529" s="39">
        <f t="shared" si="580"/>
        <v>2.3100000000000005</v>
      </c>
      <c r="AY529" s="39">
        <f t="shared" si="581"/>
        <v>0.3100000000000005</v>
      </c>
      <c r="AZ529" s="39">
        <f t="shared" si="582"/>
        <v>3.9042731106135958E-2</v>
      </c>
      <c r="BA529" s="39">
        <f t="shared" si="583"/>
        <v>3.4899138847005927E-2</v>
      </c>
      <c r="BB529" s="39">
        <f t="shared" si="584"/>
        <v>3.5373024250979587E-2</v>
      </c>
      <c r="BC529" s="39">
        <f t="shared" si="585"/>
        <v>5.3451316266822632E-2</v>
      </c>
      <c r="BD529" s="39">
        <f t="shared" si="586"/>
        <v>4.3869184888970257E-2</v>
      </c>
      <c r="BE529" s="39">
        <f t="shared" si="587"/>
        <v>3.9652461807537884E-2</v>
      </c>
      <c r="BF529" s="39">
        <f t="shared" si="588"/>
        <v>4.0047387264384678E-2</v>
      </c>
      <c r="BG529" s="39">
        <f t="shared" si="589"/>
        <v>2.3664755568163581E-2</v>
      </c>
      <c r="BH529" s="84">
        <f t="shared" si="590"/>
        <v>0</v>
      </c>
      <c r="BI529" s="84">
        <f t="shared" si="591"/>
        <v>0</v>
      </c>
      <c r="BJ529" s="84">
        <f t="shared" si="592"/>
        <v>0</v>
      </c>
      <c r="BK529" s="39">
        <f t="shared" si="593"/>
        <v>59.728621307182628</v>
      </c>
      <c r="BL529" s="39">
        <f t="shared" si="594"/>
        <v>64.573532469053404</v>
      </c>
      <c r="BM529" s="39">
        <f t="shared" si="595"/>
        <v>62.934366850219938</v>
      </c>
      <c r="BN529" s="39">
        <f t="shared" si="596"/>
        <v>85.699866393749502</v>
      </c>
      <c r="BO529" s="39">
        <f t="shared" si="597"/>
        <v>75.403666897012016</v>
      </c>
      <c r="BP529" s="39">
        <f t="shared" si="598"/>
        <v>63.192893467653811</v>
      </c>
      <c r="BQ529" s="39">
        <f t="shared" si="599"/>
        <v>63.49360474011187</v>
      </c>
      <c r="BR529" s="39">
        <f t="shared" si="600"/>
        <v>52.441717729003436</v>
      </c>
      <c r="BS529" s="39">
        <f t="shared" si="601"/>
        <v>0</v>
      </c>
      <c r="BT529" s="39">
        <f t="shared" si="602"/>
        <v>0</v>
      </c>
      <c r="BU529" s="39">
        <f t="shared" si="603"/>
        <v>0</v>
      </c>
      <c r="BV529" s="39">
        <f t="shared" si="604"/>
        <v>0</v>
      </c>
      <c r="BW529" s="39">
        <f t="shared" si="605"/>
        <v>0</v>
      </c>
      <c r="BX529" s="39">
        <f t="shared" si="606"/>
        <v>0</v>
      </c>
      <c r="BY529" s="39">
        <f t="shared" si="607"/>
        <v>0</v>
      </c>
      <c r="BZ529" s="39">
        <f t="shared" si="608"/>
        <v>0</v>
      </c>
      <c r="CA529" s="39">
        <f t="shared" si="609"/>
        <v>61.418621307182626</v>
      </c>
      <c r="CB529" s="39">
        <f t="shared" si="610"/>
        <v>64.573532469053404</v>
      </c>
      <c r="CC529" s="39">
        <f t="shared" si="611"/>
        <v>62.934366850219938</v>
      </c>
      <c r="CD529" s="39">
        <f t="shared" si="612"/>
        <v>85.699866393749502</v>
      </c>
      <c r="CE529" s="39">
        <f t="shared" si="613"/>
        <v>75.403666897012016</v>
      </c>
      <c r="CF529" s="39">
        <f t="shared" si="614"/>
        <v>63.192893467653811</v>
      </c>
      <c r="CG529" s="39">
        <f t="shared" si="615"/>
        <v>63.49360474011187</v>
      </c>
      <c r="CH529" s="39">
        <f t="shared" si="616"/>
        <v>52.441717729003436</v>
      </c>
      <c r="CI529" s="39">
        <f t="shared" si="617"/>
        <v>0</v>
      </c>
      <c r="CJ529" s="39">
        <f t="shared" si="618"/>
        <v>0</v>
      </c>
      <c r="CK529" s="39">
        <f t="shared" si="619"/>
        <v>0</v>
      </c>
      <c r="CL529" s="39">
        <f t="shared" si="620"/>
        <v>0</v>
      </c>
      <c r="CM529" s="39">
        <f t="shared" si="621"/>
        <v>0</v>
      </c>
      <c r="CN529" s="39">
        <f t="shared" si="622"/>
        <v>0</v>
      </c>
      <c r="CO529" s="39">
        <f t="shared" si="623"/>
        <v>0</v>
      </c>
      <c r="CP529" s="39">
        <f t="shared" si="624"/>
        <v>0</v>
      </c>
    </row>
    <row r="530" spans="12:94" ht="16" customHeight="1" x14ac:dyDescent="0.2">
      <c r="L530" s="63">
        <v>30842</v>
      </c>
      <c r="M530" s="38">
        <v>0</v>
      </c>
      <c r="N530" s="38">
        <v>4.9000000000000004</v>
      </c>
      <c r="O530" s="39">
        <v>2.3664000000000001</v>
      </c>
      <c r="P530" s="39">
        <v>1.1000000000000001</v>
      </c>
      <c r="Q530" s="46">
        <f t="shared" si="555"/>
        <v>8.6313605458413586E-2</v>
      </c>
      <c r="R530" s="81">
        <f t="shared" si="556"/>
        <v>0</v>
      </c>
      <c r="S530" s="82">
        <f t="shared" si="557"/>
        <v>0</v>
      </c>
      <c r="T530" s="39">
        <f t="shared" si="558"/>
        <v>0</v>
      </c>
      <c r="U530" s="83">
        <f t="shared" si="559"/>
        <v>5.3900000000000006</v>
      </c>
      <c r="V530" s="84">
        <f t="shared" si="560"/>
        <v>0</v>
      </c>
      <c r="W530" s="52">
        <f t="shared" si="561"/>
        <v>125.62638702020547</v>
      </c>
      <c r="X530" s="52">
        <f t="shared" si="562"/>
        <v>113.53188283378114</v>
      </c>
      <c r="Y530" s="52">
        <f t="shared" si="563"/>
        <v>239.15826985398661</v>
      </c>
      <c r="Z530" s="53">
        <f t="shared" si="564"/>
        <v>0.98145614859535524</v>
      </c>
      <c r="AA530" s="53">
        <f t="shared" si="565"/>
        <v>0.67578501686774484</v>
      </c>
      <c r="AB530" s="53">
        <f t="shared" si="566"/>
        <v>0.80796712788508995</v>
      </c>
      <c r="AC530" s="39" t="str">
        <f t="shared" si="567"/>
        <v>No</v>
      </c>
      <c r="AD530" s="85">
        <f t="shared" si="568"/>
        <v>0</v>
      </c>
      <c r="AE530" s="46">
        <f t="shared" si="569"/>
        <v>0</v>
      </c>
      <c r="AF530" s="46">
        <f t="shared" si="570"/>
        <v>2.1257999999999999</v>
      </c>
      <c r="AG530" s="39">
        <f t="shared" si="625"/>
        <v>61.418621307182626</v>
      </c>
      <c r="AH530" s="39">
        <f t="shared" si="626"/>
        <v>64.573532469053404</v>
      </c>
      <c r="AI530" s="39">
        <f t="shared" si="627"/>
        <v>62.934366850219938</v>
      </c>
      <c r="AJ530" s="39">
        <f t="shared" si="628"/>
        <v>85.699866393749502</v>
      </c>
      <c r="AK530" s="39">
        <f t="shared" si="629"/>
        <v>75.403666897012016</v>
      </c>
      <c r="AL530" s="39">
        <f t="shared" si="630"/>
        <v>63.192893467653811</v>
      </c>
      <c r="AM530" s="39">
        <f t="shared" si="631"/>
        <v>63.49360474011187</v>
      </c>
      <c r="AN530" s="39">
        <f t="shared" si="632"/>
        <v>52.441717729003436</v>
      </c>
      <c r="AO530" s="39">
        <f t="shared" si="571"/>
        <v>3.1418621307182626</v>
      </c>
      <c r="AP530" s="39">
        <f t="shared" si="572"/>
        <v>2.6573532469053407</v>
      </c>
      <c r="AQ530" s="39">
        <f t="shared" si="573"/>
        <v>2.6934366850219953</v>
      </c>
      <c r="AR530" s="39">
        <f t="shared" si="574"/>
        <v>4.0699866393749495</v>
      </c>
      <c r="AS530" s="39">
        <f t="shared" si="575"/>
        <v>3.3403666897012023</v>
      </c>
      <c r="AT530" s="39">
        <f t="shared" si="576"/>
        <v>3.0192893467653805</v>
      </c>
      <c r="AU530" s="39">
        <f t="shared" si="577"/>
        <v>3.0493604740111864</v>
      </c>
      <c r="AV530" s="39">
        <f t="shared" si="578"/>
        <v>1.7999066107345056</v>
      </c>
      <c r="AW530" s="39">
        <f t="shared" si="579"/>
        <v>23.771561823232826</v>
      </c>
      <c r="AX530" s="39">
        <f t="shared" si="580"/>
        <v>5.3900000000000006</v>
      </c>
      <c r="AY530" s="39">
        <f t="shared" si="581"/>
        <v>5.3900000000000006</v>
      </c>
      <c r="AZ530" s="39">
        <f t="shared" si="582"/>
        <v>0.7123905871435251</v>
      </c>
      <c r="BA530" s="39">
        <f t="shared" si="583"/>
        <v>0.60253230760888665</v>
      </c>
      <c r="BB530" s="39">
        <f t="shared" si="584"/>
        <v>0.61071392112233647</v>
      </c>
      <c r="BC530" s="39">
        <f t="shared" si="585"/>
        <v>0.92283494662058407</v>
      </c>
      <c r="BD530" s="39">
        <f t="shared" si="586"/>
        <v>0.75739981206842466</v>
      </c>
      <c r="BE530" s="39">
        <f t="shared" si="587"/>
        <v>0.68459824811175207</v>
      </c>
      <c r="BF530" s="39">
        <f t="shared" si="588"/>
        <v>0.69141662113495361</v>
      </c>
      <c r="BG530" s="39">
        <f t="shared" si="589"/>
        <v>0.40811355618953715</v>
      </c>
      <c r="BH530" s="84">
        <f t="shared" si="590"/>
        <v>0</v>
      </c>
      <c r="BI530" s="84">
        <f t="shared" si="591"/>
        <v>0</v>
      </c>
      <c r="BJ530" s="84">
        <f t="shared" si="592"/>
        <v>0</v>
      </c>
      <c r="BK530" s="39">
        <f t="shared" si="593"/>
        <v>60.706230720039102</v>
      </c>
      <c r="BL530" s="39">
        <f t="shared" si="594"/>
        <v>63.971000161444515</v>
      </c>
      <c r="BM530" s="39">
        <f t="shared" si="595"/>
        <v>62.323652929097598</v>
      </c>
      <c r="BN530" s="39">
        <f t="shared" si="596"/>
        <v>84.77703144712892</v>
      </c>
      <c r="BO530" s="39">
        <f t="shared" si="597"/>
        <v>74.646267084943588</v>
      </c>
      <c r="BP530" s="39">
        <f t="shared" si="598"/>
        <v>62.508295219542056</v>
      </c>
      <c r="BQ530" s="39">
        <f t="shared" si="599"/>
        <v>62.802188118976915</v>
      </c>
      <c r="BR530" s="39">
        <f t="shared" si="600"/>
        <v>52.033604172813902</v>
      </c>
      <c r="BS530" s="39">
        <f t="shared" si="601"/>
        <v>0.42373843202346106</v>
      </c>
      <c r="BT530" s="39">
        <f t="shared" si="602"/>
        <v>0</v>
      </c>
      <c r="BU530" s="39">
        <f t="shared" si="603"/>
        <v>0</v>
      </c>
      <c r="BV530" s="39">
        <f t="shared" si="604"/>
        <v>0</v>
      </c>
      <c r="BW530" s="39">
        <f t="shared" si="605"/>
        <v>0</v>
      </c>
      <c r="BX530" s="39">
        <f t="shared" si="606"/>
        <v>0</v>
      </c>
      <c r="BY530" s="39">
        <f t="shared" si="607"/>
        <v>0</v>
      </c>
      <c r="BZ530" s="39">
        <f t="shared" si="608"/>
        <v>0</v>
      </c>
      <c r="CA530" s="39">
        <f t="shared" si="609"/>
        <v>60.282492288015639</v>
      </c>
      <c r="CB530" s="39">
        <f t="shared" si="610"/>
        <v>64.394738593467977</v>
      </c>
      <c r="CC530" s="39">
        <f t="shared" si="611"/>
        <v>62.323652929097598</v>
      </c>
      <c r="CD530" s="39">
        <f t="shared" si="612"/>
        <v>84.77703144712892</v>
      </c>
      <c r="CE530" s="39">
        <f t="shared" si="613"/>
        <v>74.646267084943588</v>
      </c>
      <c r="CF530" s="39">
        <f t="shared" si="614"/>
        <v>62.508295219542056</v>
      </c>
      <c r="CG530" s="39">
        <f t="shared" si="615"/>
        <v>62.802188118976915</v>
      </c>
      <c r="CH530" s="39">
        <f t="shared" si="616"/>
        <v>52.033604172813902</v>
      </c>
      <c r="CI530" s="39">
        <f t="shared" si="617"/>
        <v>0</v>
      </c>
      <c r="CJ530" s="39">
        <f t="shared" si="618"/>
        <v>0</v>
      </c>
      <c r="CK530" s="39">
        <f t="shared" si="619"/>
        <v>0</v>
      </c>
      <c r="CL530" s="39">
        <f t="shared" si="620"/>
        <v>0</v>
      </c>
      <c r="CM530" s="39">
        <f t="shared" si="621"/>
        <v>0</v>
      </c>
      <c r="CN530" s="39">
        <f t="shared" si="622"/>
        <v>0</v>
      </c>
      <c r="CO530" s="39">
        <f t="shared" si="623"/>
        <v>0</v>
      </c>
      <c r="CP530" s="39">
        <f t="shared" si="624"/>
        <v>0</v>
      </c>
    </row>
    <row r="531" spans="12:94" ht="16" customHeight="1" x14ac:dyDescent="0.2">
      <c r="L531" s="63">
        <v>30843</v>
      </c>
      <c r="M531" s="38">
        <v>0</v>
      </c>
      <c r="N531" s="38">
        <v>5.6</v>
      </c>
      <c r="O531" s="39">
        <v>2.3664000000000001</v>
      </c>
      <c r="P531" s="39">
        <v>1.1000000000000001</v>
      </c>
      <c r="Q531" s="46">
        <f t="shared" si="555"/>
        <v>8.8616569686454788E-2</v>
      </c>
      <c r="R531" s="81">
        <f t="shared" si="556"/>
        <v>0</v>
      </c>
      <c r="S531" s="82">
        <f t="shared" si="557"/>
        <v>0</v>
      </c>
      <c r="T531" s="39">
        <f t="shared" si="558"/>
        <v>0</v>
      </c>
      <c r="U531" s="83">
        <f t="shared" si="559"/>
        <v>6.16</v>
      </c>
      <c r="V531" s="84">
        <f t="shared" si="560"/>
        <v>0</v>
      </c>
      <c r="W531" s="52">
        <f t="shared" si="561"/>
        <v>122.77791525771011</v>
      </c>
      <c r="X531" s="52">
        <f t="shared" si="562"/>
        <v>110.99035459627646</v>
      </c>
      <c r="Y531" s="52">
        <f t="shared" si="563"/>
        <v>233.76826985398657</v>
      </c>
      <c r="Z531" s="53">
        <f t="shared" si="564"/>
        <v>0.9592024629508602</v>
      </c>
      <c r="AA531" s="53">
        <f t="shared" si="565"/>
        <v>0.66065687259688366</v>
      </c>
      <c r="AB531" s="53">
        <f t="shared" si="566"/>
        <v>0.78975766842563033</v>
      </c>
      <c r="AC531" s="39" t="str">
        <f t="shared" si="567"/>
        <v>No</v>
      </c>
      <c r="AD531" s="85">
        <f t="shared" si="568"/>
        <v>0</v>
      </c>
      <c r="AE531" s="46">
        <f t="shared" si="569"/>
        <v>0</v>
      </c>
      <c r="AF531" s="46">
        <f t="shared" si="570"/>
        <v>2.1257999999999999</v>
      </c>
      <c r="AG531" s="39">
        <f t="shared" si="625"/>
        <v>60.282492288015639</v>
      </c>
      <c r="AH531" s="39">
        <f t="shared" si="626"/>
        <v>64.394738593467977</v>
      </c>
      <c r="AI531" s="39">
        <f t="shared" si="627"/>
        <v>62.323652929097598</v>
      </c>
      <c r="AJ531" s="39">
        <f t="shared" si="628"/>
        <v>84.77703144712892</v>
      </c>
      <c r="AK531" s="39">
        <f t="shared" si="629"/>
        <v>74.646267084943588</v>
      </c>
      <c r="AL531" s="39">
        <f t="shared" si="630"/>
        <v>62.508295219542056</v>
      </c>
      <c r="AM531" s="39">
        <f t="shared" si="631"/>
        <v>62.802188118976915</v>
      </c>
      <c r="AN531" s="39">
        <f t="shared" si="632"/>
        <v>52.033604172813902</v>
      </c>
      <c r="AO531" s="39">
        <f t="shared" si="571"/>
        <v>3.0282492288015641</v>
      </c>
      <c r="AP531" s="39">
        <f t="shared" si="572"/>
        <v>2.6394738593467979</v>
      </c>
      <c r="AQ531" s="39">
        <f t="shared" si="573"/>
        <v>2.6323652929097614</v>
      </c>
      <c r="AR531" s="39">
        <f t="shared" si="574"/>
        <v>3.9777031447128914</v>
      </c>
      <c r="AS531" s="39">
        <f t="shared" si="575"/>
        <v>3.2646267084943599</v>
      </c>
      <c r="AT531" s="39">
        <f t="shared" si="576"/>
        <v>2.9508295219542049</v>
      </c>
      <c r="AU531" s="39">
        <f t="shared" si="577"/>
        <v>2.9802188118976911</v>
      </c>
      <c r="AV531" s="39">
        <f t="shared" si="578"/>
        <v>1.7251337514636118</v>
      </c>
      <c r="AW531" s="39">
        <f t="shared" si="579"/>
        <v>23.198600319580887</v>
      </c>
      <c r="AX531" s="39">
        <f t="shared" si="580"/>
        <v>6.16</v>
      </c>
      <c r="AY531" s="39">
        <f t="shared" si="581"/>
        <v>6.16</v>
      </c>
      <c r="AZ531" s="39">
        <f t="shared" si="582"/>
        <v>0.80410089369368654</v>
      </c>
      <c r="BA531" s="39">
        <f t="shared" si="583"/>
        <v>0.70086810193685078</v>
      </c>
      <c r="BB531" s="39">
        <f t="shared" si="584"/>
        <v>0.69898054110779562</v>
      </c>
      <c r="BC531" s="39">
        <f t="shared" si="585"/>
        <v>1.0562124884211155</v>
      </c>
      <c r="BD531" s="39">
        <f t="shared" si="586"/>
        <v>0.86686697676976787</v>
      </c>
      <c r="BE531" s="39">
        <f t="shared" si="587"/>
        <v>0.78354338644713095</v>
      </c>
      <c r="BF531" s="39">
        <f t="shared" si="588"/>
        <v>0.79134722045254169</v>
      </c>
      <c r="BG531" s="39">
        <f t="shared" si="589"/>
        <v>0.45808039117110994</v>
      </c>
      <c r="BH531" s="84">
        <f t="shared" si="590"/>
        <v>0</v>
      </c>
      <c r="BI531" s="84">
        <f t="shared" si="591"/>
        <v>0</v>
      </c>
      <c r="BJ531" s="84">
        <f t="shared" si="592"/>
        <v>0</v>
      </c>
      <c r="BK531" s="39">
        <f t="shared" si="593"/>
        <v>59.478391394321953</v>
      </c>
      <c r="BL531" s="39">
        <f t="shared" si="594"/>
        <v>63.693870491531129</v>
      </c>
      <c r="BM531" s="39">
        <f t="shared" si="595"/>
        <v>61.624672387989804</v>
      </c>
      <c r="BN531" s="39">
        <f t="shared" si="596"/>
        <v>83.72081895870781</v>
      </c>
      <c r="BO531" s="39">
        <f t="shared" si="597"/>
        <v>73.779400108173817</v>
      </c>
      <c r="BP531" s="39">
        <f t="shared" si="598"/>
        <v>61.724751833094928</v>
      </c>
      <c r="BQ531" s="39">
        <f t="shared" si="599"/>
        <v>62.010840898524371</v>
      </c>
      <c r="BR531" s="39">
        <f t="shared" si="600"/>
        <v>51.575523781642794</v>
      </c>
      <c r="BS531" s="39">
        <f t="shared" si="601"/>
        <v>0</v>
      </c>
      <c r="BT531" s="39">
        <f t="shared" si="602"/>
        <v>0</v>
      </c>
      <c r="BU531" s="39">
        <f t="shared" si="603"/>
        <v>0</v>
      </c>
      <c r="BV531" s="39">
        <f t="shared" si="604"/>
        <v>0</v>
      </c>
      <c r="BW531" s="39">
        <f t="shared" si="605"/>
        <v>0</v>
      </c>
      <c r="BX531" s="39">
        <f t="shared" si="606"/>
        <v>0</v>
      </c>
      <c r="BY531" s="39">
        <f t="shared" si="607"/>
        <v>0</v>
      </c>
      <c r="BZ531" s="39">
        <f t="shared" si="608"/>
        <v>0</v>
      </c>
      <c r="CA531" s="39">
        <f t="shared" si="609"/>
        <v>59.478391394321953</v>
      </c>
      <c r="CB531" s="39">
        <f t="shared" si="610"/>
        <v>63.693870491531129</v>
      </c>
      <c r="CC531" s="39">
        <f t="shared" si="611"/>
        <v>61.624672387989804</v>
      </c>
      <c r="CD531" s="39">
        <f t="shared" si="612"/>
        <v>83.72081895870781</v>
      </c>
      <c r="CE531" s="39">
        <f t="shared" si="613"/>
        <v>73.779400108173817</v>
      </c>
      <c r="CF531" s="39">
        <f t="shared" si="614"/>
        <v>61.724751833094928</v>
      </c>
      <c r="CG531" s="39">
        <f t="shared" si="615"/>
        <v>62.010840898524371</v>
      </c>
      <c r="CH531" s="39">
        <f t="shared" si="616"/>
        <v>51.575523781642794</v>
      </c>
      <c r="CI531" s="39">
        <f t="shared" si="617"/>
        <v>0</v>
      </c>
      <c r="CJ531" s="39">
        <f t="shared" si="618"/>
        <v>0</v>
      </c>
      <c r="CK531" s="39">
        <f t="shared" si="619"/>
        <v>0</v>
      </c>
      <c r="CL531" s="39">
        <f t="shared" si="620"/>
        <v>0</v>
      </c>
      <c r="CM531" s="39">
        <f t="shared" si="621"/>
        <v>0</v>
      </c>
      <c r="CN531" s="39">
        <f t="shared" si="622"/>
        <v>0</v>
      </c>
      <c r="CO531" s="39">
        <f t="shared" si="623"/>
        <v>0</v>
      </c>
      <c r="CP531" s="39">
        <f t="shared" si="624"/>
        <v>0</v>
      </c>
    </row>
    <row r="532" spans="12:94" ht="16" customHeight="1" x14ac:dyDescent="0.2">
      <c r="L532" s="63">
        <v>30844</v>
      </c>
      <c r="M532" s="38">
        <v>0</v>
      </c>
      <c r="N532" s="38">
        <v>5</v>
      </c>
      <c r="O532" s="39">
        <v>2.3664000000000001</v>
      </c>
      <c r="P532" s="39">
        <v>1.1000000000000001</v>
      </c>
      <c r="Q532" s="46">
        <f t="shared" si="555"/>
        <v>9.0246503930428476E-2</v>
      </c>
      <c r="R532" s="81">
        <f t="shared" si="556"/>
        <v>0</v>
      </c>
      <c r="S532" s="82">
        <f t="shared" si="557"/>
        <v>0</v>
      </c>
      <c r="T532" s="39">
        <f t="shared" si="558"/>
        <v>0</v>
      </c>
      <c r="U532" s="83">
        <f t="shared" si="559"/>
        <v>5.5</v>
      </c>
      <c r="V532" s="84">
        <f t="shared" si="560"/>
        <v>0</v>
      </c>
      <c r="W532" s="52">
        <f t="shared" si="561"/>
        <v>119.51775323255072</v>
      </c>
      <c r="X532" s="52">
        <f t="shared" si="562"/>
        <v>108.09051662143591</v>
      </c>
      <c r="Y532" s="52">
        <f t="shared" si="563"/>
        <v>227.60826985398663</v>
      </c>
      <c r="Z532" s="53">
        <f t="shared" si="564"/>
        <v>0.93373244712930248</v>
      </c>
      <c r="AA532" s="53">
        <f t="shared" si="565"/>
        <v>0.64339593227045189</v>
      </c>
      <c r="AB532" s="53">
        <f t="shared" si="566"/>
        <v>0.76894685761481973</v>
      </c>
      <c r="AC532" s="39" t="str">
        <f t="shared" si="567"/>
        <v>No</v>
      </c>
      <c r="AD532" s="85">
        <f t="shared" si="568"/>
        <v>0</v>
      </c>
      <c r="AE532" s="46">
        <f t="shared" si="569"/>
        <v>0</v>
      </c>
      <c r="AF532" s="46">
        <f t="shared" si="570"/>
        <v>2.1257999999999999</v>
      </c>
      <c r="AG532" s="39">
        <f t="shared" si="625"/>
        <v>59.478391394321953</v>
      </c>
      <c r="AH532" s="39">
        <f t="shared" si="626"/>
        <v>63.693870491531129</v>
      </c>
      <c r="AI532" s="39">
        <f t="shared" si="627"/>
        <v>61.624672387989804</v>
      </c>
      <c r="AJ532" s="39">
        <f t="shared" si="628"/>
        <v>83.72081895870781</v>
      </c>
      <c r="AK532" s="39">
        <f t="shared" si="629"/>
        <v>73.779400108173817</v>
      </c>
      <c r="AL532" s="39">
        <f t="shared" si="630"/>
        <v>61.724751833094928</v>
      </c>
      <c r="AM532" s="39">
        <f t="shared" si="631"/>
        <v>62.010840898524371</v>
      </c>
      <c r="AN532" s="39">
        <f t="shared" si="632"/>
        <v>51.575523781642794</v>
      </c>
      <c r="AO532" s="39">
        <f t="shared" si="571"/>
        <v>2.9478391394321957</v>
      </c>
      <c r="AP532" s="39">
        <f t="shared" si="572"/>
        <v>2.569387049153113</v>
      </c>
      <c r="AQ532" s="39">
        <f t="shared" si="573"/>
        <v>2.5624672387989822</v>
      </c>
      <c r="AR532" s="39">
        <f t="shared" si="574"/>
        <v>3.8720818958707803</v>
      </c>
      <c r="AS532" s="39">
        <f t="shared" si="575"/>
        <v>3.1779400108173825</v>
      </c>
      <c r="AT532" s="39">
        <f t="shared" si="576"/>
        <v>2.8724751833094921</v>
      </c>
      <c r="AU532" s="39">
        <f t="shared" si="577"/>
        <v>2.9010840898524366</v>
      </c>
      <c r="AV532" s="39">
        <f t="shared" si="578"/>
        <v>1.6430956369636984</v>
      </c>
      <c r="AW532" s="39">
        <f t="shared" si="579"/>
        <v>22.54637024419808</v>
      </c>
      <c r="AX532" s="39">
        <f t="shared" si="580"/>
        <v>5.5</v>
      </c>
      <c r="AY532" s="39">
        <f t="shared" si="581"/>
        <v>5.5</v>
      </c>
      <c r="AZ532" s="39">
        <f t="shared" si="582"/>
        <v>0.71910090587859676</v>
      </c>
      <c r="BA532" s="39">
        <f t="shared" si="583"/>
        <v>0.62678065769715874</v>
      </c>
      <c r="BB532" s="39">
        <f t="shared" si="584"/>
        <v>0.62509262736076732</v>
      </c>
      <c r="BC532" s="39">
        <f t="shared" si="585"/>
        <v>0.94456225976194852</v>
      </c>
      <c r="BD532" s="39">
        <f t="shared" si="586"/>
        <v>0.77523210477719529</v>
      </c>
      <c r="BE532" s="39">
        <f t="shared" si="587"/>
        <v>0.7007164939229058</v>
      </c>
      <c r="BF532" s="39">
        <f t="shared" si="588"/>
        <v>0.70769539936453374</v>
      </c>
      <c r="BG532" s="39">
        <f t="shared" si="589"/>
        <v>0.40081955123689428</v>
      </c>
      <c r="BH532" s="84">
        <f t="shared" si="590"/>
        <v>0</v>
      </c>
      <c r="BI532" s="84">
        <f t="shared" si="591"/>
        <v>0</v>
      </c>
      <c r="BJ532" s="84">
        <f t="shared" si="592"/>
        <v>0</v>
      </c>
      <c r="BK532" s="39">
        <f t="shared" si="593"/>
        <v>58.759290488443355</v>
      </c>
      <c r="BL532" s="39">
        <f t="shared" si="594"/>
        <v>63.067089833833968</v>
      </c>
      <c r="BM532" s="39">
        <f t="shared" si="595"/>
        <v>60.99957976062904</v>
      </c>
      <c r="BN532" s="39">
        <f t="shared" si="596"/>
        <v>82.776256698945858</v>
      </c>
      <c r="BO532" s="39">
        <f t="shared" si="597"/>
        <v>73.004168003396629</v>
      </c>
      <c r="BP532" s="39">
        <f t="shared" si="598"/>
        <v>61.024035339172023</v>
      </c>
      <c r="BQ532" s="39">
        <f t="shared" si="599"/>
        <v>61.303145499159839</v>
      </c>
      <c r="BR532" s="39">
        <f t="shared" si="600"/>
        <v>51.174704230405901</v>
      </c>
      <c r="BS532" s="39">
        <f t="shared" si="601"/>
        <v>0</v>
      </c>
      <c r="BT532" s="39">
        <f t="shared" si="602"/>
        <v>0</v>
      </c>
      <c r="BU532" s="39">
        <f t="shared" si="603"/>
        <v>0</v>
      </c>
      <c r="BV532" s="39">
        <f t="shared" si="604"/>
        <v>0</v>
      </c>
      <c r="BW532" s="39">
        <f t="shared" si="605"/>
        <v>0</v>
      </c>
      <c r="BX532" s="39">
        <f t="shared" si="606"/>
        <v>0</v>
      </c>
      <c r="BY532" s="39">
        <f t="shared" si="607"/>
        <v>0</v>
      </c>
      <c r="BZ532" s="39">
        <f t="shared" si="608"/>
        <v>0</v>
      </c>
      <c r="CA532" s="39">
        <f t="shared" si="609"/>
        <v>58.759290488443355</v>
      </c>
      <c r="CB532" s="39">
        <f t="shared" si="610"/>
        <v>63.067089833833968</v>
      </c>
      <c r="CC532" s="39">
        <f t="shared" si="611"/>
        <v>60.99957976062904</v>
      </c>
      <c r="CD532" s="39">
        <f t="shared" si="612"/>
        <v>82.776256698945858</v>
      </c>
      <c r="CE532" s="39">
        <f t="shared" si="613"/>
        <v>73.004168003396629</v>
      </c>
      <c r="CF532" s="39">
        <f t="shared" si="614"/>
        <v>61.024035339172023</v>
      </c>
      <c r="CG532" s="39">
        <f t="shared" si="615"/>
        <v>61.303145499159839</v>
      </c>
      <c r="CH532" s="39">
        <f t="shared" si="616"/>
        <v>51.174704230405901</v>
      </c>
      <c r="CI532" s="39">
        <f t="shared" si="617"/>
        <v>0</v>
      </c>
      <c r="CJ532" s="39">
        <f t="shared" si="618"/>
        <v>0</v>
      </c>
      <c r="CK532" s="39">
        <f t="shared" si="619"/>
        <v>0</v>
      </c>
      <c r="CL532" s="39">
        <f t="shared" si="620"/>
        <v>0</v>
      </c>
      <c r="CM532" s="39">
        <f t="shared" si="621"/>
        <v>0</v>
      </c>
      <c r="CN532" s="39">
        <f t="shared" si="622"/>
        <v>0</v>
      </c>
      <c r="CO532" s="39">
        <f t="shared" si="623"/>
        <v>0</v>
      </c>
      <c r="CP532" s="39">
        <f t="shared" si="624"/>
        <v>0</v>
      </c>
    </row>
    <row r="533" spans="12:94" ht="16" customHeight="1" x14ac:dyDescent="0.2">
      <c r="L533" s="63">
        <v>30845</v>
      </c>
      <c r="M533" s="38">
        <v>0</v>
      </c>
      <c r="N533" s="38">
        <v>5.2</v>
      </c>
      <c r="O533" s="39">
        <v>2.3664000000000001</v>
      </c>
      <c r="P533" s="39">
        <v>1.1000000000000001</v>
      </c>
      <c r="Q533" s="46">
        <f t="shared" si="555"/>
        <v>9.170414090180401E-2</v>
      </c>
      <c r="R533" s="81">
        <f t="shared" si="556"/>
        <v>0</v>
      </c>
      <c r="S533" s="82">
        <f t="shared" si="557"/>
        <v>0</v>
      </c>
      <c r="T533" s="39">
        <f t="shared" si="558"/>
        <v>0</v>
      </c>
      <c r="U533" s="83">
        <f t="shared" si="559"/>
        <v>5.7200000000000006</v>
      </c>
      <c r="V533" s="84">
        <f t="shared" si="560"/>
        <v>0</v>
      </c>
      <c r="W533" s="52">
        <f t="shared" si="561"/>
        <v>116.60221678185223</v>
      </c>
      <c r="X533" s="52">
        <f t="shared" si="562"/>
        <v>105.50605307213436</v>
      </c>
      <c r="Y533" s="52">
        <f t="shared" si="563"/>
        <v>222.1082698539866</v>
      </c>
      <c r="Z533" s="53">
        <f t="shared" si="564"/>
        <v>0.91095481860822058</v>
      </c>
      <c r="AA533" s="53">
        <f t="shared" si="565"/>
        <v>0.62801222066746643</v>
      </c>
      <c r="AB533" s="53">
        <f t="shared" si="566"/>
        <v>0.75036577653373848</v>
      </c>
      <c r="AC533" s="39" t="str">
        <f t="shared" si="567"/>
        <v>No</v>
      </c>
      <c r="AD533" s="85">
        <f t="shared" si="568"/>
        <v>0</v>
      </c>
      <c r="AE533" s="46">
        <f t="shared" si="569"/>
        <v>0</v>
      </c>
      <c r="AF533" s="46">
        <f t="shared" si="570"/>
        <v>2.1257999999999999</v>
      </c>
      <c r="AG533" s="39">
        <f t="shared" si="625"/>
        <v>58.759290488443355</v>
      </c>
      <c r="AH533" s="39">
        <f t="shared" si="626"/>
        <v>63.067089833833968</v>
      </c>
      <c r="AI533" s="39">
        <f t="shared" si="627"/>
        <v>60.99957976062904</v>
      </c>
      <c r="AJ533" s="39">
        <f t="shared" si="628"/>
        <v>82.776256698945858</v>
      </c>
      <c r="AK533" s="39">
        <f t="shared" si="629"/>
        <v>73.004168003396629</v>
      </c>
      <c r="AL533" s="39">
        <f t="shared" si="630"/>
        <v>61.024035339172023</v>
      </c>
      <c r="AM533" s="39">
        <f t="shared" si="631"/>
        <v>61.303145499159839</v>
      </c>
      <c r="AN533" s="39">
        <f t="shared" si="632"/>
        <v>51.174704230405901</v>
      </c>
      <c r="AO533" s="39">
        <f t="shared" si="571"/>
        <v>2.8759290488443359</v>
      </c>
      <c r="AP533" s="39">
        <f t="shared" si="572"/>
        <v>2.5067089833833971</v>
      </c>
      <c r="AQ533" s="39">
        <f t="shared" si="573"/>
        <v>2.4999579760629054</v>
      </c>
      <c r="AR533" s="39">
        <f t="shared" si="574"/>
        <v>3.7776256698945851</v>
      </c>
      <c r="AS533" s="39">
        <f t="shared" si="575"/>
        <v>3.1004168003396639</v>
      </c>
      <c r="AT533" s="39">
        <f t="shared" si="576"/>
        <v>2.802403533917202</v>
      </c>
      <c r="AU533" s="39">
        <f t="shared" si="577"/>
        <v>2.8303145499159834</v>
      </c>
      <c r="AV533" s="39">
        <f t="shared" si="578"/>
        <v>1.5729517802987325</v>
      </c>
      <c r="AW533" s="39">
        <f t="shared" si="579"/>
        <v>21.966308342656806</v>
      </c>
      <c r="AX533" s="39">
        <f t="shared" si="580"/>
        <v>5.7200000000000006</v>
      </c>
      <c r="AY533" s="39">
        <f t="shared" si="581"/>
        <v>5.7200000000000006</v>
      </c>
      <c r="AZ533" s="39">
        <f t="shared" si="582"/>
        <v>0.74888842962494595</v>
      </c>
      <c r="BA533" s="39">
        <f t="shared" si="583"/>
        <v>0.65274397323782718</v>
      </c>
      <c r="BB533" s="39">
        <f t="shared" si="584"/>
        <v>0.65098601913507859</v>
      </c>
      <c r="BC533" s="39">
        <f t="shared" si="585"/>
        <v>0.98368913404698022</v>
      </c>
      <c r="BD533" s="39">
        <f t="shared" si="586"/>
        <v>0.80734476732734062</v>
      </c>
      <c r="BE533" s="39">
        <f t="shared" si="587"/>
        <v>0.72974247488267818</v>
      </c>
      <c r="BF533" s="39">
        <f t="shared" si="588"/>
        <v>0.73701046953260296</v>
      </c>
      <c r="BG533" s="39">
        <f t="shared" si="589"/>
        <v>0.409594732212547</v>
      </c>
      <c r="BH533" s="84">
        <f t="shared" si="590"/>
        <v>0</v>
      </c>
      <c r="BI533" s="84">
        <f t="shared" si="591"/>
        <v>0</v>
      </c>
      <c r="BJ533" s="84">
        <f t="shared" si="592"/>
        <v>0</v>
      </c>
      <c r="BK533" s="39">
        <f t="shared" si="593"/>
        <v>58.010402058818407</v>
      </c>
      <c r="BL533" s="39">
        <f t="shared" si="594"/>
        <v>62.414345860596143</v>
      </c>
      <c r="BM533" s="39">
        <f t="shared" si="595"/>
        <v>60.348593741493964</v>
      </c>
      <c r="BN533" s="39">
        <f t="shared" si="596"/>
        <v>81.792567564898874</v>
      </c>
      <c r="BO533" s="39">
        <f t="shared" si="597"/>
        <v>72.196823236069292</v>
      </c>
      <c r="BP533" s="39">
        <f t="shared" si="598"/>
        <v>60.294292864289346</v>
      </c>
      <c r="BQ533" s="39">
        <f t="shared" si="599"/>
        <v>60.566135029627233</v>
      </c>
      <c r="BR533" s="39">
        <f t="shared" si="600"/>
        <v>50.765109498193354</v>
      </c>
      <c r="BS533" s="39">
        <f t="shared" si="601"/>
        <v>0</v>
      </c>
      <c r="BT533" s="39">
        <f t="shared" si="602"/>
        <v>0</v>
      </c>
      <c r="BU533" s="39">
        <f t="shared" si="603"/>
        <v>0</v>
      </c>
      <c r="BV533" s="39">
        <f t="shared" si="604"/>
        <v>0</v>
      </c>
      <c r="BW533" s="39">
        <f t="shared" si="605"/>
        <v>0</v>
      </c>
      <c r="BX533" s="39">
        <f t="shared" si="606"/>
        <v>0</v>
      </c>
      <c r="BY533" s="39">
        <f t="shared" si="607"/>
        <v>0</v>
      </c>
      <c r="BZ533" s="39">
        <f t="shared" si="608"/>
        <v>0</v>
      </c>
      <c r="CA533" s="39">
        <f t="shared" si="609"/>
        <v>58.010402058818407</v>
      </c>
      <c r="CB533" s="39">
        <f t="shared" si="610"/>
        <v>62.414345860596143</v>
      </c>
      <c r="CC533" s="39">
        <f t="shared" si="611"/>
        <v>60.348593741493964</v>
      </c>
      <c r="CD533" s="39">
        <f t="shared" si="612"/>
        <v>81.792567564898874</v>
      </c>
      <c r="CE533" s="39">
        <f t="shared" si="613"/>
        <v>72.196823236069292</v>
      </c>
      <c r="CF533" s="39">
        <f t="shared" si="614"/>
        <v>60.294292864289346</v>
      </c>
      <c r="CG533" s="39">
        <f t="shared" si="615"/>
        <v>60.566135029627233</v>
      </c>
      <c r="CH533" s="39">
        <f t="shared" si="616"/>
        <v>50.765109498193354</v>
      </c>
      <c r="CI533" s="39">
        <f t="shared" si="617"/>
        <v>0</v>
      </c>
      <c r="CJ533" s="39">
        <f t="shared" si="618"/>
        <v>0</v>
      </c>
      <c r="CK533" s="39">
        <f t="shared" si="619"/>
        <v>0</v>
      </c>
      <c r="CL533" s="39">
        <f t="shared" si="620"/>
        <v>0</v>
      </c>
      <c r="CM533" s="39">
        <f t="shared" si="621"/>
        <v>0</v>
      </c>
      <c r="CN533" s="39">
        <f t="shared" si="622"/>
        <v>0</v>
      </c>
      <c r="CO533" s="39">
        <f t="shared" si="623"/>
        <v>0</v>
      </c>
      <c r="CP533" s="39">
        <f t="shared" si="624"/>
        <v>0</v>
      </c>
    </row>
    <row r="534" spans="12:94" ht="16" customHeight="1" x14ac:dyDescent="0.2">
      <c r="L534" s="63">
        <v>30846</v>
      </c>
      <c r="M534" s="38">
        <v>0</v>
      </c>
      <c r="N534" s="38">
        <v>1</v>
      </c>
      <c r="O534" s="39">
        <v>2.3664000000000001</v>
      </c>
      <c r="P534" s="39">
        <v>1.1000000000000001</v>
      </c>
      <c r="Q534" s="46">
        <f t="shared" si="555"/>
        <v>9.3222157988881602E-2</v>
      </c>
      <c r="R534" s="81">
        <f t="shared" si="556"/>
        <v>0</v>
      </c>
      <c r="S534" s="82">
        <f t="shared" si="557"/>
        <v>0</v>
      </c>
      <c r="T534" s="39">
        <f t="shared" si="558"/>
        <v>0</v>
      </c>
      <c r="U534" s="83">
        <f t="shared" si="559"/>
        <v>1.1000000000000001</v>
      </c>
      <c r="V534" s="84">
        <f t="shared" si="560"/>
        <v>0</v>
      </c>
      <c r="W534" s="52">
        <f t="shared" si="561"/>
        <v>113.56590922580739</v>
      </c>
      <c r="X534" s="52">
        <f t="shared" si="562"/>
        <v>102.82236062817918</v>
      </c>
      <c r="Y534" s="52">
        <f t="shared" si="563"/>
        <v>216.38826985398657</v>
      </c>
      <c r="Z534" s="53">
        <f t="shared" si="564"/>
        <v>0.88723366582662022</v>
      </c>
      <c r="AA534" s="53">
        <f t="shared" si="565"/>
        <v>0.61203786088201895</v>
      </c>
      <c r="AB534" s="53">
        <f t="shared" si="566"/>
        <v>0.73104145220941408</v>
      </c>
      <c r="AC534" s="39" t="str">
        <f t="shared" si="567"/>
        <v>No</v>
      </c>
      <c r="AD534" s="85">
        <f t="shared" si="568"/>
        <v>0</v>
      </c>
      <c r="AE534" s="46">
        <f t="shared" si="569"/>
        <v>0</v>
      </c>
      <c r="AF534" s="46">
        <f t="shared" si="570"/>
        <v>2.1257999999999999</v>
      </c>
      <c r="AG534" s="39">
        <f t="shared" si="625"/>
        <v>58.010402058818407</v>
      </c>
      <c r="AH534" s="39">
        <f t="shared" si="626"/>
        <v>62.414345860596143</v>
      </c>
      <c r="AI534" s="39">
        <f t="shared" si="627"/>
        <v>60.348593741493964</v>
      </c>
      <c r="AJ534" s="39">
        <f t="shared" si="628"/>
        <v>81.792567564898874</v>
      </c>
      <c r="AK534" s="39">
        <f t="shared" si="629"/>
        <v>72.196823236069292</v>
      </c>
      <c r="AL534" s="39">
        <f t="shared" si="630"/>
        <v>60.294292864289346</v>
      </c>
      <c r="AM534" s="39">
        <f t="shared" si="631"/>
        <v>60.566135029627233</v>
      </c>
      <c r="AN534" s="39">
        <f t="shared" si="632"/>
        <v>50.765109498193354</v>
      </c>
      <c r="AO534" s="39">
        <f t="shared" si="571"/>
        <v>2.8010402058818409</v>
      </c>
      <c r="AP534" s="39">
        <f t="shared" si="572"/>
        <v>2.4414345860596143</v>
      </c>
      <c r="AQ534" s="39">
        <f t="shared" si="573"/>
        <v>2.434859374149398</v>
      </c>
      <c r="AR534" s="39">
        <f t="shared" si="574"/>
        <v>3.6792567564898868</v>
      </c>
      <c r="AS534" s="39">
        <f t="shared" si="575"/>
        <v>3.0196823236069301</v>
      </c>
      <c r="AT534" s="39">
        <f t="shared" si="576"/>
        <v>2.729429286428934</v>
      </c>
      <c r="AU534" s="39">
        <f t="shared" si="577"/>
        <v>2.7566135029627228</v>
      </c>
      <c r="AV534" s="39">
        <f t="shared" si="578"/>
        <v>1.5028529308704734</v>
      </c>
      <c r="AW534" s="39">
        <f t="shared" si="579"/>
        <v>21.365168966449801</v>
      </c>
      <c r="AX534" s="39">
        <f t="shared" si="580"/>
        <v>1.1000000000000001</v>
      </c>
      <c r="AY534" s="39">
        <f t="shared" si="581"/>
        <v>1.1000000000000001</v>
      </c>
      <c r="AZ534" s="39">
        <f t="shared" si="582"/>
        <v>0.14421342659673858</v>
      </c>
      <c r="BA534" s="39">
        <f t="shared" si="583"/>
        <v>0.12569889097918199</v>
      </c>
      <c r="BB534" s="39">
        <f t="shared" si="584"/>
        <v>0.12536036180056442</v>
      </c>
      <c r="BC534" s="39">
        <f t="shared" si="585"/>
        <v>0.1894289925108599</v>
      </c>
      <c r="BD534" s="39">
        <f t="shared" si="586"/>
        <v>0.15547036211993856</v>
      </c>
      <c r="BE534" s="39">
        <f t="shared" si="587"/>
        <v>0.14052649055977601</v>
      </c>
      <c r="BF534" s="39">
        <f t="shared" si="588"/>
        <v>0.14192608811194726</v>
      </c>
      <c r="BG534" s="39">
        <f t="shared" si="589"/>
        <v>7.7375387320993375E-2</v>
      </c>
      <c r="BH534" s="84">
        <f t="shared" si="590"/>
        <v>0</v>
      </c>
      <c r="BI534" s="84">
        <f t="shared" si="591"/>
        <v>0</v>
      </c>
      <c r="BJ534" s="84">
        <f t="shared" si="592"/>
        <v>0</v>
      </c>
      <c r="BK534" s="39">
        <f t="shared" si="593"/>
        <v>57.866188632221672</v>
      </c>
      <c r="BL534" s="39">
        <f t="shared" si="594"/>
        <v>62.288646969616963</v>
      </c>
      <c r="BM534" s="39">
        <f t="shared" si="595"/>
        <v>60.223233379693397</v>
      </c>
      <c r="BN534" s="39">
        <f t="shared" si="596"/>
        <v>81.603138572388019</v>
      </c>
      <c r="BO534" s="39">
        <f t="shared" si="597"/>
        <v>72.04135287394935</v>
      </c>
      <c r="BP534" s="39">
        <f t="shared" si="598"/>
        <v>60.153766373729567</v>
      </c>
      <c r="BQ534" s="39">
        <f t="shared" si="599"/>
        <v>60.424208941515289</v>
      </c>
      <c r="BR534" s="39">
        <f t="shared" si="600"/>
        <v>50.687734110872363</v>
      </c>
      <c r="BS534" s="39">
        <f t="shared" si="601"/>
        <v>0</v>
      </c>
      <c r="BT534" s="39">
        <f t="shared" si="602"/>
        <v>0</v>
      </c>
      <c r="BU534" s="39">
        <f t="shared" si="603"/>
        <v>0</v>
      </c>
      <c r="BV534" s="39">
        <f t="shared" si="604"/>
        <v>0</v>
      </c>
      <c r="BW534" s="39">
        <f t="shared" si="605"/>
        <v>0</v>
      </c>
      <c r="BX534" s="39">
        <f t="shared" si="606"/>
        <v>0</v>
      </c>
      <c r="BY534" s="39">
        <f t="shared" si="607"/>
        <v>0</v>
      </c>
      <c r="BZ534" s="39">
        <f t="shared" si="608"/>
        <v>0</v>
      </c>
      <c r="CA534" s="39">
        <f t="shared" si="609"/>
        <v>57.866188632221672</v>
      </c>
      <c r="CB534" s="39">
        <f t="shared" si="610"/>
        <v>62.288646969616963</v>
      </c>
      <c r="CC534" s="39">
        <f t="shared" si="611"/>
        <v>60.223233379693397</v>
      </c>
      <c r="CD534" s="39">
        <f t="shared" si="612"/>
        <v>81.603138572388019</v>
      </c>
      <c r="CE534" s="39">
        <f t="shared" si="613"/>
        <v>72.04135287394935</v>
      </c>
      <c r="CF534" s="39">
        <f t="shared" si="614"/>
        <v>60.153766373729567</v>
      </c>
      <c r="CG534" s="39">
        <f t="shared" si="615"/>
        <v>60.424208941515289</v>
      </c>
      <c r="CH534" s="39">
        <f t="shared" si="616"/>
        <v>50.687734110872363</v>
      </c>
      <c r="CI534" s="39">
        <f t="shared" si="617"/>
        <v>0</v>
      </c>
      <c r="CJ534" s="39">
        <f t="shared" si="618"/>
        <v>0</v>
      </c>
      <c r="CK534" s="39">
        <f t="shared" si="619"/>
        <v>0</v>
      </c>
      <c r="CL534" s="39">
        <f t="shared" si="620"/>
        <v>0</v>
      </c>
      <c r="CM534" s="39">
        <f t="shared" si="621"/>
        <v>0</v>
      </c>
      <c r="CN534" s="39">
        <f t="shared" si="622"/>
        <v>0</v>
      </c>
      <c r="CO534" s="39">
        <f t="shared" si="623"/>
        <v>0</v>
      </c>
      <c r="CP534" s="39">
        <f t="shared" si="624"/>
        <v>0</v>
      </c>
    </row>
    <row r="535" spans="12:94" ht="16" customHeight="1" x14ac:dyDescent="0.2">
      <c r="L535" s="63">
        <v>30847</v>
      </c>
      <c r="M535" s="38">
        <v>0</v>
      </c>
      <c r="N535" s="38">
        <v>5.8</v>
      </c>
      <c r="O535" s="39">
        <v>2.3664000000000001</v>
      </c>
      <c r="P535" s="39">
        <v>1.1000000000000001</v>
      </c>
      <c r="Q535" s="46">
        <f t="shared" si="555"/>
        <v>9.351448250225336E-2</v>
      </c>
      <c r="R535" s="81">
        <f t="shared" si="556"/>
        <v>0</v>
      </c>
      <c r="S535" s="82">
        <f t="shared" si="557"/>
        <v>0</v>
      </c>
      <c r="T535" s="39">
        <f t="shared" si="558"/>
        <v>0</v>
      </c>
      <c r="U535" s="83">
        <f t="shared" si="559"/>
        <v>6.38</v>
      </c>
      <c r="V535" s="84">
        <f t="shared" si="560"/>
        <v>0</v>
      </c>
      <c r="W535" s="52">
        <f t="shared" si="561"/>
        <v>112.98120755392006</v>
      </c>
      <c r="X535" s="52">
        <f t="shared" si="562"/>
        <v>102.30706230006658</v>
      </c>
      <c r="Y535" s="52">
        <f t="shared" si="563"/>
        <v>215.28826985398663</v>
      </c>
      <c r="Z535" s="53">
        <f t="shared" si="564"/>
        <v>0.88266568401500045</v>
      </c>
      <c r="AA535" s="53">
        <f t="shared" si="565"/>
        <v>0.6089706089289677</v>
      </c>
      <c r="AB535" s="53">
        <f t="shared" si="566"/>
        <v>0.72732523599319809</v>
      </c>
      <c r="AC535" s="39" t="str">
        <f t="shared" si="567"/>
        <v>No</v>
      </c>
      <c r="AD535" s="85">
        <f t="shared" si="568"/>
        <v>0</v>
      </c>
      <c r="AE535" s="46">
        <f t="shared" si="569"/>
        <v>0</v>
      </c>
      <c r="AF535" s="46">
        <f t="shared" si="570"/>
        <v>2.1257999999999999</v>
      </c>
      <c r="AG535" s="39">
        <f t="shared" si="625"/>
        <v>57.866188632221672</v>
      </c>
      <c r="AH535" s="39">
        <f t="shared" si="626"/>
        <v>62.288646969616963</v>
      </c>
      <c r="AI535" s="39">
        <f t="shared" si="627"/>
        <v>60.223233379693397</v>
      </c>
      <c r="AJ535" s="39">
        <f t="shared" si="628"/>
        <v>81.603138572388019</v>
      </c>
      <c r="AK535" s="39">
        <f t="shared" si="629"/>
        <v>72.04135287394935</v>
      </c>
      <c r="AL535" s="39">
        <f t="shared" si="630"/>
        <v>60.153766373729567</v>
      </c>
      <c r="AM535" s="39">
        <f t="shared" si="631"/>
        <v>60.424208941515289</v>
      </c>
      <c r="AN535" s="39">
        <f t="shared" si="632"/>
        <v>50.687734110872363</v>
      </c>
      <c r="AO535" s="39">
        <f t="shared" si="571"/>
        <v>2.7866188632221673</v>
      </c>
      <c r="AP535" s="39">
        <f t="shared" si="572"/>
        <v>2.4288646969616963</v>
      </c>
      <c r="AQ535" s="39">
        <f t="shared" si="573"/>
        <v>2.4223233379693414</v>
      </c>
      <c r="AR535" s="39">
        <f t="shared" si="574"/>
        <v>3.6603138572388012</v>
      </c>
      <c r="AS535" s="39">
        <f t="shared" si="575"/>
        <v>3.0041352873949361</v>
      </c>
      <c r="AT535" s="39">
        <f t="shared" si="576"/>
        <v>2.7153766373729562</v>
      </c>
      <c r="AU535" s="39">
        <f t="shared" si="577"/>
        <v>2.7424208941515285</v>
      </c>
      <c r="AV535" s="39">
        <f t="shared" si="578"/>
        <v>1.4897901808424641</v>
      </c>
      <c r="AW535" s="39">
        <f t="shared" si="579"/>
        <v>21.249843755153893</v>
      </c>
      <c r="AX535" s="39">
        <f t="shared" si="580"/>
        <v>6.38</v>
      </c>
      <c r="AY535" s="39">
        <f t="shared" si="581"/>
        <v>6.38</v>
      </c>
      <c r="AZ535" s="39">
        <f t="shared" si="582"/>
        <v>0.83664748561012059</v>
      </c>
      <c r="BA535" s="39">
        <f t="shared" si="583"/>
        <v>0.72923626851878465</v>
      </c>
      <c r="BB535" s="39">
        <f t="shared" si="584"/>
        <v>0.72727230723737035</v>
      </c>
      <c r="BC535" s="39">
        <f t="shared" si="585"/>
        <v>1.0989634878383334</v>
      </c>
      <c r="BD535" s="39">
        <f t="shared" si="586"/>
        <v>0.90195407337670963</v>
      </c>
      <c r="BE535" s="39">
        <f t="shared" si="587"/>
        <v>0.81525789770749302</v>
      </c>
      <c r="BF535" s="39">
        <f t="shared" si="588"/>
        <v>0.82337759779730857</v>
      </c>
      <c r="BG535" s="39">
        <f t="shared" si="589"/>
        <v>0.44729088191387906</v>
      </c>
      <c r="BH535" s="84">
        <f t="shared" si="590"/>
        <v>0</v>
      </c>
      <c r="BI535" s="84">
        <f t="shared" si="591"/>
        <v>0</v>
      </c>
      <c r="BJ535" s="84">
        <f t="shared" si="592"/>
        <v>0</v>
      </c>
      <c r="BK535" s="39">
        <f t="shared" si="593"/>
        <v>57.02954114661155</v>
      </c>
      <c r="BL535" s="39">
        <f t="shared" si="594"/>
        <v>61.55941070109818</v>
      </c>
      <c r="BM535" s="39">
        <f t="shared" si="595"/>
        <v>59.495961072456026</v>
      </c>
      <c r="BN535" s="39">
        <f t="shared" si="596"/>
        <v>80.504175084549686</v>
      </c>
      <c r="BO535" s="39">
        <f t="shared" si="597"/>
        <v>71.139398800572636</v>
      </c>
      <c r="BP535" s="39">
        <f t="shared" si="598"/>
        <v>59.338508476022078</v>
      </c>
      <c r="BQ535" s="39">
        <f t="shared" si="599"/>
        <v>59.600831343717978</v>
      </c>
      <c r="BR535" s="39">
        <f t="shared" si="600"/>
        <v>50.240443228958483</v>
      </c>
      <c r="BS535" s="39">
        <f t="shared" si="601"/>
        <v>0</v>
      </c>
      <c r="BT535" s="39">
        <f t="shared" si="602"/>
        <v>0</v>
      </c>
      <c r="BU535" s="39">
        <f t="shared" si="603"/>
        <v>0</v>
      </c>
      <c r="BV535" s="39">
        <f t="shared" si="604"/>
        <v>0</v>
      </c>
      <c r="BW535" s="39">
        <f t="shared" si="605"/>
        <v>0</v>
      </c>
      <c r="BX535" s="39">
        <f t="shared" si="606"/>
        <v>0</v>
      </c>
      <c r="BY535" s="39">
        <f t="shared" si="607"/>
        <v>0</v>
      </c>
      <c r="BZ535" s="39">
        <f t="shared" si="608"/>
        <v>0</v>
      </c>
      <c r="CA535" s="39">
        <f t="shared" si="609"/>
        <v>57.02954114661155</v>
      </c>
      <c r="CB535" s="39">
        <f t="shared" si="610"/>
        <v>61.55941070109818</v>
      </c>
      <c r="CC535" s="39">
        <f t="shared" si="611"/>
        <v>59.495961072456026</v>
      </c>
      <c r="CD535" s="39">
        <f t="shared" si="612"/>
        <v>80.504175084549686</v>
      </c>
      <c r="CE535" s="39">
        <f t="shared" si="613"/>
        <v>71.139398800572636</v>
      </c>
      <c r="CF535" s="39">
        <f t="shared" si="614"/>
        <v>59.338508476022078</v>
      </c>
      <c r="CG535" s="39">
        <f t="shared" si="615"/>
        <v>59.600831343717978</v>
      </c>
      <c r="CH535" s="39">
        <f t="shared" si="616"/>
        <v>50.240443228958483</v>
      </c>
      <c r="CI535" s="39">
        <f t="shared" si="617"/>
        <v>0</v>
      </c>
      <c r="CJ535" s="39">
        <f t="shared" si="618"/>
        <v>0</v>
      </c>
      <c r="CK535" s="39">
        <f t="shared" si="619"/>
        <v>0</v>
      </c>
      <c r="CL535" s="39">
        <f t="shared" si="620"/>
        <v>0</v>
      </c>
      <c r="CM535" s="39">
        <f t="shared" si="621"/>
        <v>0</v>
      </c>
      <c r="CN535" s="39">
        <f t="shared" si="622"/>
        <v>0</v>
      </c>
      <c r="CO535" s="39">
        <f t="shared" si="623"/>
        <v>0</v>
      </c>
      <c r="CP535" s="39">
        <f t="shared" si="624"/>
        <v>0</v>
      </c>
    </row>
    <row r="536" spans="12:94" ht="16" customHeight="1" x14ac:dyDescent="0.2">
      <c r="L536" s="63">
        <v>30848</v>
      </c>
      <c r="M536" s="38">
        <v>0</v>
      </c>
      <c r="N536" s="38">
        <v>6</v>
      </c>
      <c r="O536" s="39">
        <v>2.3664000000000001</v>
      </c>
      <c r="P536" s="39">
        <v>1.1000000000000001</v>
      </c>
      <c r="Q536" s="46">
        <f t="shared" si="555"/>
        <v>9.5210389567679285E-2</v>
      </c>
      <c r="R536" s="81">
        <f t="shared" si="556"/>
        <v>0</v>
      </c>
      <c r="S536" s="82">
        <f t="shared" si="557"/>
        <v>0</v>
      </c>
      <c r="T536" s="39">
        <f t="shared" si="558"/>
        <v>0</v>
      </c>
      <c r="U536" s="83">
        <f t="shared" si="559"/>
        <v>6.6000000000000005</v>
      </c>
      <c r="V536" s="84">
        <f t="shared" si="560"/>
        <v>0</v>
      </c>
      <c r="W536" s="52">
        <f t="shared" si="561"/>
        <v>109.58908800471545</v>
      </c>
      <c r="X536" s="52">
        <f t="shared" si="562"/>
        <v>99.31918184927116</v>
      </c>
      <c r="Y536" s="52">
        <f t="shared" si="563"/>
        <v>208.90826985398661</v>
      </c>
      <c r="Z536" s="53">
        <f t="shared" si="564"/>
        <v>0.85616475003683945</v>
      </c>
      <c r="AA536" s="53">
        <f t="shared" si="565"/>
        <v>0.59118560624566163</v>
      </c>
      <c r="AB536" s="53">
        <f t="shared" si="566"/>
        <v>0.7057711819391439</v>
      </c>
      <c r="AC536" s="39" t="str">
        <f t="shared" si="567"/>
        <v>No</v>
      </c>
      <c r="AD536" s="85">
        <f t="shared" si="568"/>
        <v>0</v>
      </c>
      <c r="AE536" s="46">
        <f t="shared" si="569"/>
        <v>0</v>
      </c>
      <c r="AF536" s="46">
        <f t="shared" si="570"/>
        <v>2.1257999999999999</v>
      </c>
      <c r="AG536" s="39">
        <f t="shared" si="625"/>
        <v>57.02954114661155</v>
      </c>
      <c r="AH536" s="39">
        <f t="shared" si="626"/>
        <v>61.55941070109818</v>
      </c>
      <c r="AI536" s="39">
        <f t="shared" si="627"/>
        <v>59.495961072456026</v>
      </c>
      <c r="AJ536" s="39">
        <f t="shared" si="628"/>
        <v>80.504175084549686</v>
      </c>
      <c r="AK536" s="39">
        <f t="shared" si="629"/>
        <v>71.139398800572636</v>
      </c>
      <c r="AL536" s="39">
        <f t="shared" si="630"/>
        <v>59.338508476022078</v>
      </c>
      <c r="AM536" s="39">
        <f t="shared" si="631"/>
        <v>59.600831343717978</v>
      </c>
      <c r="AN536" s="39">
        <f t="shared" si="632"/>
        <v>50.240443228958483</v>
      </c>
      <c r="AO536" s="39">
        <f t="shared" si="571"/>
        <v>2.7029541146611553</v>
      </c>
      <c r="AP536" s="39">
        <f t="shared" si="572"/>
        <v>2.355941070109818</v>
      </c>
      <c r="AQ536" s="39">
        <f t="shared" si="573"/>
        <v>2.349596107245604</v>
      </c>
      <c r="AR536" s="39">
        <f t="shared" si="574"/>
        <v>3.5504175084549683</v>
      </c>
      <c r="AS536" s="39">
        <f t="shared" si="575"/>
        <v>2.9139398800572645</v>
      </c>
      <c r="AT536" s="39">
        <f t="shared" si="576"/>
        <v>2.6338508476022073</v>
      </c>
      <c r="AU536" s="39">
        <f t="shared" si="577"/>
        <v>2.6600831343717974</v>
      </c>
      <c r="AV536" s="39">
        <f t="shared" si="578"/>
        <v>1.4153946796711436</v>
      </c>
      <c r="AW536" s="39">
        <f t="shared" si="579"/>
        <v>20.582177342173964</v>
      </c>
      <c r="AX536" s="39">
        <f t="shared" si="580"/>
        <v>6.6000000000000005</v>
      </c>
      <c r="AY536" s="39">
        <f t="shared" si="581"/>
        <v>6.6000000000000005</v>
      </c>
      <c r="AZ536" s="39">
        <f t="shared" si="582"/>
        <v>0.86674489584780512</v>
      </c>
      <c r="BA536" s="39">
        <f t="shared" si="583"/>
        <v>0.75546968642931911</v>
      </c>
      <c r="BB536" s="39">
        <f t="shared" si="584"/>
        <v>0.75343507394845166</v>
      </c>
      <c r="BC536" s="39">
        <f t="shared" si="585"/>
        <v>1.1384974080360217</v>
      </c>
      <c r="BD536" s="39">
        <f t="shared" si="586"/>
        <v>0.93440081137434183</v>
      </c>
      <c r="BE536" s="39">
        <f t="shared" si="587"/>
        <v>0.84458584265305292</v>
      </c>
      <c r="BF536" s="39">
        <f t="shared" si="588"/>
        <v>0.85299763941298745</v>
      </c>
      <c r="BG536" s="39">
        <f t="shared" si="589"/>
        <v>0.4538686422980191</v>
      </c>
      <c r="BH536" s="84">
        <f t="shared" si="590"/>
        <v>0</v>
      </c>
      <c r="BI536" s="84">
        <f t="shared" si="591"/>
        <v>0</v>
      </c>
      <c r="BJ536" s="84">
        <f t="shared" si="592"/>
        <v>0</v>
      </c>
      <c r="BK536" s="39">
        <f t="shared" si="593"/>
        <v>56.162796250763748</v>
      </c>
      <c r="BL536" s="39">
        <f t="shared" si="594"/>
        <v>60.803941014668858</v>
      </c>
      <c r="BM536" s="39">
        <f t="shared" si="595"/>
        <v>58.742525998507574</v>
      </c>
      <c r="BN536" s="39">
        <f t="shared" si="596"/>
        <v>79.36567767651367</v>
      </c>
      <c r="BO536" s="39">
        <f t="shared" si="597"/>
        <v>70.20499798919829</v>
      </c>
      <c r="BP536" s="39">
        <f t="shared" si="598"/>
        <v>58.493922633369024</v>
      </c>
      <c r="BQ536" s="39">
        <f t="shared" si="599"/>
        <v>58.747833704304988</v>
      </c>
      <c r="BR536" s="39">
        <f t="shared" si="600"/>
        <v>49.786574586660464</v>
      </c>
      <c r="BS536" s="39">
        <f t="shared" si="601"/>
        <v>0</v>
      </c>
      <c r="BT536" s="39">
        <f t="shared" si="602"/>
        <v>0</v>
      </c>
      <c r="BU536" s="39">
        <f t="shared" si="603"/>
        <v>0</v>
      </c>
      <c r="BV536" s="39">
        <f t="shared" si="604"/>
        <v>0</v>
      </c>
      <c r="BW536" s="39">
        <f t="shared" si="605"/>
        <v>0</v>
      </c>
      <c r="BX536" s="39">
        <f t="shared" si="606"/>
        <v>0</v>
      </c>
      <c r="BY536" s="39">
        <f t="shared" si="607"/>
        <v>0</v>
      </c>
      <c r="BZ536" s="39">
        <f t="shared" si="608"/>
        <v>0</v>
      </c>
      <c r="CA536" s="39">
        <f t="shared" si="609"/>
        <v>56.162796250763748</v>
      </c>
      <c r="CB536" s="39">
        <f t="shared" si="610"/>
        <v>60.803941014668858</v>
      </c>
      <c r="CC536" s="39">
        <f t="shared" si="611"/>
        <v>58.742525998507574</v>
      </c>
      <c r="CD536" s="39">
        <f t="shared" si="612"/>
        <v>79.36567767651367</v>
      </c>
      <c r="CE536" s="39">
        <f t="shared" si="613"/>
        <v>70.20499798919829</v>
      </c>
      <c r="CF536" s="39">
        <f t="shared" si="614"/>
        <v>58.493922633369024</v>
      </c>
      <c r="CG536" s="39">
        <f t="shared" si="615"/>
        <v>58.747833704304988</v>
      </c>
      <c r="CH536" s="39">
        <f t="shared" si="616"/>
        <v>49.786574586660464</v>
      </c>
      <c r="CI536" s="39">
        <f t="shared" si="617"/>
        <v>0</v>
      </c>
      <c r="CJ536" s="39">
        <f t="shared" si="618"/>
        <v>0</v>
      </c>
      <c r="CK536" s="39">
        <f t="shared" si="619"/>
        <v>0</v>
      </c>
      <c r="CL536" s="39">
        <f t="shared" si="620"/>
        <v>0</v>
      </c>
      <c r="CM536" s="39">
        <f t="shared" si="621"/>
        <v>0</v>
      </c>
      <c r="CN536" s="39">
        <f t="shared" si="622"/>
        <v>0</v>
      </c>
      <c r="CO536" s="39">
        <f t="shared" si="623"/>
        <v>0</v>
      </c>
      <c r="CP536" s="39">
        <f t="shared" si="624"/>
        <v>0</v>
      </c>
    </row>
    <row r="537" spans="12:94" ht="16" customHeight="1" x14ac:dyDescent="0.2">
      <c r="L537" s="63">
        <v>30849</v>
      </c>
      <c r="M537" s="38">
        <v>0</v>
      </c>
      <c r="N537" s="38">
        <v>6.2</v>
      </c>
      <c r="O537" s="39">
        <v>2.3664000000000001</v>
      </c>
      <c r="P537" s="39">
        <v>1.1000000000000001</v>
      </c>
      <c r="Q537" s="46">
        <f t="shared" si="555"/>
        <v>9.6967304897100509E-2</v>
      </c>
      <c r="R537" s="81">
        <f t="shared" si="556"/>
        <v>0</v>
      </c>
      <c r="S537" s="82">
        <f t="shared" si="557"/>
        <v>0</v>
      </c>
      <c r="T537" s="39">
        <f t="shared" si="558"/>
        <v>0</v>
      </c>
      <c r="U537" s="83">
        <f t="shared" si="559"/>
        <v>6.8200000000000012</v>
      </c>
      <c r="V537" s="84">
        <f t="shared" si="560"/>
        <v>0</v>
      </c>
      <c r="W537" s="52">
        <f t="shared" si="561"/>
        <v>106.07494094045387</v>
      </c>
      <c r="X537" s="52">
        <f t="shared" si="562"/>
        <v>96.233328913532745</v>
      </c>
      <c r="Y537" s="52">
        <f t="shared" si="563"/>
        <v>202.30826985398662</v>
      </c>
      <c r="Z537" s="53">
        <f t="shared" si="564"/>
        <v>0.82871047609729587</v>
      </c>
      <c r="AA537" s="53">
        <f t="shared" si="565"/>
        <v>0.57281743400912344</v>
      </c>
      <c r="AB537" s="53">
        <f t="shared" si="566"/>
        <v>0.68347388464184666</v>
      </c>
      <c r="AC537" s="39" t="str">
        <f t="shared" si="567"/>
        <v>No</v>
      </c>
      <c r="AD537" s="85">
        <f t="shared" si="568"/>
        <v>0</v>
      </c>
      <c r="AE537" s="46">
        <f t="shared" si="569"/>
        <v>0</v>
      </c>
      <c r="AF537" s="46">
        <f t="shared" si="570"/>
        <v>2.1257999999999999</v>
      </c>
      <c r="AG537" s="39">
        <f t="shared" si="625"/>
        <v>56.162796250763748</v>
      </c>
      <c r="AH537" s="39">
        <f t="shared" si="626"/>
        <v>60.803941014668858</v>
      </c>
      <c r="AI537" s="39">
        <f t="shared" si="627"/>
        <v>58.742525998507574</v>
      </c>
      <c r="AJ537" s="39">
        <f t="shared" si="628"/>
        <v>79.36567767651367</v>
      </c>
      <c r="AK537" s="39">
        <f t="shared" si="629"/>
        <v>70.20499798919829</v>
      </c>
      <c r="AL537" s="39">
        <f t="shared" si="630"/>
        <v>58.493922633369024</v>
      </c>
      <c r="AM537" s="39">
        <f t="shared" si="631"/>
        <v>58.747833704304988</v>
      </c>
      <c r="AN537" s="39">
        <f t="shared" si="632"/>
        <v>49.786574586660464</v>
      </c>
      <c r="AO537" s="39">
        <f t="shared" si="571"/>
        <v>2.6162796250763751</v>
      </c>
      <c r="AP537" s="39">
        <f t="shared" si="572"/>
        <v>2.2803941014668858</v>
      </c>
      <c r="AQ537" s="39">
        <f t="shared" si="573"/>
        <v>2.274252599850759</v>
      </c>
      <c r="AR537" s="39">
        <f t="shared" si="574"/>
        <v>3.4365677676513666</v>
      </c>
      <c r="AS537" s="39">
        <f t="shared" si="575"/>
        <v>2.8204997989198297</v>
      </c>
      <c r="AT537" s="39">
        <f t="shared" si="576"/>
        <v>2.5493922633369017</v>
      </c>
      <c r="AU537" s="39">
        <f t="shared" si="577"/>
        <v>2.5747833704304983</v>
      </c>
      <c r="AV537" s="39">
        <f t="shared" si="578"/>
        <v>1.3418527921595935</v>
      </c>
      <c r="AW537" s="39">
        <f t="shared" si="579"/>
        <v>19.894022318892208</v>
      </c>
      <c r="AX537" s="39">
        <f t="shared" si="580"/>
        <v>6.8200000000000012</v>
      </c>
      <c r="AY537" s="39">
        <f t="shared" si="581"/>
        <v>6.8200000000000012</v>
      </c>
      <c r="AZ537" s="39">
        <f t="shared" si="582"/>
        <v>0.89690394214931513</v>
      </c>
      <c r="BA537" s="39">
        <f t="shared" si="583"/>
        <v>0.78175682738804664</v>
      </c>
      <c r="BB537" s="39">
        <f t="shared" si="584"/>
        <v>0.7796514190221272</v>
      </c>
      <c r="BC537" s="39">
        <f t="shared" si="585"/>
        <v>1.1781122891937836</v>
      </c>
      <c r="BD537" s="39">
        <f t="shared" si="586"/>
        <v>0.96691399659113186</v>
      </c>
      <c r="BE537" s="39">
        <f t="shared" si="587"/>
        <v>0.87397384788527033</v>
      </c>
      <c r="BF537" s="39">
        <f t="shared" si="588"/>
        <v>0.88267833949599317</v>
      </c>
      <c r="BG537" s="39">
        <f t="shared" si="589"/>
        <v>0.46000933827433366</v>
      </c>
      <c r="BH537" s="84">
        <f t="shared" si="590"/>
        <v>0</v>
      </c>
      <c r="BI537" s="84">
        <f t="shared" si="591"/>
        <v>0</v>
      </c>
      <c r="BJ537" s="84">
        <f t="shared" si="592"/>
        <v>0</v>
      </c>
      <c r="BK537" s="39">
        <f t="shared" si="593"/>
        <v>55.265892308614433</v>
      </c>
      <c r="BL537" s="39">
        <f t="shared" si="594"/>
        <v>60.022184187280814</v>
      </c>
      <c r="BM537" s="39">
        <f t="shared" si="595"/>
        <v>57.962874579485444</v>
      </c>
      <c r="BN537" s="39">
        <f t="shared" si="596"/>
        <v>78.187565387319893</v>
      </c>
      <c r="BO537" s="39">
        <f t="shared" si="597"/>
        <v>69.238083992607159</v>
      </c>
      <c r="BP537" s="39">
        <f t="shared" si="598"/>
        <v>57.619948785483757</v>
      </c>
      <c r="BQ537" s="39">
        <f t="shared" si="599"/>
        <v>57.865155364808992</v>
      </c>
      <c r="BR537" s="39">
        <f t="shared" si="600"/>
        <v>49.326565248386132</v>
      </c>
      <c r="BS537" s="39">
        <f t="shared" si="601"/>
        <v>0</v>
      </c>
      <c r="BT537" s="39">
        <f t="shared" si="602"/>
        <v>0</v>
      </c>
      <c r="BU537" s="39">
        <f t="shared" si="603"/>
        <v>0</v>
      </c>
      <c r="BV537" s="39">
        <f t="shared" si="604"/>
        <v>0</v>
      </c>
      <c r="BW537" s="39">
        <f t="shared" si="605"/>
        <v>0</v>
      </c>
      <c r="BX537" s="39">
        <f t="shared" si="606"/>
        <v>0</v>
      </c>
      <c r="BY537" s="39">
        <f t="shared" si="607"/>
        <v>0</v>
      </c>
      <c r="BZ537" s="39">
        <f t="shared" si="608"/>
        <v>0</v>
      </c>
      <c r="CA537" s="39">
        <f t="shared" si="609"/>
        <v>55.265892308614433</v>
      </c>
      <c r="CB537" s="39">
        <f t="shared" si="610"/>
        <v>60.022184187280814</v>
      </c>
      <c r="CC537" s="39">
        <f t="shared" si="611"/>
        <v>57.962874579485444</v>
      </c>
      <c r="CD537" s="39">
        <f t="shared" si="612"/>
        <v>78.187565387319893</v>
      </c>
      <c r="CE537" s="39">
        <f t="shared" si="613"/>
        <v>69.238083992607159</v>
      </c>
      <c r="CF537" s="39">
        <f t="shared" si="614"/>
        <v>57.619948785483757</v>
      </c>
      <c r="CG537" s="39">
        <f t="shared" si="615"/>
        <v>57.865155364808992</v>
      </c>
      <c r="CH537" s="39">
        <f t="shared" si="616"/>
        <v>49.326565248386132</v>
      </c>
      <c r="CI537" s="39">
        <f t="shared" si="617"/>
        <v>0</v>
      </c>
      <c r="CJ537" s="39">
        <f t="shared" si="618"/>
        <v>0</v>
      </c>
      <c r="CK537" s="39">
        <f t="shared" si="619"/>
        <v>0</v>
      </c>
      <c r="CL537" s="39">
        <f t="shared" si="620"/>
        <v>0</v>
      </c>
      <c r="CM537" s="39">
        <f t="shared" si="621"/>
        <v>0</v>
      </c>
      <c r="CN537" s="39">
        <f t="shared" si="622"/>
        <v>0</v>
      </c>
      <c r="CO537" s="39">
        <f t="shared" si="623"/>
        <v>0</v>
      </c>
      <c r="CP537" s="39">
        <f t="shared" si="624"/>
        <v>0</v>
      </c>
    </row>
    <row r="538" spans="12:94" ht="16" customHeight="1" x14ac:dyDescent="0.2">
      <c r="L538" s="63">
        <v>30850</v>
      </c>
      <c r="M538" s="38">
        <v>0</v>
      </c>
      <c r="N538" s="38">
        <v>7</v>
      </c>
      <c r="O538" s="39">
        <v>2.3664000000000001</v>
      </c>
      <c r="P538" s="39">
        <v>1.1000000000000001</v>
      </c>
      <c r="Q538" s="46">
        <f t="shared" si="555"/>
        <v>9.8785353428484254E-2</v>
      </c>
      <c r="R538" s="81">
        <f t="shared" si="556"/>
        <v>0</v>
      </c>
      <c r="S538" s="82">
        <f t="shared" si="557"/>
        <v>0</v>
      </c>
      <c r="T538" s="39">
        <f t="shared" si="558"/>
        <v>0</v>
      </c>
      <c r="U538" s="83">
        <f t="shared" si="559"/>
        <v>7.7000000000000011</v>
      </c>
      <c r="V538" s="84">
        <f t="shared" si="560"/>
        <v>0</v>
      </c>
      <c r="W538" s="52">
        <f t="shared" si="561"/>
        <v>102.43851646270056</v>
      </c>
      <c r="X538" s="52">
        <f t="shared" si="562"/>
        <v>93.04975339128606</v>
      </c>
      <c r="Y538" s="52">
        <f t="shared" si="563"/>
        <v>195.48826985398662</v>
      </c>
      <c r="Z538" s="53">
        <f t="shared" si="564"/>
        <v>0.80030090986484814</v>
      </c>
      <c r="AA538" s="53">
        <f t="shared" si="565"/>
        <v>0.55386757971003608</v>
      </c>
      <c r="AB538" s="53">
        <f t="shared" si="566"/>
        <v>0.66043334410130616</v>
      </c>
      <c r="AC538" s="39" t="str">
        <f t="shared" si="567"/>
        <v>No</v>
      </c>
      <c r="AD538" s="85">
        <f t="shared" si="568"/>
        <v>0</v>
      </c>
      <c r="AE538" s="46">
        <f t="shared" si="569"/>
        <v>0</v>
      </c>
      <c r="AF538" s="46">
        <f t="shared" si="570"/>
        <v>2.1257999999999999</v>
      </c>
      <c r="AG538" s="39">
        <f t="shared" si="625"/>
        <v>55.265892308614433</v>
      </c>
      <c r="AH538" s="39">
        <f t="shared" si="626"/>
        <v>60.022184187280814</v>
      </c>
      <c r="AI538" s="39">
        <f t="shared" si="627"/>
        <v>57.962874579485444</v>
      </c>
      <c r="AJ538" s="39">
        <f t="shared" si="628"/>
        <v>78.187565387319893</v>
      </c>
      <c r="AK538" s="39">
        <f t="shared" si="629"/>
        <v>69.238083992607159</v>
      </c>
      <c r="AL538" s="39">
        <f t="shared" si="630"/>
        <v>57.619948785483757</v>
      </c>
      <c r="AM538" s="39">
        <f t="shared" si="631"/>
        <v>57.865155364808992</v>
      </c>
      <c r="AN538" s="39">
        <f t="shared" si="632"/>
        <v>49.326565248386132</v>
      </c>
      <c r="AO538" s="39">
        <f t="shared" si="571"/>
        <v>2.5265892308614433</v>
      </c>
      <c r="AP538" s="39">
        <f t="shared" si="572"/>
        <v>2.2022184187280813</v>
      </c>
      <c r="AQ538" s="39">
        <f t="shared" si="573"/>
        <v>2.1962874579485461</v>
      </c>
      <c r="AR538" s="39">
        <f t="shared" si="574"/>
        <v>3.3187565387319888</v>
      </c>
      <c r="AS538" s="39">
        <f t="shared" si="575"/>
        <v>2.7238083992607169</v>
      </c>
      <c r="AT538" s="39">
        <f t="shared" si="576"/>
        <v>2.4619948785483752</v>
      </c>
      <c r="AU538" s="39">
        <f t="shared" si="577"/>
        <v>2.4865155364808986</v>
      </c>
      <c r="AV538" s="39">
        <f t="shared" si="578"/>
        <v>1.2693177752848068</v>
      </c>
      <c r="AW538" s="39">
        <f t="shared" si="579"/>
        <v>19.185488235844858</v>
      </c>
      <c r="AX538" s="39">
        <f t="shared" si="580"/>
        <v>7.7000000000000011</v>
      </c>
      <c r="AY538" s="39">
        <f t="shared" si="581"/>
        <v>7.7000000000000011</v>
      </c>
      <c r="AZ538" s="39">
        <f t="shared" si="582"/>
        <v>1.0140339843572608</v>
      </c>
      <c r="BA538" s="39">
        <f t="shared" si="583"/>
        <v>0.88384937697466437</v>
      </c>
      <c r="BB538" s="39">
        <f t="shared" si="584"/>
        <v>0.88146901545135947</v>
      </c>
      <c r="BC538" s="39">
        <f t="shared" si="585"/>
        <v>1.3319663817828817</v>
      </c>
      <c r="BD538" s="39">
        <f t="shared" si="586"/>
        <v>1.0931869138009422</v>
      </c>
      <c r="BE538" s="39">
        <f t="shared" si="587"/>
        <v>0.98810936327405263</v>
      </c>
      <c r="BF538" s="39">
        <f t="shared" si="588"/>
        <v>0.99795060701825267</v>
      </c>
      <c r="BG538" s="39">
        <f t="shared" si="589"/>
        <v>0.50943435734058684</v>
      </c>
      <c r="BH538" s="84">
        <f t="shared" si="590"/>
        <v>0</v>
      </c>
      <c r="BI538" s="84">
        <f t="shared" si="591"/>
        <v>0</v>
      </c>
      <c r="BJ538" s="84">
        <f t="shared" si="592"/>
        <v>0</v>
      </c>
      <c r="BK538" s="39">
        <f t="shared" si="593"/>
        <v>54.251858324257171</v>
      </c>
      <c r="BL538" s="39">
        <f t="shared" si="594"/>
        <v>59.138334810306148</v>
      </c>
      <c r="BM538" s="39">
        <f t="shared" si="595"/>
        <v>57.081405564034085</v>
      </c>
      <c r="BN538" s="39">
        <f t="shared" si="596"/>
        <v>76.855599005537016</v>
      </c>
      <c r="BO538" s="39">
        <f t="shared" si="597"/>
        <v>68.14489707880621</v>
      </c>
      <c r="BP538" s="39">
        <f t="shared" si="598"/>
        <v>56.631839422209701</v>
      </c>
      <c r="BQ538" s="39">
        <f t="shared" si="599"/>
        <v>56.867204757790738</v>
      </c>
      <c r="BR538" s="39">
        <f t="shared" si="600"/>
        <v>48.817130891045544</v>
      </c>
      <c r="BS538" s="39">
        <f t="shared" si="601"/>
        <v>0</v>
      </c>
      <c r="BT538" s="39">
        <f t="shared" si="602"/>
        <v>0</v>
      </c>
      <c r="BU538" s="39">
        <f t="shared" si="603"/>
        <v>0</v>
      </c>
      <c r="BV538" s="39">
        <f t="shared" si="604"/>
        <v>0</v>
      </c>
      <c r="BW538" s="39">
        <f t="shared" si="605"/>
        <v>0</v>
      </c>
      <c r="BX538" s="39">
        <f t="shared" si="606"/>
        <v>0</v>
      </c>
      <c r="BY538" s="39">
        <f t="shared" si="607"/>
        <v>0</v>
      </c>
      <c r="BZ538" s="39">
        <f t="shared" si="608"/>
        <v>0</v>
      </c>
      <c r="CA538" s="39">
        <f t="shared" si="609"/>
        <v>54.251858324257171</v>
      </c>
      <c r="CB538" s="39">
        <f t="shared" si="610"/>
        <v>59.138334810306148</v>
      </c>
      <c r="CC538" s="39">
        <f t="shared" si="611"/>
        <v>57.081405564034085</v>
      </c>
      <c r="CD538" s="39">
        <f t="shared" si="612"/>
        <v>76.855599005537016</v>
      </c>
      <c r="CE538" s="39">
        <f t="shared" si="613"/>
        <v>68.14489707880621</v>
      </c>
      <c r="CF538" s="39">
        <f t="shared" si="614"/>
        <v>56.631839422209701</v>
      </c>
      <c r="CG538" s="39">
        <f t="shared" si="615"/>
        <v>56.867204757790738</v>
      </c>
      <c r="CH538" s="39">
        <f t="shared" si="616"/>
        <v>48.817130891045544</v>
      </c>
      <c r="CI538" s="39">
        <f t="shared" si="617"/>
        <v>0</v>
      </c>
      <c r="CJ538" s="39">
        <f t="shared" si="618"/>
        <v>0</v>
      </c>
      <c r="CK538" s="39">
        <f t="shared" si="619"/>
        <v>0</v>
      </c>
      <c r="CL538" s="39">
        <f t="shared" si="620"/>
        <v>0</v>
      </c>
      <c r="CM538" s="39">
        <f t="shared" si="621"/>
        <v>0</v>
      </c>
      <c r="CN538" s="39">
        <f t="shared" si="622"/>
        <v>0</v>
      </c>
      <c r="CO538" s="39">
        <f t="shared" si="623"/>
        <v>0</v>
      </c>
      <c r="CP538" s="39">
        <f t="shared" si="624"/>
        <v>0</v>
      </c>
    </row>
    <row r="539" spans="12:94" ht="16" customHeight="1" x14ac:dyDescent="0.2">
      <c r="L539" s="63">
        <v>30851</v>
      </c>
      <c r="M539" s="38">
        <v>1.3</v>
      </c>
      <c r="N539" s="38">
        <v>7.2</v>
      </c>
      <c r="O539" s="39">
        <v>2.3664000000000001</v>
      </c>
      <c r="P539" s="39">
        <v>1.1000000000000001</v>
      </c>
      <c r="Q539" s="46">
        <f t="shared" si="555"/>
        <v>0.10084082772110033</v>
      </c>
      <c r="R539" s="81">
        <f t="shared" si="556"/>
        <v>0</v>
      </c>
      <c r="S539" s="82">
        <f t="shared" si="557"/>
        <v>1.3</v>
      </c>
      <c r="T539" s="39">
        <f t="shared" si="558"/>
        <v>0</v>
      </c>
      <c r="U539" s="83">
        <f t="shared" si="559"/>
        <v>7.9200000000000008</v>
      </c>
      <c r="V539" s="84">
        <f t="shared" si="560"/>
        <v>0</v>
      </c>
      <c r="W539" s="52">
        <f t="shared" si="561"/>
        <v>98.32719770413442</v>
      </c>
      <c r="X539" s="52">
        <f t="shared" si="562"/>
        <v>89.461072149852185</v>
      </c>
      <c r="Y539" s="52">
        <f t="shared" si="563"/>
        <v>187.78826985398661</v>
      </c>
      <c r="Z539" s="53">
        <f t="shared" si="564"/>
        <v>0.76818123206355016</v>
      </c>
      <c r="AA539" s="53">
        <f t="shared" si="565"/>
        <v>0.53250638184435828</v>
      </c>
      <c r="AB539" s="53">
        <f t="shared" si="566"/>
        <v>0.63441983058779261</v>
      </c>
      <c r="AC539" s="39" t="str">
        <f t="shared" si="567"/>
        <v>No</v>
      </c>
      <c r="AD539" s="85">
        <f t="shared" si="568"/>
        <v>0</v>
      </c>
      <c r="AE539" s="46">
        <f t="shared" si="569"/>
        <v>0</v>
      </c>
      <c r="AF539" s="46">
        <f t="shared" si="570"/>
        <v>2.1257999999999999</v>
      </c>
      <c r="AG539" s="39">
        <f t="shared" si="625"/>
        <v>54.251858324257171</v>
      </c>
      <c r="AH539" s="39">
        <f t="shared" si="626"/>
        <v>59.138334810306148</v>
      </c>
      <c r="AI539" s="39">
        <f t="shared" si="627"/>
        <v>57.081405564034085</v>
      </c>
      <c r="AJ539" s="39">
        <f t="shared" si="628"/>
        <v>76.855599005537016</v>
      </c>
      <c r="AK539" s="39">
        <f t="shared" si="629"/>
        <v>68.14489707880621</v>
      </c>
      <c r="AL539" s="39">
        <f t="shared" si="630"/>
        <v>56.631839422209701</v>
      </c>
      <c r="AM539" s="39">
        <f t="shared" si="631"/>
        <v>56.867204757790738</v>
      </c>
      <c r="AN539" s="39">
        <f t="shared" si="632"/>
        <v>48.817130891045544</v>
      </c>
      <c r="AO539" s="39">
        <f t="shared" si="571"/>
        <v>2.4251858324257172</v>
      </c>
      <c r="AP539" s="39">
        <f t="shared" si="572"/>
        <v>2.113833481030615</v>
      </c>
      <c r="AQ539" s="39">
        <f t="shared" si="573"/>
        <v>2.1081405564034101</v>
      </c>
      <c r="AR539" s="39">
        <f t="shared" si="574"/>
        <v>3.185559900553701</v>
      </c>
      <c r="AS539" s="39">
        <f t="shared" si="575"/>
        <v>2.614489707880622</v>
      </c>
      <c r="AT539" s="39">
        <f t="shared" si="576"/>
        <v>2.3631839422209695</v>
      </c>
      <c r="AU539" s="39">
        <f t="shared" si="577"/>
        <v>2.386720475779073</v>
      </c>
      <c r="AV539" s="39">
        <f t="shared" si="578"/>
        <v>1.1913410934498425</v>
      </c>
      <c r="AW539" s="39">
        <f t="shared" si="579"/>
        <v>18.388454989743952</v>
      </c>
      <c r="AX539" s="39">
        <f t="shared" si="580"/>
        <v>7.9200000000000008</v>
      </c>
      <c r="AY539" s="39">
        <f t="shared" si="581"/>
        <v>6.620000000000001</v>
      </c>
      <c r="AZ539" s="39">
        <f t="shared" si="582"/>
        <v>0.87308750080486242</v>
      </c>
      <c r="BA539" s="39">
        <f t="shared" si="583"/>
        <v>0.76099800946993668</v>
      </c>
      <c r="BB539" s="39">
        <f t="shared" si="584"/>
        <v>0.75894850824467797</v>
      </c>
      <c r="BC539" s="39">
        <f t="shared" si="585"/>
        <v>1.1468286244509087</v>
      </c>
      <c r="BD539" s="39">
        <f t="shared" si="586"/>
        <v>0.94123850404088361</v>
      </c>
      <c r="BE539" s="39">
        <f t="shared" si="587"/>
        <v>0.85076629364611223</v>
      </c>
      <c r="BF539" s="39">
        <f t="shared" si="588"/>
        <v>0.85923964566190414</v>
      </c>
      <c r="BG539" s="39">
        <f t="shared" si="589"/>
        <v>0.42889291368071464</v>
      </c>
      <c r="BH539" s="84">
        <f t="shared" si="590"/>
        <v>0</v>
      </c>
      <c r="BI539" s="84">
        <f t="shared" si="591"/>
        <v>0</v>
      </c>
      <c r="BJ539" s="84">
        <f t="shared" si="592"/>
        <v>0</v>
      </c>
      <c r="BK539" s="39">
        <f t="shared" si="593"/>
        <v>53.378770823452307</v>
      </c>
      <c r="BL539" s="39">
        <f t="shared" si="594"/>
        <v>58.377336800836211</v>
      </c>
      <c r="BM539" s="39">
        <f t="shared" si="595"/>
        <v>56.322457055789407</v>
      </c>
      <c r="BN539" s="39">
        <f t="shared" si="596"/>
        <v>75.708770381086111</v>
      </c>
      <c r="BO539" s="39">
        <f t="shared" si="597"/>
        <v>67.203658574765328</v>
      </c>
      <c r="BP539" s="39">
        <f t="shared" si="598"/>
        <v>55.781073128563591</v>
      </c>
      <c r="BQ539" s="39">
        <f t="shared" si="599"/>
        <v>56.007965112128836</v>
      </c>
      <c r="BR539" s="39">
        <f t="shared" si="600"/>
        <v>48.388237977364831</v>
      </c>
      <c r="BS539" s="39">
        <f t="shared" si="601"/>
        <v>0</v>
      </c>
      <c r="BT539" s="39">
        <f t="shared" si="602"/>
        <v>0</v>
      </c>
      <c r="BU539" s="39">
        <f t="shared" si="603"/>
        <v>0</v>
      </c>
      <c r="BV539" s="39">
        <f t="shared" si="604"/>
        <v>0</v>
      </c>
      <c r="BW539" s="39">
        <f t="shared" si="605"/>
        <v>0</v>
      </c>
      <c r="BX539" s="39">
        <f t="shared" si="606"/>
        <v>0</v>
      </c>
      <c r="BY539" s="39">
        <f t="shared" si="607"/>
        <v>0</v>
      </c>
      <c r="BZ539" s="39">
        <f t="shared" si="608"/>
        <v>0</v>
      </c>
      <c r="CA539" s="39">
        <f t="shared" si="609"/>
        <v>53.378770823452307</v>
      </c>
      <c r="CB539" s="39">
        <f t="shared" si="610"/>
        <v>58.377336800836211</v>
      </c>
      <c r="CC539" s="39">
        <f t="shared" si="611"/>
        <v>56.322457055789407</v>
      </c>
      <c r="CD539" s="39">
        <f t="shared" si="612"/>
        <v>75.708770381086111</v>
      </c>
      <c r="CE539" s="39">
        <f t="shared" si="613"/>
        <v>67.203658574765328</v>
      </c>
      <c r="CF539" s="39">
        <f t="shared" si="614"/>
        <v>55.781073128563591</v>
      </c>
      <c r="CG539" s="39">
        <f t="shared" si="615"/>
        <v>56.007965112128836</v>
      </c>
      <c r="CH539" s="39">
        <f t="shared" si="616"/>
        <v>48.388237977364831</v>
      </c>
      <c r="CI539" s="39">
        <f t="shared" si="617"/>
        <v>0</v>
      </c>
      <c r="CJ539" s="39">
        <f t="shared" si="618"/>
        <v>0</v>
      </c>
      <c r="CK539" s="39">
        <f t="shared" si="619"/>
        <v>0</v>
      </c>
      <c r="CL539" s="39">
        <f t="shared" si="620"/>
        <v>0</v>
      </c>
      <c r="CM539" s="39">
        <f t="shared" si="621"/>
        <v>0</v>
      </c>
      <c r="CN539" s="39">
        <f t="shared" si="622"/>
        <v>0</v>
      </c>
      <c r="CO539" s="39">
        <f t="shared" si="623"/>
        <v>0</v>
      </c>
      <c r="CP539" s="39">
        <f t="shared" si="624"/>
        <v>0</v>
      </c>
    </row>
    <row r="540" spans="12:94" ht="16" customHeight="1" x14ac:dyDescent="0.2">
      <c r="L540" s="63">
        <v>30852</v>
      </c>
      <c r="M540" s="38">
        <v>2.6</v>
      </c>
      <c r="N540" s="38">
        <v>6.9</v>
      </c>
      <c r="O540" s="39">
        <v>2.3664000000000001</v>
      </c>
      <c r="P540" s="39">
        <v>1.1000000000000001</v>
      </c>
      <c r="Q540" s="46">
        <f t="shared" si="555"/>
        <v>0.10261059968219127</v>
      </c>
      <c r="R540" s="81">
        <f t="shared" si="556"/>
        <v>0</v>
      </c>
      <c r="S540" s="82">
        <f t="shared" si="557"/>
        <v>2.6</v>
      </c>
      <c r="T540" s="39">
        <f t="shared" si="558"/>
        <v>0</v>
      </c>
      <c r="U540" s="83">
        <f t="shared" si="559"/>
        <v>7.5900000000000007</v>
      </c>
      <c r="V540" s="84">
        <f t="shared" si="560"/>
        <v>0</v>
      </c>
      <c r="W540" s="52">
        <f t="shared" si="561"/>
        <v>94.787335061164043</v>
      </c>
      <c r="X540" s="52">
        <f t="shared" si="562"/>
        <v>86.380934792822586</v>
      </c>
      <c r="Y540" s="52">
        <f t="shared" si="563"/>
        <v>181.16826985398663</v>
      </c>
      <c r="Z540" s="53">
        <f t="shared" si="564"/>
        <v>0.74052605516534409</v>
      </c>
      <c r="AA540" s="53">
        <f t="shared" si="565"/>
        <v>0.51417223090965825</v>
      </c>
      <c r="AB540" s="53">
        <f t="shared" si="566"/>
        <v>0.61205496572292784</v>
      </c>
      <c r="AC540" s="39" t="str">
        <f t="shared" si="567"/>
        <v>No</v>
      </c>
      <c r="AD540" s="85">
        <f t="shared" si="568"/>
        <v>0</v>
      </c>
      <c r="AE540" s="46">
        <f t="shared" si="569"/>
        <v>0</v>
      </c>
      <c r="AF540" s="46">
        <f t="shared" si="570"/>
        <v>2.1257999999999999</v>
      </c>
      <c r="AG540" s="39">
        <f t="shared" si="625"/>
        <v>53.378770823452307</v>
      </c>
      <c r="AH540" s="39">
        <f t="shared" si="626"/>
        <v>58.377336800836211</v>
      </c>
      <c r="AI540" s="39">
        <f t="shared" si="627"/>
        <v>56.322457055789407</v>
      </c>
      <c r="AJ540" s="39">
        <f t="shared" si="628"/>
        <v>75.708770381086111</v>
      </c>
      <c r="AK540" s="39">
        <f t="shared" si="629"/>
        <v>67.203658574765328</v>
      </c>
      <c r="AL540" s="39">
        <f t="shared" si="630"/>
        <v>55.781073128563591</v>
      </c>
      <c r="AM540" s="39">
        <f t="shared" si="631"/>
        <v>56.007965112128836</v>
      </c>
      <c r="AN540" s="39">
        <f t="shared" si="632"/>
        <v>48.388237977364831</v>
      </c>
      <c r="AO540" s="39">
        <f t="shared" si="571"/>
        <v>2.3378770823452308</v>
      </c>
      <c r="AP540" s="39">
        <f t="shared" si="572"/>
        <v>2.0377336800836212</v>
      </c>
      <c r="AQ540" s="39">
        <f t="shared" si="573"/>
        <v>2.032245705578942</v>
      </c>
      <c r="AR540" s="39">
        <f t="shared" si="574"/>
        <v>3.0708770381086108</v>
      </c>
      <c r="AS540" s="39">
        <f t="shared" si="575"/>
        <v>2.5203658574765337</v>
      </c>
      <c r="AT540" s="39">
        <f t="shared" si="576"/>
        <v>2.2781073128563585</v>
      </c>
      <c r="AU540" s="39">
        <f t="shared" si="577"/>
        <v>2.3007965112128832</v>
      </c>
      <c r="AV540" s="39">
        <f t="shared" si="578"/>
        <v>1.1276088954667287</v>
      </c>
      <c r="AW540" s="39">
        <f t="shared" si="579"/>
        <v>17.705612083128909</v>
      </c>
      <c r="AX540" s="39">
        <f t="shared" si="580"/>
        <v>7.5900000000000007</v>
      </c>
      <c r="AY540" s="39">
        <f t="shared" si="581"/>
        <v>4.99</v>
      </c>
      <c r="AZ540" s="39">
        <f t="shared" si="582"/>
        <v>0.65888750900731941</v>
      </c>
      <c r="BA540" s="39">
        <f t="shared" si="583"/>
        <v>0.57429763037146275</v>
      </c>
      <c r="BB540" s="39">
        <f t="shared" si="584"/>
        <v>0.57275094604054122</v>
      </c>
      <c r="BC540" s="39">
        <f t="shared" si="585"/>
        <v>0.86547001867071249</v>
      </c>
      <c r="BD540" s="39">
        <f t="shared" si="586"/>
        <v>0.71031860235951705</v>
      </c>
      <c r="BE540" s="39">
        <f t="shared" si="587"/>
        <v>0.64204250255686945</v>
      </c>
      <c r="BF540" s="39">
        <f t="shared" si="588"/>
        <v>0.64843703437353217</v>
      </c>
      <c r="BG540" s="39">
        <f t="shared" si="589"/>
        <v>0.31779575662004583</v>
      </c>
      <c r="BH540" s="84">
        <f t="shared" si="590"/>
        <v>0</v>
      </c>
      <c r="BI540" s="84">
        <f t="shared" si="591"/>
        <v>0</v>
      </c>
      <c r="BJ540" s="84">
        <f t="shared" si="592"/>
        <v>0</v>
      </c>
      <c r="BK540" s="39">
        <f t="shared" si="593"/>
        <v>52.719883314444985</v>
      </c>
      <c r="BL540" s="39">
        <f t="shared" si="594"/>
        <v>57.80303917046475</v>
      </c>
      <c r="BM540" s="39">
        <f t="shared" si="595"/>
        <v>55.749706109748864</v>
      </c>
      <c r="BN540" s="39">
        <f t="shared" si="596"/>
        <v>74.843300362415405</v>
      </c>
      <c r="BO540" s="39">
        <f t="shared" si="597"/>
        <v>66.493339972405806</v>
      </c>
      <c r="BP540" s="39">
        <f t="shared" si="598"/>
        <v>55.139030626006722</v>
      </c>
      <c r="BQ540" s="39">
        <f t="shared" si="599"/>
        <v>55.359528077755307</v>
      </c>
      <c r="BR540" s="39">
        <f t="shared" si="600"/>
        <v>48.070442220744788</v>
      </c>
      <c r="BS540" s="39">
        <f t="shared" si="601"/>
        <v>0</v>
      </c>
      <c r="BT540" s="39">
        <f t="shared" si="602"/>
        <v>0</v>
      </c>
      <c r="BU540" s="39">
        <f t="shared" si="603"/>
        <v>0</v>
      </c>
      <c r="BV540" s="39">
        <f t="shared" si="604"/>
        <v>0</v>
      </c>
      <c r="BW540" s="39">
        <f t="shared" si="605"/>
        <v>0</v>
      </c>
      <c r="BX540" s="39">
        <f t="shared" si="606"/>
        <v>0</v>
      </c>
      <c r="BY540" s="39">
        <f t="shared" si="607"/>
        <v>0</v>
      </c>
      <c r="BZ540" s="39">
        <f t="shared" si="608"/>
        <v>0</v>
      </c>
      <c r="CA540" s="39">
        <f t="shared" si="609"/>
        <v>52.719883314444985</v>
      </c>
      <c r="CB540" s="39">
        <f t="shared" si="610"/>
        <v>57.80303917046475</v>
      </c>
      <c r="CC540" s="39">
        <f t="shared" si="611"/>
        <v>55.749706109748864</v>
      </c>
      <c r="CD540" s="39">
        <f t="shared" si="612"/>
        <v>74.843300362415405</v>
      </c>
      <c r="CE540" s="39">
        <f t="shared" si="613"/>
        <v>66.493339972405806</v>
      </c>
      <c r="CF540" s="39">
        <f t="shared" si="614"/>
        <v>55.139030626006722</v>
      </c>
      <c r="CG540" s="39">
        <f t="shared" si="615"/>
        <v>55.359528077755307</v>
      </c>
      <c r="CH540" s="39">
        <f t="shared" si="616"/>
        <v>48.070442220744788</v>
      </c>
      <c r="CI540" s="39">
        <f t="shared" si="617"/>
        <v>0</v>
      </c>
      <c r="CJ540" s="39">
        <f t="shared" si="618"/>
        <v>0</v>
      </c>
      <c r="CK540" s="39">
        <f t="shared" si="619"/>
        <v>0</v>
      </c>
      <c r="CL540" s="39">
        <f t="shared" si="620"/>
        <v>0</v>
      </c>
      <c r="CM540" s="39">
        <f t="shared" si="621"/>
        <v>0</v>
      </c>
      <c r="CN540" s="39">
        <f t="shared" si="622"/>
        <v>0</v>
      </c>
      <c r="CO540" s="39">
        <f t="shared" si="623"/>
        <v>0</v>
      </c>
      <c r="CP540" s="39">
        <f t="shared" si="624"/>
        <v>0</v>
      </c>
    </row>
    <row r="541" spans="12:94" ht="16" customHeight="1" x14ac:dyDescent="0.2">
      <c r="L541" s="63">
        <v>30853</v>
      </c>
      <c r="M541" s="38">
        <v>2</v>
      </c>
      <c r="N541" s="38">
        <v>3.1</v>
      </c>
      <c r="O541" s="39">
        <v>2.3664000000000001</v>
      </c>
      <c r="P541" s="39">
        <v>1.1000000000000001</v>
      </c>
      <c r="Q541" s="46">
        <f t="shared" si="555"/>
        <v>0.10394618247071963</v>
      </c>
      <c r="R541" s="81">
        <f t="shared" si="556"/>
        <v>0</v>
      </c>
      <c r="S541" s="82">
        <f t="shared" si="557"/>
        <v>2</v>
      </c>
      <c r="T541" s="39">
        <f t="shared" si="558"/>
        <v>0</v>
      </c>
      <c r="U541" s="83">
        <f t="shared" si="559"/>
        <v>3.4100000000000006</v>
      </c>
      <c r="V541" s="84">
        <f t="shared" si="560"/>
        <v>0</v>
      </c>
      <c r="W541" s="52">
        <f t="shared" si="561"/>
        <v>92.115928957074004</v>
      </c>
      <c r="X541" s="52">
        <f t="shared" si="562"/>
        <v>84.062340896912616</v>
      </c>
      <c r="Y541" s="52">
        <f t="shared" si="563"/>
        <v>176.17826985398662</v>
      </c>
      <c r="Z541" s="53">
        <f t="shared" si="564"/>
        <v>0.71965569497714066</v>
      </c>
      <c r="AA541" s="53">
        <f t="shared" si="565"/>
        <v>0.50037107676733705</v>
      </c>
      <c r="AB541" s="53">
        <f t="shared" si="566"/>
        <v>0.59519685761481966</v>
      </c>
      <c r="AC541" s="39" t="str">
        <f t="shared" si="567"/>
        <v>No</v>
      </c>
      <c r="AD541" s="85">
        <f t="shared" si="568"/>
        <v>0</v>
      </c>
      <c r="AE541" s="46">
        <f t="shared" si="569"/>
        <v>0</v>
      </c>
      <c r="AF541" s="46">
        <f t="shared" si="570"/>
        <v>2.1257999999999999</v>
      </c>
      <c r="AG541" s="39">
        <f t="shared" si="625"/>
        <v>52.719883314444985</v>
      </c>
      <c r="AH541" s="39">
        <f t="shared" si="626"/>
        <v>57.80303917046475</v>
      </c>
      <c r="AI541" s="39">
        <f t="shared" si="627"/>
        <v>55.749706109748864</v>
      </c>
      <c r="AJ541" s="39">
        <f t="shared" si="628"/>
        <v>74.843300362415405</v>
      </c>
      <c r="AK541" s="39">
        <f t="shared" si="629"/>
        <v>66.493339972405806</v>
      </c>
      <c r="AL541" s="39">
        <f t="shared" si="630"/>
        <v>55.139030626006722</v>
      </c>
      <c r="AM541" s="39">
        <f t="shared" si="631"/>
        <v>55.359528077755307</v>
      </c>
      <c r="AN541" s="39">
        <f t="shared" si="632"/>
        <v>48.070442220744788</v>
      </c>
      <c r="AO541" s="39">
        <f t="shared" si="571"/>
        <v>2.2719883314444984</v>
      </c>
      <c r="AP541" s="39">
        <f t="shared" si="572"/>
        <v>1.9803039170464751</v>
      </c>
      <c r="AQ541" s="39">
        <f t="shared" si="573"/>
        <v>1.9749706109748879</v>
      </c>
      <c r="AR541" s="39">
        <f t="shared" si="574"/>
        <v>2.9843300362415399</v>
      </c>
      <c r="AS541" s="39">
        <f t="shared" si="575"/>
        <v>2.4493339972405814</v>
      </c>
      <c r="AT541" s="39">
        <f t="shared" si="576"/>
        <v>2.2139030626006715</v>
      </c>
      <c r="AU541" s="39">
        <f t="shared" si="577"/>
        <v>2.2359528077755302</v>
      </c>
      <c r="AV541" s="39">
        <f t="shared" si="578"/>
        <v>1.0815153748990802</v>
      </c>
      <c r="AW541" s="39">
        <f t="shared" si="579"/>
        <v>17.192298138223265</v>
      </c>
      <c r="AX541" s="39">
        <f t="shared" si="580"/>
        <v>3.4100000000000006</v>
      </c>
      <c r="AY541" s="39">
        <f t="shared" si="581"/>
        <v>1.4100000000000006</v>
      </c>
      <c r="AZ541" s="39">
        <f t="shared" si="582"/>
        <v>0.1863336432151827</v>
      </c>
      <c r="BA541" s="39">
        <f t="shared" si="583"/>
        <v>0.16241159271357852</v>
      </c>
      <c r="BB541" s="39">
        <f t="shared" si="584"/>
        <v>0.16197418978463449</v>
      </c>
      <c r="BC541" s="39">
        <f t="shared" si="585"/>
        <v>0.24475525710813659</v>
      </c>
      <c r="BD541" s="39">
        <f t="shared" si="586"/>
        <v>0.2008783763719752</v>
      </c>
      <c r="BE541" s="39">
        <f t="shared" si="587"/>
        <v>0.18156986885463294</v>
      </c>
      <c r="BF541" s="39">
        <f t="shared" si="588"/>
        <v>0.18337824493365337</v>
      </c>
      <c r="BG541" s="39">
        <f t="shared" si="589"/>
        <v>8.8698827018206763E-2</v>
      </c>
      <c r="BH541" s="84">
        <f t="shared" si="590"/>
        <v>0</v>
      </c>
      <c r="BI541" s="84">
        <f t="shared" si="591"/>
        <v>0</v>
      </c>
      <c r="BJ541" s="84">
        <f t="shared" si="592"/>
        <v>0</v>
      </c>
      <c r="BK541" s="39">
        <f t="shared" si="593"/>
        <v>52.5335496712298</v>
      </c>
      <c r="BL541" s="39">
        <f t="shared" si="594"/>
        <v>57.640627577751168</v>
      </c>
      <c r="BM541" s="39">
        <f t="shared" si="595"/>
        <v>55.587731919964227</v>
      </c>
      <c r="BN541" s="39">
        <f t="shared" si="596"/>
        <v>74.598545105307267</v>
      </c>
      <c r="BO541" s="39">
        <f t="shared" si="597"/>
        <v>66.292461596033831</v>
      </c>
      <c r="BP541" s="39">
        <f t="shared" si="598"/>
        <v>54.957460757152091</v>
      </c>
      <c r="BQ541" s="39">
        <f t="shared" si="599"/>
        <v>55.17614983282165</v>
      </c>
      <c r="BR541" s="39">
        <f t="shared" si="600"/>
        <v>47.981743393726582</v>
      </c>
      <c r="BS541" s="39">
        <f t="shared" si="601"/>
        <v>0</v>
      </c>
      <c r="BT541" s="39">
        <f t="shared" si="602"/>
        <v>0</v>
      </c>
      <c r="BU541" s="39">
        <f t="shared" si="603"/>
        <v>0</v>
      </c>
      <c r="BV541" s="39">
        <f t="shared" si="604"/>
        <v>0</v>
      </c>
      <c r="BW541" s="39">
        <f t="shared" si="605"/>
        <v>0</v>
      </c>
      <c r="BX541" s="39">
        <f t="shared" si="606"/>
        <v>0</v>
      </c>
      <c r="BY541" s="39">
        <f t="shared" si="607"/>
        <v>0</v>
      </c>
      <c r="BZ541" s="39">
        <f t="shared" si="608"/>
        <v>0</v>
      </c>
      <c r="CA541" s="39">
        <f t="shared" si="609"/>
        <v>53.123549671229796</v>
      </c>
      <c r="CB541" s="39">
        <f t="shared" si="610"/>
        <v>57.640627577751168</v>
      </c>
      <c r="CC541" s="39">
        <f t="shared" si="611"/>
        <v>55.587731919964227</v>
      </c>
      <c r="CD541" s="39">
        <f t="shared" si="612"/>
        <v>74.598545105307267</v>
      </c>
      <c r="CE541" s="39">
        <f t="shared" si="613"/>
        <v>66.292461596033831</v>
      </c>
      <c r="CF541" s="39">
        <f t="shared" si="614"/>
        <v>54.957460757152091</v>
      </c>
      <c r="CG541" s="39">
        <f t="shared" si="615"/>
        <v>55.17614983282165</v>
      </c>
      <c r="CH541" s="39">
        <f t="shared" si="616"/>
        <v>47.981743393726582</v>
      </c>
      <c r="CI541" s="39">
        <f t="shared" si="617"/>
        <v>0</v>
      </c>
      <c r="CJ541" s="39">
        <f t="shared" si="618"/>
        <v>0</v>
      </c>
      <c r="CK541" s="39">
        <f t="shared" si="619"/>
        <v>0</v>
      </c>
      <c r="CL541" s="39">
        <f t="shared" si="620"/>
        <v>0</v>
      </c>
      <c r="CM541" s="39">
        <f t="shared" si="621"/>
        <v>0</v>
      </c>
      <c r="CN541" s="39">
        <f t="shared" si="622"/>
        <v>0</v>
      </c>
      <c r="CO541" s="39">
        <f t="shared" si="623"/>
        <v>0</v>
      </c>
      <c r="CP541" s="39">
        <f t="shared" si="624"/>
        <v>0</v>
      </c>
    </row>
    <row r="542" spans="12:94" ht="16" customHeight="1" x14ac:dyDescent="0.2">
      <c r="L542" s="63">
        <v>30854</v>
      </c>
      <c r="M542" s="38">
        <v>0.2</v>
      </c>
      <c r="N542" s="38">
        <v>5.8</v>
      </c>
      <c r="O542" s="39">
        <v>2.3664000000000001</v>
      </c>
      <c r="P542" s="39">
        <v>1.1000000000000001</v>
      </c>
      <c r="Q542" s="46">
        <f t="shared" si="555"/>
        <v>0.10312793985561527</v>
      </c>
      <c r="R542" s="81">
        <f t="shared" si="556"/>
        <v>0</v>
      </c>
      <c r="S542" s="82">
        <f t="shared" si="557"/>
        <v>0.2</v>
      </c>
      <c r="T542" s="39">
        <f t="shared" si="558"/>
        <v>0</v>
      </c>
      <c r="U542" s="83">
        <f t="shared" si="559"/>
        <v>6.38</v>
      </c>
      <c r="V542" s="84">
        <f t="shared" si="560"/>
        <v>0</v>
      </c>
      <c r="W542" s="52">
        <f t="shared" si="561"/>
        <v>91.950454274252451</v>
      </c>
      <c r="X542" s="52">
        <f t="shared" si="562"/>
        <v>83.407815579734148</v>
      </c>
      <c r="Y542" s="52">
        <f t="shared" si="563"/>
        <v>175.3582698539866</v>
      </c>
      <c r="Z542" s="53">
        <f t="shared" si="564"/>
        <v>0.71836292401759727</v>
      </c>
      <c r="AA542" s="53">
        <f t="shared" si="565"/>
        <v>0.4964750927365128</v>
      </c>
      <c r="AB542" s="53">
        <f t="shared" si="566"/>
        <v>0.59242658734454934</v>
      </c>
      <c r="AC542" s="39" t="str">
        <f t="shared" si="567"/>
        <v>No</v>
      </c>
      <c r="AD542" s="85">
        <f t="shared" si="568"/>
        <v>0</v>
      </c>
      <c r="AE542" s="46">
        <f t="shared" si="569"/>
        <v>0</v>
      </c>
      <c r="AF542" s="46">
        <f t="shared" si="570"/>
        <v>2.1257999999999999</v>
      </c>
      <c r="AG542" s="39">
        <f t="shared" si="625"/>
        <v>53.123549671229796</v>
      </c>
      <c r="AH542" s="39">
        <f t="shared" si="626"/>
        <v>57.640627577751168</v>
      </c>
      <c r="AI542" s="39">
        <f t="shared" si="627"/>
        <v>55.587731919964227</v>
      </c>
      <c r="AJ542" s="39">
        <f t="shared" si="628"/>
        <v>74.598545105307267</v>
      </c>
      <c r="AK542" s="39">
        <f t="shared" si="629"/>
        <v>66.292461596033831</v>
      </c>
      <c r="AL542" s="39">
        <f t="shared" si="630"/>
        <v>54.957460757152091</v>
      </c>
      <c r="AM542" s="39">
        <f t="shared" si="631"/>
        <v>55.17614983282165</v>
      </c>
      <c r="AN542" s="39">
        <f t="shared" si="632"/>
        <v>47.981743393726582</v>
      </c>
      <c r="AO542" s="39">
        <f t="shared" si="571"/>
        <v>2.3123549671229795</v>
      </c>
      <c r="AP542" s="39">
        <f t="shared" si="572"/>
        <v>1.9640627577751169</v>
      </c>
      <c r="AQ542" s="39">
        <f t="shared" si="573"/>
        <v>1.9587731919964242</v>
      </c>
      <c r="AR542" s="39">
        <f t="shared" si="574"/>
        <v>2.9598545105307261</v>
      </c>
      <c r="AS542" s="39">
        <f t="shared" si="575"/>
        <v>2.4292461596033839</v>
      </c>
      <c r="AT542" s="39">
        <f t="shared" si="576"/>
        <v>2.1957460757152085</v>
      </c>
      <c r="AU542" s="39">
        <f t="shared" si="577"/>
        <v>2.2176149832821643</v>
      </c>
      <c r="AV542" s="39">
        <f t="shared" si="578"/>
        <v>1.0688220719784278</v>
      </c>
      <c r="AW542" s="39">
        <f t="shared" si="579"/>
        <v>17.106474718004431</v>
      </c>
      <c r="AX542" s="39">
        <f t="shared" si="580"/>
        <v>6.38</v>
      </c>
      <c r="AY542" s="39">
        <f t="shared" si="581"/>
        <v>6.18</v>
      </c>
      <c r="AZ542" s="39">
        <f t="shared" si="582"/>
        <v>0.83537689280769967</v>
      </c>
      <c r="BA542" s="39">
        <f t="shared" si="583"/>
        <v>0.709550508982144</v>
      </c>
      <c r="BB542" s="39">
        <f t="shared" si="584"/>
        <v>0.70763956490680413</v>
      </c>
      <c r="BC542" s="39">
        <f t="shared" si="585"/>
        <v>1.0692969285967378</v>
      </c>
      <c r="BD542" s="39">
        <f t="shared" si="586"/>
        <v>0.87760579042905418</v>
      </c>
      <c r="BE542" s="39">
        <f t="shared" si="587"/>
        <v>0.7932499811687076</v>
      </c>
      <c r="BF542" s="39">
        <f t="shared" si="588"/>
        <v>0.80115048965988978</v>
      </c>
      <c r="BG542" s="39">
        <f t="shared" si="589"/>
        <v>0.3861298434489624</v>
      </c>
      <c r="BH542" s="84">
        <f t="shared" si="590"/>
        <v>0</v>
      </c>
      <c r="BI542" s="84">
        <f t="shared" si="591"/>
        <v>0</v>
      </c>
      <c r="BJ542" s="84">
        <f t="shared" si="592"/>
        <v>0</v>
      </c>
      <c r="BK542" s="39">
        <f t="shared" si="593"/>
        <v>52.288172778422094</v>
      </c>
      <c r="BL542" s="39">
        <f t="shared" si="594"/>
        <v>56.931077068769021</v>
      </c>
      <c r="BM542" s="39">
        <f t="shared" si="595"/>
        <v>54.880092355057421</v>
      </c>
      <c r="BN542" s="39">
        <f t="shared" si="596"/>
        <v>73.529248176710524</v>
      </c>
      <c r="BO542" s="39">
        <f t="shared" si="597"/>
        <v>65.414855805604773</v>
      </c>
      <c r="BP542" s="39">
        <f t="shared" si="598"/>
        <v>54.164210775983385</v>
      </c>
      <c r="BQ542" s="39">
        <f t="shared" si="599"/>
        <v>54.374999343161761</v>
      </c>
      <c r="BR542" s="39">
        <f t="shared" si="600"/>
        <v>47.595613550277619</v>
      </c>
      <c r="BS542" s="39">
        <f t="shared" si="601"/>
        <v>0</v>
      </c>
      <c r="BT542" s="39">
        <f t="shared" si="602"/>
        <v>0</v>
      </c>
      <c r="BU542" s="39">
        <f t="shared" si="603"/>
        <v>0</v>
      </c>
      <c r="BV542" s="39">
        <f t="shared" si="604"/>
        <v>0</v>
      </c>
      <c r="BW542" s="39">
        <f t="shared" si="605"/>
        <v>0</v>
      </c>
      <c r="BX542" s="39">
        <f t="shared" si="606"/>
        <v>0</v>
      </c>
      <c r="BY542" s="39">
        <f t="shared" si="607"/>
        <v>0</v>
      </c>
      <c r="BZ542" s="39">
        <f t="shared" si="608"/>
        <v>0</v>
      </c>
      <c r="CA542" s="39">
        <f t="shared" si="609"/>
        <v>52.288172778422094</v>
      </c>
      <c r="CB542" s="39">
        <f t="shared" si="610"/>
        <v>56.931077068769021</v>
      </c>
      <c r="CC542" s="39">
        <f t="shared" si="611"/>
        <v>54.880092355057421</v>
      </c>
      <c r="CD542" s="39">
        <f t="shared" si="612"/>
        <v>73.529248176710524</v>
      </c>
      <c r="CE542" s="39">
        <f t="shared" si="613"/>
        <v>65.414855805604773</v>
      </c>
      <c r="CF542" s="39">
        <f t="shared" si="614"/>
        <v>54.164210775983385</v>
      </c>
      <c r="CG542" s="39">
        <f t="shared" si="615"/>
        <v>54.374999343161761</v>
      </c>
      <c r="CH542" s="39">
        <f t="shared" si="616"/>
        <v>47.595613550277619</v>
      </c>
      <c r="CI542" s="39">
        <f t="shared" si="617"/>
        <v>0</v>
      </c>
      <c r="CJ542" s="39">
        <f t="shared" si="618"/>
        <v>0</v>
      </c>
      <c r="CK542" s="39">
        <f t="shared" si="619"/>
        <v>0</v>
      </c>
      <c r="CL542" s="39">
        <f t="shared" si="620"/>
        <v>0</v>
      </c>
      <c r="CM542" s="39">
        <f t="shared" si="621"/>
        <v>0</v>
      </c>
      <c r="CN542" s="39">
        <f t="shared" si="622"/>
        <v>0</v>
      </c>
      <c r="CO542" s="39">
        <f t="shared" si="623"/>
        <v>0</v>
      </c>
      <c r="CP542" s="39">
        <f t="shared" si="624"/>
        <v>0</v>
      </c>
    </row>
    <row r="543" spans="12:94" ht="16" customHeight="1" x14ac:dyDescent="0.2">
      <c r="L543" s="63">
        <v>30855</v>
      </c>
      <c r="M543" s="38">
        <v>0</v>
      </c>
      <c r="N543" s="38">
        <v>5.6</v>
      </c>
      <c r="O543" s="39">
        <v>2.3664000000000001</v>
      </c>
      <c r="P543" s="39">
        <v>1.1000000000000001</v>
      </c>
      <c r="Q543" s="46">
        <f t="shared" si="555"/>
        <v>0.10482127139509034</v>
      </c>
      <c r="R543" s="81">
        <f t="shared" si="556"/>
        <v>0</v>
      </c>
      <c r="S543" s="82">
        <f t="shared" si="557"/>
        <v>0</v>
      </c>
      <c r="T543" s="39">
        <f t="shared" si="558"/>
        <v>0</v>
      </c>
      <c r="U543" s="83">
        <f t="shared" si="559"/>
        <v>6.16</v>
      </c>
      <c r="V543" s="84">
        <f t="shared" si="560"/>
        <v>0</v>
      </c>
      <c r="W543" s="52">
        <f t="shared" si="561"/>
        <v>88.628590378959075</v>
      </c>
      <c r="X543" s="52">
        <f t="shared" si="562"/>
        <v>80.549679475027546</v>
      </c>
      <c r="Y543" s="52">
        <f t="shared" si="563"/>
        <v>169.17826985398662</v>
      </c>
      <c r="Z543" s="53">
        <f t="shared" si="564"/>
        <v>0.69241086233561777</v>
      </c>
      <c r="AA543" s="53">
        <f t="shared" si="565"/>
        <v>0.47946237782754492</v>
      </c>
      <c r="AB543" s="53">
        <f t="shared" si="566"/>
        <v>0.57154820896617098</v>
      </c>
      <c r="AC543" s="39" t="str">
        <f t="shared" si="567"/>
        <v>No</v>
      </c>
      <c r="AD543" s="85">
        <f t="shared" si="568"/>
        <v>0</v>
      </c>
      <c r="AE543" s="46">
        <f t="shared" si="569"/>
        <v>0</v>
      </c>
      <c r="AF543" s="46">
        <f t="shared" si="570"/>
        <v>2.1257999999999999</v>
      </c>
      <c r="AG543" s="39">
        <f t="shared" si="625"/>
        <v>52.288172778422094</v>
      </c>
      <c r="AH543" s="39">
        <f t="shared" si="626"/>
        <v>56.931077068769021</v>
      </c>
      <c r="AI543" s="39">
        <f t="shared" si="627"/>
        <v>54.880092355057421</v>
      </c>
      <c r="AJ543" s="39">
        <f t="shared" si="628"/>
        <v>73.529248176710524</v>
      </c>
      <c r="AK543" s="39">
        <f t="shared" si="629"/>
        <v>65.414855805604773</v>
      </c>
      <c r="AL543" s="39">
        <f t="shared" si="630"/>
        <v>54.164210775983385</v>
      </c>
      <c r="AM543" s="39">
        <f t="shared" si="631"/>
        <v>54.374999343161761</v>
      </c>
      <c r="AN543" s="39">
        <f t="shared" si="632"/>
        <v>47.595613550277619</v>
      </c>
      <c r="AO543" s="39">
        <f t="shared" si="571"/>
        <v>2.2288172778422095</v>
      </c>
      <c r="AP543" s="39">
        <f t="shared" si="572"/>
        <v>1.8931077068769022</v>
      </c>
      <c r="AQ543" s="39">
        <f t="shared" si="573"/>
        <v>1.8880092355057436</v>
      </c>
      <c r="AR543" s="39">
        <f t="shared" si="574"/>
        <v>2.852924817671052</v>
      </c>
      <c r="AS543" s="39">
        <f t="shared" si="575"/>
        <v>2.341485580560478</v>
      </c>
      <c r="AT543" s="39">
        <f t="shared" si="576"/>
        <v>2.1164210775983379</v>
      </c>
      <c r="AU543" s="39">
        <f t="shared" si="577"/>
        <v>2.1374999343161756</v>
      </c>
      <c r="AV543" s="39">
        <f t="shared" si="578"/>
        <v>1.0144377852811781</v>
      </c>
      <c r="AW543" s="39">
        <f t="shared" si="579"/>
        <v>16.472703415652077</v>
      </c>
      <c r="AX543" s="39">
        <f t="shared" si="580"/>
        <v>6.16</v>
      </c>
      <c r="AY543" s="39">
        <f t="shared" si="581"/>
        <v>6.16</v>
      </c>
      <c r="AZ543" s="39">
        <f t="shared" si="582"/>
        <v>0.83347062622777901</v>
      </c>
      <c r="BA543" s="39">
        <f t="shared" si="583"/>
        <v>0.70793136864718398</v>
      </c>
      <c r="BB543" s="39">
        <f t="shared" si="584"/>
        <v>0.70602478520099055</v>
      </c>
      <c r="BC543" s="39">
        <f t="shared" si="585"/>
        <v>1.0668568742732996</v>
      </c>
      <c r="BD543" s="39">
        <f t="shared" si="586"/>
        <v>0.87560316071419919</v>
      </c>
      <c r="BE543" s="39">
        <f t="shared" si="587"/>
        <v>0.79143984499946041</v>
      </c>
      <c r="BF543" s="39">
        <f t="shared" si="588"/>
        <v>0.79932232513071211</v>
      </c>
      <c r="BG543" s="39">
        <f t="shared" si="589"/>
        <v>0.37935101480637512</v>
      </c>
      <c r="BH543" s="84">
        <f t="shared" si="590"/>
        <v>0</v>
      </c>
      <c r="BI543" s="84">
        <f t="shared" si="591"/>
        <v>0</v>
      </c>
      <c r="BJ543" s="84">
        <f t="shared" si="592"/>
        <v>0</v>
      </c>
      <c r="BK543" s="39">
        <f t="shared" si="593"/>
        <v>51.454702152194315</v>
      </c>
      <c r="BL543" s="39">
        <f t="shared" si="594"/>
        <v>56.22314570012184</v>
      </c>
      <c r="BM543" s="39">
        <f t="shared" si="595"/>
        <v>54.174067569856433</v>
      </c>
      <c r="BN543" s="39">
        <f t="shared" si="596"/>
        <v>72.462391302437226</v>
      </c>
      <c r="BO543" s="39">
        <f t="shared" si="597"/>
        <v>64.539252644890581</v>
      </c>
      <c r="BP543" s="39">
        <f t="shared" si="598"/>
        <v>53.372770930983926</v>
      </c>
      <c r="BQ543" s="39">
        <f t="shared" si="599"/>
        <v>53.575677018031051</v>
      </c>
      <c r="BR543" s="39">
        <f t="shared" si="600"/>
        <v>47.216262535471245</v>
      </c>
      <c r="BS543" s="39">
        <f t="shared" si="601"/>
        <v>0</v>
      </c>
      <c r="BT543" s="39">
        <f t="shared" si="602"/>
        <v>0</v>
      </c>
      <c r="BU543" s="39">
        <f t="shared" si="603"/>
        <v>0</v>
      </c>
      <c r="BV543" s="39">
        <f t="shared" si="604"/>
        <v>0</v>
      </c>
      <c r="BW543" s="39">
        <f t="shared" si="605"/>
        <v>0</v>
      </c>
      <c r="BX543" s="39">
        <f t="shared" si="606"/>
        <v>0</v>
      </c>
      <c r="BY543" s="39">
        <f t="shared" si="607"/>
        <v>0</v>
      </c>
      <c r="BZ543" s="39">
        <f t="shared" si="608"/>
        <v>0</v>
      </c>
      <c r="CA543" s="39">
        <f t="shared" si="609"/>
        <v>51.454702152194315</v>
      </c>
      <c r="CB543" s="39">
        <f t="shared" si="610"/>
        <v>56.22314570012184</v>
      </c>
      <c r="CC543" s="39">
        <f t="shared" si="611"/>
        <v>54.174067569856433</v>
      </c>
      <c r="CD543" s="39">
        <f t="shared" si="612"/>
        <v>72.462391302437226</v>
      </c>
      <c r="CE543" s="39">
        <f t="shared" si="613"/>
        <v>64.539252644890581</v>
      </c>
      <c r="CF543" s="39">
        <f t="shared" si="614"/>
        <v>53.372770930983926</v>
      </c>
      <c r="CG543" s="39">
        <f t="shared" si="615"/>
        <v>53.575677018031051</v>
      </c>
      <c r="CH543" s="39">
        <f t="shared" si="616"/>
        <v>47.216262535471245</v>
      </c>
      <c r="CI543" s="39">
        <f t="shared" si="617"/>
        <v>0</v>
      </c>
      <c r="CJ543" s="39">
        <f t="shared" si="618"/>
        <v>0</v>
      </c>
      <c r="CK543" s="39">
        <f t="shared" si="619"/>
        <v>0</v>
      </c>
      <c r="CL543" s="39">
        <f t="shared" si="620"/>
        <v>0</v>
      </c>
      <c r="CM543" s="39">
        <f t="shared" si="621"/>
        <v>0</v>
      </c>
      <c r="CN543" s="39">
        <f t="shared" si="622"/>
        <v>0</v>
      </c>
      <c r="CO543" s="39">
        <f t="shared" si="623"/>
        <v>0</v>
      </c>
      <c r="CP543" s="39">
        <f t="shared" si="624"/>
        <v>0</v>
      </c>
    </row>
    <row r="544" spans="12:94" ht="16" customHeight="1" x14ac:dyDescent="0.2">
      <c r="L544" s="63">
        <v>30856</v>
      </c>
      <c r="M544" s="38">
        <v>0</v>
      </c>
      <c r="N544" s="38">
        <v>5.7</v>
      </c>
      <c r="O544" s="39">
        <v>2.3664000000000001</v>
      </c>
      <c r="P544" s="39">
        <v>1.1000000000000001</v>
      </c>
      <c r="Q544" s="46">
        <f t="shared" si="555"/>
        <v>0.10651073888068718</v>
      </c>
      <c r="R544" s="81">
        <f t="shared" si="556"/>
        <v>0</v>
      </c>
      <c r="S544" s="82">
        <f t="shared" si="557"/>
        <v>0</v>
      </c>
      <c r="T544" s="39">
        <f t="shared" si="558"/>
        <v>0</v>
      </c>
      <c r="U544" s="83">
        <f t="shared" si="559"/>
        <v>6.2700000000000005</v>
      </c>
      <c r="V544" s="84">
        <f t="shared" si="560"/>
        <v>0</v>
      </c>
      <c r="W544" s="52">
        <f t="shared" si="561"/>
        <v>85.314306724609793</v>
      </c>
      <c r="X544" s="52">
        <f t="shared" si="562"/>
        <v>77.703963129376802</v>
      </c>
      <c r="Y544" s="52">
        <f t="shared" si="563"/>
        <v>163.0182698539866</v>
      </c>
      <c r="Z544" s="53">
        <f t="shared" si="564"/>
        <v>0.66651802128601401</v>
      </c>
      <c r="AA544" s="53">
        <f t="shared" si="565"/>
        <v>0.46252359005581428</v>
      </c>
      <c r="AB544" s="53">
        <f t="shared" si="566"/>
        <v>0.55073739815536016</v>
      </c>
      <c r="AC544" s="39" t="str">
        <f t="shared" si="567"/>
        <v>No</v>
      </c>
      <c r="AD544" s="85">
        <f t="shared" si="568"/>
        <v>0</v>
      </c>
      <c r="AE544" s="46">
        <f t="shared" si="569"/>
        <v>0</v>
      </c>
      <c r="AF544" s="46">
        <f t="shared" si="570"/>
        <v>2.1257999999999999</v>
      </c>
      <c r="AG544" s="39">
        <f t="shared" si="625"/>
        <v>51.454702152194315</v>
      </c>
      <c r="AH544" s="39">
        <f t="shared" si="626"/>
        <v>56.22314570012184</v>
      </c>
      <c r="AI544" s="39">
        <f t="shared" si="627"/>
        <v>54.174067569856433</v>
      </c>
      <c r="AJ544" s="39">
        <f t="shared" si="628"/>
        <v>72.462391302437226</v>
      </c>
      <c r="AK544" s="39">
        <f t="shared" si="629"/>
        <v>64.539252644890581</v>
      </c>
      <c r="AL544" s="39">
        <f t="shared" si="630"/>
        <v>53.372770930983926</v>
      </c>
      <c r="AM544" s="39">
        <f t="shared" si="631"/>
        <v>53.575677018031051</v>
      </c>
      <c r="AN544" s="39">
        <f t="shared" si="632"/>
        <v>47.216262535471245</v>
      </c>
      <c r="AO544" s="39">
        <f t="shared" si="571"/>
        <v>2.1454702152194316</v>
      </c>
      <c r="AP544" s="39">
        <f t="shared" si="572"/>
        <v>1.8223145700121841</v>
      </c>
      <c r="AQ544" s="39">
        <f t="shared" si="573"/>
        <v>1.8174067569856449</v>
      </c>
      <c r="AR544" s="39">
        <f t="shared" si="574"/>
        <v>2.7462391302437221</v>
      </c>
      <c r="AS544" s="39">
        <f t="shared" si="575"/>
        <v>2.2539252644890588</v>
      </c>
      <c r="AT544" s="39">
        <f t="shared" si="576"/>
        <v>1.9764275971730634</v>
      </c>
      <c r="AU544" s="39">
        <f t="shared" si="577"/>
        <v>2.0159927845253849</v>
      </c>
      <c r="AV544" s="39">
        <f t="shared" si="578"/>
        <v>0.96239104989258606</v>
      </c>
      <c r="AW544" s="39">
        <f t="shared" si="579"/>
        <v>15.740167368541078</v>
      </c>
      <c r="AX544" s="39">
        <f t="shared" si="580"/>
        <v>6.2700000000000005</v>
      </c>
      <c r="AY544" s="39">
        <f t="shared" si="581"/>
        <v>6.2700000000000005</v>
      </c>
      <c r="AZ544" s="39">
        <f t="shared" si="582"/>
        <v>0.85463501972105671</v>
      </c>
      <c r="BA544" s="39">
        <f t="shared" si="583"/>
        <v>0.72590793264452047</v>
      </c>
      <c r="BB544" s="39">
        <f t="shared" si="584"/>
        <v>0.72395293515587211</v>
      </c>
      <c r="BC544" s="39">
        <f t="shared" si="585"/>
        <v>1.0939476654512934</v>
      </c>
      <c r="BD544" s="39">
        <f t="shared" si="586"/>
        <v>0.89783742939045219</v>
      </c>
      <c r="BE544" s="39">
        <f t="shared" si="587"/>
        <v>0.78729792029039369</v>
      </c>
      <c r="BF544" s="39">
        <f t="shared" si="588"/>
        <v>0.80305847218864512</v>
      </c>
      <c r="BG544" s="39">
        <f t="shared" si="589"/>
        <v>0.38336262515776609</v>
      </c>
      <c r="BH544" s="84">
        <f t="shared" si="590"/>
        <v>0</v>
      </c>
      <c r="BI544" s="84">
        <f t="shared" si="591"/>
        <v>0</v>
      </c>
      <c r="BJ544" s="84">
        <f t="shared" si="592"/>
        <v>0</v>
      </c>
      <c r="BK544" s="39">
        <f t="shared" si="593"/>
        <v>50.600067132473256</v>
      </c>
      <c r="BL544" s="39">
        <f t="shared" si="594"/>
        <v>55.497237767477323</v>
      </c>
      <c r="BM544" s="39">
        <f t="shared" si="595"/>
        <v>53.450114634700562</v>
      </c>
      <c r="BN544" s="39">
        <f t="shared" si="596"/>
        <v>71.36844363698593</v>
      </c>
      <c r="BO544" s="39">
        <f t="shared" si="597"/>
        <v>63.641415215500132</v>
      </c>
      <c r="BP544" s="39">
        <f t="shared" si="598"/>
        <v>52.585473010693534</v>
      </c>
      <c r="BQ544" s="39">
        <f t="shared" si="599"/>
        <v>52.772618545842406</v>
      </c>
      <c r="BR544" s="39">
        <f t="shared" si="600"/>
        <v>46.832899910313479</v>
      </c>
      <c r="BS544" s="39">
        <f t="shared" si="601"/>
        <v>0</v>
      </c>
      <c r="BT544" s="39">
        <f t="shared" si="602"/>
        <v>0</v>
      </c>
      <c r="BU544" s="39">
        <f t="shared" si="603"/>
        <v>0</v>
      </c>
      <c r="BV544" s="39">
        <f t="shared" si="604"/>
        <v>0</v>
      </c>
      <c r="BW544" s="39">
        <f t="shared" si="605"/>
        <v>0</v>
      </c>
      <c r="BX544" s="39">
        <f t="shared" si="606"/>
        <v>0</v>
      </c>
      <c r="BY544" s="39">
        <f t="shared" si="607"/>
        <v>0</v>
      </c>
      <c r="BZ544" s="39">
        <f t="shared" si="608"/>
        <v>0</v>
      </c>
      <c r="CA544" s="39">
        <f t="shared" si="609"/>
        <v>50.600067132473256</v>
      </c>
      <c r="CB544" s="39">
        <f t="shared" si="610"/>
        <v>55.497237767477323</v>
      </c>
      <c r="CC544" s="39">
        <f t="shared" si="611"/>
        <v>53.450114634700562</v>
      </c>
      <c r="CD544" s="39">
        <f t="shared" si="612"/>
        <v>71.36844363698593</v>
      </c>
      <c r="CE544" s="39">
        <f t="shared" si="613"/>
        <v>63.641415215500132</v>
      </c>
      <c r="CF544" s="39">
        <f t="shared" si="614"/>
        <v>52.585473010693534</v>
      </c>
      <c r="CG544" s="39">
        <f t="shared" si="615"/>
        <v>52.772618545842406</v>
      </c>
      <c r="CH544" s="39">
        <f t="shared" si="616"/>
        <v>46.832899910313479</v>
      </c>
      <c r="CI544" s="39">
        <f t="shared" si="617"/>
        <v>0</v>
      </c>
      <c r="CJ544" s="39">
        <f t="shared" si="618"/>
        <v>0</v>
      </c>
      <c r="CK544" s="39">
        <f t="shared" si="619"/>
        <v>0</v>
      </c>
      <c r="CL544" s="39">
        <f t="shared" si="620"/>
        <v>0</v>
      </c>
      <c r="CM544" s="39">
        <f t="shared" si="621"/>
        <v>0</v>
      </c>
      <c r="CN544" s="39">
        <f t="shared" si="622"/>
        <v>0</v>
      </c>
      <c r="CO544" s="39">
        <f t="shared" si="623"/>
        <v>0</v>
      </c>
      <c r="CP544" s="39">
        <f t="shared" si="624"/>
        <v>0</v>
      </c>
    </row>
    <row r="545" spans="12:94" ht="16" customHeight="1" x14ac:dyDescent="0.2">
      <c r="L545" s="63">
        <v>30857</v>
      </c>
      <c r="M545" s="38">
        <v>0</v>
      </c>
      <c r="N545" s="38">
        <v>6</v>
      </c>
      <c r="O545" s="39">
        <v>2.3664000000000001</v>
      </c>
      <c r="P545" s="39">
        <v>1.1000000000000001</v>
      </c>
      <c r="Q545" s="46">
        <f t="shared" si="555"/>
        <v>0.10824310716390556</v>
      </c>
      <c r="R545" s="81">
        <f t="shared" si="556"/>
        <v>0</v>
      </c>
      <c r="S545" s="82">
        <f t="shared" si="557"/>
        <v>0</v>
      </c>
      <c r="T545" s="39">
        <f t="shared" si="558"/>
        <v>0</v>
      </c>
      <c r="U545" s="83">
        <f t="shared" si="559"/>
        <v>6.6000000000000005</v>
      </c>
      <c r="V545" s="84">
        <f t="shared" si="560"/>
        <v>0</v>
      </c>
      <c r="W545" s="52">
        <f t="shared" si="561"/>
        <v>81.915863171637056</v>
      </c>
      <c r="X545" s="52">
        <f t="shared" si="562"/>
        <v>74.832406682349529</v>
      </c>
      <c r="Y545" s="52">
        <f t="shared" si="563"/>
        <v>156.74826985398659</v>
      </c>
      <c r="Z545" s="53">
        <f t="shared" si="564"/>
        <v>0.6399676810284145</v>
      </c>
      <c r="AA545" s="53">
        <f t="shared" si="565"/>
        <v>0.44543099215684245</v>
      </c>
      <c r="AB545" s="53">
        <f t="shared" si="566"/>
        <v>0.52955496572292771</v>
      </c>
      <c r="AC545" s="39" t="str">
        <f t="shared" si="567"/>
        <v>No</v>
      </c>
      <c r="AD545" s="85">
        <f t="shared" si="568"/>
        <v>0</v>
      </c>
      <c r="AE545" s="46">
        <f t="shared" si="569"/>
        <v>0</v>
      </c>
      <c r="AF545" s="46">
        <f t="shared" si="570"/>
        <v>2.1257999999999999</v>
      </c>
      <c r="AG545" s="39">
        <f t="shared" si="625"/>
        <v>50.600067132473256</v>
      </c>
      <c r="AH545" s="39">
        <f t="shared" si="626"/>
        <v>55.497237767477323</v>
      </c>
      <c r="AI545" s="39">
        <f t="shared" si="627"/>
        <v>53.450114634700562</v>
      </c>
      <c r="AJ545" s="39">
        <f t="shared" si="628"/>
        <v>71.36844363698593</v>
      </c>
      <c r="AK545" s="39">
        <f t="shared" si="629"/>
        <v>63.641415215500132</v>
      </c>
      <c r="AL545" s="39">
        <f t="shared" si="630"/>
        <v>52.585473010693534</v>
      </c>
      <c r="AM545" s="39">
        <f t="shared" si="631"/>
        <v>52.772618545842406</v>
      </c>
      <c r="AN545" s="39">
        <f t="shared" si="632"/>
        <v>46.832899910313479</v>
      </c>
      <c r="AO545" s="39">
        <f t="shared" si="571"/>
        <v>2.0600067132473256</v>
      </c>
      <c r="AP545" s="39">
        <f t="shared" si="572"/>
        <v>1.7497237767477323</v>
      </c>
      <c r="AQ545" s="39">
        <f t="shared" si="573"/>
        <v>1.7450114634700578</v>
      </c>
      <c r="AR545" s="39">
        <f t="shared" si="574"/>
        <v>2.6368443636985925</v>
      </c>
      <c r="AS545" s="39">
        <f t="shared" si="575"/>
        <v>2.1641415215500142</v>
      </c>
      <c r="AT545" s="39">
        <f t="shared" si="576"/>
        <v>1.8266226335838311</v>
      </c>
      <c r="AU545" s="39">
        <f t="shared" si="577"/>
        <v>1.8616973531399559</v>
      </c>
      <c r="AV545" s="39">
        <f t="shared" si="578"/>
        <v>0.91118628537500213</v>
      </c>
      <c r="AW545" s="39">
        <f t="shared" si="579"/>
        <v>14.955234110812512</v>
      </c>
      <c r="AX545" s="39">
        <f t="shared" si="580"/>
        <v>6.6000000000000005</v>
      </c>
      <c r="AY545" s="39">
        <f t="shared" si="581"/>
        <v>6.6000000000000005</v>
      </c>
      <c r="AZ545" s="39">
        <f t="shared" si="582"/>
        <v>0.90911611324108399</v>
      </c>
      <c r="BA545" s="39">
        <f t="shared" si="583"/>
        <v>0.77218295888700239</v>
      </c>
      <c r="BB545" s="39">
        <f t="shared" si="584"/>
        <v>0.77010333462955494</v>
      </c>
      <c r="BC545" s="39">
        <f t="shared" si="585"/>
        <v>1.163684411187409</v>
      </c>
      <c r="BD545" s="39">
        <f t="shared" si="586"/>
        <v>0.95507258103725445</v>
      </c>
      <c r="BE545" s="39">
        <f t="shared" si="587"/>
        <v>0.80611973656347569</v>
      </c>
      <c r="BF545" s="39">
        <f t="shared" si="588"/>
        <v>0.82159880879699254</v>
      </c>
      <c r="BG545" s="39">
        <f t="shared" si="589"/>
        <v>0.40212205565722736</v>
      </c>
      <c r="BH545" s="84">
        <f t="shared" si="590"/>
        <v>0</v>
      </c>
      <c r="BI545" s="84">
        <f t="shared" si="591"/>
        <v>0</v>
      </c>
      <c r="BJ545" s="84">
        <f t="shared" si="592"/>
        <v>0</v>
      </c>
      <c r="BK545" s="39">
        <f t="shared" si="593"/>
        <v>49.690951019232173</v>
      </c>
      <c r="BL545" s="39">
        <f t="shared" si="594"/>
        <v>54.725054808590322</v>
      </c>
      <c r="BM545" s="39">
        <f t="shared" si="595"/>
        <v>52.680011300071008</v>
      </c>
      <c r="BN545" s="39">
        <f t="shared" si="596"/>
        <v>70.204759225798526</v>
      </c>
      <c r="BO545" s="39">
        <f t="shared" si="597"/>
        <v>62.686342634462875</v>
      </c>
      <c r="BP545" s="39">
        <f t="shared" si="598"/>
        <v>51.77935327413006</v>
      </c>
      <c r="BQ545" s="39">
        <f t="shared" si="599"/>
        <v>51.951019737045414</v>
      </c>
      <c r="BR545" s="39">
        <f t="shared" si="600"/>
        <v>46.430777854656249</v>
      </c>
      <c r="BS545" s="39">
        <f t="shared" si="601"/>
        <v>0</v>
      </c>
      <c r="BT545" s="39">
        <f t="shared" si="602"/>
        <v>0</v>
      </c>
      <c r="BU545" s="39">
        <f t="shared" si="603"/>
        <v>0</v>
      </c>
      <c r="BV545" s="39">
        <f t="shared" si="604"/>
        <v>0</v>
      </c>
      <c r="BW545" s="39">
        <f t="shared" si="605"/>
        <v>0</v>
      </c>
      <c r="BX545" s="39">
        <f t="shared" si="606"/>
        <v>0</v>
      </c>
      <c r="BY545" s="39">
        <f t="shared" si="607"/>
        <v>0</v>
      </c>
      <c r="BZ545" s="39">
        <f t="shared" si="608"/>
        <v>0</v>
      </c>
      <c r="CA545" s="39">
        <f t="shared" si="609"/>
        <v>49.690951019232173</v>
      </c>
      <c r="CB545" s="39">
        <f t="shared" si="610"/>
        <v>54.725054808590322</v>
      </c>
      <c r="CC545" s="39">
        <f t="shared" si="611"/>
        <v>52.680011300071008</v>
      </c>
      <c r="CD545" s="39">
        <f t="shared" si="612"/>
        <v>70.204759225798526</v>
      </c>
      <c r="CE545" s="39">
        <f t="shared" si="613"/>
        <v>62.686342634462875</v>
      </c>
      <c r="CF545" s="39">
        <f t="shared" si="614"/>
        <v>51.77935327413006</v>
      </c>
      <c r="CG545" s="39">
        <f t="shared" si="615"/>
        <v>51.951019737045414</v>
      </c>
      <c r="CH545" s="39">
        <f t="shared" si="616"/>
        <v>46.430777854656249</v>
      </c>
      <c r="CI545" s="39">
        <f t="shared" si="617"/>
        <v>0</v>
      </c>
      <c r="CJ545" s="39">
        <f t="shared" si="618"/>
        <v>0</v>
      </c>
      <c r="CK545" s="39">
        <f t="shared" si="619"/>
        <v>0</v>
      </c>
      <c r="CL545" s="39">
        <f t="shared" si="620"/>
        <v>0</v>
      </c>
      <c r="CM545" s="39">
        <f t="shared" si="621"/>
        <v>0</v>
      </c>
      <c r="CN545" s="39">
        <f t="shared" si="622"/>
        <v>0</v>
      </c>
      <c r="CO545" s="39">
        <f t="shared" si="623"/>
        <v>0</v>
      </c>
      <c r="CP545" s="39">
        <f t="shared" si="624"/>
        <v>0</v>
      </c>
    </row>
    <row r="546" spans="12:94" ht="16" customHeight="1" x14ac:dyDescent="0.2">
      <c r="L546" s="63">
        <v>30858</v>
      </c>
      <c r="M546" s="38">
        <v>0</v>
      </c>
      <c r="N546" s="38">
        <v>5.6</v>
      </c>
      <c r="O546" s="39">
        <v>2.3664000000000001</v>
      </c>
      <c r="P546" s="39">
        <v>1.1000000000000001</v>
      </c>
      <c r="Q546" s="46">
        <f t="shared" si="555"/>
        <v>0.110085910096151</v>
      </c>
      <c r="R546" s="81">
        <f t="shared" si="556"/>
        <v>0</v>
      </c>
      <c r="S546" s="82">
        <f t="shared" si="557"/>
        <v>0</v>
      </c>
      <c r="T546" s="39">
        <f t="shared" si="558"/>
        <v>0</v>
      </c>
      <c r="U546" s="83">
        <f t="shared" si="559"/>
        <v>6.16</v>
      </c>
      <c r="V546" s="84">
        <f t="shared" si="560"/>
        <v>0</v>
      </c>
      <c r="W546" s="52">
        <f t="shared" si="561"/>
        <v>78.300776353692015</v>
      </c>
      <c r="X546" s="52">
        <f t="shared" si="562"/>
        <v>71.847493500294604</v>
      </c>
      <c r="Y546" s="52">
        <f t="shared" si="563"/>
        <v>150.14826985398662</v>
      </c>
      <c r="Z546" s="53">
        <f t="shared" si="564"/>
        <v>0.61172481526321887</v>
      </c>
      <c r="AA546" s="53">
        <f t="shared" si="565"/>
        <v>0.4276636517874679</v>
      </c>
      <c r="AB546" s="53">
        <f t="shared" si="566"/>
        <v>0.50725766842563047</v>
      </c>
      <c r="AC546" s="39" t="str">
        <f t="shared" si="567"/>
        <v>No</v>
      </c>
      <c r="AD546" s="85">
        <f t="shared" si="568"/>
        <v>0</v>
      </c>
      <c r="AE546" s="46">
        <f t="shared" si="569"/>
        <v>0</v>
      </c>
      <c r="AF546" s="46">
        <f t="shared" si="570"/>
        <v>2.1257999999999999</v>
      </c>
      <c r="AG546" s="39">
        <f t="shared" si="625"/>
        <v>49.690951019232173</v>
      </c>
      <c r="AH546" s="39">
        <f t="shared" si="626"/>
        <v>54.725054808590322</v>
      </c>
      <c r="AI546" s="39">
        <f t="shared" si="627"/>
        <v>52.680011300071008</v>
      </c>
      <c r="AJ546" s="39">
        <f t="shared" si="628"/>
        <v>70.204759225798526</v>
      </c>
      <c r="AK546" s="39">
        <f t="shared" si="629"/>
        <v>62.686342634462875</v>
      </c>
      <c r="AL546" s="39">
        <f t="shared" si="630"/>
        <v>51.77935327413006</v>
      </c>
      <c r="AM546" s="39">
        <f t="shared" si="631"/>
        <v>51.951019737045414</v>
      </c>
      <c r="AN546" s="39">
        <f t="shared" si="632"/>
        <v>46.430777854656249</v>
      </c>
      <c r="AO546" s="39">
        <f t="shared" si="571"/>
        <v>1.9690951019232175</v>
      </c>
      <c r="AP546" s="39">
        <f t="shared" si="572"/>
        <v>1.6725054808590323</v>
      </c>
      <c r="AQ546" s="39">
        <f t="shared" si="573"/>
        <v>1.6680011300071023</v>
      </c>
      <c r="AR546" s="39">
        <f t="shared" si="574"/>
        <v>2.5204759225798519</v>
      </c>
      <c r="AS546" s="39">
        <f t="shared" si="575"/>
        <v>2.0377370075733183</v>
      </c>
      <c r="AT546" s="39">
        <f t="shared" si="576"/>
        <v>1.6793529018789479</v>
      </c>
      <c r="AU546" s="39">
        <f t="shared" si="577"/>
        <v>1.7101959479708784</v>
      </c>
      <c r="AV546" s="39">
        <f t="shared" si="578"/>
        <v>0.85897997038630713</v>
      </c>
      <c r="AW546" s="39">
        <f t="shared" si="579"/>
        <v>14.116343463178655</v>
      </c>
      <c r="AX546" s="39">
        <f t="shared" si="580"/>
        <v>6.16</v>
      </c>
      <c r="AY546" s="39">
        <f t="shared" si="581"/>
        <v>6.16</v>
      </c>
      <c r="AZ546" s="39">
        <f t="shared" si="582"/>
        <v>0.8592611719519414</v>
      </c>
      <c r="BA546" s="39">
        <f t="shared" si="583"/>
        <v>0.72983728321468155</v>
      </c>
      <c r="BB546" s="39">
        <f t="shared" si="584"/>
        <v>0.72787170329518869</v>
      </c>
      <c r="BC546" s="39">
        <f t="shared" si="585"/>
        <v>1.099869220637097</v>
      </c>
      <c r="BD546" s="39">
        <f t="shared" si="586"/>
        <v>0.8892146892992312</v>
      </c>
      <c r="BE546" s="39">
        <f t="shared" si="587"/>
        <v>0.73282531716219101</v>
      </c>
      <c r="BF546" s="39">
        <f t="shared" si="588"/>
        <v>0.74628440905959859</v>
      </c>
      <c r="BG546" s="39">
        <f t="shared" si="589"/>
        <v>0.37483620538007068</v>
      </c>
      <c r="BH546" s="84">
        <f t="shared" si="590"/>
        <v>0</v>
      </c>
      <c r="BI546" s="84">
        <f t="shared" si="591"/>
        <v>0</v>
      </c>
      <c r="BJ546" s="84">
        <f t="shared" si="592"/>
        <v>0</v>
      </c>
      <c r="BK546" s="39">
        <f t="shared" si="593"/>
        <v>48.831689847280231</v>
      </c>
      <c r="BL546" s="39">
        <f t="shared" si="594"/>
        <v>53.995217525375644</v>
      </c>
      <c r="BM546" s="39">
        <f t="shared" si="595"/>
        <v>51.952139596775822</v>
      </c>
      <c r="BN546" s="39">
        <f t="shared" si="596"/>
        <v>69.104890005161423</v>
      </c>
      <c r="BO546" s="39">
        <f t="shared" si="597"/>
        <v>61.797127945163645</v>
      </c>
      <c r="BP546" s="39">
        <f t="shared" si="598"/>
        <v>51.046527956967871</v>
      </c>
      <c r="BQ546" s="39">
        <f t="shared" si="599"/>
        <v>51.204735327985816</v>
      </c>
      <c r="BR546" s="39">
        <f t="shared" si="600"/>
        <v>46.055941649276178</v>
      </c>
      <c r="BS546" s="39">
        <f t="shared" si="601"/>
        <v>0</v>
      </c>
      <c r="BT546" s="39">
        <f t="shared" si="602"/>
        <v>0</v>
      </c>
      <c r="BU546" s="39">
        <f t="shared" si="603"/>
        <v>0</v>
      </c>
      <c r="BV546" s="39">
        <f t="shared" si="604"/>
        <v>0</v>
      </c>
      <c r="BW546" s="39">
        <f t="shared" si="605"/>
        <v>0</v>
      </c>
      <c r="BX546" s="39">
        <f t="shared" si="606"/>
        <v>0</v>
      </c>
      <c r="BY546" s="39">
        <f t="shared" si="607"/>
        <v>0</v>
      </c>
      <c r="BZ546" s="39">
        <f t="shared" si="608"/>
        <v>0</v>
      </c>
      <c r="CA546" s="39">
        <f t="shared" si="609"/>
        <v>48.831689847280231</v>
      </c>
      <c r="CB546" s="39">
        <f t="shared" si="610"/>
        <v>53.995217525375644</v>
      </c>
      <c r="CC546" s="39">
        <f t="shared" si="611"/>
        <v>51.952139596775822</v>
      </c>
      <c r="CD546" s="39">
        <f t="shared" si="612"/>
        <v>69.104890005161423</v>
      </c>
      <c r="CE546" s="39">
        <f t="shared" si="613"/>
        <v>61.797127945163645</v>
      </c>
      <c r="CF546" s="39">
        <f t="shared" si="614"/>
        <v>51.046527956967871</v>
      </c>
      <c r="CG546" s="39">
        <f t="shared" si="615"/>
        <v>51.204735327985816</v>
      </c>
      <c r="CH546" s="39">
        <f t="shared" si="616"/>
        <v>46.055941649276178</v>
      </c>
      <c r="CI546" s="39">
        <f t="shared" si="617"/>
        <v>0</v>
      </c>
      <c r="CJ546" s="39">
        <f t="shared" si="618"/>
        <v>0</v>
      </c>
      <c r="CK546" s="39">
        <f t="shared" si="619"/>
        <v>0</v>
      </c>
      <c r="CL546" s="39">
        <f t="shared" si="620"/>
        <v>0</v>
      </c>
      <c r="CM546" s="39">
        <f t="shared" si="621"/>
        <v>0</v>
      </c>
      <c r="CN546" s="39">
        <f t="shared" si="622"/>
        <v>0</v>
      </c>
      <c r="CO546" s="39">
        <f t="shared" si="623"/>
        <v>0</v>
      </c>
      <c r="CP546" s="39">
        <f t="shared" si="624"/>
        <v>0</v>
      </c>
    </row>
    <row r="547" spans="12:94" ht="16" customHeight="1" x14ac:dyDescent="0.2">
      <c r="L547" s="63">
        <v>30859</v>
      </c>
      <c r="M547" s="38">
        <v>0</v>
      </c>
      <c r="N547" s="38">
        <v>4.8</v>
      </c>
      <c r="O547" s="39">
        <v>2.3664000000000001</v>
      </c>
      <c r="P547" s="39">
        <v>1.1000000000000001</v>
      </c>
      <c r="Q547" s="46">
        <f t="shared" si="555"/>
        <v>0.1118276557149725</v>
      </c>
      <c r="R547" s="81">
        <f t="shared" si="556"/>
        <v>0</v>
      </c>
      <c r="S547" s="82">
        <f t="shared" si="557"/>
        <v>0</v>
      </c>
      <c r="T547" s="39">
        <f t="shared" si="558"/>
        <v>0</v>
      </c>
      <c r="U547" s="83">
        <f t="shared" si="559"/>
        <v>5.28</v>
      </c>
      <c r="V547" s="84">
        <f t="shared" si="560"/>
        <v>0</v>
      </c>
      <c r="W547" s="52">
        <f t="shared" si="561"/>
        <v>74.883936974593126</v>
      </c>
      <c r="X547" s="52">
        <f t="shared" si="562"/>
        <v>69.104332879393496</v>
      </c>
      <c r="Y547" s="52">
        <f t="shared" si="563"/>
        <v>143.98826985398662</v>
      </c>
      <c r="Z547" s="53">
        <f t="shared" si="564"/>
        <v>0.5850307576140088</v>
      </c>
      <c r="AA547" s="53">
        <f t="shared" si="565"/>
        <v>0.4113353147582946</v>
      </c>
      <c r="AB547" s="53">
        <f t="shared" si="566"/>
        <v>0.48644685761481965</v>
      </c>
      <c r="AC547" s="39" t="str">
        <f t="shared" si="567"/>
        <v>No</v>
      </c>
      <c r="AD547" s="85">
        <f t="shared" si="568"/>
        <v>0</v>
      </c>
      <c r="AE547" s="46">
        <f t="shared" si="569"/>
        <v>0</v>
      </c>
      <c r="AF547" s="46">
        <f t="shared" si="570"/>
        <v>2.1257999999999999</v>
      </c>
      <c r="AG547" s="39">
        <f t="shared" si="625"/>
        <v>48.831689847280231</v>
      </c>
      <c r="AH547" s="39">
        <f t="shared" si="626"/>
        <v>53.995217525375644</v>
      </c>
      <c r="AI547" s="39">
        <f t="shared" si="627"/>
        <v>51.952139596775822</v>
      </c>
      <c r="AJ547" s="39">
        <f t="shared" si="628"/>
        <v>69.104890005161423</v>
      </c>
      <c r="AK547" s="39">
        <f t="shared" si="629"/>
        <v>61.797127945163645</v>
      </c>
      <c r="AL547" s="39">
        <f t="shared" si="630"/>
        <v>51.046527956967871</v>
      </c>
      <c r="AM547" s="39">
        <f t="shared" si="631"/>
        <v>51.204735327985816</v>
      </c>
      <c r="AN547" s="39">
        <f t="shared" si="632"/>
        <v>46.055941649276178</v>
      </c>
      <c r="AO547" s="39">
        <f t="shared" si="571"/>
        <v>1.8831689847280231</v>
      </c>
      <c r="AP547" s="39">
        <f t="shared" si="572"/>
        <v>1.5995217525375645</v>
      </c>
      <c r="AQ547" s="39">
        <f t="shared" si="573"/>
        <v>1.5952139596775838</v>
      </c>
      <c r="AR547" s="39">
        <f t="shared" si="574"/>
        <v>2.4104890005161419</v>
      </c>
      <c r="AS547" s="39">
        <f t="shared" si="575"/>
        <v>1.8663155946532366</v>
      </c>
      <c r="AT547" s="39">
        <f t="shared" si="576"/>
        <v>1.55084367286487</v>
      </c>
      <c r="AU547" s="39">
        <f t="shared" si="577"/>
        <v>1.5781542302953073</v>
      </c>
      <c r="AV547" s="39">
        <f t="shared" si="578"/>
        <v>0.81170291594906752</v>
      </c>
      <c r="AW547" s="39">
        <f t="shared" si="579"/>
        <v>13.295410111221797</v>
      </c>
      <c r="AX547" s="39">
        <f t="shared" si="580"/>
        <v>5.28</v>
      </c>
      <c r="AY547" s="39">
        <f t="shared" si="581"/>
        <v>5.28</v>
      </c>
      <c r="AZ547" s="39">
        <f t="shared" si="582"/>
        <v>0.74786201825933951</v>
      </c>
      <c r="BA547" s="39">
        <f t="shared" si="583"/>
        <v>0.63521732558441812</v>
      </c>
      <c r="BB547" s="39">
        <f t="shared" si="584"/>
        <v>0.63350657382043152</v>
      </c>
      <c r="BC547" s="39">
        <f t="shared" si="585"/>
        <v>0.95727636953318729</v>
      </c>
      <c r="BD547" s="39">
        <f t="shared" si="586"/>
        <v>0.7411690393402639</v>
      </c>
      <c r="BE547" s="39">
        <f t="shared" si="587"/>
        <v>0.61588582256783253</v>
      </c>
      <c r="BF547" s="39">
        <f t="shared" si="588"/>
        <v>0.62673165146866494</v>
      </c>
      <c r="BG547" s="39">
        <f t="shared" si="589"/>
        <v>0.32235119942586177</v>
      </c>
      <c r="BH547" s="84">
        <f t="shared" si="590"/>
        <v>0</v>
      </c>
      <c r="BI547" s="84">
        <f t="shared" si="591"/>
        <v>0</v>
      </c>
      <c r="BJ547" s="84">
        <f t="shared" si="592"/>
        <v>0</v>
      </c>
      <c r="BK547" s="39">
        <f t="shared" si="593"/>
        <v>48.08382782902089</v>
      </c>
      <c r="BL547" s="39">
        <f t="shared" si="594"/>
        <v>53.360000199791223</v>
      </c>
      <c r="BM547" s="39">
        <f t="shared" si="595"/>
        <v>51.318633022955389</v>
      </c>
      <c r="BN547" s="39">
        <f t="shared" si="596"/>
        <v>68.147613635628232</v>
      </c>
      <c r="BO547" s="39">
        <f t="shared" si="597"/>
        <v>61.055958905823381</v>
      </c>
      <c r="BP547" s="39">
        <f t="shared" si="598"/>
        <v>50.430642134400038</v>
      </c>
      <c r="BQ547" s="39">
        <f t="shared" si="599"/>
        <v>50.578003676517149</v>
      </c>
      <c r="BR547" s="39">
        <f t="shared" si="600"/>
        <v>45.733590449850318</v>
      </c>
      <c r="BS547" s="39">
        <f t="shared" si="601"/>
        <v>0</v>
      </c>
      <c r="BT547" s="39">
        <f t="shared" si="602"/>
        <v>0</v>
      </c>
      <c r="BU547" s="39">
        <f t="shared" si="603"/>
        <v>0</v>
      </c>
      <c r="BV547" s="39">
        <f t="shared" si="604"/>
        <v>0</v>
      </c>
      <c r="BW547" s="39">
        <f t="shared" si="605"/>
        <v>0</v>
      </c>
      <c r="BX547" s="39">
        <f t="shared" si="606"/>
        <v>0</v>
      </c>
      <c r="BY547" s="39">
        <f t="shared" si="607"/>
        <v>0</v>
      </c>
      <c r="BZ547" s="39">
        <f t="shared" si="608"/>
        <v>0</v>
      </c>
      <c r="CA547" s="39">
        <f t="shared" si="609"/>
        <v>48.08382782902089</v>
      </c>
      <c r="CB547" s="39">
        <f t="shared" si="610"/>
        <v>53.360000199791223</v>
      </c>
      <c r="CC547" s="39">
        <f t="shared" si="611"/>
        <v>51.318633022955389</v>
      </c>
      <c r="CD547" s="39">
        <f t="shared" si="612"/>
        <v>68.147613635628232</v>
      </c>
      <c r="CE547" s="39">
        <f t="shared" si="613"/>
        <v>61.055958905823381</v>
      </c>
      <c r="CF547" s="39">
        <f t="shared" si="614"/>
        <v>50.430642134400038</v>
      </c>
      <c r="CG547" s="39">
        <f t="shared" si="615"/>
        <v>50.578003676517149</v>
      </c>
      <c r="CH547" s="39">
        <f t="shared" si="616"/>
        <v>45.733590449850318</v>
      </c>
      <c r="CI547" s="39">
        <f t="shared" si="617"/>
        <v>0</v>
      </c>
      <c r="CJ547" s="39">
        <f t="shared" si="618"/>
        <v>0</v>
      </c>
      <c r="CK547" s="39">
        <f t="shared" si="619"/>
        <v>0</v>
      </c>
      <c r="CL547" s="39">
        <f t="shared" si="620"/>
        <v>0</v>
      </c>
      <c r="CM547" s="39">
        <f t="shared" si="621"/>
        <v>0</v>
      </c>
      <c r="CN547" s="39">
        <f t="shared" si="622"/>
        <v>0</v>
      </c>
      <c r="CO547" s="39">
        <f t="shared" si="623"/>
        <v>0</v>
      </c>
      <c r="CP547" s="39">
        <f t="shared" si="624"/>
        <v>0</v>
      </c>
    </row>
    <row r="548" spans="12:94" ht="16" customHeight="1" x14ac:dyDescent="0.2">
      <c r="L548" s="63">
        <v>30860</v>
      </c>
      <c r="M548" s="38">
        <v>0</v>
      </c>
      <c r="N548" s="38">
        <v>5.4</v>
      </c>
      <c r="O548" s="39">
        <v>2.3664000000000001</v>
      </c>
      <c r="P548" s="39">
        <v>1.1000000000000001</v>
      </c>
      <c r="Q548" s="46">
        <f t="shared" si="555"/>
        <v>0.11334359223847117</v>
      </c>
      <c r="R548" s="81">
        <f t="shared" si="556"/>
        <v>0</v>
      </c>
      <c r="S548" s="82">
        <f t="shared" si="557"/>
        <v>0</v>
      </c>
      <c r="T548" s="39">
        <f t="shared" si="558"/>
        <v>0</v>
      </c>
      <c r="U548" s="83">
        <f t="shared" si="559"/>
        <v>5.9400000000000013</v>
      </c>
      <c r="V548" s="84">
        <f t="shared" si="560"/>
        <v>0</v>
      </c>
      <c r="W548" s="52">
        <f t="shared" si="561"/>
        <v>71.910074687395735</v>
      </c>
      <c r="X548" s="52">
        <f t="shared" si="562"/>
        <v>66.798195166590887</v>
      </c>
      <c r="Y548" s="52">
        <f t="shared" si="563"/>
        <v>138.70826985398662</v>
      </c>
      <c r="Z548" s="53">
        <f t="shared" si="564"/>
        <v>0.56179745849527918</v>
      </c>
      <c r="AA548" s="53">
        <f t="shared" si="565"/>
        <v>0.39760830456304097</v>
      </c>
      <c r="AB548" s="53">
        <f t="shared" si="566"/>
        <v>0.46860901977698183</v>
      </c>
      <c r="AC548" s="39" t="str">
        <f t="shared" si="567"/>
        <v>No</v>
      </c>
      <c r="AD548" s="85">
        <f t="shared" si="568"/>
        <v>0</v>
      </c>
      <c r="AE548" s="46">
        <f t="shared" si="569"/>
        <v>0</v>
      </c>
      <c r="AF548" s="46">
        <f t="shared" si="570"/>
        <v>2.1257999999999999</v>
      </c>
      <c r="AG548" s="39">
        <f t="shared" si="625"/>
        <v>48.08382782902089</v>
      </c>
      <c r="AH548" s="39">
        <f t="shared" si="626"/>
        <v>53.360000199791223</v>
      </c>
      <c r="AI548" s="39">
        <f t="shared" si="627"/>
        <v>51.318633022955389</v>
      </c>
      <c r="AJ548" s="39">
        <f t="shared" si="628"/>
        <v>68.147613635628232</v>
      </c>
      <c r="AK548" s="39">
        <f t="shared" si="629"/>
        <v>61.055958905823381</v>
      </c>
      <c r="AL548" s="39">
        <f t="shared" si="630"/>
        <v>50.430642134400038</v>
      </c>
      <c r="AM548" s="39">
        <f t="shared" si="631"/>
        <v>50.578003676517149</v>
      </c>
      <c r="AN548" s="39">
        <f t="shared" si="632"/>
        <v>45.733590449850318</v>
      </c>
      <c r="AO548" s="39">
        <f t="shared" si="571"/>
        <v>1.8083827829020891</v>
      </c>
      <c r="AP548" s="39">
        <f t="shared" si="572"/>
        <v>1.5360000199791224</v>
      </c>
      <c r="AQ548" s="39">
        <f t="shared" si="573"/>
        <v>1.5318633022955404</v>
      </c>
      <c r="AR548" s="39">
        <f t="shared" si="574"/>
        <v>2.3147613635628228</v>
      </c>
      <c r="AS548" s="39">
        <f t="shared" si="575"/>
        <v>1.7291884277163323</v>
      </c>
      <c r="AT548" s="39">
        <f t="shared" si="576"/>
        <v>1.4467965962739127</v>
      </c>
      <c r="AU548" s="39">
        <f t="shared" si="577"/>
        <v>1.4713629202459528</v>
      </c>
      <c r="AV548" s="39">
        <f t="shared" si="578"/>
        <v>0.77211583687866203</v>
      </c>
      <c r="AW548" s="39">
        <f t="shared" si="579"/>
        <v>12.610471249854434</v>
      </c>
      <c r="AX548" s="39">
        <f t="shared" si="580"/>
        <v>5.9400000000000013</v>
      </c>
      <c r="AY548" s="39">
        <f t="shared" si="581"/>
        <v>5.9400000000000013</v>
      </c>
      <c r="AZ548" s="39">
        <f t="shared" si="582"/>
        <v>0.85181540940132638</v>
      </c>
      <c r="BA548" s="39">
        <f t="shared" si="583"/>
        <v>0.72351301849891669</v>
      </c>
      <c r="BB548" s="39">
        <f t="shared" si="584"/>
        <v>0.72156447093446618</v>
      </c>
      <c r="BC548" s="39">
        <f t="shared" si="585"/>
        <v>1.0903385152812497</v>
      </c>
      <c r="BD548" s="39">
        <f t="shared" si="586"/>
        <v>0.81451192878724343</v>
      </c>
      <c r="BE548" s="39">
        <f t="shared" si="587"/>
        <v>0.68149489512267392</v>
      </c>
      <c r="BF548" s="39">
        <f t="shared" si="588"/>
        <v>0.69306654549978441</v>
      </c>
      <c r="BG548" s="39">
        <f t="shared" si="589"/>
        <v>0.36369521647434033</v>
      </c>
      <c r="BH548" s="84">
        <f t="shared" si="590"/>
        <v>0</v>
      </c>
      <c r="BI548" s="84">
        <f t="shared" si="591"/>
        <v>0</v>
      </c>
      <c r="BJ548" s="84">
        <f t="shared" si="592"/>
        <v>0</v>
      </c>
      <c r="BK548" s="39">
        <f t="shared" si="593"/>
        <v>47.232012419619565</v>
      </c>
      <c r="BL548" s="39">
        <f t="shared" si="594"/>
        <v>52.63648718129231</v>
      </c>
      <c r="BM548" s="39">
        <f t="shared" si="595"/>
        <v>50.597068552020922</v>
      </c>
      <c r="BN548" s="39">
        <f t="shared" si="596"/>
        <v>67.057275120346986</v>
      </c>
      <c r="BO548" s="39">
        <f t="shared" si="597"/>
        <v>60.241446977036141</v>
      </c>
      <c r="BP548" s="39">
        <f t="shared" si="598"/>
        <v>49.749147239277363</v>
      </c>
      <c r="BQ548" s="39">
        <f t="shared" si="599"/>
        <v>49.884937131017367</v>
      </c>
      <c r="BR548" s="39">
        <f t="shared" si="600"/>
        <v>45.369895233375978</v>
      </c>
      <c r="BS548" s="39">
        <f t="shared" si="601"/>
        <v>0</v>
      </c>
      <c r="BT548" s="39">
        <f t="shared" si="602"/>
        <v>0</v>
      </c>
      <c r="BU548" s="39">
        <f t="shared" si="603"/>
        <v>0</v>
      </c>
      <c r="BV548" s="39">
        <f t="shared" si="604"/>
        <v>0</v>
      </c>
      <c r="BW548" s="39">
        <f t="shared" si="605"/>
        <v>0</v>
      </c>
      <c r="BX548" s="39">
        <f t="shared" si="606"/>
        <v>0</v>
      </c>
      <c r="BY548" s="39">
        <f t="shared" si="607"/>
        <v>0</v>
      </c>
      <c r="BZ548" s="39">
        <f t="shared" si="608"/>
        <v>0</v>
      </c>
      <c r="CA548" s="39">
        <f t="shared" si="609"/>
        <v>47.232012419619565</v>
      </c>
      <c r="CB548" s="39">
        <f t="shared" si="610"/>
        <v>52.63648718129231</v>
      </c>
      <c r="CC548" s="39">
        <f t="shared" si="611"/>
        <v>50.597068552020922</v>
      </c>
      <c r="CD548" s="39">
        <f t="shared" si="612"/>
        <v>67.057275120346986</v>
      </c>
      <c r="CE548" s="39">
        <f t="shared" si="613"/>
        <v>60.241446977036141</v>
      </c>
      <c r="CF548" s="39">
        <f t="shared" si="614"/>
        <v>49.749147239277363</v>
      </c>
      <c r="CG548" s="39">
        <f t="shared" si="615"/>
        <v>49.884937131017367</v>
      </c>
      <c r="CH548" s="39">
        <f t="shared" si="616"/>
        <v>45.369895233375978</v>
      </c>
      <c r="CI548" s="39">
        <f t="shared" si="617"/>
        <v>0</v>
      </c>
      <c r="CJ548" s="39">
        <f t="shared" si="618"/>
        <v>0</v>
      </c>
      <c r="CK548" s="39">
        <f t="shared" si="619"/>
        <v>0</v>
      </c>
      <c r="CL548" s="39">
        <f t="shared" si="620"/>
        <v>0</v>
      </c>
      <c r="CM548" s="39">
        <f t="shared" si="621"/>
        <v>0</v>
      </c>
      <c r="CN548" s="39">
        <f t="shared" si="622"/>
        <v>0</v>
      </c>
      <c r="CO548" s="39">
        <f t="shared" si="623"/>
        <v>0</v>
      </c>
      <c r="CP548" s="39">
        <f t="shared" si="624"/>
        <v>0</v>
      </c>
    </row>
    <row r="549" spans="12:94" ht="16" customHeight="1" x14ac:dyDescent="0.2">
      <c r="L549" s="63">
        <v>30861</v>
      </c>
      <c r="M549" s="38">
        <v>0</v>
      </c>
      <c r="N549" s="38">
        <v>7.1</v>
      </c>
      <c r="O549" s="39">
        <v>2.3664000000000001</v>
      </c>
      <c r="P549" s="39">
        <v>1.1000000000000001</v>
      </c>
      <c r="Q549" s="46">
        <f t="shared" si="555"/>
        <v>0.11507024509536573</v>
      </c>
      <c r="R549" s="81">
        <f t="shared" si="556"/>
        <v>0</v>
      </c>
      <c r="S549" s="82">
        <f t="shared" si="557"/>
        <v>0</v>
      </c>
      <c r="T549" s="39">
        <f t="shared" si="558"/>
        <v>0</v>
      </c>
      <c r="U549" s="83">
        <f t="shared" si="559"/>
        <v>7.8100000000000005</v>
      </c>
      <c r="V549" s="84">
        <f t="shared" si="560"/>
        <v>0</v>
      </c>
      <c r="W549" s="52">
        <f t="shared" si="561"/>
        <v>68.52284327327979</v>
      </c>
      <c r="X549" s="52">
        <f t="shared" si="562"/>
        <v>64.245426580706862</v>
      </c>
      <c r="Y549" s="52">
        <f t="shared" si="563"/>
        <v>132.76826985398665</v>
      </c>
      <c r="Z549" s="53">
        <f t="shared" si="564"/>
        <v>0.53533471307249836</v>
      </c>
      <c r="AA549" s="53">
        <f t="shared" si="565"/>
        <v>0.38241325345658844</v>
      </c>
      <c r="AB549" s="53">
        <f t="shared" si="566"/>
        <v>0.44854145220941438</v>
      </c>
      <c r="AC549" s="39" t="str">
        <f t="shared" si="567"/>
        <v>No</v>
      </c>
      <c r="AD549" s="85">
        <f t="shared" si="568"/>
        <v>0</v>
      </c>
      <c r="AE549" s="46">
        <f t="shared" si="569"/>
        <v>0</v>
      </c>
      <c r="AF549" s="46">
        <f t="shared" si="570"/>
        <v>2.1257999999999999</v>
      </c>
      <c r="AG549" s="39">
        <f t="shared" si="625"/>
        <v>47.232012419619565</v>
      </c>
      <c r="AH549" s="39">
        <f t="shared" si="626"/>
        <v>52.63648718129231</v>
      </c>
      <c r="AI549" s="39">
        <f t="shared" si="627"/>
        <v>50.597068552020922</v>
      </c>
      <c r="AJ549" s="39">
        <f t="shared" si="628"/>
        <v>67.057275120346986</v>
      </c>
      <c r="AK549" s="39">
        <f t="shared" si="629"/>
        <v>60.241446977036141</v>
      </c>
      <c r="AL549" s="39">
        <f t="shared" si="630"/>
        <v>49.749147239277363</v>
      </c>
      <c r="AM549" s="39">
        <f t="shared" si="631"/>
        <v>49.884937131017367</v>
      </c>
      <c r="AN549" s="39">
        <f t="shared" si="632"/>
        <v>45.369895233375978</v>
      </c>
      <c r="AO549" s="39">
        <f t="shared" si="571"/>
        <v>1.7232012419619567</v>
      </c>
      <c r="AP549" s="39">
        <f t="shared" si="572"/>
        <v>1.463648718129231</v>
      </c>
      <c r="AQ549" s="39">
        <f t="shared" si="573"/>
        <v>1.4597068552020938</v>
      </c>
      <c r="AR549" s="39">
        <f t="shared" si="574"/>
        <v>2.2057275120346982</v>
      </c>
      <c r="AS549" s="39">
        <f t="shared" si="575"/>
        <v>1.584525656266768</v>
      </c>
      <c r="AT549" s="39">
        <f t="shared" si="576"/>
        <v>1.3358758725856774</v>
      </c>
      <c r="AU549" s="39">
        <f t="shared" si="577"/>
        <v>1.3576242948495654</v>
      </c>
      <c r="AV549" s="39">
        <f t="shared" si="578"/>
        <v>0.72863956230808358</v>
      </c>
      <c r="AW549" s="39">
        <f t="shared" si="579"/>
        <v>11.858949713338074</v>
      </c>
      <c r="AX549" s="39">
        <f t="shared" si="580"/>
        <v>7.8100000000000005</v>
      </c>
      <c r="AY549" s="39">
        <f t="shared" si="581"/>
        <v>7.8100000000000005</v>
      </c>
      <c r="AZ549" s="39">
        <f t="shared" si="582"/>
        <v>1.1348561234378192</v>
      </c>
      <c r="BA549" s="39">
        <f t="shared" si="583"/>
        <v>0.96392149093375767</v>
      </c>
      <c r="BB549" s="39">
        <f t="shared" si="584"/>
        <v>0.96132548115168437</v>
      </c>
      <c r="BC549" s="39">
        <f t="shared" si="585"/>
        <v>1.4526355440748377</v>
      </c>
      <c r="BD549" s="39">
        <f t="shared" si="586"/>
        <v>1.0435279408871097</v>
      </c>
      <c r="BE549" s="39">
        <f t="shared" si="587"/>
        <v>0.87977357330048012</v>
      </c>
      <c r="BF549" s="39">
        <f t="shared" si="588"/>
        <v>0.89409652617462243</v>
      </c>
      <c r="BG549" s="39">
        <f t="shared" si="589"/>
        <v>0.47986332003968957</v>
      </c>
      <c r="BH549" s="84">
        <f t="shared" si="590"/>
        <v>0</v>
      </c>
      <c r="BI549" s="84">
        <f t="shared" si="591"/>
        <v>0</v>
      </c>
      <c r="BJ549" s="84">
        <f t="shared" si="592"/>
        <v>0</v>
      </c>
      <c r="BK549" s="39">
        <f t="shared" si="593"/>
        <v>46.097156296181744</v>
      </c>
      <c r="BL549" s="39">
        <f t="shared" si="594"/>
        <v>51.672565690358553</v>
      </c>
      <c r="BM549" s="39">
        <f t="shared" si="595"/>
        <v>49.635743070869239</v>
      </c>
      <c r="BN549" s="39">
        <f t="shared" si="596"/>
        <v>65.604639576272149</v>
      </c>
      <c r="BO549" s="39">
        <f t="shared" si="597"/>
        <v>59.197919036149031</v>
      </c>
      <c r="BP549" s="39">
        <f t="shared" si="598"/>
        <v>48.86937366597688</v>
      </c>
      <c r="BQ549" s="39">
        <f t="shared" si="599"/>
        <v>48.990840604842745</v>
      </c>
      <c r="BR549" s="39">
        <f t="shared" si="600"/>
        <v>44.890031913336287</v>
      </c>
      <c r="BS549" s="39">
        <f t="shared" si="601"/>
        <v>0</v>
      </c>
      <c r="BT549" s="39">
        <f t="shared" si="602"/>
        <v>0</v>
      </c>
      <c r="BU549" s="39">
        <f t="shared" si="603"/>
        <v>0</v>
      </c>
      <c r="BV549" s="39">
        <f t="shared" si="604"/>
        <v>0</v>
      </c>
      <c r="BW549" s="39">
        <f t="shared" si="605"/>
        <v>0</v>
      </c>
      <c r="BX549" s="39">
        <f t="shared" si="606"/>
        <v>0</v>
      </c>
      <c r="BY549" s="39">
        <f t="shared" si="607"/>
        <v>0</v>
      </c>
      <c r="BZ549" s="39">
        <f t="shared" si="608"/>
        <v>0</v>
      </c>
      <c r="CA549" s="39">
        <f t="shared" si="609"/>
        <v>46.097156296181744</v>
      </c>
      <c r="CB549" s="39">
        <f t="shared" si="610"/>
        <v>51.672565690358553</v>
      </c>
      <c r="CC549" s="39">
        <f t="shared" si="611"/>
        <v>49.635743070869239</v>
      </c>
      <c r="CD549" s="39">
        <f t="shared" si="612"/>
        <v>65.604639576272149</v>
      </c>
      <c r="CE549" s="39">
        <f t="shared" si="613"/>
        <v>59.197919036149031</v>
      </c>
      <c r="CF549" s="39">
        <f t="shared" si="614"/>
        <v>48.86937366597688</v>
      </c>
      <c r="CG549" s="39">
        <f t="shared" si="615"/>
        <v>48.990840604842745</v>
      </c>
      <c r="CH549" s="39">
        <f t="shared" si="616"/>
        <v>44.890031913336287</v>
      </c>
      <c r="CI549" s="39">
        <f t="shared" si="617"/>
        <v>0</v>
      </c>
      <c r="CJ549" s="39">
        <f t="shared" si="618"/>
        <v>0</v>
      </c>
      <c r="CK549" s="39">
        <f t="shared" si="619"/>
        <v>0</v>
      </c>
      <c r="CL549" s="39">
        <f t="shared" si="620"/>
        <v>0</v>
      </c>
      <c r="CM549" s="39">
        <f t="shared" si="621"/>
        <v>0</v>
      </c>
      <c r="CN549" s="39">
        <f t="shared" si="622"/>
        <v>0</v>
      </c>
      <c r="CO549" s="39">
        <f t="shared" si="623"/>
        <v>0</v>
      </c>
      <c r="CP549" s="39">
        <f t="shared" si="624"/>
        <v>0</v>
      </c>
    </row>
    <row r="550" spans="12:94" ht="16" customHeight="1" x14ac:dyDescent="0.2">
      <c r="L550" s="63">
        <v>30862</v>
      </c>
      <c r="M550" s="38">
        <v>0</v>
      </c>
      <c r="N550" s="38">
        <v>8.1</v>
      </c>
      <c r="O550" s="39">
        <v>2.3664000000000001</v>
      </c>
      <c r="P550" s="39">
        <v>1.1000000000000001</v>
      </c>
      <c r="Q550" s="46">
        <f t="shared" si="555"/>
        <v>0.11737062912936132</v>
      </c>
      <c r="R550" s="81">
        <f t="shared" si="556"/>
        <v>0</v>
      </c>
      <c r="S550" s="82">
        <f t="shared" si="557"/>
        <v>0</v>
      </c>
      <c r="T550" s="39">
        <f t="shared" si="558"/>
        <v>0</v>
      </c>
      <c r="U550" s="83">
        <f t="shared" si="559"/>
        <v>8.91</v>
      </c>
      <c r="V550" s="84">
        <f t="shared" si="560"/>
        <v>0</v>
      </c>
      <c r="W550" s="52">
        <f t="shared" si="561"/>
        <v>64.010104633681692</v>
      </c>
      <c r="X550" s="52">
        <f t="shared" si="562"/>
        <v>60.948165220304958</v>
      </c>
      <c r="Y550" s="52">
        <f t="shared" si="563"/>
        <v>124.95826985398665</v>
      </c>
      <c r="Z550" s="53">
        <f t="shared" si="564"/>
        <v>0.50007894245063822</v>
      </c>
      <c r="AA550" s="53">
        <f t="shared" si="565"/>
        <v>0.36278669773991046</v>
      </c>
      <c r="AB550" s="53">
        <f t="shared" si="566"/>
        <v>0.4221563170742792</v>
      </c>
      <c r="AC550" s="39" t="str">
        <f t="shared" si="567"/>
        <v>No</v>
      </c>
      <c r="AD550" s="85">
        <f t="shared" si="568"/>
        <v>0</v>
      </c>
      <c r="AE550" s="46">
        <f t="shared" si="569"/>
        <v>0</v>
      </c>
      <c r="AF550" s="46">
        <f t="shared" si="570"/>
        <v>2.1257999999999999</v>
      </c>
      <c r="AG550" s="39">
        <f t="shared" si="625"/>
        <v>46.097156296181744</v>
      </c>
      <c r="AH550" s="39">
        <f t="shared" si="626"/>
        <v>51.672565690358553</v>
      </c>
      <c r="AI550" s="39">
        <f t="shared" si="627"/>
        <v>49.635743070869239</v>
      </c>
      <c r="AJ550" s="39">
        <f t="shared" si="628"/>
        <v>65.604639576272149</v>
      </c>
      <c r="AK550" s="39">
        <f t="shared" si="629"/>
        <v>59.197919036149031</v>
      </c>
      <c r="AL550" s="39">
        <f t="shared" si="630"/>
        <v>48.86937366597688</v>
      </c>
      <c r="AM550" s="39">
        <f t="shared" si="631"/>
        <v>48.990840604842745</v>
      </c>
      <c r="AN550" s="39">
        <f t="shared" si="632"/>
        <v>44.890031913336287</v>
      </c>
      <c r="AO550" s="39">
        <f t="shared" si="571"/>
        <v>1.6097156296181745</v>
      </c>
      <c r="AP550" s="39">
        <f t="shared" si="572"/>
        <v>1.3352789468369275</v>
      </c>
      <c r="AQ550" s="39">
        <f t="shared" si="573"/>
        <v>1.3280963506768491</v>
      </c>
      <c r="AR550" s="39">
        <f t="shared" si="574"/>
        <v>2.021672247943239</v>
      </c>
      <c r="AS550" s="39">
        <f t="shared" si="575"/>
        <v>1.4084210436854168</v>
      </c>
      <c r="AT550" s="39">
        <f t="shared" si="576"/>
        <v>1.1992239073828583</v>
      </c>
      <c r="AU550" s="39">
        <f t="shared" si="577"/>
        <v>1.2176523011880345</v>
      </c>
      <c r="AV550" s="39">
        <f t="shared" si="578"/>
        <v>0.67320409000073889</v>
      </c>
      <c r="AW550" s="39">
        <f t="shared" si="579"/>
        <v>10.793264517332238</v>
      </c>
      <c r="AX550" s="39">
        <f t="shared" si="580"/>
        <v>8.91</v>
      </c>
      <c r="AY550" s="39">
        <f t="shared" si="581"/>
        <v>8.91</v>
      </c>
      <c r="AZ550" s="39">
        <f t="shared" si="582"/>
        <v>1.3288441357909919</v>
      </c>
      <c r="BA550" s="39">
        <f t="shared" si="583"/>
        <v>1.1022925823055505</v>
      </c>
      <c r="BB550" s="39">
        <f t="shared" si="584"/>
        <v>1.096363242606377</v>
      </c>
      <c r="BC550" s="39">
        <f t="shared" si="585"/>
        <v>1.6689204364674037</v>
      </c>
      <c r="BD550" s="39">
        <f t="shared" si="586"/>
        <v>1.1626724684719203</v>
      </c>
      <c r="BE550" s="39">
        <f t="shared" si="587"/>
        <v>0.98997712857150388</v>
      </c>
      <c r="BF550" s="39">
        <f t="shared" si="588"/>
        <v>1.0051900410819352</v>
      </c>
      <c r="BG550" s="39">
        <f t="shared" si="589"/>
        <v>0.55573996470431775</v>
      </c>
      <c r="BH550" s="84">
        <f t="shared" si="590"/>
        <v>0</v>
      </c>
      <c r="BI550" s="84">
        <f t="shared" si="591"/>
        <v>0</v>
      </c>
      <c r="BJ550" s="84">
        <f t="shared" si="592"/>
        <v>0</v>
      </c>
      <c r="BK550" s="39">
        <f t="shared" si="593"/>
        <v>44.768312160390749</v>
      </c>
      <c r="BL550" s="39">
        <f t="shared" si="594"/>
        <v>50.570273108053001</v>
      </c>
      <c r="BM550" s="39">
        <f t="shared" si="595"/>
        <v>48.539379828262859</v>
      </c>
      <c r="BN550" s="39">
        <f t="shared" si="596"/>
        <v>63.935719139804746</v>
      </c>
      <c r="BO550" s="39">
        <f t="shared" si="597"/>
        <v>58.035246567677113</v>
      </c>
      <c r="BP550" s="39">
        <f t="shared" si="598"/>
        <v>47.879396537405377</v>
      </c>
      <c r="BQ550" s="39">
        <f t="shared" si="599"/>
        <v>47.985650563760807</v>
      </c>
      <c r="BR550" s="39">
        <f t="shared" si="600"/>
        <v>44.334291948631972</v>
      </c>
      <c r="BS550" s="39">
        <f t="shared" si="601"/>
        <v>0</v>
      </c>
      <c r="BT550" s="39">
        <f t="shared" si="602"/>
        <v>0</v>
      </c>
      <c r="BU550" s="39">
        <f t="shared" si="603"/>
        <v>0</v>
      </c>
      <c r="BV550" s="39">
        <f t="shared" si="604"/>
        <v>0</v>
      </c>
      <c r="BW550" s="39">
        <f t="shared" si="605"/>
        <v>0</v>
      </c>
      <c r="BX550" s="39">
        <f t="shared" si="606"/>
        <v>0</v>
      </c>
      <c r="BY550" s="39">
        <f t="shared" si="607"/>
        <v>0</v>
      </c>
      <c r="BZ550" s="39">
        <f t="shared" si="608"/>
        <v>0</v>
      </c>
      <c r="CA550" s="39">
        <f t="shared" si="609"/>
        <v>44.768312160390749</v>
      </c>
      <c r="CB550" s="39">
        <f t="shared" si="610"/>
        <v>50.570273108053001</v>
      </c>
      <c r="CC550" s="39">
        <f t="shared" si="611"/>
        <v>48.539379828262859</v>
      </c>
      <c r="CD550" s="39">
        <f t="shared" si="612"/>
        <v>63.935719139804746</v>
      </c>
      <c r="CE550" s="39">
        <f t="shared" si="613"/>
        <v>58.035246567677113</v>
      </c>
      <c r="CF550" s="39">
        <f t="shared" si="614"/>
        <v>47.879396537405377</v>
      </c>
      <c r="CG550" s="39">
        <f t="shared" si="615"/>
        <v>47.985650563760807</v>
      </c>
      <c r="CH550" s="39">
        <f t="shared" si="616"/>
        <v>44.334291948631972</v>
      </c>
      <c r="CI550" s="39">
        <f t="shared" si="617"/>
        <v>0</v>
      </c>
      <c r="CJ550" s="39">
        <f t="shared" si="618"/>
        <v>0</v>
      </c>
      <c r="CK550" s="39">
        <f t="shared" si="619"/>
        <v>0</v>
      </c>
      <c r="CL550" s="39">
        <f t="shared" si="620"/>
        <v>0</v>
      </c>
      <c r="CM550" s="39">
        <f t="shared" si="621"/>
        <v>0</v>
      </c>
      <c r="CN550" s="39">
        <f t="shared" si="622"/>
        <v>0</v>
      </c>
      <c r="CO550" s="39">
        <f t="shared" si="623"/>
        <v>0</v>
      </c>
      <c r="CP550" s="39">
        <f t="shared" si="624"/>
        <v>0</v>
      </c>
    </row>
    <row r="551" spans="12:94" ht="16" customHeight="1" x14ac:dyDescent="0.2">
      <c r="L551" s="63">
        <v>30863</v>
      </c>
      <c r="M551" s="38">
        <v>0</v>
      </c>
      <c r="N551" s="38">
        <v>6.5</v>
      </c>
      <c r="O551" s="39">
        <v>2.3664000000000001</v>
      </c>
      <c r="P551" s="39">
        <v>1.1000000000000001</v>
      </c>
      <c r="Q551" s="46">
        <f t="shared" si="555"/>
        <v>0.12006423210731605</v>
      </c>
      <c r="R551" s="81">
        <f t="shared" si="556"/>
        <v>0</v>
      </c>
      <c r="S551" s="82">
        <f t="shared" si="557"/>
        <v>0</v>
      </c>
      <c r="T551" s="39">
        <f t="shared" si="558"/>
        <v>0</v>
      </c>
      <c r="U551" s="83">
        <f t="shared" si="559"/>
        <v>7.15</v>
      </c>
      <c r="V551" s="84">
        <f t="shared" si="560"/>
        <v>0</v>
      </c>
      <c r="W551" s="52">
        <f t="shared" si="561"/>
        <v>58.813684236511364</v>
      </c>
      <c r="X551" s="52">
        <f t="shared" si="562"/>
        <v>57.234585617475261</v>
      </c>
      <c r="Y551" s="52">
        <f t="shared" si="563"/>
        <v>116.04826985398662</v>
      </c>
      <c r="Z551" s="53">
        <f t="shared" si="564"/>
        <v>0.45948190809774503</v>
      </c>
      <c r="AA551" s="53">
        <f t="shared" si="565"/>
        <v>0.34068205724687656</v>
      </c>
      <c r="AB551" s="53">
        <f t="shared" si="566"/>
        <v>0.39205496572292781</v>
      </c>
      <c r="AC551" s="39" t="str">
        <f t="shared" si="567"/>
        <v>No</v>
      </c>
      <c r="AD551" s="85">
        <f t="shared" si="568"/>
        <v>0</v>
      </c>
      <c r="AE551" s="46">
        <f t="shared" si="569"/>
        <v>0</v>
      </c>
      <c r="AF551" s="46">
        <f t="shared" si="570"/>
        <v>2.1257999999999999</v>
      </c>
      <c r="AG551" s="39">
        <f t="shared" si="625"/>
        <v>44.768312160390749</v>
      </c>
      <c r="AH551" s="39">
        <f t="shared" si="626"/>
        <v>50.570273108053001</v>
      </c>
      <c r="AI551" s="39">
        <f t="shared" si="627"/>
        <v>48.539379828262859</v>
      </c>
      <c r="AJ551" s="39">
        <f t="shared" si="628"/>
        <v>63.935719139804746</v>
      </c>
      <c r="AK551" s="39">
        <f t="shared" si="629"/>
        <v>58.035246567677113</v>
      </c>
      <c r="AL551" s="39">
        <f t="shared" si="630"/>
        <v>47.879396537405377</v>
      </c>
      <c r="AM551" s="39">
        <f t="shared" si="631"/>
        <v>47.985650563760807</v>
      </c>
      <c r="AN551" s="39">
        <f t="shared" si="632"/>
        <v>44.334291948631972</v>
      </c>
      <c r="AO551" s="39">
        <f t="shared" si="571"/>
        <v>1.4540202937783022</v>
      </c>
      <c r="AP551" s="39">
        <f t="shared" si="572"/>
        <v>1.128655471507432</v>
      </c>
      <c r="AQ551" s="39">
        <f t="shared" si="573"/>
        <v>1.123114617696042</v>
      </c>
      <c r="AR551" s="39">
        <f t="shared" si="574"/>
        <v>1.707435520674131</v>
      </c>
      <c r="AS551" s="39">
        <f t="shared" si="575"/>
        <v>1.2244244404104807</v>
      </c>
      <c r="AT551" s="39">
        <f t="shared" si="576"/>
        <v>1.0542687681778613</v>
      </c>
      <c r="AU551" s="39">
        <f t="shared" si="577"/>
        <v>1.0693796324721159</v>
      </c>
      <c r="AV551" s="39">
        <f t="shared" si="578"/>
        <v>0.61174368560392078</v>
      </c>
      <c r="AW551" s="39">
        <f t="shared" si="579"/>
        <v>9.3730424303202859</v>
      </c>
      <c r="AX551" s="39">
        <f t="shared" si="580"/>
        <v>7.15</v>
      </c>
      <c r="AY551" s="39">
        <f t="shared" si="581"/>
        <v>7.15</v>
      </c>
      <c r="AZ551" s="39">
        <f t="shared" si="582"/>
        <v>1.1091644124947817</v>
      </c>
      <c r="BA551" s="39">
        <f t="shared" si="583"/>
        <v>0.86096768272096502</v>
      </c>
      <c r="BB551" s="39">
        <f t="shared" si="584"/>
        <v>0.85674097564629281</v>
      </c>
      <c r="BC551" s="39">
        <f t="shared" si="585"/>
        <v>1.30247612379611</v>
      </c>
      <c r="BD551" s="39">
        <f t="shared" si="586"/>
        <v>0.93402273744276476</v>
      </c>
      <c r="BE551" s="39">
        <f t="shared" si="587"/>
        <v>0.80422357505684816</v>
      </c>
      <c r="BF551" s="39">
        <f t="shared" si="588"/>
        <v>0.81575053447339996</v>
      </c>
      <c r="BG551" s="39">
        <f t="shared" si="589"/>
        <v>0.46665395836883788</v>
      </c>
      <c r="BH551" s="84">
        <f t="shared" si="590"/>
        <v>0</v>
      </c>
      <c r="BI551" s="84">
        <f t="shared" si="591"/>
        <v>0</v>
      </c>
      <c r="BJ551" s="84">
        <f t="shared" si="592"/>
        <v>0</v>
      </c>
      <c r="BK551" s="39">
        <f t="shared" si="593"/>
        <v>43.659147747895965</v>
      </c>
      <c r="BL551" s="39">
        <f t="shared" si="594"/>
        <v>49.709305425332033</v>
      </c>
      <c r="BM551" s="39">
        <f t="shared" si="595"/>
        <v>47.68263885261657</v>
      </c>
      <c r="BN551" s="39">
        <f t="shared" si="596"/>
        <v>62.633243016008635</v>
      </c>
      <c r="BO551" s="39">
        <f t="shared" si="597"/>
        <v>57.101223830234346</v>
      </c>
      <c r="BP551" s="39">
        <f t="shared" si="598"/>
        <v>47.075172962348532</v>
      </c>
      <c r="BQ551" s="39">
        <f t="shared" si="599"/>
        <v>47.169900029287405</v>
      </c>
      <c r="BR551" s="39">
        <f t="shared" si="600"/>
        <v>43.867637990263134</v>
      </c>
      <c r="BS551" s="39">
        <f t="shared" si="601"/>
        <v>0</v>
      </c>
      <c r="BT551" s="39">
        <f t="shared" si="602"/>
        <v>0</v>
      </c>
      <c r="BU551" s="39">
        <f t="shared" si="603"/>
        <v>0</v>
      </c>
      <c r="BV551" s="39">
        <f t="shared" si="604"/>
        <v>0</v>
      </c>
      <c r="BW551" s="39">
        <f t="shared" si="605"/>
        <v>0</v>
      </c>
      <c r="BX551" s="39">
        <f t="shared" si="606"/>
        <v>0</v>
      </c>
      <c r="BY551" s="39">
        <f t="shared" si="607"/>
        <v>0</v>
      </c>
      <c r="BZ551" s="39">
        <f t="shared" si="608"/>
        <v>0</v>
      </c>
      <c r="CA551" s="39">
        <f t="shared" si="609"/>
        <v>43.659147747895965</v>
      </c>
      <c r="CB551" s="39">
        <f t="shared" si="610"/>
        <v>49.709305425332033</v>
      </c>
      <c r="CC551" s="39">
        <f t="shared" si="611"/>
        <v>47.68263885261657</v>
      </c>
      <c r="CD551" s="39">
        <f t="shared" si="612"/>
        <v>62.633243016008635</v>
      </c>
      <c r="CE551" s="39">
        <f t="shared" si="613"/>
        <v>57.101223830234346</v>
      </c>
      <c r="CF551" s="39">
        <f t="shared" si="614"/>
        <v>47.075172962348532</v>
      </c>
      <c r="CG551" s="39">
        <f t="shared" si="615"/>
        <v>47.169900029287405</v>
      </c>
      <c r="CH551" s="39">
        <f t="shared" si="616"/>
        <v>43.867637990263134</v>
      </c>
      <c r="CI551" s="39">
        <f t="shared" si="617"/>
        <v>0</v>
      </c>
      <c r="CJ551" s="39">
        <f t="shared" si="618"/>
        <v>0</v>
      </c>
      <c r="CK551" s="39">
        <f t="shared" si="619"/>
        <v>0</v>
      </c>
      <c r="CL551" s="39">
        <f t="shared" si="620"/>
        <v>0</v>
      </c>
      <c r="CM551" s="39">
        <f t="shared" si="621"/>
        <v>0</v>
      </c>
      <c r="CN551" s="39">
        <f t="shared" si="622"/>
        <v>0</v>
      </c>
      <c r="CO551" s="39">
        <f t="shared" si="623"/>
        <v>0</v>
      </c>
      <c r="CP551" s="39">
        <f t="shared" si="624"/>
        <v>0</v>
      </c>
    </row>
    <row r="552" spans="12:94" x14ac:dyDescent="0.2">
      <c r="R552" s="39"/>
      <c r="S552" s="39"/>
      <c r="U552" s="39"/>
      <c r="V552" s="39"/>
    </row>
    <row r="553" spans="12:94" x14ac:dyDescent="0.2">
      <c r="R553" s="39"/>
      <c r="S553" s="39"/>
      <c r="U553" s="39"/>
      <c r="V553" s="39"/>
    </row>
    <row r="554" spans="12:94" x14ac:dyDescent="0.2">
      <c r="R554" s="39"/>
      <c r="S554" s="39"/>
      <c r="U554" s="39"/>
      <c r="V554" s="39"/>
    </row>
    <row r="555" spans="12:94" x14ac:dyDescent="0.2">
      <c r="R555" s="39"/>
      <c r="S555" s="39"/>
      <c r="U555" s="39"/>
      <c r="V555" s="39"/>
    </row>
    <row r="556" spans="12:94" x14ac:dyDescent="0.2">
      <c r="R556" s="39"/>
      <c r="S556" s="39"/>
      <c r="U556" s="39"/>
      <c r="V556" s="39"/>
    </row>
    <row r="557" spans="12:94" x14ac:dyDescent="0.2">
      <c r="R557" s="39"/>
      <c r="S557" s="39"/>
      <c r="U557" s="39"/>
      <c r="V557" s="39"/>
    </row>
    <row r="558" spans="12:94" x14ac:dyDescent="0.2">
      <c r="R558" s="39"/>
      <c r="S558" s="39"/>
      <c r="U558" s="39"/>
      <c r="V558" s="39"/>
    </row>
    <row r="559" spans="12:94" x14ac:dyDescent="0.2">
      <c r="R559" s="39"/>
      <c r="S559" s="39"/>
      <c r="U559" s="39"/>
      <c r="V559" s="39"/>
    </row>
    <row r="560" spans="12:94" x14ac:dyDescent="0.2">
      <c r="R560" s="39"/>
      <c r="S560" s="39"/>
      <c r="U560" s="39"/>
      <c r="V560" s="39"/>
    </row>
    <row r="561" spans="12:32" x14ac:dyDescent="0.2">
      <c r="R561" s="39"/>
      <c r="S561" s="39"/>
      <c r="U561" s="39"/>
      <c r="V561" s="39"/>
    </row>
    <row r="562" spans="12:32" x14ac:dyDescent="0.2">
      <c r="R562" s="39"/>
      <c r="S562" s="39"/>
      <c r="U562" s="39"/>
      <c r="V562" s="39"/>
    </row>
    <row r="563" spans="12:32" x14ac:dyDescent="0.2">
      <c r="R563" s="39"/>
      <c r="S563" s="39"/>
      <c r="U563" s="39"/>
      <c r="V563" s="39"/>
    </row>
    <row r="564" spans="12:32" x14ac:dyDescent="0.2">
      <c r="R564" s="39"/>
      <c r="S564" s="39"/>
      <c r="U564" s="39"/>
      <c r="V564" s="39"/>
    </row>
    <row r="565" spans="12:32" x14ac:dyDescent="0.2">
      <c r="R565" s="39"/>
      <c r="S565" s="39"/>
      <c r="U565" s="39"/>
      <c r="V565" s="39"/>
    </row>
    <row r="566" spans="12:32" x14ac:dyDescent="0.2">
      <c r="L566" s="63"/>
      <c r="M566" s="38"/>
      <c r="N566" s="38"/>
      <c r="O566" s="39"/>
      <c r="P566" s="39"/>
      <c r="R566" s="39"/>
      <c r="S566" s="39"/>
      <c r="U566" s="39"/>
      <c r="V566" s="39"/>
      <c r="AD566" s="39"/>
      <c r="AE566" s="39"/>
      <c r="AF566" s="39"/>
    </row>
    <row r="567" spans="12:32" x14ac:dyDescent="0.2">
      <c r="L567" s="63"/>
      <c r="M567" s="38"/>
      <c r="N567" s="38"/>
      <c r="O567" s="39"/>
      <c r="P567" s="39"/>
      <c r="R567" s="39"/>
      <c r="S567" s="39"/>
      <c r="U567" s="39"/>
      <c r="V567" s="39"/>
      <c r="AD567" s="39"/>
      <c r="AE567" s="39"/>
      <c r="AF567" s="39"/>
    </row>
    <row r="568" spans="12:32" x14ac:dyDescent="0.2">
      <c r="L568" s="63"/>
      <c r="M568" s="38"/>
      <c r="N568" s="38"/>
      <c r="O568" s="39"/>
      <c r="P568" s="39"/>
      <c r="R568" s="39"/>
      <c r="S568" s="39"/>
      <c r="U568" s="39"/>
      <c r="V568" s="39"/>
      <c r="AD568" s="39"/>
      <c r="AE568" s="39"/>
      <c r="AF568" s="39"/>
    </row>
    <row r="569" spans="12:32" x14ac:dyDescent="0.2">
      <c r="L569" s="63"/>
      <c r="M569" s="38"/>
      <c r="N569" s="38"/>
      <c r="O569" s="39"/>
      <c r="P569" s="39"/>
      <c r="R569" s="39"/>
      <c r="S569" s="39"/>
      <c r="U569" s="39"/>
      <c r="V569" s="39"/>
      <c r="AD569" s="39"/>
      <c r="AE569" s="39"/>
      <c r="AF569" s="39"/>
    </row>
    <row r="570" spans="12:32" x14ac:dyDescent="0.2">
      <c r="L570" s="63"/>
      <c r="M570" s="38"/>
      <c r="N570" s="38"/>
      <c r="O570" s="39"/>
      <c r="P570" s="39"/>
      <c r="R570" s="39"/>
      <c r="S570" s="39"/>
      <c r="U570" s="39"/>
      <c r="V570" s="39"/>
      <c r="AD570" s="39"/>
      <c r="AE570" s="39"/>
      <c r="AF570" s="39"/>
    </row>
    <row r="571" spans="12:32" x14ac:dyDescent="0.2">
      <c r="L571" s="63"/>
      <c r="M571" s="38"/>
      <c r="N571" s="38"/>
      <c r="O571" s="39"/>
      <c r="P571" s="39"/>
      <c r="R571" s="39"/>
      <c r="S571" s="39"/>
      <c r="U571" s="39"/>
      <c r="V571" s="39"/>
      <c r="AD571" s="39"/>
      <c r="AE571" s="39"/>
      <c r="AF571" s="39"/>
    </row>
    <row r="572" spans="12:32" x14ac:dyDescent="0.2">
      <c r="L572" s="63"/>
      <c r="M572" s="38"/>
      <c r="N572" s="38"/>
      <c r="O572" s="39"/>
      <c r="P572" s="39"/>
      <c r="R572" s="39"/>
      <c r="S572" s="39"/>
      <c r="U572" s="39"/>
      <c r="V572" s="39"/>
      <c r="AD572" s="39"/>
      <c r="AE572" s="39"/>
      <c r="AF572" s="39"/>
    </row>
    <row r="573" spans="12:32" x14ac:dyDescent="0.2">
      <c r="L573" s="63"/>
      <c r="M573" s="38"/>
      <c r="N573" s="38"/>
      <c r="O573" s="39"/>
      <c r="P573" s="39"/>
      <c r="R573" s="39"/>
      <c r="S573" s="39"/>
      <c r="U573" s="39"/>
      <c r="V573" s="39"/>
      <c r="AD573" s="39"/>
      <c r="AE573" s="39"/>
      <c r="AF573" s="39"/>
    </row>
    <row r="574" spans="12:32" x14ac:dyDescent="0.2">
      <c r="L574" s="63"/>
      <c r="M574" s="38"/>
      <c r="N574" s="38"/>
      <c r="O574" s="39"/>
      <c r="P574" s="39"/>
      <c r="R574" s="39"/>
      <c r="S574" s="39"/>
      <c r="U574" s="39"/>
      <c r="V574" s="39"/>
      <c r="AD574" s="39"/>
      <c r="AE574" s="39"/>
      <c r="AF574" s="39"/>
    </row>
    <row r="575" spans="12:32" x14ac:dyDescent="0.2">
      <c r="L575" s="63"/>
      <c r="M575" s="38"/>
      <c r="N575" s="38"/>
      <c r="O575" s="39"/>
      <c r="P575" s="39"/>
      <c r="R575" s="39"/>
      <c r="S575" s="39"/>
      <c r="U575" s="39"/>
      <c r="V575" s="39"/>
      <c r="AD575" s="39"/>
      <c r="AE575" s="39"/>
      <c r="AF575" s="39"/>
    </row>
    <row r="576" spans="12:32" x14ac:dyDescent="0.2">
      <c r="L576" s="63"/>
      <c r="M576" s="38"/>
      <c r="N576" s="38"/>
      <c r="O576" s="39"/>
      <c r="P576" s="39"/>
      <c r="R576" s="39"/>
      <c r="S576" s="39"/>
      <c r="U576" s="39"/>
      <c r="V576" s="39"/>
      <c r="AD576" s="39"/>
      <c r="AE576" s="39"/>
      <c r="AF576" s="39"/>
    </row>
    <row r="577" spans="12:32" x14ac:dyDescent="0.2">
      <c r="L577" s="63"/>
      <c r="M577" s="38"/>
      <c r="N577" s="38"/>
      <c r="O577" s="39"/>
      <c r="P577" s="39"/>
      <c r="R577" s="39"/>
      <c r="S577" s="39"/>
      <c r="U577" s="39"/>
      <c r="V577" s="39"/>
      <c r="AD577" s="39"/>
      <c r="AE577" s="39"/>
      <c r="AF577" s="39"/>
    </row>
    <row r="578" spans="12:32" x14ac:dyDescent="0.2">
      <c r="L578" s="63"/>
      <c r="M578" s="38"/>
      <c r="N578" s="38"/>
      <c r="O578" s="39"/>
      <c r="P578" s="39"/>
      <c r="R578" s="39"/>
      <c r="S578" s="39"/>
      <c r="U578" s="39"/>
      <c r="V578" s="39"/>
      <c r="AD578" s="39"/>
      <c r="AE578" s="39"/>
      <c r="AF578" s="39"/>
    </row>
    <row r="579" spans="12:32" x14ac:dyDescent="0.2">
      <c r="L579" s="63"/>
      <c r="M579" s="38"/>
      <c r="N579" s="38"/>
      <c r="O579" s="39"/>
      <c r="P579" s="39"/>
      <c r="R579" s="39"/>
      <c r="S579" s="39"/>
      <c r="U579" s="39"/>
      <c r="V579" s="39"/>
      <c r="AD579" s="39"/>
      <c r="AE579" s="39"/>
      <c r="AF579" s="39"/>
    </row>
    <row r="580" spans="12:32" x14ac:dyDescent="0.2">
      <c r="L580" s="63"/>
      <c r="M580" s="38"/>
      <c r="N580" s="38"/>
      <c r="O580" s="39"/>
      <c r="P580" s="39"/>
      <c r="R580" s="39"/>
      <c r="S580" s="39"/>
      <c r="U580" s="39"/>
      <c r="V580" s="39"/>
      <c r="AD580" s="39"/>
      <c r="AE580" s="39"/>
      <c r="AF580" s="39"/>
    </row>
    <row r="581" spans="12:32" x14ac:dyDescent="0.2">
      <c r="L581" s="63"/>
      <c r="M581" s="38"/>
      <c r="N581" s="38"/>
      <c r="O581" s="39"/>
      <c r="P581" s="39"/>
      <c r="R581" s="39"/>
      <c r="S581" s="39"/>
      <c r="U581" s="39"/>
      <c r="V581" s="39"/>
      <c r="AD581" s="39"/>
      <c r="AE581" s="39"/>
      <c r="AF581" s="39"/>
    </row>
    <row r="582" spans="12:32" x14ac:dyDescent="0.2">
      <c r="L582" s="63"/>
      <c r="M582" s="38"/>
      <c r="N582" s="38"/>
      <c r="O582" s="39"/>
      <c r="P582" s="39"/>
      <c r="R582" s="39"/>
      <c r="S582" s="39"/>
      <c r="U582" s="39"/>
      <c r="V582" s="39"/>
      <c r="AD582" s="39"/>
      <c r="AE582" s="39"/>
      <c r="AF582" s="39"/>
    </row>
    <row r="583" spans="12:32" x14ac:dyDescent="0.2">
      <c r="L583" s="63"/>
      <c r="M583" s="38"/>
      <c r="N583" s="38"/>
      <c r="O583" s="39"/>
      <c r="P583" s="39"/>
      <c r="R583" s="39"/>
      <c r="S583" s="39"/>
      <c r="U583" s="39"/>
      <c r="V583" s="39"/>
      <c r="AD583" s="39"/>
      <c r="AE583" s="39"/>
      <c r="AF583" s="39"/>
    </row>
    <row r="584" spans="12:32" x14ac:dyDescent="0.2">
      <c r="L584" s="63"/>
      <c r="M584" s="38"/>
      <c r="N584" s="38"/>
      <c r="O584" s="39"/>
      <c r="P584" s="39"/>
      <c r="R584" s="39"/>
      <c r="S584" s="39"/>
      <c r="U584" s="39"/>
      <c r="V584" s="39"/>
      <c r="AD584" s="39"/>
      <c r="AE584" s="39"/>
      <c r="AF584" s="39"/>
    </row>
    <row r="585" spans="12:32" x14ac:dyDescent="0.2">
      <c r="L585" s="63"/>
      <c r="M585" s="38"/>
      <c r="N585" s="38"/>
      <c r="O585" s="39"/>
      <c r="P585" s="39"/>
      <c r="R585" s="39"/>
      <c r="S585" s="39"/>
      <c r="U585" s="39"/>
      <c r="V585" s="39"/>
      <c r="AD585" s="39"/>
      <c r="AE585" s="39"/>
      <c r="AF585" s="39"/>
    </row>
    <row r="586" spans="12:32" x14ac:dyDescent="0.2">
      <c r="L586" s="63"/>
      <c r="M586" s="38"/>
      <c r="N586" s="38"/>
      <c r="O586" s="39"/>
      <c r="P586" s="39"/>
      <c r="R586" s="39"/>
      <c r="S586" s="39"/>
      <c r="U586" s="39"/>
      <c r="V586" s="39"/>
      <c r="AD586" s="39"/>
      <c r="AE586" s="39"/>
      <c r="AF586" s="39"/>
    </row>
    <row r="587" spans="12:32" x14ac:dyDescent="0.2">
      <c r="L587" s="63"/>
      <c r="M587" s="38"/>
      <c r="N587" s="38"/>
      <c r="O587" s="39"/>
      <c r="P587" s="39"/>
      <c r="R587" s="39"/>
      <c r="S587" s="39"/>
      <c r="U587" s="39"/>
      <c r="V587" s="39"/>
      <c r="AD587" s="39"/>
      <c r="AE587" s="39"/>
      <c r="AF587" s="39"/>
    </row>
    <row r="588" spans="12:32" x14ac:dyDescent="0.2">
      <c r="L588" s="63"/>
      <c r="M588" s="38"/>
      <c r="N588" s="38"/>
      <c r="O588" s="39"/>
      <c r="P588" s="39"/>
      <c r="R588" s="39"/>
      <c r="S588" s="39"/>
      <c r="U588" s="39"/>
      <c r="V588" s="39"/>
      <c r="AD588" s="39"/>
      <c r="AE588" s="39"/>
      <c r="AF588" s="39"/>
    </row>
    <row r="589" spans="12:32" x14ac:dyDescent="0.2">
      <c r="L589" s="63"/>
      <c r="M589" s="38"/>
      <c r="N589" s="38"/>
      <c r="O589" s="39"/>
      <c r="P589" s="39"/>
      <c r="R589" s="39"/>
      <c r="S589" s="39"/>
      <c r="U589" s="39"/>
      <c r="V589" s="39"/>
      <c r="AD589" s="39"/>
      <c r="AE589" s="39"/>
      <c r="AF589" s="39"/>
    </row>
    <row r="590" spans="12:32" x14ac:dyDescent="0.2">
      <c r="L590" s="63"/>
      <c r="M590" s="38"/>
      <c r="N590" s="38"/>
      <c r="O590" s="39"/>
      <c r="P590" s="39"/>
      <c r="R590" s="39"/>
      <c r="S590" s="39"/>
      <c r="U590" s="39"/>
      <c r="V590" s="39"/>
      <c r="AD590" s="39"/>
      <c r="AE590" s="39"/>
      <c r="AF590" s="39"/>
    </row>
    <row r="591" spans="12:32" x14ac:dyDescent="0.2">
      <c r="L591" s="63"/>
      <c r="M591" s="38"/>
      <c r="N591" s="38"/>
      <c r="O591" s="39"/>
      <c r="P591" s="39"/>
      <c r="R591" s="39"/>
      <c r="S591" s="39"/>
      <c r="U591" s="39"/>
      <c r="V591" s="39"/>
      <c r="AD591" s="39"/>
      <c r="AE591" s="39"/>
      <c r="AF591" s="39"/>
    </row>
    <row r="592" spans="12:32" x14ac:dyDescent="0.2">
      <c r="L592" s="63"/>
      <c r="M592" s="38"/>
      <c r="N592" s="38"/>
      <c r="O592" s="39"/>
      <c r="P592" s="39"/>
      <c r="R592" s="39"/>
      <c r="S592" s="39"/>
      <c r="U592" s="39"/>
      <c r="V592" s="39"/>
      <c r="AD592" s="39"/>
      <c r="AE592" s="39"/>
      <c r="AF592" s="39"/>
    </row>
    <row r="593" spans="12:32" x14ac:dyDescent="0.2">
      <c r="L593" s="63"/>
      <c r="M593" s="38"/>
      <c r="N593" s="38"/>
      <c r="O593" s="39"/>
      <c r="P593" s="39"/>
      <c r="R593" s="39"/>
      <c r="S593" s="39"/>
      <c r="U593" s="39"/>
      <c r="V593" s="39"/>
      <c r="AD593" s="39"/>
      <c r="AE593" s="39"/>
      <c r="AF593" s="39"/>
    </row>
    <row r="594" spans="12:32" x14ac:dyDescent="0.2">
      <c r="L594" s="63"/>
      <c r="M594" s="38"/>
      <c r="N594" s="38"/>
      <c r="O594" s="39"/>
      <c r="P594" s="39"/>
      <c r="R594" s="39"/>
      <c r="S594" s="39"/>
      <c r="U594" s="39"/>
      <c r="V594" s="39"/>
      <c r="AD594" s="39"/>
      <c r="AE594" s="39"/>
      <c r="AF594" s="39"/>
    </row>
    <row r="595" spans="12:32" x14ac:dyDescent="0.2">
      <c r="L595" s="63"/>
      <c r="M595" s="38"/>
      <c r="N595" s="38"/>
      <c r="O595" s="39"/>
      <c r="P595" s="39"/>
      <c r="R595" s="39"/>
      <c r="S595" s="39"/>
      <c r="U595" s="39"/>
      <c r="V595" s="39"/>
      <c r="AD595" s="39"/>
      <c r="AE595" s="39"/>
      <c r="AF595" s="39"/>
    </row>
    <row r="596" spans="12:32" x14ac:dyDescent="0.2">
      <c r="L596" s="63"/>
      <c r="M596" s="38"/>
      <c r="N596" s="38"/>
      <c r="O596" s="39"/>
      <c r="P596" s="39"/>
      <c r="R596" s="39"/>
      <c r="S596" s="39"/>
      <c r="U596" s="39"/>
      <c r="V596" s="39"/>
      <c r="AD596" s="39"/>
      <c r="AE596" s="39"/>
      <c r="AF596" s="39"/>
    </row>
    <row r="597" spans="12:32" x14ac:dyDescent="0.2">
      <c r="L597" s="63"/>
      <c r="M597" s="38"/>
      <c r="N597" s="38"/>
      <c r="O597" s="39"/>
      <c r="P597" s="39"/>
      <c r="R597" s="39"/>
      <c r="S597" s="39"/>
      <c r="U597" s="39"/>
      <c r="V597" s="39"/>
      <c r="AD597" s="39"/>
      <c r="AE597" s="39"/>
      <c r="AF597" s="39"/>
    </row>
    <row r="598" spans="12:32" x14ac:dyDescent="0.2">
      <c r="L598" s="63"/>
      <c r="M598" s="38"/>
      <c r="N598" s="38"/>
      <c r="O598" s="39"/>
      <c r="P598" s="39"/>
      <c r="R598" s="39"/>
      <c r="S598" s="39"/>
      <c r="U598" s="39"/>
      <c r="V598" s="39"/>
      <c r="AD598" s="39"/>
      <c r="AE598" s="39"/>
      <c r="AF598" s="39"/>
    </row>
    <row r="599" spans="12:32" x14ac:dyDescent="0.2">
      <c r="L599" s="63"/>
      <c r="M599" s="38"/>
      <c r="N599" s="38"/>
      <c r="O599" s="39"/>
      <c r="P599" s="39"/>
      <c r="R599" s="39"/>
      <c r="S599" s="39"/>
      <c r="U599" s="39"/>
      <c r="V599" s="39"/>
      <c r="AD599" s="39"/>
      <c r="AE599" s="39"/>
      <c r="AF599" s="39"/>
    </row>
    <row r="600" spans="12:32" x14ac:dyDescent="0.2">
      <c r="L600" s="63"/>
      <c r="M600" s="38"/>
      <c r="N600" s="38"/>
      <c r="O600" s="39"/>
      <c r="P600" s="39"/>
      <c r="R600" s="39"/>
      <c r="S600" s="39"/>
      <c r="U600" s="39"/>
      <c r="V600" s="39"/>
      <c r="AD600" s="39"/>
      <c r="AE600" s="39"/>
      <c r="AF600" s="39"/>
    </row>
    <row r="601" spans="12:32" x14ac:dyDescent="0.2">
      <c r="L601" s="63"/>
      <c r="M601" s="38"/>
      <c r="N601" s="38"/>
      <c r="O601" s="39"/>
      <c r="P601" s="39"/>
      <c r="R601" s="39"/>
      <c r="S601" s="39"/>
      <c r="U601" s="39"/>
      <c r="V601" s="39"/>
      <c r="AD601" s="39"/>
      <c r="AE601" s="39"/>
      <c r="AF601" s="39"/>
    </row>
    <row r="602" spans="12:32" x14ac:dyDescent="0.2">
      <c r="L602" s="63"/>
      <c r="M602" s="38"/>
      <c r="N602" s="38"/>
      <c r="O602" s="39"/>
      <c r="P602" s="39"/>
      <c r="R602" s="39"/>
      <c r="S602" s="39"/>
      <c r="U602" s="39"/>
      <c r="V602" s="39"/>
      <c r="AD602" s="39"/>
      <c r="AE602" s="39"/>
      <c r="AF602" s="39"/>
    </row>
    <row r="603" spans="12:32" x14ac:dyDescent="0.2">
      <c r="L603" s="63"/>
      <c r="M603" s="38"/>
      <c r="N603" s="38"/>
      <c r="O603" s="39"/>
      <c r="P603" s="39"/>
      <c r="R603" s="39"/>
      <c r="S603" s="39"/>
      <c r="U603" s="39"/>
      <c r="V603" s="39"/>
      <c r="AD603" s="39"/>
      <c r="AE603" s="39"/>
      <c r="AF603" s="39"/>
    </row>
    <row r="604" spans="12:32" x14ac:dyDescent="0.2">
      <c r="L604" s="63"/>
      <c r="M604" s="38"/>
      <c r="N604" s="38"/>
      <c r="O604" s="39"/>
      <c r="P604" s="39"/>
      <c r="R604" s="39"/>
      <c r="S604" s="39"/>
      <c r="U604" s="39"/>
      <c r="V604" s="39"/>
      <c r="AD604" s="39"/>
      <c r="AE604" s="39"/>
      <c r="AF604" s="39"/>
    </row>
    <row r="605" spans="12:32" x14ac:dyDescent="0.2">
      <c r="L605" s="63"/>
      <c r="M605" s="38"/>
      <c r="N605" s="38"/>
      <c r="O605" s="39"/>
      <c r="P605" s="39"/>
      <c r="R605" s="39"/>
      <c r="S605" s="39"/>
      <c r="U605" s="39"/>
      <c r="V605" s="39"/>
      <c r="AD605" s="39"/>
      <c r="AE605" s="39"/>
      <c r="AF605" s="39"/>
    </row>
    <row r="606" spans="12:32" x14ac:dyDescent="0.2">
      <c r="L606" s="63"/>
      <c r="M606" s="38"/>
      <c r="N606" s="38"/>
      <c r="O606" s="39"/>
      <c r="P606" s="39"/>
      <c r="R606" s="39"/>
      <c r="S606" s="39"/>
      <c r="U606" s="39"/>
      <c r="V606" s="39"/>
      <c r="AD606" s="39"/>
      <c r="AE606" s="39"/>
      <c r="AF606" s="39"/>
    </row>
    <row r="607" spans="12:32" x14ac:dyDescent="0.2">
      <c r="L607" s="63"/>
      <c r="M607" s="38"/>
      <c r="N607" s="38"/>
      <c r="O607" s="39"/>
      <c r="P607" s="39"/>
      <c r="R607" s="39"/>
      <c r="S607" s="39"/>
      <c r="U607" s="39"/>
      <c r="V607" s="39"/>
      <c r="AD607" s="39"/>
      <c r="AE607" s="39"/>
      <c r="AF607" s="39"/>
    </row>
    <row r="608" spans="12:32" x14ac:dyDescent="0.2">
      <c r="L608" s="63"/>
      <c r="M608" s="38"/>
      <c r="N608" s="38"/>
      <c r="O608" s="39"/>
      <c r="P608" s="39"/>
      <c r="R608" s="39"/>
      <c r="S608" s="39"/>
      <c r="U608" s="39"/>
      <c r="V608" s="39"/>
      <c r="AD608" s="39"/>
      <c r="AE608" s="39"/>
      <c r="AF608" s="39"/>
    </row>
    <row r="609" spans="12:32" x14ac:dyDescent="0.2">
      <c r="L609" s="63"/>
      <c r="M609" s="38"/>
      <c r="N609" s="38"/>
      <c r="O609" s="39"/>
      <c r="P609" s="39"/>
      <c r="R609" s="39"/>
      <c r="S609" s="39"/>
      <c r="U609" s="39"/>
      <c r="V609" s="39"/>
      <c r="AD609" s="39"/>
      <c r="AE609" s="39"/>
      <c r="AF609" s="39"/>
    </row>
    <row r="610" spans="12:32" x14ac:dyDescent="0.2">
      <c r="L610" s="63"/>
      <c r="M610" s="38"/>
      <c r="N610" s="38"/>
      <c r="O610" s="39"/>
      <c r="P610" s="39"/>
      <c r="R610" s="39"/>
      <c r="S610" s="39"/>
      <c r="U610" s="39"/>
      <c r="V610" s="39"/>
      <c r="AD610" s="39"/>
      <c r="AE610" s="39"/>
      <c r="AF610" s="39"/>
    </row>
    <row r="611" spans="12:32" x14ac:dyDescent="0.2">
      <c r="O611" s="39"/>
      <c r="P611" s="39"/>
      <c r="AD611" s="39"/>
      <c r="AE611" s="39"/>
      <c r="AF611" s="39"/>
    </row>
    <row r="612" spans="12:32" x14ac:dyDescent="0.2">
      <c r="O612" s="39"/>
      <c r="P612" s="39"/>
      <c r="AD612" s="39"/>
      <c r="AE612" s="39"/>
      <c r="AF612" s="39"/>
    </row>
  </sheetData>
  <autoFilter ref="L4:P551" xr:uid="{00000000-0009-0000-0000-000005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clima</vt:lpstr>
      <vt:lpstr>suelos</vt:lpstr>
      <vt:lpstr>cultivo</vt:lpstr>
      <vt:lpstr>condiciones iniciales</vt:lpstr>
      <vt:lpstr>fenologia</vt:lpstr>
      <vt:lpstr>Balance Hidrico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Garcia</dc:creator>
  <cp:lastModifiedBy>Guillermo Garcia</cp:lastModifiedBy>
  <dcterms:created xsi:type="dcterms:W3CDTF">2026-06-04T20:43:26Z</dcterms:created>
  <dcterms:modified xsi:type="dcterms:W3CDTF">2026-07-24T01:57:14Z</dcterms:modified>
</cp:coreProperties>
</file>